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029"/>
  <workbookPr/>
  <mc:AlternateContent xmlns:mc="http://schemas.openxmlformats.org/markup-compatibility/2006">
    <mc:Choice Requires="x15">
      <x15ac:absPath xmlns:x15ac="http://schemas.microsoft.com/office/spreadsheetml/2010/11/ac" url="L:\CCONF\GENOC\04. Ementário NR\Publicações Site\Ementário das NR-2019\"/>
    </mc:Choice>
  </mc:AlternateContent>
  <xr:revisionPtr revIDLastSave="0" documentId="13_ncr:1_{E959F73D-B52D-48A3-BD60-17A3EC98467A}" xr6:coauthVersionLast="28" xr6:coauthVersionMax="28" xr10:uidLastSave="{00000000-0000-0000-0000-000000000000}"/>
  <bookViews>
    <workbookView xWindow="0" yWindow="0" windowWidth="24000" windowHeight="9735" activeTab="2" xr2:uid="{00000000-000D-0000-FFFF-FFFF00000000}"/>
  </bookViews>
  <sheets>
    <sheet name="NovoER-2019" sheetId="19" r:id="rId1"/>
    <sheet name="Nr 8_4º Díg" sheetId="28" r:id="rId2"/>
    <sheet name="Alter_Vrs2019" sheetId="27" r:id="rId3"/>
    <sheet name="NovoER_SET-2017_PortAte_12-2017" sheetId="3" r:id="rId4"/>
    <sheet name="De-Para_AntigoER-NovoER-SET-17" sheetId="22" r:id="rId5"/>
    <sheet name="EmentárioAntigo_Antesde2017" sheetId="1" r:id="rId6"/>
    <sheet name="PortariaSTNnr390-2018" sheetId="15" r:id="rId7"/>
  </sheets>
  <definedNames>
    <definedName name="_xlnm._FilterDatabase" localSheetId="2" hidden="1">Alter_Vrs2019!$B$2:$K$2</definedName>
    <definedName name="_xlnm._FilterDatabase" localSheetId="4" hidden="1">'De-Para_AntigoER-NovoER-SET-17'!$B$2:$F$1423</definedName>
    <definedName name="_xlnm._FilterDatabase" localSheetId="5" hidden="1">EmentárioAntigo_Antesde2017!$A$1:$M$1423</definedName>
    <definedName name="_xlnm._FilterDatabase" localSheetId="3" hidden="1">'NovoER_SET-2017_PortAte_12-2017'!$B$2:$P$1649</definedName>
    <definedName name="_xlnm._FilterDatabase" localSheetId="0" hidden="1">'NovoER-2019'!$B$2:$P$960</definedName>
    <definedName name="_xlnm._FilterDatabase" localSheetId="1" hidden="1">'Nr 8_4º Díg'!$B$2:$P$960</definedName>
    <definedName name="_xlnm.Print_Area" localSheetId="4">'De-Para_AntigoER-NovoER-SET-17'!$A$1:$F$1421</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60" i="28" l="1"/>
  <c r="G960" i="28"/>
  <c r="F960" i="28"/>
  <c r="E960" i="28"/>
  <c r="D960" i="28"/>
  <c r="C960" i="28"/>
  <c r="B960" i="28"/>
  <c r="H959" i="28"/>
  <c r="G959" i="28"/>
  <c r="F959" i="28"/>
  <c r="E959" i="28"/>
  <c r="D959" i="28"/>
  <c r="C959" i="28"/>
  <c r="B959" i="28"/>
  <c r="H958" i="28"/>
  <c r="G958" i="28"/>
  <c r="F958" i="28"/>
  <c r="E958" i="28"/>
  <c r="D958" i="28"/>
  <c r="C958" i="28"/>
  <c r="B958" i="28"/>
  <c r="H957" i="28"/>
  <c r="G957" i="28"/>
  <c r="F957" i="28"/>
  <c r="E957" i="28"/>
  <c r="D957" i="28"/>
  <c r="C957" i="28"/>
  <c r="B957" i="28"/>
  <c r="H956" i="28"/>
  <c r="G956" i="28"/>
  <c r="F956" i="28"/>
  <c r="E956" i="28"/>
  <c r="D956" i="28"/>
  <c r="C956" i="28"/>
  <c r="B956" i="28"/>
  <c r="H955" i="28"/>
  <c r="G955" i="28"/>
  <c r="F955" i="28"/>
  <c r="E955" i="28"/>
  <c r="D955" i="28"/>
  <c r="C955" i="28"/>
  <c r="B955" i="28"/>
  <c r="H954" i="28"/>
  <c r="G954" i="28"/>
  <c r="F954" i="28"/>
  <c r="E954" i="28"/>
  <c r="D954" i="28"/>
  <c r="C954" i="28"/>
  <c r="B954" i="28"/>
  <c r="H953" i="28"/>
  <c r="G953" i="28"/>
  <c r="F953" i="28"/>
  <c r="E953" i="28"/>
  <c r="D953" i="28"/>
  <c r="C953" i="28"/>
  <c r="B953" i="28"/>
  <c r="H952" i="28"/>
  <c r="G952" i="28"/>
  <c r="F952" i="28"/>
  <c r="E952" i="28"/>
  <c r="D952" i="28"/>
  <c r="C952" i="28"/>
  <c r="B952" i="28"/>
  <c r="H951" i="28"/>
  <c r="G951" i="28"/>
  <c r="F951" i="28"/>
  <c r="E951" i="28"/>
  <c r="D951" i="28"/>
  <c r="C951" i="28"/>
  <c r="B951" i="28"/>
  <c r="H950" i="28"/>
  <c r="G950" i="28"/>
  <c r="F950" i="28"/>
  <c r="E950" i="28"/>
  <c r="D950" i="28"/>
  <c r="C950" i="28"/>
  <c r="B950" i="28"/>
  <c r="H949" i="28"/>
  <c r="G949" i="28"/>
  <c r="F949" i="28"/>
  <c r="E949" i="28"/>
  <c r="D949" i="28"/>
  <c r="C949" i="28"/>
  <c r="B949" i="28"/>
  <c r="H948" i="28"/>
  <c r="G948" i="28"/>
  <c r="F948" i="28"/>
  <c r="E948" i="28"/>
  <c r="D948" i="28"/>
  <c r="C948" i="28"/>
  <c r="B948" i="28"/>
  <c r="H947" i="28"/>
  <c r="G947" i="28"/>
  <c r="F947" i="28"/>
  <c r="E947" i="28"/>
  <c r="D947" i="28"/>
  <c r="C947" i="28"/>
  <c r="B947" i="28"/>
  <c r="H946" i="28"/>
  <c r="G946" i="28"/>
  <c r="F946" i="28"/>
  <c r="E946" i="28"/>
  <c r="D946" i="28"/>
  <c r="C946" i="28"/>
  <c r="B946" i="28"/>
  <c r="H945" i="28"/>
  <c r="G945" i="28"/>
  <c r="F945" i="28"/>
  <c r="E945" i="28"/>
  <c r="D945" i="28"/>
  <c r="C945" i="28"/>
  <c r="B945" i="28"/>
  <c r="H944" i="28"/>
  <c r="G944" i="28"/>
  <c r="F944" i="28"/>
  <c r="E944" i="28"/>
  <c r="D944" i="28"/>
  <c r="C944" i="28"/>
  <c r="B944" i="28"/>
  <c r="H943" i="28"/>
  <c r="G943" i="28"/>
  <c r="F943" i="28"/>
  <c r="E943" i="28"/>
  <c r="D943" i="28"/>
  <c r="C943" i="28"/>
  <c r="B943" i="28"/>
  <c r="H942" i="28"/>
  <c r="G942" i="28"/>
  <c r="F942" i="28"/>
  <c r="E942" i="28"/>
  <c r="D942" i="28"/>
  <c r="C942" i="28"/>
  <c r="B942" i="28"/>
  <c r="H941" i="28"/>
  <c r="G941" i="28"/>
  <c r="F941" i="28"/>
  <c r="E941" i="28"/>
  <c r="D941" i="28"/>
  <c r="C941" i="28"/>
  <c r="B941" i="28"/>
  <c r="H940" i="28"/>
  <c r="G940" i="28"/>
  <c r="F940" i="28"/>
  <c r="E940" i="28"/>
  <c r="D940" i="28"/>
  <c r="C940" i="28"/>
  <c r="B940" i="28"/>
  <c r="H939" i="28"/>
  <c r="G939" i="28"/>
  <c r="F939" i="28"/>
  <c r="E939" i="28"/>
  <c r="D939" i="28"/>
  <c r="C939" i="28"/>
  <c r="B939" i="28"/>
  <c r="H938" i="28"/>
  <c r="G938" i="28"/>
  <c r="F938" i="28"/>
  <c r="E938" i="28"/>
  <c r="D938" i="28"/>
  <c r="C938" i="28"/>
  <c r="B938" i="28"/>
  <c r="H937" i="28"/>
  <c r="G937" i="28"/>
  <c r="F937" i="28"/>
  <c r="E937" i="28"/>
  <c r="D937" i="28"/>
  <c r="C937" i="28"/>
  <c r="B937" i="28"/>
  <c r="H936" i="28"/>
  <c r="G936" i="28"/>
  <c r="F936" i="28"/>
  <c r="E936" i="28"/>
  <c r="D936" i="28"/>
  <c r="C936" i="28"/>
  <c r="B936" i="28"/>
  <c r="H935" i="28"/>
  <c r="G935" i="28"/>
  <c r="F935" i="28"/>
  <c r="E935" i="28"/>
  <c r="D935" i="28"/>
  <c r="C935" i="28"/>
  <c r="B935" i="28"/>
  <c r="H934" i="28"/>
  <c r="G934" i="28"/>
  <c r="F934" i="28"/>
  <c r="E934" i="28"/>
  <c r="D934" i="28"/>
  <c r="C934" i="28"/>
  <c r="B934" i="28"/>
  <c r="H933" i="28"/>
  <c r="G933" i="28"/>
  <c r="F933" i="28"/>
  <c r="E933" i="28"/>
  <c r="D933" i="28"/>
  <c r="C933" i="28"/>
  <c r="B933" i="28"/>
  <c r="H932" i="28"/>
  <c r="G932" i="28"/>
  <c r="F932" i="28"/>
  <c r="E932" i="28"/>
  <c r="D932" i="28"/>
  <c r="C932" i="28"/>
  <c r="B932" i="28"/>
  <c r="H931" i="28"/>
  <c r="G931" i="28"/>
  <c r="F931" i="28"/>
  <c r="E931" i="28"/>
  <c r="D931" i="28"/>
  <c r="C931" i="28"/>
  <c r="B931" i="28"/>
  <c r="H930" i="28"/>
  <c r="G930" i="28"/>
  <c r="F930" i="28"/>
  <c r="E930" i="28"/>
  <c r="D930" i="28"/>
  <c r="C930" i="28"/>
  <c r="B930" i="28"/>
  <c r="H929" i="28"/>
  <c r="G929" i="28"/>
  <c r="F929" i="28"/>
  <c r="E929" i="28"/>
  <c r="D929" i="28"/>
  <c r="C929" i="28"/>
  <c r="B929" i="28"/>
  <c r="H928" i="28"/>
  <c r="G928" i="28"/>
  <c r="F928" i="28"/>
  <c r="E928" i="28"/>
  <c r="D928" i="28"/>
  <c r="C928" i="28"/>
  <c r="B928" i="28"/>
  <c r="H927" i="28"/>
  <c r="G927" i="28"/>
  <c r="F927" i="28"/>
  <c r="E927" i="28"/>
  <c r="D927" i="28"/>
  <c r="C927" i="28"/>
  <c r="B927" i="28"/>
  <c r="H926" i="28"/>
  <c r="G926" i="28"/>
  <c r="F926" i="28"/>
  <c r="E926" i="28"/>
  <c r="D926" i="28"/>
  <c r="C926" i="28"/>
  <c r="B926" i="28"/>
  <c r="H925" i="28"/>
  <c r="G925" i="28"/>
  <c r="F925" i="28"/>
  <c r="E925" i="28"/>
  <c r="D925" i="28"/>
  <c r="C925" i="28"/>
  <c r="B925" i="28"/>
  <c r="H924" i="28"/>
  <c r="G924" i="28"/>
  <c r="F924" i="28"/>
  <c r="E924" i="28"/>
  <c r="D924" i="28"/>
  <c r="C924" i="28"/>
  <c r="B924" i="28"/>
  <c r="H923" i="28"/>
  <c r="G923" i="28"/>
  <c r="F923" i="28"/>
  <c r="E923" i="28"/>
  <c r="D923" i="28"/>
  <c r="C923" i="28"/>
  <c r="B923" i="28"/>
  <c r="H922" i="28"/>
  <c r="G922" i="28"/>
  <c r="F922" i="28"/>
  <c r="E922" i="28"/>
  <c r="D922" i="28"/>
  <c r="C922" i="28"/>
  <c r="B922" i="28"/>
  <c r="H921" i="28"/>
  <c r="G921" i="28"/>
  <c r="F921" i="28"/>
  <c r="E921" i="28"/>
  <c r="D921" i="28"/>
  <c r="C921" i="28"/>
  <c r="B921" i="28"/>
  <c r="H920" i="28"/>
  <c r="G920" i="28"/>
  <c r="F920" i="28"/>
  <c r="E920" i="28"/>
  <c r="D920" i="28"/>
  <c r="C920" i="28"/>
  <c r="B920" i="28"/>
  <c r="H919" i="28"/>
  <c r="G919" i="28"/>
  <c r="F919" i="28"/>
  <c r="E919" i="28"/>
  <c r="D919" i="28"/>
  <c r="C919" i="28"/>
  <c r="B919" i="28"/>
  <c r="H918" i="28"/>
  <c r="G918" i="28"/>
  <c r="F918" i="28"/>
  <c r="E918" i="28"/>
  <c r="D918" i="28"/>
  <c r="C918" i="28"/>
  <c r="B918" i="28"/>
  <c r="H917" i="28"/>
  <c r="G917" i="28"/>
  <c r="F917" i="28"/>
  <c r="E917" i="28"/>
  <c r="D917" i="28"/>
  <c r="C917" i="28"/>
  <c r="B917" i="28"/>
  <c r="H916" i="28"/>
  <c r="G916" i="28"/>
  <c r="F916" i="28"/>
  <c r="E916" i="28"/>
  <c r="D916" i="28"/>
  <c r="C916" i="28"/>
  <c r="B916" i="28"/>
  <c r="H915" i="28"/>
  <c r="G915" i="28"/>
  <c r="F915" i="28"/>
  <c r="E915" i="28"/>
  <c r="D915" i="28"/>
  <c r="C915" i="28"/>
  <c r="B915" i="28"/>
  <c r="H914" i="28"/>
  <c r="G914" i="28"/>
  <c r="F914" i="28"/>
  <c r="E914" i="28"/>
  <c r="D914" i="28"/>
  <c r="C914" i="28"/>
  <c r="B914" i="28"/>
  <c r="H913" i="28"/>
  <c r="G913" i="28"/>
  <c r="F913" i="28"/>
  <c r="E913" i="28"/>
  <c r="D913" i="28"/>
  <c r="C913" i="28"/>
  <c r="B913" i="28"/>
  <c r="H912" i="28"/>
  <c r="G912" i="28"/>
  <c r="F912" i="28"/>
  <c r="E912" i="28"/>
  <c r="D912" i="28"/>
  <c r="C912" i="28"/>
  <c r="B912" i="28"/>
  <c r="H911" i="28"/>
  <c r="G911" i="28"/>
  <c r="F911" i="28"/>
  <c r="E911" i="28"/>
  <c r="D911" i="28"/>
  <c r="C911" i="28"/>
  <c r="B911" i="28"/>
  <c r="H910" i="28"/>
  <c r="G910" i="28"/>
  <c r="F910" i="28"/>
  <c r="E910" i="28"/>
  <c r="D910" i="28"/>
  <c r="C910" i="28"/>
  <c r="B910" i="28"/>
  <c r="H909" i="28"/>
  <c r="G909" i="28"/>
  <c r="F909" i="28"/>
  <c r="E909" i="28"/>
  <c r="D909" i="28"/>
  <c r="C909" i="28"/>
  <c r="B909" i="28"/>
  <c r="H908" i="28"/>
  <c r="G908" i="28"/>
  <c r="F908" i="28"/>
  <c r="E908" i="28"/>
  <c r="D908" i="28"/>
  <c r="C908" i="28"/>
  <c r="B908" i="28"/>
  <c r="H907" i="28"/>
  <c r="G907" i="28"/>
  <c r="F907" i="28"/>
  <c r="E907" i="28"/>
  <c r="D907" i="28"/>
  <c r="C907" i="28"/>
  <c r="B907" i="28"/>
  <c r="H906" i="28"/>
  <c r="G906" i="28"/>
  <c r="F906" i="28"/>
  <c r="E906" i="28"/>
  <c r="D906" i="28"/>
  <c r="C906" i="28"/>
  <c r="B906" i="28"/>
  <c r="H905" i="28"/>
  <c r="G905" i="28"/>
  <c r="F905" i="28"/>
  <c r="E905" i="28"/>
  <c r="D905" i="28"/>
  <c r="C905" i="28"/>
  <c r="B905" i="28"/>
  <c r="H904" i="28"/>
  <c r="G904" i="28"/>
  <c r="F904" i="28"/>
  <c r="E904" i="28"/>
  <c r="D904" i="28"/>
  <c r="C904" i="28"/>
  <c r="B904" i="28"/>
  <c r="H903" i="28"/>
  <c r="G903" i="28"/>
  <c r="F903" i="28"/>
  <c r="E903" i="28"/>
  <c r="D903" i="28"/>
  <c r="C903" i="28"/>
  <c r="B903" i="28"/>
  <c r="H902" i="28"/>
  <c r="G902" i="28"/>
  <c r="F902" i="28"/>
  <c r="E902" i="28"/>
  <c r="D902" i="28"/>
  <c r="C902" i="28"/>
  <c r="B902" i="28"/>
  <c r="H901" i="28"/>
  <c r="G901" i="28"/>
  <c r="F901" i="28"/>
  <c r="E901" i="28"/>
  <c r="D901" i="28"/>
  <c r="C901" i="28"/>
  <c r="B901" i="28"/>
  <c r="H900" i="28"/>
  <c r="G900" i="28"/>
  <c r="F900" i="28"/>
  <c r="E900" i="28"/>
  <c r="D900" i="28"/>
  <c r="C900" i="28"/>
  <c r="B900" i="28"/>
  <c r="H899" i="28"/>
  <c r="G899" i="28"/>
  <c r="F899" i="28"/>
  <c r="E899" i="28"/>
  <c r="D899" i="28"/>
  <c r="C899" i="28"/>
  <c r="B899" i="28"/>
  <c r="H898" i="28"/>
  <c r="G898" i="28"/>
  <c r="F898" i="28"/>
  <c r="E898" i="28"/>
  <c r="D898" i="28"/>
  <c r="C898" i="28"/>
  <c r="B898" i="28"/>
  <c r="H897" i="28"/>
  <c r="G897" i="28"/>
  <c r="F897" i="28"/>
  <c r="E897" i="28"/>
  <c r="D897" i="28"/>
  <c r="C897" i="28"/>
  <c r="B897" i="28"/>
  <c r="H896" i="28"/>
  <c r="G896" i="28"/>
  <c r="F896" i="28"/>
  <c r="E896" i="28"/>
  <c r="D896" i="28"/>
  <c r="C896" i="28"/>
  <c r="B896" i="28"/>
  <c r="H895" i="28"/>
  <c r="G895" i="28"/>
  <c r="F895" i="28"/>
  <c r="E895" i="28"/>
  <c r="D895" i="28"/>
  <c r="C895" i="28"/>
  <c r="B895" i="28"/>
  <c r="H894" i="28"/>
  <c r="G894" i="28"/>
  <c r="F894" i="28"/>
  <c r="E894" i="28"/>
  <c r="D894" i="28"/>
  <c r="C894" i="28"/>
  <c r="B894" i="28"/>
  <c r="H893" i="28"/>
  <c r="G893" i="28"/>
  <c r="F893" i="28"/>
  <c r="E893" i="28"/>
  <c r="D893" i="28"/>
  <c r="C893" i="28"/>
  <c r="B893" i="28"/>
  <c r="H892" i="28"/>
  <c r="G892" i="28"/>
  <c r="F892" i="28"/>
  <c r="E892" i="28"/>
  <c r="D892" i="28"/>
  <c r="C892" i="28"/>
  <c r="B892" i="28"/>
  <c r="H891" i="28"/>
  <c r="G891" i="28"/>
  <c r="F891" i="28"/>
  <c r="E891" i="28"/>
  <c r="D891" i="28"/>
  <c r="C891" i="28"/>
  <c r="B891" i="28"/>
  <c r="H890" i="28"/>
  <c r="G890" i="28"/>
  <c r="F890" i="28"/>
  <c r="E890" i="28"/>
  <c r="D890" i="28"/>
  <c r="C890" i="28"/>
  <c r="B890" i="28"/>
  <c r="H889" i="28"/>
  <c r="G889" i="28"/>
  <c r="F889" i="28"/>
  <c r="E889" i="28"/>
  <c r="D889" i="28"/>
  <c r="C889" i="28"/>
  <c r="B889" i="28"/>
  <c r="H888" i="28"/>
  <c r="G888" i="28"/>
  <c r="F888" i="28"/>
  <c r="E888" i="28"/>
  <c r="D888" i="28"/>
  <c r="C888" i="28"/>
  <c r="B888" i="28"/>
  <c r="H887" i="28"/>
  <c r="G887" i="28"/>
  <c r="F887" i="28"/>
  <c r="E887" i="28"/>
  <c r="D887" i="28"/>
  <c r="C887" i="28"/>
  <c r="B887" i="28"/>
  <c r="H886" i="28"/>
  <c r="G886" i="28"/>
  <c r="F886" i="28"/>
  <c r="E886" i="28"/>
  <c r="D886" i="28"/>
  <c r="C886" i="28"/>
  <c r="B886" i="28"/>
  <c r="H885" i="28"/>
  <c r="G885" i="28"/>
  <c r="F885" i="28"/>
  <c r="E885" i="28"/>
  <c r="D885" i="28"/>
  <c r="C885" i="28"/>
  <c r="B885" i="28"/>
  <c r="H884" i="28"/>
  <c r="G884" i="28"/>
  <c r="F884" i="28"/>
  <c r="E884" i="28"/>
  <c r="D884" i="28"/>
  <c r="C884" i="28"/>
  <c r="B884" i="28"/>
  <c r="H883" i="28"/>
  <c r="G883" i="28"/>
  <c r="F883" i="28"/>
  <c r="E883" i="28"/>
  <c r="D883" i="28"/>
  <c r="C883" i="28"/>
  <c r="B883" i="28"/>
  <c r="H882" i="28"/>
  <c r="G882" i="28"/>
  <c r="F882" i="28"/>
  <c r="E882" i="28"/>
  <c r="D882" i="28"/>
  <c r="C882" i="28"/>
  <c r="B882" i="28"/>
  <c r="H881" i="28"/>
  <c r="G881" i="28"/>
  <c r="F881" i="28"/>
  <c r="E881" i="28"/>
  <c r="D881" i="28"/>
  <c r="C881" i="28"/>
  <c r="B881" i="28"/>
  <c r="H880" i="28"/>
  <c r="G880" i="28"/>
  <c r="F880" i="28"/>
  <c r="E880" i="28"/>
  <c r="D880" i="28"/>
  <c r="C880" i="28"/>
  <c r="B880" i="28"/>
  <c r="H879" i="28"/>
  <c r="G879" i="28"/>
  <c r="F879" i="28"/>
  <c r="E879" i="28"/>
  <c r="D879" i="28"/>
  <c r="C879" i="28"/>
  <c r="B879" i="28"/>
  <c r="H878" i="28"/>
  <c r="G878" i="28"/>
  <c r="F878" i="28"/>
  <c r="E878" i="28"/>
  <c r="D878" i="28"/>
  <c r="C878" i="28"/>
  <c r="B878" i="28"/>
  <c r="H877" i="28"/>
  <c r="G877" i="28"/>
  <c r="F877" i="28"/>
  <c r="E877" i="28"/>
  <c r="D877" i="28"/>
  <c r="C877" i="28"/>
  <c r="B877" i="28"/>
  <c r="H876" i="28"/>
  <c r="G876" i="28"/>
  <c r="F876" i="28"/>
  <c r="E876" i="28"/>
  <c r="D876" i="28"/>
  <c r="C876" i="28"/>
  <c r="B876" i="28"/>
  <c r="H875" i="28"/>
  <c r="G875" i="28"/>
  <c r="F875" i="28"/>
  <c r="E875" i="28"/>
  <c r="D875" i="28"/>
  <c r="C875" i="28"/>
  <c r="B875" i="28"/>
  <c r="H874" i="28"/>
  <c r="G874" i="28"/>
  <c r="F874" i="28"/>
  <c r="E874" i="28"/>
  <c r="D874" i="28"/>
  <c r="C874" i="28"/>
  <c r="B874" i="28"/>
  <c r="H873" i="28"/>
  <c r="G873" i="28"/>
  <c r="F873" i="28"/>
  <c r="E873" i="28"/>
  <c r="D873" i="28"/>
  <c r="C873" i="28"/>
  <c r="B873" i="28"/>
  <c r="H872" i="28"/>
  <c r="G872" i="28"/>
  <c r="F872" i="28"/>
  <c r="E872" i="28"/>
  <c r="D872" i="28"/>
  <c r="C872" i="28"/>
  <c r="B872" i="28"/>
  <c r="H871" i="28"/>
  <c r="G871" i="28"/>
  <c r="F871" i="28"/>
  <c r="E871" i="28"/>
  <c r="D871" i="28"/>
  <c r="C871" i="28"/>
  <c r="B871" i="28"/>
  <c r="H870" i="28"/>
  <c r="G870" i="28"/>
  <c r="F870" i="28"/>
  <c r="E870" i="28"/>
  <c r="D870" i="28"/>
  <c r="C870" i="28"/>
  <c r="B870" i="28"/>
  <c r="H869" i="28"/>
  <c r="G869" i="28"/>
  <c r="F869" i="28"/>
  <c r="E869" i="28"/>
  <c r="D869" i="28"/>
  <c r="C869" i="28"/>
  <c r="B869" i="28"/>
  <c r="H868" i="28"/>
  <c r="G868" i="28"/>
  <c r="F868" i="28"/>
  <c r="E868" i="28"/>
  <c r="D868" i="28"/>
  <c r="C868" i="28"/>
  <c r="B868" i="28"/>
  <c r="H867" i="28"/>
  <c r="G867" i="28"/>
  <c r="F867" i="28"/>
  <c r="E867" i="28"/>
  <c r="D867" i="28"/>
  <c r="C867" i="28"/>
  <c r="B867" i="28"/>
  <c r="H866" i="28"/>
  <c r="G866" i="28"/>
  <c r="F866" i="28"/>
  <c r="E866" i="28"/>
  <c r="D866" i="28"/>
  <c r="C866" i="28"/>
  <c r="B866" i="28"/>
  <c r="H865" i="28"/>
  <c r="G865" i="28"/>
  <c r="F865" i="28"/>
  <c r="E865" i="28"/>
  <c r="D865" i="28"/>
  <c r="C865" i="28"/>
  <c r="B865" i="28"/>
  <c r="H864" i="28"/>
  <c r="G864" i="28"/>
  <c r="F864" i="28"/>
  <c r="E864" i="28"/>
  <c r="D864" i="28"/>
  <c r="C864" i="28"/>
  <c r="B864" i="28"/>
  <c r="H863" i="28"/>
  <c r="G863" i="28"/>
  <c r="F863" i="28"/>
  <c r="E863" i="28"/>
  <c r="D863" i="28"/>
  <c r="C863" i="28"/>
  <c r="B863" i="28"/>
  <c r="H862" i="28"/>
  <c r="G862" i="28"/>
  <c r="F862" i="28"/>
  <c r="E862" i="28"/>
  <c r="D862" i="28"/>
  <c r="C862" i="28"/>
  <c r="B862" i="28"/>
  <c r="H861" i="28"/>
  <c r="G861" i="28"/>
  <c r="F861" i="28"/>
  <c r="E861" i="28"/>
  <c r="D861" i="28"/>
  <c r="C861" i="28"/>
  <c r="B861" i="28"/>
  <c r="H860" i="28"/>
  <c r="G860" i="28"/>
  <c r="F860" i="28"/>
  <c r="E860" i="28"/>
  <c r="D860" i="28"/>
  <c r="C860" i="28"/>
  <c r="B860" i="28"/>
  <c r="H859" i="28"/>
  <c r="G859" i="28"/>
  <c r="F859" i="28"/>
  <c r="E859" i="28"/>
  <c r="D859" i="28"/>
  <c r="C859" i="28"/>
  <c r="B859" i="28"/>
  <c r="H858" i="28"/>
  <c r="G858" i="28"/>
  <c r="F858" i="28"/>
  <c r="E858" i="28"/>
  <c r="D858" i="28"/>
  <c r="C858" i="28"/>
  <c r="B858" i="28"/>
  <c r="H857" i="28"/>
  <c r="G857" i="28"/>
  <c r="F857" i="28"/>
  <c r="E857" i="28"/>
  <c r="D857" i="28"/>
  <c r="C857" i="28"/>
  <c r="B857" i="28"/>
  <c r="H856" i="28"/>
  <c r="G856" i="28"/>
  <c r="F856" i="28"/>
  <c r="E856" i="28"/>
  <c r="D856" i="28"/>
  <c r="C856" i="28"/>
  <c r="B856" i="28"/>
  <c r="H855" i="28"/>
  <c r="G855" i="28"/>
  <c r="F855" i="28"/>
  <c r="E855" i="28"/>
  <c r="D855" i="28"/>
  <c r="C855" i="28"/>
  <c r="B855" i="28"/>
  <c r="H854" i="28"/>
  <c r="G854" i="28"/>
  <c r="F854" i="28"/>
  <c r="E854" i="28"/>
  <c r="D854" i="28"/>
  <c r="C854" i="28"/>
  <c r="B854" i="28"/>
  <c r="H853" i="28"/>
  <c r="G853" i="28"/>
  <c r="F853" i="28"/>
  <c r="E853" i="28"/>
  <c r="D853" i="28"/>
  <c r="C853" i="28"/>
  <c r="B853" i="28"/>
  <c r="H852" i="28"/>
  <c r="G852" i="28"/>
  <c r="F852" i="28"/>
  <c r="E852" i="28"/>
  <c r="D852" i="28"/>
  <c r="C852" i="28"/>
  <c r="B852" i="28"/>
  <c r="H851" i="28"/>
  <c r="G851" i="28"/>
  <c r="F851" i="28"/>
  <c r="E851" i="28"/>
  <c r="D851" i="28"/>
  <c r="C851" i="28"/>
  <c r="B851" i="28"/>
  <c r="H850" i="28"/>
  <c r="G850" i="28"/>
  <c r="F850" i="28"/>
  <c r="E850" i="28"/>
  <c r="D850" i="28"/>
  <c r="C850" i="28"/>
  <c r="B850" i="28"/>
  <c r="H849" i="28"/>
  <c r="G849" i="28"/>
  <c r="F849" i="28"/>
  <c r="E849" i="28"/>
  <c r="D849" i="28"/>
  <c r="C849" i="28"/>
  <c r="B849" i="28"/>
  <c r="H848" i="28"/>
  <c r="G848" i="28"/>
  <c r="F848" i="28"/>
  <c r="E848" i="28"/>
  <c r="D848" i="28"/>
  <c r="C848" i="28"/>
  <c r="B848" i="28"/>
  <c r="H847" i="28"/>
  <c r="G847" i="28"/>
  <c r="F847" i="28"/>
  <c r="E847" i="28"/>
  <c r="D847" i="28"/>
  <c r="C847" i="28"/>
  <c r="B847" i="28"/>
  <c r="H846" i="28"/>
  <c r="G846" i="28"/>
  <c r="F846" i="28"/>
  <c r="E846" i="28"/>
  <c r="D846" i="28"/>
  <c r="C846" i="28"/>
  <c r="B846" i="28"/>
  <c r="H845" i="28"/>
  <c r="G845" i="28"/>
  <c r="F845" i="28"/>
  <c r="E845" i="28"/>
  <c r="D845" i="28"/>
  <c r="C845" i="28"/>
  <c r="B845" i="28"/>
  <c r="H844" i="28"/>
  <c r="G844" i="28"/>
  <c r="F844" i="28"/>
  <c r="E844" i="28"/>
  <c r="D844" i="28"/>
  <c r="C844" i="28"/>
  <c r="B844" i="28"/>
  <c r="H843" i="28"/>
  <c r="G843" i="28"/>
  <c r="F843" i="28"/>
  <c r="E843" i="28"/>
  <c r="D843" i="28"/>
  <c r="C843" i="28"/>
  <c r="B843" i="28"/>
  <c r="H842" i="28"/>
  <c r="G842" i="28"/>
  <c r="F842" i="28"/>
  <c r="E842" i="28"/>
  <c r="D842" i="28"/>
  <c r="C842" i="28"/>
  <c r="B842" i="28"/>
  <c r="H841" i="28"/>
  <c r="G841" i="28"/>
  <c r="F841" i="28"/>
  <c r="E841" i="28"/>
  <c r="D841" i="28"/>
  <c r="C841" i="28"/>
  <c r="B841" i="28"/>
  <c r="H840" i="28"/>
  <c r="G840" i="28"/>
  <c r="F840" i="28"/>
  <c r="E840" i="28"/>
  <c r="D840" i="28"/>
  <c r="C840" i="28"/>
  <c r="B840" i="28"/>
  <c r="H839" i="28"/>
  <c r="G839" i="28"/>
  <c r="F839" i="28"/>
  <c r="E839" i="28"/>
  <c r="D839" i="28"/>
  <c r="C839" i="28"/>
  <c r="B839" i="28"/>
  <c r="H838" i="28"/>
  <c r="G838" i="28"/>
  <c r="F838" i="28"/>
  <c r="E838" i="28"/>
  <c r="D838" i="28"/>
  <c r="C838" i="28"/>
  <c r="B838" i="28"/>
  <c r="H837" i="28"/>
  <c r="G837" i="28"/>
  <c r="F837" i="28"/>
  <c r="E837" i="28"/>
  <c r="D837" i="28"/>
  <c r="C837" i="28"/>
  <c r="B837" i="28"/>
  <c r="H836" i="28"/>
  <c r="G836" i="28"/>
  <c r="F836" i="28"/>
  <c r="E836" i="28"/>
  <c r="D836" i="28"/>
  <c r="C836" i="28"/>
  <c r="B836" i="28"/>
  <c r="H835" i="28"/>
  <c r="G835" i="28"/>
  <c r="F835" i="28"/>
  <c r="E835" i="28"/>
  <c r="D835" i="28"/>
  <c r="C835" i="28"/>
  <c r="B835" i="28"/>
  <c r="H834" i="28"/>
  <c r="G834" i="28"/>
  <c r="F834" i="28"/>
  <c r="E834" i="28"/>
  <c r="D834" i="28"/>
  <c r="C834" i="28"/>
  <c r="B834" i="28"/>
  <c r="H833" i="28"/>
  <c r="G833" i="28"/>
  <c r="F833" i="28"/>
  <c r="E833" i="28"/>
  <c r="D833" i="28"/>
  <c r="C833" i="28"/>
  <c r="B833" i="28"/>
  <c r="H832" i="28"/>
  <c r="G832" i="28"/>
  <c r="F832" i="28"/>
  <c r="E832" i="28"/>
  <c r="D832" i="28"/>
  <c r="C832" i="28"/>
  <c r="B832" i="28"/>
  <c r="H831" i="28"/>
  <c r="G831" i="28"/>
  <c r="F831" i="28"/>
  <c r="E831" i="28"/>
  <c r="D831" i="28"/>
  <c r="C831" i="28"/>
  <c r="B831" i="28"/>
  <c r="H830" i="28"/>
  <c r="G830" i="28"/>
  <c r="F830" i="28"/>
  <c r="E830" i="28"/>
  <c r="D830" i="28"/>
  <c r="C830" i="28"/>
  <c r="B830" i="28"/>
  <c r="H829" i="28"/>
  <c r="G829" i="28"/>
  <c r="F829" i="28"/>
  <c r="E829" i="28"/>
  <c r="D829" i="28"/>
  <c r="C829" i="28"/>
  <c r="B829" i="28"/>
  <c r="H828" i="28"/>
  <c r="G828" i="28"/>
  <c r="F828" i="28"/>
  <c r="E828" i="28"/>
  <c r="D828" i="28"/>
  <c r="C828" i="28"/>
  <c r="B828" i="28"/>
  <c r="H827" i="28"/>
  <c r="G827" i="28"/>
  <c r="F827" i="28"/>
  <c r="E827" i="28"/>
  <c r="D827" i="28"/>
  <c r="C827" i="28"/>
  <c r="B827" i="28"/>
  <c r="H826" i="28"/>
  <c r="G826" i="28"/>
  <c r="F826" i="28"/>
  <c r="E826" i="28"/>
  <c r="D826" i="28"/>
  <c r="C826" i="28"/>
  <c r="B826" i="28"/>
  <c r="H825" i="28"/>
  <c r="G825" i="28"/>
  <c r="F825" i="28"/>
  <c r="E825" i="28"/>
  <c r="D825" i="28"/>
  <c r="C825" i="28"/>
  <c r="B825" i="28"/>
  <c r="H824" i="28"/>
  <c r="G824" i="28"/>
  <c r="F824" i="28"/>
  <c r="E824" i="28"/>
  <c r="D824" i="28"/>
  <c r="C824" i="28"/>
  <c r="B824" i="28"/>
  <c r="H823" i="28"/>
  <c r="G823" i="28"/>
  <c r="F823" i="28"/>
  <c r="E823" i="28"/>
  <c r="D823" i="28"/>
  <c r="C823" i="28"/>
  <c r="B823" i="28"/>
  <c r="H822" i="28"/>
  <c r="G822" i="28"/>
  <c r="F822" i="28"/>
  <c r="E822" i="28"/>
  <c r="D822" i="28"/>
  <c r="C822" i="28"/>
  <c r="B822" i="28"/>
  <c r="H821" i="28"/>
  <c r="G821" i="28"/>
  <c r="F821" i="28"/>
  <c r="E821" i="28"/>
  <c r="D821" i="28"/>
  <c r="C821" i="28"/>
  <c r="B821" i="28"/>
  <c r="H820" i="28"/>
  <c r="G820" i="28"/>
  <c r="F820" i="28"/>
  <c r="E820" i="28"/>
  <c r="D820" i="28"/>
  <c r="C820" i="28"/>
  <c r="B820" i="28"/>
  <c r="H819" i="28"/>
  <c r="G819" i="28"/>
  <c r="F819" i="28"/>
  <c r="E819" i="28"/>
  <c r="D819" i="28"/>
  <c r="C819" i="28"/>
  <c r="B819" i="28"/>
  <c r="H818" i="28"/>
  <c r="G818" i="28"/>
  <c r="F818" i="28"/>
  <c r="E818" i="28"/>
  <c r="D818" i="28"/>
  <c r="C818" i="28"/>
  <c r="B818" i="28"/>
  <c r="H817" i="28"/>
  <c r="G817" i="28"/>
  <c r="F817" i="28"/>
  <c r="E817" i="28"/>
  <c r="D817" i="28"/>
  <c r="C817" i="28"/>
  <c r="B817" i="28"/>
  <c r="H816" i="28"/>
  <c r="G816" i="28"/>
  <c r="F816" i="28"/>
  <c r="E816" i="28"/>
  <c r="D816" i="28"/>
  <c r="C816" i="28"/>
  <c r="B816" i="28"/>
  <c r="H815" i="28"/>
  <c r="G815" i="28"/>
  <c r="F815" i="28"/>
  <c r="E815" i="28"/>
  <c r="D815" i="28"/>
  <c r="C815" i="28"/>
  <c r="B815" i="28"/>
  <c r="H814" i="28"/>
  <c r="G814" i="28"/>
  <c r="F814" i="28"/>
  <c r="E814" i="28"/>
  <c r="D814" i="28"/>
  <c r="C814" i="28"/>
  <c r="B814" i="28"/>
  <c r="H813" i="28"/>
  <c r="G813" i="28"/>
  <c r="F813" i="28"/>
  <c r="E813" i="28"/>
  <c r="D813" i="28"/>
  <c r="C813" i="28"/>
  <c r="B813" i="28"/>
  <c r="H812" i="28"/>
  <c r="G812" i="28"/>
  <c r="F812" i="28"/>
  <c r="E812" i="28"/>
  <c r="D812" i="28"/>
  <c r="C812" i="28"/>
  <c r="B812" i="28"/>
  <c r="H811" i="28"/>
  <c r="G811" i="28"/>
  <c r="F811" i="28"/>
  <c r="E811" i="28"/>
  <c r="D811" i="28"/>
  <c r="C811" i="28"/>
  <c r="B811" i="28"/>
  <c r="H810" i="28"/>
  <c r="G810" i="28"/>
  <c r="F810" i="28"/>
  <c r="E810" i="28"/>
  <c r="D810" i="28"/>
  <c r="C810" i="28"/>
  <c r="B810" i="28"/>
  <c r="H809" i="28"/>
  <c r="G809" i="28"/>
  <c r="F809" i="28"/>
  <c r="E809" i="28"/>
  <c r="D809" i="28"/>
  <c r="C809" i="28"/>
  <c r="B809" i="28"/>
  <c r="H808" i="28"/>
  <c r="G808" i="28"/>
  <c r="F808" i="28"/>
  <c r="E808" i="28"/>
  <c r="D808" i="28"/>
  <c r="C808" i="28"/>
  <c r="B808" i="28"/>
  <c r="H807" i="28"/>
  <c r="G807" i="28"/>
  <c r="F807" i="28"/>
  <c r="E807" i="28"/>
  <c r="D807" i="28"/>
  <c r="C807" i="28"/>
  <c r="B807" i="28"/>
  <c r="H806" i="28"/>
  <c r="G806" i="28"/>
  <c r="F806" i="28"/>
  <c r="E806" i="28"/>
  <c r="D806" i="28"/>
  <c r="C806" i="28"/>
  <c r="B806" i="28"/>
  <c r="H805" i="28"/>
  <c r="G805" i="28"/>
  <c r="F805" i="28"/>
  <c r="E805" i="28"/>
  <c r="D805" i="28"/>
  <c r="C805" i="28"/>
  <c r="B805" i="28"/>
  <c r="H804" i="28"/>
  <c r="G804" i="28"/>
  <c r="F804" i="28"/>
  <c r="E804" i="28"/>
  <c r="D804" i="28"/>
  <c r="C804" i="28"/>
  <c r="B804" i="28"/>
  <c r="H803" i="28"/>
  <c r="G803" i="28"/>
  <c r="F803" i="28"/>
  <c r="E803" i="28"/>
  <c r="D803" i="28"/>
  <c r="C803" i="28"/>
  <c r="B803" i="28"/>
  <c r="H802" i="28"/>
  <c r="G802" i="28"/>
  <c r="F802" i="28"/>
  <c r="E802" i="28"/>
  <c r="D802" i="28"/>
  <c r="C802" i="28"/>
  <c r="B802" i="28"/>
  <c r="H801" i="28"/>
  <c r="G801" i="28"/>
  <c r="F801" i="28"/>
  <c r="E801" i="28"/>
  <c r="D801" i="28"/>
  <c r="C801" i="28"/>
  <c r="B801" i="28"/>
  <c r="H800" i="28"/>
  <c r="G800" i="28"/>
  <c r="F800" i="28"/>
  <c r="E800" i="28"/>
  <c r="D800" i="28"/>
  <c r="C800" i="28"/>
  <c r="B800" i="28"/>
  <c r="H799" i="28"/>
  <c r="G799" i="28"/>
  <c r="F799" i="28"/>
  <c r="E799" i="28"/>
  <c r="D799" i="28"/>
  <c r="C799" i="28"/>
  <c r="B799" i="28"/>
  <c r="H798" i="28"/>
  <c r="G798" i="28"/>
  <c r="F798" i="28"/>
  <c r="E798" i="28"/>
  <c r="D798" i="28"/>
  <c r="C798" i="28"/>
  <c r="B798" i="28"/>
  <c r="H797" i="28"/>
  <c r="G797" i="28"/>
  <c r="F797" i="28"/>
  <c r="E797" i="28"/>
  <c r="D797" i="28"/>
  <c r="C797" i="28"/>
  <c r="B797" i="28"/>
  <c r="H796" i="28"/>
  <c r="G796" i="28"/>
  <c r="F796" i="28"/>
  <c r="E796" i="28"/>
  <c r="D796" i="28"/>
  <c r="C796" i="28"/>
  <c r="B796" i="28"/>
  <c r="H795" i="28"/>
  <c r="G795" i="28"/>
  <c r="F795" i="28"/>
  <c r="E795" i="28"/>
  <c r="D795" i="28"/>
  <c r="C795" i="28"/>
  <c r="B795" i="28"/>
  <c r="H794" i="28"/>
  <c r="G794" i="28"/>
  <c r="F794" i="28"/>
  <c r="E794" i="28"/>
  <c r="D794" i="28"/>
  <c r="C794" i="28"/>
  <c r="B794" i="28"/>
  <c r="H793" i="28"/>
  <c r="G793" i="28"/>
  <c r="F793" i="28"/>
  <c r="E793" i="28"/>
  <c r="D793" i="28"/>
  <c r="C793" i="28"/>
  <c r="B793" i="28"/>
  <c r="H792" i="28"/>
  <c r="G792" i="28"/>
  <c r="F792" i="28"/>
  <c r="E792" i="28"/>
  <c r="D792" i="28"/>
  <c r="C792" i="28"/>
  <c r="B792" i="28"/>
  <c r="H791" i="28"/>
  <c r="G791" i="28"/>
  <c r="F791" i="28"/>
  <c r="E791" i="28"/>
  <c r="D791" i="28"/>
  <c r="C791" i="28"/>
  <c r="B791" i="28"/>
  <c r="H790" i="28"/>
  <c r="G790" i="28"/>
  <c r="F790" i="28"/>
  <c r="E790" i="28"/>
  <c r="D790" i="28"/>
  <c r="C790" i="28"/>
  <c r="B790" i="28"/>
  <c r="H789" i="28"/>
  <c r="G789" i="28"/>
  <c r="F789" i="28"/>
  <c r="E789" i="28"/>
  <c r="D789" i="28"/>
  <c r="C789" i="28"/>
  <c r="B789" i="28"/>
  <c r="H788" i="28"/>
  <c r="G788" i="28"/>
  <c r="F788" i="28"/>
  <c r="E788" i="28"/>
  <c r="D788" i="28"/>
  <c r="C788" i="28"/>
  <c r="B788" i="28"/>
  <c r="H787" i="28"/>
  <c r="G787" i="28"/>
  <c r="F787" i="28"/>
  <c r="E787" i="28"/>
  <c r="D787" i="28"/>
  <c r="C787" i="28"/>
  <c r="B787" i="28"/>
  <c r="H786" i="28"/>
  <c r="G786" i="28"/>
  <c r="F786" i="28"/>
  <c r="E786" i="28"/>
  <c r="D786" i="28"/>
  <c r="C786" i="28"/>
  <c r="B786" i="28"/>
  <c r="H785" i="28"/>
  <c r="G785" i="28"/>
  <c r="F785" i="28"/>
  <c r="E785" i="28"/>
  <c r="D785" i="28"/>
  <c r="C785" i="28"/>
  <c r="B785" i="28"/>
  <c r="H784" i="28"/>
  <c r="G784" i="28"/>
  <c r="F784" i="28"/>
  <c r="E784" i="28"/>
  <c r="D784" i="28"/>
  <c r="C784" i="28"/>
  <c r="B784" i="28"/>
  <c r="H783" i="28"/>
  <c r="G783" i="28"/>
  <c r="F783" i="28"/>
  <c r="E783" i="28"/>
  <c r="D783" i="28"/>
  <c r="C783" i="28"/>
  <c r="B783" i="28"/>
  <c r="H782" i="28"/>
  <c r="G782" i="28"/>
  <c r="F782" i="28"/>
  <c r="E782" i="28"/>
  <c r="D782" i="28"/>
  <c r="C782" i="28"/>
  <c r="B782" i="28"/>
  <c r="H781" i="28"/>
  <c r="G781" i="28"/>
  <c r="F781" i="28"/>
  <c r="E781" i="28"/>
  <c r="D781" i="28"/>
  <c r="C781" i="28"/>
  <c r="B781" i="28"/>
  <c r="H780" i="28"/>
  <c r="G780" i="28"/>
  <c r="F780" i="28"/>
  <c r="E780" i="28"/>
  <c r="D780" i="28"/>
  <c r="C780" i="28"/>
  <c r="B780" i="28"/>
  <c r="H779" i="28"/>
  <c r="G779" i="28"/>
  <c r="F779" i="28"/>
  <c r="E779" i="28"/>
  <c r="D779" i="28"/>
  <c r="C779" i="28"/>
  <c r="B779" i="28"/>
  <c r="H778" i="28"/>
  <c r="G778" i="28"/>
  <c r="F778" i="28"/>
  <c r="E778" i="28"/>
  <c r="D778" i="28"/>
  <c r="C778" i="28"/>
  <c r="B778" i="28"/>
  <c r="H777" i="28"/>
  <c r="G777" i="28"/>
  <c r="F777" i="28"/>
  <c r="E777" i="28"/>
  <c r="D777" i="28"/>
  <c r="C777" i="28"/>
  <c r="B777" i="28"/>
  <c r="H776" i="28"/>
  <c r="G776" i="28"/>
  <c r="F776" i="28"/>
  <c r="E776" i="28"/>
  <c r="D776" i="28"/>
  <c r="C776" i="28"/>
  <c r="B776" i="28"/>
  <c r="H775" i="28"/>
  <c r="G775" i="28"/>
  <c r="F775" i="28"/>
  <c r="E775" i="28"/>
  <c r="D775" i="28"/>
  <c r="C775" i="28"/>
  <c r="B775" i="28"/>
  <c r="H774" i="28"/>
  <c r="G774" i="28"/>
  <c r="F774" i="28"/>
  <c r="E774" i="28"/>
  <c r="D774" i="28"/>
  <c r="C774" i="28"/>
  <c r="B774" i="28"/>
  <c r="H773" i="28"/>
  <c r="G773" i="28"/>
  <c r="F773" i="28"/>
  <c r="E773" i="28"/>
  <c r="D773" i="28"/>
  <c r="C773" i="28"/>
  <c r="B773" i="28"/>
  <c r="H772" i="28"/>
  <c r="G772" i="28"/>
  <c r="F772" i="28"/>
  <c r="E772" i="28"/>
  <c r="D772" i="28"/>
  <c r="C772" i="28"/>
  <c r="B772" i="28"/>
  <c r="H771" i="28"/>
  <c r="G771" i="28"/>
  <c r="F771" i="28"/>
  <c r="E771" i="28"/>
  <c r="D771" i="28"/>
  <c r="C771" i="28"/>
  <c r="B771" i="28"/>
  <c r="H770" i="28"/>
  <c r="G770" i="28"/>
  <c r="F770" i="28"/>
  <c r="E770" i="28"/>
  <c r="D770" i="28"/>
  <c r="C770" i="28"/>
  <c r="B770" i="28"/>
  <c r="H769" i="28"/>
  <c r="G769" i="28"/>
  <c r="F769" i="28"/>
  <c r="E769" i="28"/>
  <c r="D769" i="28"/>
  <c r="C769" i="28"/>
  <c r="B769" i="28"/>
  <c r="H768" i="28"/>
  <c r="G768" i="28"/>
  <c r="F768" i="28"/>
  <c r="E768" i="28"/>
  <c r="D768" i="28"/>
  <c r="C768" i="28"/>
  <c r="B768" i="28"/>
  <c r="H767" i="28"/>
  <c r="G767" i="28"/>
  <c r="F767" i="28"/>
  <c r="E767" i="28"/>
  <c r="D767" i="28"/>
  <c r="C767" i="28"/>
  <c r="B767" i="28"/>
  <c r="H766" i="28"/>
  <c r="G766" i="28"/>
  <c r="F766" i="28"/>
  <c r="E766" i="28"/>
  <c r="D766" i="28"/>
  <c r="C766" i="28"/>
  <c r="B766" i="28"/>
  <c r="H765" i="28"/>
  <c r="G765" i="28"/>
  <c r="F765" i="28"/>
  <c r="E765" i="28"/>
  <c r="D765" i="28"/>
  <c r="C765" i="28"/>
  <c r="B765" i="28"/>
  <c r="H764" i="28"/>
  <c r="G764" i="28"/>
  <c r="F764" i="28"/>
  <c r="E764" i="28"/>
  <c r="D764" i="28"/>
  <c r="C764" i="28"/>
  <c r="B764" i="28"/>
  <c r="H763" i="28"/>
  <c r="G763" i="28"/>
  <c r="F763" i="28"/>
  <c r="E763" i="28"/>
  <c r="D763" i="28"/>
  <c r="C763" i="28"/>
  <c r="B763" i="28"/>
  <c r="H762" i="28"/>
  <c r="G762" i="28"/>
  <c r="F762" i="28"/>
  <c r="E762" i="28"/>
  <c r="D762" i="28"/>
  <c r="C762" i="28"/>
  <c r="B762" i="28"/>
  <c r="H761" i="28"/>
  <c r="G761" i="28"/>
  <c r="F761" i="28"/>
  <c r="E761" i="28"/>
  <c r="D761" i="28"/>
  <c r="C761" i="28"/>
  <c r="B761" i="28"/>
  <c r="H760" i="28"/>
  <c r="G760" i="28"/>
  <c r="F760" i="28"/>
  <c r="E760" i="28"/>
  <c r="D760" i="28"/>
  <c r="C760" i="28"/>
  <c r="B760" i="28"/>
  <c r="H759" i="28"/>
  <c r="G759" i="28"/>
  <c r="F759" i="28"/>
  <c r="E759" i="28"/>
  <c r="D759" i="28"/>
  <c r="C759" i="28"/>
  <c r="B759" i="28"/>
  <c r="H758" i="28"/>
  <c r="G758" i="28"/>
  <c r="F758" i="28"/>
  <c r="E758" i="28"/>
  <c r="D758" i="28"/>
  <c r="C758" i="28"/>
  <c r="B758" i="28"/>
  <c r="H757" i="28"/>
  <c r="G757" i="28"/>
  <c r="F757" i="28"/>
  <c r="E757" i="28"/>
  <c r="D757" i="28"/>
  <c r="C757" i="28"/>
  <c r="B757" i="28"/>
  <c r="H756" i="28"/>
  <c r="G756" i="28"/>
  <c r="F756" i="28"/>
  <c r="E756" i="28"/>
  <c r="D756" i="28"/>
  <c r="C756" i="28"/>
  <c r="B756" i="28"/>
  <c r="H755" i="28"/>
  <c r="G755" i="28"/>
  <c r="F755" i="28"/>
  <c r="E755" i="28"/>
  <c r="D755" i="28"/>
  <c r="C755" i="28"/>
  <c r="B755" i="28"/>
  <c r="H754" i="28"/>
  <c r="G754" i="28"/>
  <c r="F754" i="28"/>
  <c r="E754" i="28"/>
  <c r="D754" i="28"/>
  <c r="C754" i="28"/>
  <c r="B754" i="28"/>
  <c r="H753" i="28"/>
  <c r="G753" i="28"/>
  <c r="F753" i="28"/>
  <c r="E753" i="28"/>
  <c r="D753" i="28"/>
  <c r="C753" i="28"/>
  <c r="B753" i="28"/>
  <c r="H752" i="28"/>
  <c r="G752" i="28"/>
  <c r="F752" i="28"/>
  <c r="E752" i="28"/>
  <c r="D752" i="28"/>
  <c r="C752" i="28"/>
  <c r="B752" i="28"/>
  <c r="H751" i="28"/>
  <c r="G751" i="28"/>
  <c r="F751" i="28"/>
  <c r="E751" i="28"/>
  <c r="D751" i="28"/>
  <c r="C751" i="28"/>
  <c r="B751" i="28"/>
  <c r="H750" i="28"/>
  <c r="G750" i="28"/>
  <c r="F750" i="28"/>
  <c r="E750" i="28"/>
  <c r="D750" i="28"/>
  <c r="C750" i="28"/>
  <c r="B750" i="28"/>
  <c r="H749" i="28"/>
  <c r="G749" i="28"/>
  <c r="F749" i="28"/>
  <c r="E749" i="28"/>
  <c r="D749" i="28"/>
  <c r="C749" i="28"/>
  <c r="B749" i="28"/>
  <c r="H748" i="28"/>
  <c r="G748" i="28"/>
  <c r="F748" i="28"/>
  <c r="E748" i="28"/>
  <c r="D748" i="28"/>
  <c r="C748" i="28"/>
  <c r="B748" i="28"/>
  <c r="H747" i="28"/>
  <c r="G747" i="28"/>
  <c r="F747" i="28"/>
  <c r="E747" i="28"/>
  <c r="D747" i="28"/>
  <c r="C747" i="28"/>
  <c r="B747" i="28"/>
  <c r="H746" i="28"/>
  <c r="G746" i="28"/>
  <c r="F746" i="28"/>
  <c r="E746" i="28"/>
  <c r="D746" i="28"/>
  <c r="C746" i="28"/>
  <c r="B746" i="28"/>
  <c r="H745" i="28"/>
  <c r="G745" i="28"/>
  <c r="F745" i="28"/>
  <c r="E745" i="28"/>
  <c r="D745" i="28"/>
  <c r="C745" i="28"/>
  <c r="B745" i="28"/>
  <c r="H744" i="28"/>
  <c r="G744" i="28"/>
  <c r="F744" i="28"/>
  <c r="E744" i="28"/>
  <c r="D744" i="28"/>
  <c r="C744" i="28"/>
  <c r="B744" i="28"/>
  <c r="H743" i="28"/>
  <c r="G743" i="28"/>
  <c r="F743" i="28"/>
  <c r="E743" i="28"/>
  <c r="D743" i="28"/>
  <c r="C743" i="28"/>
  <c r="B743" i="28"/>
  <c r="H742" i="28"/>
  <c r="G742" i="28"/>
  <c r="F742" i="28"/>
  <c r="E742" i="28"/>
  <c r="D742" i="28"/>
  <c r="C742" i="28"/>
  <c r="B742" i="28"/>
  <c r="H741" i="28"/>
  <c r="G741" i="28"/>
  <c r="F741" i="28"/>
  <c r="E741" i="28"/>
  <c r="D741" i="28"/>
  <c r="C741" i="28"/>
  <c r="B741" i="28"/>
  <c r="H740" i="28"/>
  <c r="G740" i="28"/>
  <c r="F740" i="28"/>
  <c r="E740" i="28"/>
  <c r="D740" i="28"/>
  <c r="C740" i="28"/>
  <c r="B740" i="28"/>
  <c r="H739" i="28"/>
  <c r="G739" i="28"/>
  <c r="F739" i="28"/>
  <c r="E739" i="28"/>
  <c r="D739" i="28"/>
  <c r="C739" i="28"/>
  <c r="B739" i="28"/>
  <c r="H738" i="28"/>
  <c r="G738" i="28"/>
  <c r="F738" i="28"/>
  <c r="E738" i="28"/>
  <c r="D738" i="28"/>
  <c r="C738" i="28"/>
  <c r="B738" i="28"/>
  <c r="H737" i="28"/>
  <c r="G737" i="28"/>
  <c r="F737" i="28"/>
  <c r="E737" i="28"/>
  <c r="D737" i="28"/>
  <c r="C737" i="28"/>
  <c r="B737" i="28"/>
  <c r="H736" i="28"/>
  <c r="G736" i="28"/>
  <c r="F736" i="28"/>
  <c r="E736" i="28"/>
  <c r="D736" i="28"/>
  <c r="C736" i="28"/>
  <c r="B736" i="28"/>
  <c r="H735" i="28"/>
  <c r="G735" i="28"/>
  <c r="F735" i="28"/>
  <c r="E735" i="28"/>
  <c r="D735" i="28"/>
  <c r="C735" i="28"/>
  <c r="B735" i="28"/>
  <c r="H734" i="28"/>
  <c r="G734" i="28"/>
  <c r="F734" i="28"/>
  <c r="E734" i="28"/>
  <c r="D734" i="28"/>
  <c r="C734" i="28"/>
  <c r="B734" i="28"/>
  <c r="H733" i="28"/>
  <c r="G733" i="28"/>
  <c r="F733" i="28"/>
  <c r="E733" i="28"/>
  <c r="D733" i="28"/>
  <c r="C733" i="28"/>
  <c r="B733" i="28"/>
  <c r="H732" i="28"/>
  <c r="G732" i="28"/>
  <c r="F732" i="28"/>
  <c r="E732" i="28"/>
  <c r="D732" i="28"/>
  <c r="C732" i="28"/>
  <c r="B732" i="28"/>
  <c r="H731" i="28"/>
  <c r="G731" i="28"/>
  <c r="F731" i="28"/>
  <c r="E731" i="28"/>
  <c r="D731" i="28"/>
  <c r="C731" i="28"/>
  <c r="B731" i="28"/>
  <c r="H730" i="28"/>
  <c r="G730" i="28"/>
  <c r="F730" i="28"/>
  <c r="E730" i="28"/>
  <c r="D730" i="28"/>
  <c r="C730" i="28"/>
  <c r="B730" i="28"/>
  <c r="H729" i="28"/>
  <c r="G729" i="28"/>
  <c r="F729" i="28"/>
  <c r="E729" i="28"/>
  <c r="D729" i="28"/>
  <c r="C729" i="28"/>
  <c r="B729" i="28"/>
  <c r="H728" i="28"/>
  <c r="G728" i="28"/>
  <c r="F728" i="28"/>
  <c r="E728" i="28"/>
  <c r="D728" i="28"/>
  <c r="C728" i="28"/>
  <c r="B728" i="28"/>
  <c r="H727" i="28"/>
  <c r="G727" i="28"/>
  <c r="F727" i="28"/>
  <c r="E727" i="28"/>
  <c r="D727" i="28"/>
  <c r="C727" i="28"/>
  <c r="B727" i="28"/>
  <c r="H726" i="28"/>
  <c r="G726" i="28"/>
  <c r="F726" i="28"/>
  <c r="E726" i="28"/>
  <c r="D726" i="28"/>
  <c r="C726" i="28"/>
  <c r="B726" i="28"/>
  <c r="H725" i="28"/>
  <c r="G725" i="28"/>
  <c r="F725" i="28"/>
  <c r="E725" i="28"/>
  <c r="D725" i="28"/>
  <c r="C725" i="28"/>
  <c r="B725" i="28"/>
  <c r="H724" i="28"/>
  <c r="G724" i="28"/>
  <c r="F724" i="28"/>
  <c r="E724" i="28"/>
  <c r="D724" i="28"/>
  <c r="C724" i="28"/>
  <c r="B724" i="28"/>
  <c r="H723" i="28"/>
  <c r="G723" i="28"/>
  <c r="F723" i="28"/>
  <c r="E723" i="28"/>
  <c r="D723" i="28"/>
  <c r="C723" i="28"/>
  <c r="B723" i="28"/>
  <c r="H722" i="28"/>
  <c r="G722" i="28"/>
  <c r="F722" i="28"/>
  <c r="E722" i="28"/>
  <c r="D722" i="28"/>
  <c r="C722" i="28"/>
  <c r="B722" i="28"/>
  <c r="H721" i="28"/>
  <c r="G721" i="28"/>
  <c r="F721" i="28"/>
  <c r="E721" i="28"/>
  <c r="D721" i="28"/>
  <c r="C721" i="28"/>
  <c r="B721" i="28"/>
  <c r="H720" i="28"/>
  <c r="G720" i="28"/>
  <c r="F720" i="28"/>
  <c r="E720" i="28"/>
  <c r="D720" i="28"/>
  <c r="C720" i="28"/>
  <c r="B720" i="28"/>
  <c r="H719" i="28"/>
  <c r="G719" i="28"/>
  <c r="F719" i="28"/>
  <c r="E719" i="28"/>
  <c r="D719" i="28"/>
  <c r="C719" i="28"/>
  <c r="B719" i="28"/>
  <c r="H718" i="28"/>
  <c r="G718" i="28"/>
  <c r="F718" i="28"/>
  <c r="E718" i="28"/>
  <c r="D718" i="28"/>
  <c r="C718" i="28"/>
  <c r="B718" i="28"/>
  <c r="H717" i="28"/>
  <c r="G717" i="28"/>
  <c r="F717" i="28"/>
  <c r="E717" i="28"/>
  <c r="D717" i="28"/>
  <c r="C717" i="28"/>
  <c r="B717" i="28"/>
  <c r="H716" i="28"/>
  <c r="G716" i="28"/>
  <c r="F716" i="28"/>
  <c r="E716" i="28"/>
  <c r="D716" i="28"/>
  <c r="C716" i="28"/>
  <c r="B716" i="28"/>
  <c r="H715" i="28"/>
  <c r="G715" i="28"/>
  <c r="F715" i="28"/>
  <c r="E715" i="28"/>
  <c r="D715" i="28"/>
  <c r="C715" i="28"/>
  <c r="B715" i="28"/>
  <c r="H714" i="28"/>
  <c r="G714" i="28"/>
  <c r="F714" i="28"/>
  <c r="E714" i="28"/>
  <c r="D714" i="28"/>
  <c r="C714" i="28"/>
  <c r="B714" i="28"/>
  <c r="H713" i="28"/>
  <c r="G713" i="28"/>
  <c r="F713" i="28"/>
  <c r="E713" i="28"/>
  <c r="D713" i="28"/>
  <c r="C713" i="28"/>
  <c r="B713" i="28"/>
  <c r="H712" i="28"/>
  <c r="G712" i="28"/>
  <c r="F712" i="28"/>
  <c r="E712" i="28"/>
  <c r="D712" i="28"/>
  <c r="C712" i="28"/>
  <c r="B712" i="28"/>
  <c r="H711" i="28"/>
  <c r="G711" i="28"/>
  <c r="F711" i="28"/>
  <c r="E711" i="28"/>
  <c r="D711" i="28"/>
  <c r="C711" i="28"/>
  <c r="B711" i="28"/>
  <c r="H710" i="28"/>
  <c r="G710" i="28"/>
  <c r="F710" i="28"/>
  <c r="E710" i="28"/>
  <c r="D710" i="28"/>
  <c r="C710" i="28"/>
  <c r="B710" i="28"/>
  <c r="H709" i="28"/>
  <c r="G709" i="28"/>
  <c r="F709" i="28"/>
  <c r="E709" i="28"/>
  <c r="D709" i="28"/>
  <c r="C709" i="28"/>
  <c r="B709" i="28"/>
  <c r="H708" i="28"/>
  <c r="G708" i="28"/>
  <c r="F708" i="28"/>
  <c r="E708" i="28"/>
  <c r="D708" i="28"/>
  <c r="C708" i="28"/>
  <c r="B708" i="28"/>
  <c r="H707" i="28"/>
  <c r="G707" i="28"/>
  <c r="F707" i="28"/>
  <c r="E707" i="28"/>
  <c r="D707" i="28"/>
  <c r="C707" i="28"/>
  <c r="B707" i="28"/>
  <c r="H706" i="28"/>
  <c r="G706" i="28"/>
  <c r="F706" i="28"/>
  <c r="E706" i="28"/>
  <c r="D706" i="28"/>
  <c r="C706" i="28"/>
  <c r="B706" i="28"/>
  <c r="H705" i="28"/>
  <c r="G705" i="28"/>
  <c r="F705" i="28"/>
  <c r="E705" i="28"/>
  <c r="D705" i="28"/>
  <c r="C705" i="28"/>
  <c r="B705" i="28"/>
  <c r="H704" i="28"/>
  <c r="G704" i="28"/>
  <c r="F704" i="28"/>
  <c r="E704" i="28"/>
  <c r="D704" i="28"/>
  <c r="C704" i="28"/>
  <c r="B704" i="28"/>
  <c r="H703" i="28"/>
  <c r="G703" i="28"/>
  <c r="F703" i="28"/>
  <c r="E703" i="28"/>
  <c r="D703" i="28"/>
  <c r="C703" i="28"/>
  <c r="B703" i="28"/>
  <c r="H702" i="28"/>
  <c r="G702" i="28"/>
  <c r="F702" i="28"/>
  <c r="E702" i="28"/>
  <c r="D702" i="28"/>
  <c r="C702" i="28"/>
  <c r="B702" i="28"/>
  <c r="H701" i="28"/>
  <c r="G701" i="28"/>
  <c r="F701" i="28"/>
  <c r="E701" i="28"/>
  <c r="D701" i="28"/>
  <c r="C701" i="28"/>
  <c r="B701" i="28"/>
  <c r="H700" i="28"/>
  <c r="G700" i="28"/>
  <c r="F700" i="28"/>
  <c r="E700" i="28"/>
  <c r="D700" i="28"/>
  <c r="C700" i="28"/>
  <c r="B700" i="28"/>
  <c r="H699" i="28"/>
  <c r="G699" i="28"/>
  <c r="F699" i="28"/>
  <c r="E699" i="28"/>
  <c r="D699" i="28"/>
  <c r="C699" i="28"/>
  <c r="B699" i="28"/>
  <c r="H698" i="28"/>
  <c r="G698" i="28"/>
  <c r="F698" i="28"/>
  <c r="E698" i="28"/>
  <c r="D698" i="28"/>
  <c r="C698" i="28"/>
  <c r="B698" i="28"/>
  <c r="H697" i="28"/>
  <c r="G697" i="28"/>
  <c r="F697" i="28"/>
  <c r="E697" i="28"/>
  <c r="D697" i="28"/>
  <c r="C697" i="28"/>
  <c r="B697" i="28"/>
  <c r="H696" i="28"/>
  <c r="G696" i="28"/>
  <c r="F696" i="28"/>
  <c r="E696" i="28"/>
  <c r="D696" i="28"/>
  <c r="C696" i="28"/>
  <c r="B696" i="28"/>
  <c r="H695" i="28"/>
  <c r="G695" i="28"/>
  <c r="F695" i="28"/>
  <c r="E695" i="28"/>
  <c r="D695" i="28"/>
  <c r="C695" i="28"/>
  <c r="B695" i="28"/>
  <c r="H694" i="28"/>
  <c r="G694" i="28"/>
  <c r="F694" i="28"/>
  <c r="E694" i="28"/>
  <c r="D694" i="28"/>
  <c r="C694" i="28"/>
  <c r="B694" i="28"/>
  <c r="H693" i="28"/>
  <c r="G693" i="28"/>
  <c r="F693" i="28"/>
  <c r="E693" i="28"/>
  <c r="D693" i="28"/>
  <c r="C693" i="28"/>
  <c r="B693" i="28"/>
  <c r="H692" i="28"/>
  <c r="G692" i="28"/>
  <c r="F692" i="28"/>
  <c r="E692" i="28"/>
  <c r="D692" i="28"/>
  <c r="C692" i="28"/>
  <c r="B692" i="28"/>
  <c r="H691" i="28"/>
  <c r="G691" i="28"/>
  <c r="F691" i="28"/>
  <c r="E691" i="28"/>
  <c r="D691" i="28"/>
  <c r="C691" i="28"/>
  <c r="B691" i="28"/>
  <c r="H690" i="28"/>
  <c r="G690" i="28"/>
  <c r="F690" i="28"/>
  <c r="E690" i="28"/>
  <c r="D690" i="28"/>
  <c r="C690" i="28"/>
  <c r="B690" i="28"/>
  <c r="H689" i="28"/>
  <c r="G689" i="28"/>
  <c r="F689" i="28"/>
  <c r="E689" i="28"/>
  <c r="D689" i="28"/>
  <c r="C689" i="28"/>
  <c r="B689" i="28"/>
  <c r="H688" i="28"/>
  <c r="G688" i="28"/>
  <c r="F688" i="28"/>
  <c r="E688" i="28"/>
  <c r="D688" i="28"/>
  <c r="C688" i="28"/>
  <c r="B688" i="28"/>
  <c r="H687" i="28"/>
  <c r="G687" i="28"/>
  <c r="F687" i="28"/>
  <c r="E687" i="28"/>
  <c r="D687" i="28"/>
  <c r="C687" i="28"/>
  <c r="B687" i="28"/>
  <c r="H686" i="28"/>
  <c r="G686" i="28"/>
  <c r="F686" i="28"/>
  <c r="E686" i="28"/>
  <c r="D686" i="28"/>
  <c r="C686" i="28"/>
  <c r="B686" i="28"/>
  <c r="H685" i="28"/>
  <c r="G685" i="28"/>
  <c r="F685" i="28"/>
  <c r="E685" i="28"/>
  <c r="D685" i="28"/>
  <c r="C685" i="28"/>
  <c r="B685" i="28"/>
  <c r="H684" i="28"/>
  <c r="G684" i="28"/>
  <c r="F684" i="28"/>
  <c r="E684" i="28"/>
  <c r="D684" i="28"/>
  <c r="C684" i="28"/>
  <c r="B684" i="28"/>
  <c r="H683" i="28"/>
  <c r="G683" i="28"/>
  <c r="F683" i="28"/>
  <c r="E683" i="28"/>
  <c r="D683" i="28"/>
  <c r="C683" i="28"/>
  <c r="B683" i="28"/>
  <c r="H682" i="28"/>
  <c r="G682" i="28"/>
  <c r="F682" i="28"/>
  <c r="E682" i="28"/>
  <c r="D682" i="28"/>
  <c r="C682" i="28"/>
  <c r="B682" i="28"/>
  <c r="H681" i="28"/>
  <c r="G681" i="28"/>
  <c r="F681" i="28"/>
  <c r="E681" i="28"/>
  <c r="D681" i="28"/>
  <c r="C681" i="28"/>
  <c r="B681" i="28"/>
  <c r="H680" i="28"/>
  <c r="G680" i="28"/>
  <c r="F680" i="28"/>
  <c r="E680" i="28"/>
  <c r="D680" i="28"/>
  <c r="C680" i="28"/>
  <c r="B680" i="28"/>
  <c r="H679" i="28"/>
  <c r="G679" i="28"/>
  <c r="F679" i="28"/>
  <c r="E679" i="28"/>
  <c r="D679" i="28"/>
  <c r="C679" i="28"/>
  <c r="B679" i="28"/>
  <c r="H678" i="28"/>
  <c r="G678" i="28"/>
  <c r="F678" i="28"/>
  <c r="E678" i="28"/>
  <c r="D678" i="28"/>
  <c r="C678" i="28"/>
  <c r="B678" i="28"/>
  <c r="H677" i="28"/>
  <c r="G677" i="28"/>
  <c r="F677" i="28"/>
  <c r="E677" i="28"/>
  <c r="D677" i="28"/>
  <c r="C677" i="28"/>
  <c r="B677" i="28"/>
  <c r="H676" i="28"/>
  <c r="G676" i="28"/>
  <c r="F676" i="28"/>
  <c r="E676" i="28"/>
  <c r="D676" i="28"/>
  <c r="C676" i="28"/>
  <c r="B676" i="28"/>
  <c r="H675" i="28"/>
  <c r="G675" i="28"/>
  <c r="F675" i="28"/>
  <c r="E675" i="28"/>
  <c r="D675" i="28"/>
  <c r="C675" i="28"/>
  <c r="B675" i="28"/>
  <c r="H674" i="28"/>
  <c r="G674" i="28"/>
  <c r="F674" i="28"/>
  <c r="E674" i="28"/>
  <c r="D674" i="28"/>
  <c r="C674" i="28"/>
  <c r="B674" i="28"/>
  <c r="H673" i="28"/>
  <c r="G673" i="28"/>
  <c r="F673" i="28"/>
  <c r="E673" i="28"/>
  <c r="D673" i="28"/>
  <c r="C673" i="28"/>
  <c r="B673" i="28"/>
  <c r="H672" i="28"/>
  <c r="G672" i="28"/>
  <c r="F672" i="28"/>
  <c r="E672" i="28"/>
  <c r="D672" i="28"/>
  <c r="C672" i="28"/>
  <c r="B672" i="28"/>
  <c r="H671" i="28"/>
  <c r="G671" i="28"/>
  <c r="F671" i="28"/>
  <c r="E671" i="28"/>
  <c r="D671" i="28"/>
  <c r="C671" i="28"/>
  <c r="B671" i="28"/>
  <c r="H670" i="28"/>
  <c r="G670" i="28"/>
  <c r="F670" i="28"/>
  <c r="E670" i="28"/>
  <c r="D670" i="28"/>
  <c r="C670" i="28"/>
  <c r="B670" i="28"/>
  <c r="H669" i="28"/>
  <c r="G669" i="28"/>
  <c r="F669" i="28"/>
  <c r="E669" i="28"/>
  <c r="D669" i="28"/>
  <c r="C669" i="28"/>
  <c r="B669" i="28"/>
  <c r="H668" i="28"/>
  <c r="G668" i="28"/>
  <c r="F668" i="28"/>
  <c r="E668" i="28"/>
  <c r="D668" i="28"/>
  <c r="C668" i="28"/>
  <c r="B668" i="28"/>
  <c r="H667" i="28"/>
  <c r="G667" i="28"/>
  <c r="F667" i="28"/>
  <c r="E667" i="28"/>
  <c r="D667" i="28"/>
  <c r="C667" i="28"/>
  <c r="B667" i="28"/>
  <c r="H666" i="28"/>
  <c r="G666" i="28"/>
  <c r="F666" i="28"/>
  <c r="E666" i="28"/>
  <c r="D666" i="28"/>
  <c r="C666" i="28"/>
  <c r="B666" i="28"/>
  <c r="H665" i="28"/>
  <c r="G665" i="28"/>
  <c r="F665" i="28"/>
  <c r="E665" i="28"/>
  <c r="D665" i="28"/>
  <c r="C665" i="28"/>
  <c r="B665" i="28"/>
  <c r="H664" i="28"/>
  <c r="G664" i="28"/>
  <c r="F664" i="28"/>
  <c r="E664" i="28"/>
  <c r="D664" i="28"/>
  <c r="C664" i="28"/>
  <c r="B664" i="28"/>
  <c r="H663" i="28"/>
  <c r="G663" i="28"/>
  <c r="F663" i="28"/>
  <c r="E663" i="28"/>
  <c r="D663" i="28"/>
  <c r="C663" i="28"/>
  <c r="B663" i="28"/>
  <c r="H662" i="28"/>
  <c r="G662" i="28"/>
  <c r="F662" i="28"/>
  <c r="E662" i="28"/>
  <c r="D662" i="28"/>
  <c r="C662" i="28"/>
  <c r="B662" i="28"/>
  <c r="H661" i="28"/>
  <c r="G661" i="28"/>
  <c r="F661" i="28"/>
  <c r="E661" i="28"/>
  <c r="D661" i="28"/>
  <c r="C661" i="28"/>
  <c r="B661" i="28"/>
  <c r="H660" i="28"/>
  <c r="G660" i="28"/>
  <c r="F660" i="28"/>
  <c r="E660" i="28"/>
  <c r="D660" i="28"/>
  <c r="C660" i="28"/>
  <c r="B660" i="28"/>
  <c r="H659" i="28"/>
  <c r="G659" i="28"/>
  <c r="F659" i="28"/>
  <c r="E659" i="28"/>
  <c r="D659" i="28"/>
  <c r="C659" i="28"/>
  <c r="B659" i="28"/>
  <c r="H658" i="28"/>
  <c r="G658" i="28"/>
  <c r="F658" i="28"/>
  <c r="E658" i="28"/>
  <c r="D658" i="28"/>
  <c r="C658" i="28"/>
  <c r="B658" i="28"/>
  <c r="H657" i="28"/>
  <c r="G657" i="28"/>
  <c r="F657" i="28"/>
  <c r="E657" i="28"/>
  <c r="D657" i="28"/>
  <c r="C657" i="28"/>
  <c r="B657" i="28"/>
  <c r="H656" i="28"/>
  <c r="G656" i="28"/>
  <c r="F656" i="28"/>
  <c r="E656" i="28"/>
  <c r="D656" i="28"/>
  <c r="C656" i="28"/>
  <c r="B656" i="28"/>
  <c r="H655" i="28"/>
  <c r="G655" i="28"/>
  <c r="F655" i="28"/>
  <c r="E655" i="28"/>
  <c r="D655" i="28"/>
  <c r="C655" i="28"/>
  <c r="B655" i="28"/>
  <c r="H654" i="28"/>
  <c r="G654" i="28"/>
  <c r="F654" i="28"/>
  <c r="E654" i="28"/>
  <c r="D654" i="28"/>
  <c r="C654" i="28"/>
  <c r="B654" i="28"/>
  <c r="H653" i="28"/>
  <c r="G653" i="28"/>
  <c r="F653" i="28"/>
  <c r="E653" i="28"/>
  <c r="D653" i="28"/>
  <c r="C653" i="28"/>
  <c r="B653" i="28"/>
  <c r="H652" i="28"/>
  <c r="G652" i="28"/>
  <c r="F652" i="28"/>
  <c r="E652" i="28"/>
  <c r="D652" i="28"/>
  <c r="C652" i="28"/>
  <c r="B652" i="28"/>
  <c r="H651" i="28"/>
  <c r="G651" i="28"/>
  <c r="F651" i="28"/>
  <c r="E651" i="28"/>
  <c r="D651" i="28"/>
  <c r="C651" i="28"/>
  <c r="B651" i="28"/>
  <c r="H650" i="28"/>
  <c r="G650" i="28"/>
  <c r="F650" i="28"/>
  <c r="E650" i="28"/>
  <c r="D650" i="28"/>
  <c r="C650" i="28"/>
  <c r="B650" i="28"/>
  <c r="H649" i="28"/>
  <c r="G649" i="28"/>
  <c r="F649" i="28"/>
  <c r="E649" i="28"/>
  <c r="D649" i="28"/>
  <c r="C649" i="28"/>
  <c r="B649" i="28"/>
  <c r="H648" i="28"/>
  <c r="G648" i="28"/>
  <c r="F648" i="28"/>
  <c r="E648" i="28"/>
  <c r="D648" i="28"/>
  <c r="C648" i="28"/>
  <c r="B648" i="28"/>
  <c r="H647" i="28"/>
  <c r="G647" i="28"/>
  <c r="F647" i="28"/>
  <c r="E647" i="28"/>
  <c r="D647" i="28"/>
  <c r="C647" i="28"/>
  <c r="B647" i="28"/>
  <c r="H646" i="28"/>
  <c r="G646" i="28"/>
  <c r="F646" i="28"/>
  <c r="E646" i="28"/>
  <c r="D646" i="28"/>
  <c r="C646" i="28"/>
  <c r="B646" i="28"/>
  <c r="H645" i="28"/>
  <c r="G645" i="28"/>
  <c r="F645" i="28"/>
  <c r="E645" i="28"/>
  <c r="D645" i="28"/>
  <c r="C645" i="28"/>
  <c r="B645" i="28"/>
  <c r="H644" i="28"/>
  <c r="G644" i="28"/>
  <c r="F644" i="28"/>
  <c r="E644" i="28"/>
  <c r="D644" i="28"/>
  <c r="C644" i="28"/>
  <c r="B644" i="28"/>
  <c r="H643" i="28"/>
  <c r="G643" i="28"/>
  <c r="F643" i="28"/>
  <c r="E643" i="28"/>
  <c r="D643" i="28"/>
  <c r="C643" i="28"/>
  <c r="B643" i="28"/>
  <c r="H642" i="28"/>
  <c r="G642" i="28"/>
  <c r="F642" i="28"/>
  <c r="E642" i="28"/>
  <c r="D642" i="28"/>
  <c r="C642" i="28"/>
  <c r="B642" i="28"/>
  <c r="H641" i="28"/>
  <c r="G641" i="28"/>
  <c r="F641" i="28"/>
  <c r="E641" i="28"/>
  <c r="D641" i="28"/>
  <c r="C641" i="28"/>
  <c r="B641" i="28"/>
  <c r="H640" i="28"/>
  <c r="G640" i="28"/>
  <c r="F640" i="28"/>
  <c r="E640" i="28"/>
  <c r="D640" i="28"/>
  <c r="C640" i="28"/>
  <c r="B640" i="28"/>
  <c r="H639" i="28"/>
  <c r="G639" i="28"/>
  <c r="F639" i="28"/>
  <c r="E639" i="28"/>
  <c r="D639" i="28"/>
  <c r="C639" i="28"/>
  <c r="B639" i="28"/>
  <c r="H638" i="28"/>
  <c r="G638" i="28"/>
  <c r="F638" i="28"/>
  <c r="E638" i="28"/>
  <c r="D638" i="28"/>
  <c r="C638" i="28"/>
  <c r="B638" i="28"/>
  <c r="H637" i="28"/>
  <c r="G637" i="28"/>
  <c r="F637" i="28"/>
  <c r="E637" i="28"/>
  <c r="D637" i="28"/>
  <c r="C637" i="28"/>
  <c r="B637" i="28"/>
  <c r="H636" i="28"/>
  <c r="G636" i="28"/>
  <c r="F636" i="28"/>
  <c r="E636" i="28"/>
  <c r="D636" i="28"/>
  <c r="C636" i="28"/>
  <c r="B636" i="28"/>
  <c r="H635" i="28"/>
  <c r="G635" i="28"/>
  <c r="F635" i="28"/>
  <c r="E635" i="28"/>
  <c r="D635" i="28"/>
  <c r="C635" i="28"/>
  <c r="B635" i="28"/>
  <c r="H634" i="28"/>
  <c r="G634" i="28"/>
  <c r="F634" i="28"/>
  <c r="E634" i="28"/>
  <c r="D634" i="28"/>
  <c r="C634" i="28"/>
  <c r="B634" i="28"/>
  <c r="H633" i="28"/>
  <c r="G633" i="28"/>
  <c r="F633" i="28"/>
  <c r="E633" i="28"/>
  <c r="D633" i="28"/>
  <c r="C633" i="28"/>
  <c r="B633" i="28"/>
  <c r="H632" i="28"/>
  <c r="G632" i="28"/>
  <c r="F632" i="28"/>
  <c r="E632" i="28"/>
  <c r="D632" i="28"/>
  <c r="C632" i="28"/>
  <c r="B632" i="28"/>
  <c r="H631" i="28"/>
  <c r="G631" i="28"/>
  <c r="F631" i="28"/>
  <c r="E631" i="28"/>
  <c r="D631" i="28"/>
  <c r="C631" i="28"/>
  <c r="B631" i="28"/>
  <c r="H630" i="28"/>
  <c r="G630" i="28"/>
  <c r="F630" i="28"/>
  <c r="E630" i="28"/>
  <c r="D630" i="28"/>
  <c r="C630" i="28"/>
  <c r="B630" i="28"/>
  <c r="H629" i="28"/>
  <c r="G629" i="28"/>
  <c r="F629" i="28"/>
  <c r="E629" i="28"/>
  <c r="D629" i="28"/>
  <c r="C629" i="28"/>
  <c r="B629" i="28"/>
  <c r="H628" i="28"/>
  <c r="G628" i="28"/>
  <c r="F628" i="28"/>
  <c r="E628" i="28"/>
  <c r="D628" i="28"/>
  <c r="C628" i="28"/>
  <c r="B628" i="28"/>
  <c r="H627" i="28"/>
  <c r="G627" i="28"/>
  <c r="F627" i="28"/>
  <c r="E627" i="28"/>
  <c r="D627" i="28"/>
  <c r="C627" i="28"/>
  <c r="B627" i="28"/>
  <c r="H626" i="28"/>
  <c r="G626" i="28"/>
  <c r="F626" i="28"/>
  <c r="E626" i="28"/>
  <c r="D626" i="28"/>
  <c r="C626" i="28"/>
  <c r="B626" i="28"/>
  <c r="H625" i="28"/>
  <c r="G625" i="28"/>
  <c r="F625" i="28"/>
  <c r="E625" i="28"/>
  <c r="D625" i="28"/>
  <c r="C625" i="28"/>
  <c r="B625" i="28"/>
  <c r="H624" i="28"/>
  <c r="G624" i="28"/>
  <c r="F624" i="28"/>
  <c r="E624" i="28"/>
  <c r="D624" i="28"/>
  <c r="C624" i="28"/>
  <c r="B624" i="28"/>
  <c r="H623" i="28"/>
  <c r="G623" i="28"/>
  <c r="F623" i="28"/>
  <c r="E623" i="28"/>
  <c r="D623" i="28"/>
  <c r="C623" i="28"/>
  <c r="B623" i="28"/>
  <c r="H622" i="28"/>
  <c r="G622" i="28"/>
  <c r="F622" i="28"/>
  <c r="E622" i="28"/>
  <c r="D622" i="28"/>
  <c r="C622" i="28"/>
  <c r="B622" i="28"/>
  <c r="H621" i="28"/>
  <c r="G621" i="28"/>
  <c r="F621" i="28"/>
  <c r="E621" i="28"/>
  <c r="D621" i="28"/>
  <c r="C621" i="28"/>
  <c r="B621" i="28"/>
  <c r="H620" i="28"/>
  <c r="G620" i="28"/>
  <c r="F620" i="28"/>
  <c r="E620" i="28"/>
  <c r="D620" i="28"/>
  <c r="C620" i="28"/>
  <c r="B620" i="28"/>
  <c r="H619" i="28"/>
  <c r="G619" i="28"/>
  <c r="F619" i="28"/>
  <c r="E619" i="28"/>
  <c r="D619" i="28"/>
  <c r="C619" i="28"/>
  <c r="B619" i="28"/>
  <c r="H618" i="28"/>
  <c r="G618" i="28"/>
  <c r="F618" i="28"/>
  <c r="E618" i="28"/>
  <c r="D618" i="28"/>
  <c r="C618" i="28"/>
  <c r="B618" i="28"/>
  <c r="H617" i="28"/>
  <c r="G617" i="28"/>
  <c r="F617" i="28"/>
  <c r="E617" i="28"/>
  <c r="D617" i="28"/>
  <c r="C617" i="28"/>
  <c r="B617" i="28"/>
  <c r="H616" i="28"/>
  <c r="G616" i="28"/>
  <c r="F616" i="28"/>
  <c r="E616" i="28"/>
  <c r="D616" i="28"/>
  <c r="C616" i="28"/>
  <c r="B616" i="28"/>
  <c r="H615" i="28"/>
  <c r="G615" i="28"/>
  <c r="F615" i="28"/>
  <c r="E615" i="28"/>
  <c r="D615" i="28"/>
  <c r="C615" i="28"/>
  <c r="B615" i="28"/>
  <c r="H614" i="28"/>
  <c r="G614" i="28"/>
  <c r="F614" i="28"/>
  <c r="E614" i="28"/>
  <c r="D614" i="28"/>
  <c r="C614" i="28"/>
  <c r="B614" i="28"/>
  <c r="H613" i="28"/>
  <c r="G613" i="28"/>
  <c r="F613" i="28"/>
  <c r="E613" i="28"/>
  <c r="D613" i="28"/>
  <c r="C613" i="28"/>
  <c r="B613" i="28"/>
  <c r="H612" i="28"/>
  <c r="G612" i="28"/>
  <c r="F612" i="28"/>
  <c r="E612" i="28"/>
  <c r="D612" i="28"/>
  <c r="C612" i="28"/>
  <c r="B612" i="28"/>
  <c r="H611" i="28"/>
  <c r="G611" i="28"/>
  <c r="F611" i="28"/>
  <c r="E611" i="28"/>
  <c r="D611" i="28"/>
  <c r="C611" i="28"/>
  <c r="B611" i="28"/>
  <c r="H610" i="28"/>
  <c r="G610" i="28"/>
  <c r="F610" i="28"/>
  <c r="E610" i="28"/>
  <c r="D610" i="28"/>
  <c r="C610" i="28"/>
  <c r="B610" i="28"/>
  <c r="H609" i="28"/>
  <c r="G609" i="28"/>
  <c r="F609" i="28"/>
  <c r="E609" i="28"/>
  <c r="D609" i="28"/>
  <c r="C609" i="28"/>
  <c r="B609" i="28"/>
  <c r="H608" i="28"/>
  <c r="G608" i="28"/>
  <c r="F608" i="28"/>
  <c r="E608" i="28"/>
  <c r="D608" i="28"/>
  <c r="C608" i="28"/>
  <c r="B608" i="28"/>
  <c r="H607" i="28"/>
  <c r="G607" i="28"/>
  <c r="F607" i="28"/>
  <c r="E607" i="28"/>
  <c r="D607" i="28"/>
  <c r="C607" i="28"/>
  <c r="B607" i="28"/>
  <c r="H606" i="28"/>
  <c r="G606" i="28"/>
  <c r="F606" i="28"/>
  <c r="E606" i="28"/>
  <c r="D606" i="28"/>
  <c r="C606" i="28"/>
  <c r="B606" i="28"/>
  <c r="H605" i="28"/>
  <c r="G605" i="28"/>
  <c r="F605" i="28"/>
  <c r="E605" i="28"/>
  <c r="D605" i="28"/>
  <c r="C605" i="28"/>
  <c r="B605" i="28"/>
  <c r="H604" i="28"/>
  <c r="G604" i="28"/>
  <c r="F604" i="28"/>
  <c r="E604" i="28"/>
  <c r="D604" i="28"/>
  <c r="C604" i="28"/>
  <c r="B604" i="28"/>
  <c r="H603" i="28"/>
  <c r="G603" i="28"/>
  <c r="F603" i="28"/>
  <c r="E603" i="28"/>
  <c r="D603" i="28"/>
  <c r="C603" i="28"/>
  <c r="B603" i="28"/>
  <c r="H602" i="28"/>
  <c r="G602" i="28"/>
  <c r="F602" i="28"/>
  <c r="E602" i="28"/>
  <c r="D602" i="28"/>
  <c r="C602" i="28"/>
  <c r="B602" i="28"/>
  <c r="H601" i="28"/>
  <c r="G601" i="28"/>
  <c r="F601" i="28"/>
  <c r="E601" i="28"/>
  <c r="D601" i="28"/>
  <c r="C601" i="28"/>
  <c r="B601" i="28"/>
  <c r="H600" i="28"/>
  <c r="G600" i="28"/>
  <c r="F600" i="28"/>
  <c r="E600" i="28"/>
  <c r="D600" i="28"/>
  <c r="C600" i="28"/>
  <c r="B600" i="28"/>
  <c r="H599" i="28"/>
  <c r="G599" i="28"/>
  <c r="F599" i="28"/>
  <c r="E599" i="28"/>
  <c r="D599" i="28"/>
  <c r="C599" i="28"/>
  <c r="B599" i="28"/>
  <c r="H598" i="28"/>
  <c r="G598" i="28"/>
  <c r="F598" i="28"/>
  <c r="E598" i="28"/>
  <c r="D598" i="28"/>
  <c r="C598" i="28"/>
  <c r="B598" i="28"/>
  <c r="H597" i="28"/>
  <c r="G597" i="28"/>
  <c r="F597" i="28"/>
  <c r="E597" i="28"/>
  <c r="D597" i="28"/>
  <c r="C597" i="28"/>
  <c r="B597" i="28"/>
  <c r="H596" i="28"/>
  <c r="G596" i="28"/>
  <c r="F596" i="28"/>
  <c r="E596" i="28"/>
  <c r="D596" i="28"/>
  <c r="C596" i="28"/>
  <c r="B596" i="28"/>
  <c r="H595" i="28"/>
  <c r="G595" i="28"/>
  <c r="F595" i="28"/>
  <c r="E595" i="28"/>
  <c r="D595" i="28"/>
  <c r="C595" i="28"/>
  <c r="B595" i="28"/>
  <c r="H594" i="28"/>
  <c r="G594" i="28"/>
  <c r="F594" i="28"/>
  <c r="E594" i="28"/>
  <c r="D594" i="28"/>
  <c r="C594" i="28"/>
  <c r="B594" i="28"/>
  <c r="H593" i="28"/>
  <c r="G593" i="28"/>
  <c r="F593" i="28"/>
  <c r="E593" i="28"/>
  <c r="D593" i="28"/>
  <c r="C593" i="28"/>
  <c r="B593" i="28"/>
  <c r="H592" i="28"/>
  <c r="G592" i="28"/>
  <c r="F592" i="28"/>
  <c r="E592" i="28"/>
  <c r="D592" i="28"/>
  <c r="C592" i="28"/>
  <c r="B592" i="28"/>
  <c r="H591" i="28"/>
  <c r="G591" i="28"/>
  <c r="F591" i="28"/>
  <c r="E591" i="28"/>
  <c r="D591" i="28"/>
  <c r="C591" i="28"/>
  <c r="B591" i="28"/>
  <c r="H590" i="28"/>
  <c r="G590" i="28"/>
  <c r="F590" i="28"/>
  <c r="E590" i="28"/>
  <c r="D590" i="28"/>
  <c r="C590" i="28"/>
  <c r="B590" i="28"/>
  <c r="H589" i="28"/>
  <c r="G589" i="28"/>
  <c r="F589" i="28"/>
  <c r="E589" i="28"/>
  <c r="D589" i="28"/>
  <c r="C589" i="28"/>
  <c r="B589" i="28"/>
  <c r="H588" i="28"/>
  <c r="G588" i="28"/>
  <c r="F588" i="28"/>
  <c r="E588" i="28"/>
  <c r="D588" i="28"/>
  <c r="C588" i="28"/>
  <c r="B588" i="28"/>
  <c r="H587" i="28"/>
  <c r="G587" i="28"/>
  <c r="F587" i="28"/>
  <c r="E587" i="28"/>
  <c r="D587" i="28"/>
  <c r="C587" i="28"/>
  <c r="B587" i="28"/>
  <c r="H586" i="28"/>
  <c r="G586" i="28"/>
  <c r="F586" i="28"/>
  <c r="E586" i="28"/>
  <c r="D586" i="28"/>
  <c r="C586" i="28"/>
  <c r="B586" i="28"/>
  <c r="H585" i="28"/>
  <c r="G585" i="28"/>
  <c r="F585" i="28"/>
  <c r="E585" i="28"/>
  <c r="D585" i="28"/>
  <c r="C585" i="28"/>
  <c r="B585" i="28"/>
  <c r="H584" i="28"/>
  <c r="G584" i="28"/>
  <c r="F584" i="28"/>
  <c r="E584" i="28"/>
  <c r="D584" i="28"/>
  <c r="C584" i="28"/>
  <c r="B584" i="28"/>
  <c r="H583" i="28"/>
  <c r="G583" i="28"/>
  <c r="F583" i="28"/>
  <c r="E583" i="28"/>
  <c r="D583" i="28"/>
  <c r="C583" i="28"/>
  <c r="B583" i="28"/>
  <c r="H582" i="28"/>
  <c r="G582" i="28"/>
  <c r="F582" i="28"/>
  <c r="E582" i="28"/>
  <c r="D582" i="28"/>
  <c r="C582" i="28"/>
  <c r="B582" i="28"/>
  <c r="H581" i="28"/>
  <c r="G581" i="28"/>
  <c r="F581" i="28"/>
  <c r="E581" i="28"/>
  <c r="D581" i="28"/>
  <c r="C581" i="28"/>
  <c r="B581" i="28"/>
  <c r="H580" i="28"/>
  <c r="G580" i="28"/>
  <c r="F580" i="28"/>
  <c r="E580" i="28"/>
  <c r="D580" i="28"/>
  <c r="C580" i="28"/>
  <c r="B580" i="28"/>
  <c r="H579" i="28"/>
  <c r="G579" i="28"/>
  <c r="F579" i="28"/>
  <c r="E579" i="28"/>
  <c r="D579" i="28"/>
  <c r="C579" i="28"/>
  <c r="B579" i="28"/>
  <c r="H578" i="28"/>
  <c r="G578" i="28"/>
  <c r="F578" i="28"/>
  <c r="E578" i="28"/>
  <c r="D578" i="28"/>
  <c r="C578" i="28"/>
  <c r="B578" i="28"/>
  <c r="H577" i="28"/>
  <c r="G577" i="28"/>
  <c r="F577" i="28"/>
  <c r="E577" i="28"/>
  <c r="D577" i="28"/>
  <c r="C577" i="28"/>
  <c r="B577" i="28"/>
  <c r="H576" i="28"/>
  <c r="G576" i="28"/>
  <c r="F576" i="28"/>
  <c r="E576" i="28"/>
  <c r="D576" i="28"/>
  <c r="C576" i="28"/>
  <c r="B576" i="28"/>
  <c r="H575" i="28"/>
  <c r="G575" i="28"/>
  <c r="F575" i="28"/>
  <c r="E575" i="28"/>
  <c r="D575" i="28"/>
  <c r="C575" i="28"/>
  <c r="B575" i="28"/>
  <c r="H574" i="28"/>
  <c r="G574" i="28"/>
  <c r="F574" i="28"/>
  <c r="E574" i="28"/>
  <c r="D574" i="28"/>
  <c r="C574" i="28"/>
  <c r="B574" i="28"/>
  <c r="H573" i="28"/>
  <c r="G573" i="28"/>
  <c r="F573" i="28"/>
  <c r="E573" i="28"/>
  <c r="D573" i="28"/>
  <c r="C573" i="28"/>
  <c r="B573" i="28"/>
  <c r="H572" i="28"/>
  <c r="G572" i="28"/>
  <c r="F572" i="28"/>
  <c r="E572" i="28"/>
  <c r="D572" i="28"/>
  <c r="C572" i="28"/>
  <c r="B572" i="28"/>
  <c r="H571" i="28"/>
  <c r="G571" i="28"/>
  <c r="F571" i="28"/>
  <c r="E571" i="28"/>
  <c r="D571" i="28"/>
  <c r="C571" i="28"/>
  <c r="B571" i="28"/>
  <c r="H570" i="28"/>
  <c r="G570" i="28"/>
  <c r="F570" i="28"/>
  <c r="E570" i="28"/>
  <c r="D570" i="28"/>
  <c r="C570" i="28"/>
  <c r="B570" i="28"/>
  <c r="H569" i="28"/>
  <c r="G569" i="28"/>
  <c r="F569" i="28"/>
  <c r="E569" i="28"/>
  <c r="D569" i="28"/>
  <c r="C569" i="28"/>
  <c r="B569" i="28"/>
  <c r="H568" i="28"/>
  <c r="G568" i="28"/>
  <c r="F568" i="28"/>
  <c r="E568" i="28"/>
  <c r="D568" i="28"/>
  <c r="C568" i="28"/>
  <c r="B568" i="28"/>
  <c r="H567" i="28"/>
  <c r="G567" i="28"/>
  <c r="F567" i="28"/>
  <c r="E567" i="28"/>
  <c r="D567" i="28"/>
  <c r="C567" i="28"/>
  <c r="B567" i="28"/>
  <c r="H566" i="28"/>
  <c r="G566" i="28"/>
  <c r="F566" i="28"/>
  <c r="E566" i="28"/>
  <c r="D566" i="28"/>
  <c r="C566" i="28"/>
  <c r="B566" i="28"/>
  <c r="H565" i="28"/>
  <c r="G565" i="28"/>
  <c r="F565" i="28"/>
  <c r="E565" i="28"/>
  <c r="D565" i="28"/>
  <c r="C565" i="28"/>
  <c r="B565" i="28"/>
  <c r="H564" i="28"/>
  <c r="G564" i="28"/>
  <c r="F564" i="28"/>
  <c r="E564" i="28"/>
  <c r="D564" i="28"/>
  <c r="C564" i="28"/>
  <c r="B564" i="28"/>
  <c r="H563" i="28"/>
  <c r="G563" i="28"/>
  <c r="F563" i="28"/>
  <c r="E563" i="28"/>
  <c r="D563" i="28"/>
  <c r="C563" i="28"/>
  <c r="B563" i="28"/>
  <c r="H562" i="28"/>
  <c r="G562" i="28"/>
  <c r="F562" i="28"/>
  <c r="E562" i="28"/>
  <c r="D562" i="28"/>
  <c r="C562" i="28"/>
  <c r="B562" i="28"/>
  <c r="H561" i="28"/>
  <c r="G561" i="28"/>
  <c r="F561" i="28"/>
  <c r="E561" i="28"/>
  <c r="D561" i="28"/>
  <c r="C561" i="28"/>
  <c r="B561" i="28"/>
  <c r="H560" i="28"/>
  <c r="G560" i="28"/>
  <c r="F560" i="28"/>
  <c r="E560" i="28"/>
  <c r="D560" i="28"/>
  <c r="C560" i="28"/>
  <c r="B560" i="28"/>
  <c r="H559" i="28"/>
  <c r="G559" i="28"/>
  <c r="F559" i="28"/>
  <c r="E559" i="28"/>
  <c r="D559" i="28"/>
  <c r="C559" i="28"/>
  <c r="B559" i="28"/>
  <c r="H558" i="28"/>
  <c r="G558" i="28"/>
  <c r="F558" i="28"/>
  <c r="E558" i="28"/>
  <c r="D558" i="28"/>
  <c r="C558" i="28"/>
  <c r="B558" i="28"/>
  <c r="H557" i="28"/>
  <c r="G557" i="28"/>
  <c r="F557" i="28"/>
  <c r="E557" i="28"/>
  <c r="D557" i="28"/>
  <c r="C557" i="28"/>
  <c r="B557" i="28"/>
  <c r="H556" i="28"/>
  <c r="G556" i="28"/>
  <c r="F556" i="28"/>
  <c r="E556" i="28"/>
  <c r="D556" i="28"/>
  <c r="C556" i="28"/>
  <c r="B556" i="28"/>
  <c r="H555" i="28"/>
  <c r="G555" i="28"/>
  <c r="F555" i="28"/>
  <c r="E555" i="28"/>
  <c r="D555" i="28"/>
  <c r="C555" i="28"/>
  <c r="B555" i="28"/>
  <c r="H554" i="28"/>
  <c r="G554" i="28"/>
  <c r="F554" i="28"/>
  <c r="E554" i="28"/>
  <c r="D554" i="28"/>
  <c r="C554" i="28"/>
  <c r="B554" i="28"/>
  <c r="H553" i="28"/>
  <c r="G553" i="28"/>
  <c r="F553" i="28"/>
  <c r="E553" i="28"/>
  <c r="D553" i="28"/>
  <c r="C553" i="28"/>
  <c r="B553" i="28"/>
  <c r="H552" i="28"/>
  <c r="G552" i="28"/>
  <c r="F552" i="28"/>
  <c r="E552" i="28"/>
  <c r="D552" i="28"/>
  <c r="C552" i="28"/>
  <c r="B552" i="28"/>
  <c r="H551" i="28"/>
  <c r="G551" i="28"/>
  <c r="F551" i="28"/>
  <c r="E551" i="28"/>
  <c r="D551" i="28"/>
  <c r="C551" i="28"/>
  <c r="B551" i="28"/>
  <c r="H550" i="28"/>
  <c r="G550" i="28"/>
  <c r="F550" i="28"/>
  <c r="E550" i="28"/>
  <c r="D550" i="28"/>
  <c r="C550" i="28"/>
  <c r="B550" i="28"/>
  <c r="H549" i="28"/>
  <c r="G549" i="28"/>
  <c r="F549" i="28"/>
  <c r="E549" i="28"/>
  <c r="D549" i="28"/>
  <c r="C549" i="28"/>
  <c r="B549" i="28"/>
  <c r="H548" i="28"/>
  <c r="G548" i="28"/>
  <c r="F548" i="28"/>
  <c r="E548" i="28"/>
  <c r="D548" i="28"/>
  <c r="C548" i="28"/>
  <c r="B548" i="28"/>
  <c r="H547" i="28"/>
  <c r="G547" i="28"/>
  <c r="F547" i="28"/>
  <c r="E547" i="28"/>
  <c r="D547" i="28"/>
  <c r="C547" i="28"/>
  <c r="B547" i="28"/>
  <c r="H546" i="28"/>
  <c r="G546" i="28"/>
  <c r="F546" i="28"/>
  <c r="E546" i="28"/>
  <c r="D546" i="28"/>
  <c r="C546" i="28"/>
  <c r="B546" i="28"/>
  <c r="H545" i="28"/>
  <c r="G545" i="28"/>
  <c r="F545" i="28"/>
  <c r="E545" i="28"/>
  <c r="D545" i="28"/>
  <c r="C545" i="28"/>
  <c r="B545" i="28"/>
  <c r="H544" i="28"/>
  <c r="G544" i="28"/>
  <c r="F544" i="28"/>
  <c r="E544" i="28"/>
  <c r="D544" i="28"/>
  <c r="C544" i="28"/>
  <c r="B544" i="28"/>
  <c r="H543" i="28"/>
  <c r="G543" i="28"/>
  <c r="F543" i="28"/>
  <c r="E543" i="28"/>
  <c r="D543" i="28"/>
  <c r="C543" i="28"/>
  <c r="B543" i="28"/>
  <c r="H542" i="28"/>
  <c r="G542" i="28"/>
  <c r="F542" i="28"/>
  <c r="E542" i="28"/>
  <c r="D542" i="28"/>
  <c r="C542" i="28"/>
  <c r="B542" i="28"/>
  <c r="H541" i="28"/>
  <c r="G541" i="28"/>
  <c r="F541" i="28"/>
  <c r="E541" i="28"/>
  <c r="D541" i="28"/>
  <c r="C541" i="28"/>
  <c r="B541" i="28"/>
  <c r="H540" i="28"/>
  <c r="G540" i="28"/>
  <c r="F540" i="28"/>
  <c r="E540" i="28"/>
  <c r="D540" i="28"/>
  <c r="C540" i="28"/>
  <c r="B540" i="28"/>
  <c r="H539" i="28"/>
  <c r="G539" i="28"/>
  <c r="F539" i="28"/>
  <c r="E539" i="28"/>
  <c r="D539" i="28"/>
  <c r="C539" i="28"/>
  <c r="B539" i="28"/>
  <c r="H538" i="28"/>
  <c r="G538" i="28"/>
  <c r="F538" i="28"/>
  <c r="E538" i="28"/>
  <c r="D538" i="28"/>
  <c r="C538" i="28"/>
  <c r="B538" i="28"/>
  <c r="H537" i="28"/>
  <c r="G537" i="28"/>
  <c r="F537" i="28"/>
  <c r="E537" i="28"/>
  <c r="D537" i="28"/>
  <c r="C537" i="28"/>
  <c r="B537" i="28"/>
  <c r="H536" i="28"/>
  <c r="G536" i="28"/>
  <c r="F536" i="28"/>
  <c r="E536" i="28"/>
  <c r="D536" i="28"/>
  <c r="C536" i="28"/>
  <c r="B536" i="28"/>
  <c r="H535" i="28"/>
  <c r="G535" i="28"/>
  <c r="F535" i="28"/>
  <c r="E535" i="28"/>
  <c r="D535" i="28"/>
  <c r="C535" i="28"/>
  <c r="B535" i="28"/>
  <c r="H534" i="28"/>
  <c r="G534" i="28"/>
  <c r="F534" i="28"/>
  <c r="E534" i="28"/>
  <c r="D534" i="28"/>
  <c r="C534" i="28"/>
  <c r="B534" i="28"/>
  <c r="H533" i="28"/>
  <c r="G533" i="28"/>
  <c r="F533" i="28"/>
  <c r="E533" i="28"/>
  <c r="D533" i="28"/>
  <c r="C533" i="28"/>
  <c r="B533" i="28"/>
  <c r="H532" i="28"/>
  <c r="G532" i="28"/>
  <c r="F532" i="28"/>
  <c r="E532" i="28"/>
  <c r="D532" i="28"/>
  <c r="C532" i="28"/>
  <c r="B532" i="28"/>
  <c r="H531" i="28"/>
  <c r="G531" i="28"/>
  <c r="F531" i="28"/>
  <c r="E531" i="28"/>
  <c r="D531" i="28"/>
  <c r="C531" i="28"/>
  <c r="B531" i="28"/>
  <c r="H530" i="28"/>
  <c r="G530" i="28"/>
  <c r="F530" i="28"/>
  <c r="E530" i="28"/>
  <c r="D530" i="28"/>
  <c r="C530" i="28"/>
  <c r="B530" i="28"/>
  <c r="H529" i="28"/>
  <c r="G529" i="28"/>
  <c r="F529" i="28"/>
  <c r="E529" i="28"/>
  <c r="D529" i="28"/>
  <c r="C529" i="28"/>
  <c r="B529" i="28"/>
  <c r="H528" i="28"/>
  <c r="G528" i="28"/>
  <c r="F528" i="28"/>
  <c r="E528" i="28"/>
  <c r="D528" i="28"/>
  <c r="C528" i="28"/>
  <c r="B528" i="28"/>
  <c r="H527" i="28"/>
  <c r="G527" i="28"/>
  <c r="F527" i="28"/>
  <c r="E527" i="28"/>
  <c r="D527" i="28"/>
  <c r="C527" i="28"/>
  <c r="B527" i="28"/>
  <c r="H526" i="28"/>
  <c r="G526" i="28"/>
  <c r="F526" i="28"/>
  <c r="E526" i="28"/>
  <c r="D526" i="28"/>
  <c r="C526" i="28"/>
  <c r="B526" i="28"/>
  <c r="H525" i="28"/>
  <c r="G525" i="28"/>
  <c r="F525" i="28"/>
  <c r="E525" i="28"/>
  <c r="D525" i="28"/>
  <c r="C525" i="28"/>
  <c r="B525" i="28"/>
  <c r="H524" i="28"/>
  <c r="G524" i="28"/>
  <c r="F524" i="28"/>
  <c r="E524" i="28"/>
  <c r="D524" i="28"/>
  <c r="C524" i="28"/>
  <c r="B524" i="28"/>
  <c r="H523" i="28"/>
  <c r="G523" i="28"/>
  <c r="F523" i="28"/>
  <c r="E523" i="28"/>
  <c r="D523" i="28"/>
  <c r="C523" i="28"/>
  <c r="B523" i="28"/>
  <c r="H522" i="28"/>
  <c r="G522" i="28"/>
  <c r="F522" i="28"/>
  <c r="E522" i="28"/>
  <c r="D522" i="28"/>
  <c r="C522" i="28"/>
  <c r="B522" i="28"/>
  <c r="H521" i="28"/>
  <c r="G521" i="28"/>
  <c r="F521" i="28"/>
  <c r="E521" i="28"/>
  <c r="D521" i="28"/>
  <c r="C521" i="28"/>
  <c r="B521" i="28"/>
  <c r="H520" i="28"/>
  <c r="G520" i="28"/>
  <c r="F520" i="28"/>
  <c r="E520" i="28"/>
  <c r="D520" i="28"/>
  <c r="C520" i="28"/>
  <c r="B520" i="28"/>
  <c r="H519" i="28"/>
  <c r="G519" i="28"/>
  <c r="F519" i="28"/>
  <c r="E519" i="28"/>
  <c r="D519" i="28"/>
  <c r="C519" i="28"/>
  <c r="B519" i="28"/>
  <c r="H518" i="28"/>
  <c r="G518" i="28"/>
  <c r="F518" i="28"/>
  <c r="E518" i="28"/>
  <c r="D518" i="28"/>
  <c r="C518" i="28"/>
  <c r="B518" i="28"/>
  <c r="H517" i="28"/>
  <c r="G517" i="28"/>
  <c r="F517" i="28"/>
  <c r="E517" i="28"/>
  <c r="D517" i="28"/>
  <c r="C517" i="28"/>
  <c r="B517" i="28"/>
  <c r="H516" i="28"/>
  <c r="G516" i="28"/>
  <c r="F516" i="28"/>
  <c r="E516" i="28"/>
  <c r="D516" i="28"/>
  <c r="C516" i="28"/>
  <c r="B516" i="28"/>
  <c r="H515" i="28"/>
  <c r="G515" i="28"/>
  <c r="F515" i="28"/>
  <c r="E515" i="28"/>
  <c r="D515" i="28"/>
  <c r="C515" i="28"/>
  <c r="B515" i="28"/>
  <c r="H514" i="28"/>
  <c r="G514" i="28"/>
  <c r="F514" i="28"/>
  <c r="E514" i="28"/>
  <c r="D514" i="28"/>
  <c r="C514" i="28"/>
  <c r="B514" i="28"/>
  <c r="H513" i="28"/>
  <c r="G513" i="28"/>
  <c r="F513" i="28"/>
  <c r="E513" i="28"/>
  <c r="D513" i="28"/>
  <c r="C513" i="28"/>
  <c r="B513" i="28"/>
  <c r="H512" i="28"/>
  <c r="G512" i="28"/>
  <c r="F512" i="28"/>
  <c r="E512" i="28"/>
  <c r="D512" i="28"/>
  <c r="C512" i="28"/>
  <c r="B512" i="28"/>
  <c r="H511" i="28"/>
  <c r="G511" i="28"/>
  <c r="F511" i="28"/>
  <c r="E511" i="28"/>
  <c r="D511" i="28"/>
  <c r="C511" i="28"/>
  <c r="B511" i="28"/>
  <c r="H510" i="28"/>
  <c r="G510" i="28"/>
  <c r="F510" i="28"/>
  <c r="E510" i="28"/>
  <c r="D510" i="28"/>
  <c r="C510" i="28"/>
  <c r="B510" i="28"/>
  <c r="H509" i="28"/>
  <c r="G509" i="28"/>
  <c r="F509" i="28"/>
  <c r="E509" i="28"/>
  <c r="D509" i="28"/>
  <c r="C509" i="28"/>
  <c r="B509" i="28"/>
  <c r="H508" i="28"/>
  <c r="G508" i="28"/>
  <c r="F508" i="28"/>
  <c r="E508" i="28"/>
  <c r="D508" i="28"/>
  <c r="C508" i="28"/>
  <c r="B508" i="28"/>
  <c r="H507" i="28"/>
  <c r="G507" i="28"/>
  <c r="F507" i="28"/>
  <c r="E507" i="28"/>
  <c r="D507" i="28"/>
  <c r="C507" i="28"/>
  <c r="B507" i="28"/>
  <c r="H506" i="28"/>
  <c r="G506" i="28"/>
  <c r="F506" i="28"/>
  <c r="E506" i="28"/>
  <c r="D506" i="28"/>
  <c r="C506" i="28"/>
  <c r="B506" i="28"/>
  <c r="H505" i="28"/>
  <c r="G505" i="28"/>
  <c r="F505" i="28"/>
  <c r="E505" i="28"/>
  <c r="D505" i="28"/>
  <c r="C505" i="28"/>
  <c r="B505" i="28"/>
  <c r="H504" i="28"/>
  <c r="G504" i="28"/>
  <c r="F504" i="28"/>
  <c r="E504" i="28"/>
  <c r="D504" i="28"/>
  <c r="C504" i="28"/>
  <c r="B504" i="28"/>
  <c r="H503" i="28"/>
  <c r="G503" i="28"/>
  <c r="F503" i="28"/>
  <c r="E503" i="28"/>
  <c r="D503" i="28"/>
  <c r="C503" i="28"/>
  <c r="B503" i="28"/>
  <c r="H502" i="28"/>
  <c r="G502" i="28"/>
  <c r="F502" i="28"/>
  <c r="E502" i="28"/>
  <c r="D502" i="28"/>
  <c r="C502" i="28"/>
  <c r="B502" i="28"/>
  <c r="H501" i="28"/>
  <c r="G501" i="28"/>
  <c r="F501" i="28"/>
  <c r="E501" i="28"/>
  <c r="D501" i="28"/>
  <c r="C501" i="28"/>
  <c r="B501" i="28"/>
  <c r="H500" i="28"/>
  <c r="G500" i="28"/>
  <c r="F500" i="28"/>
  <c r="E500" i="28"/>
  <c r="D500" i="28"/>
  <c r="C500" i="28"/>
  <c r="B500" i="28"/>
  <c r="H499" i="28"/>
  <c r="G499" i="28"/>
  <c r="F499" i="28"/>
  <c r="E499" i="28"/>
  <c r="D499" i="28"/>
  <c r="C499" i="28"/>
  <c r="B499" i="28"/>
  <c r="H498" i="28"/>
  <c r="G498" i="28"/>
  <c r="F498" i="28"/>
  <c r="E498" i="28"/>
  <c r="D498" i="28"/>
  <c r="C498" i="28"/>
  <c r="B498" i="28"/>
  <c r="H497" i="28"/>
  <c r="G497" i="28"/>
  <c r="F497" i="28"/>
  <c r="E497" i="28"/>
  <c r="D497" i="28"/>
  <c r="C497" i="28"/>
  <c r="B497" i="28"/>
  <c r="H496" i="28"/>
  <c r="G496" i="28"/>
  <c r="F496" i="28"/>
  <c r="E496" i="28"/>
  <c r="D496" i="28"/>
  <c r="C496" i="28"/>
  <c r="B496" i="28"/>
  <c r="H495" i="28"/>
  <c r="G495" i="28"/>
  <c r="F495" i="28"/>
  <c r="E495" i="28"/>
  <c r="D495" i="28"/>
  <c r="C495" i="28"/>
  <c r="B495" i="28"/>
  <c r="H494" i="28"/>
  <c r="G494" i="28"/>
  <c r="F494" i="28"/>
  <c r="E494" i="28"/>
  <c r="D494" i="28"/>
  <c r="C494" i="28"/>
  <c r="B494" i="28"/>
  <c r="H493" i="28"/>
  <c r="G493" i="28"/>
  <c r="F493" i="28"/>
  <c r="E493" i="28"/>
  <c r="D493" i="28"/>
  <c r="C493" i="28"/>
  <c r="B493" i="28"/>
  <c r="H492" i="28"/>
  <c r="G492" i="28"/>
  <c r="F492" i="28"/>
  <c r="E492" i="28"/>
  <c r="D492" i="28"/>
  <c r="C492" i="28"/>
  <c r="B492" i="28"/>
  <c r="H491" i="28"/>
  <c r="G491" i="28"/>
  <c r="F491" i="28"/>
  <c r="E491" i="28"/>
  <c r="D491" i="28"/>
  <c r="C491" i="28"/>
  <c r="B491" i="28"/>
  <c r="H490" i="28"/>
  <c r="G490" i="28"/>
  <c r="F490" i="28"/>
  <c r="E490" i="28"/>
  <c r="D490" i="28"/>
  <c r="C490" i="28"/>
  <c r="B490" i="28"/>
  <c r="H489" i="28"/>
  <c r="G489" i="28"/>
  <c r="F489" i="28"/>
  <c r="E489" i="28"/>
  <c r="D489" i="28"/>
  <c r="C489" i="28"/>
  <c r="B489" i="28"/>
  <c r="H488" i="28"/>
  <c r="G488" i="28"/>
  <c r="F488" i="28"/>
  <c r="E488" i="28"/>
  <c r="D488" i="28"/>
  <c r="C488" i="28"/>
  <c r="B488" i="28"/>
  <c r="H487" i="28"/>
  <c r="G487" i="28"/>
  <c r="F487" i="28"/>
  <c r="E487" i="28"/>
  <c r="D487" i="28"/>
  <c r="C487" i="28"/>
  <c r="B487" i="28"/>
  <c r="H486" i="28"/>
  <c r="G486" i="28"/>
  <c r="F486" i="28"/>
  <c r="E486" i="28"/>
  <c r="D486" i="28"/>
  <c r="C486" i="28"/>
  <c r="B486" i="28"/>
  <c r="H485" i="28"/>
  <c r="G485" i="28"/>
  <c r="F485" i="28"/>
  <c r="E485" i="28"/>
  <c r="D485" i="28"/>
  <c r="C485" i="28"/>
  <c r="B485" i="28"/>
  <c r="H484" i="28"/>
  <c r="G484" i="28"/>
  <c r="F484" i="28"/>
  <c r="E484" i="28"/>
  <c r="D484" i="28"/>
  <c r="C484" i="28"/>
  <c r="B484" i="28"/>
  <c r="H483" i="28"/>
  <c r="G483" i="28"/>
  <c r="F483" i="28"/>
  <c r="E483" i="28"/>
  <c r="D483" i="28"/>
  <c r="C483" i="28"/>
  <c r="B483" i="28"/>
  <c r="H482" i="28"/>
  <c r="G482" i="28"/>
  <c r="F482" i="28"/>
  <c r="E482" i="28"/>
  <c r="D482" i="28"/>
  <c r="C482" i="28"/>
  <c r="B482" i="28"/>
  <c r="H481" i="28"/>
  <c r="G481" i="28"/>
  <c r="F481" i="28"/>
  <c r="E481" i="28"/>
  <c r="D481" i="28"/>
  <c r="C481" i="28"/>
  <c r="B481" i="28"/>
  <c r="H480" i="28"/>
  <c r="G480" i="28"/>
  <c r="F480" i="28"/>
  <c r="E480" i="28"/>
  <c r="D480" i="28"/>
  <c r="C480" i="28"/>
  <c r="B480" i="28"/>
  <c r="H479" i="28"/>
  <c r="G479" i="28"/>
  <c r="F479" i="28"/>
  <c r="E479" i="28"/>
  <c r="D479" i="28"/>
  <c r="C479" i="28"/>
  <c r="B479" i="28"/>
  <c r="H478" i="28"/>
  <c r="G478" i="28"/>
  <c r="F478" i="28"/>
  <c r="E478" i="28"/>
  <c r="D478" i="28"/>
  <c r="C478" i="28"/>
  <c r="B478" i="28"/>
  <c r="H477" i="28"/>
  <c r="G477" i="28"/>
  <c r="F477" i="28"/>
  <c r="E477" i="28"/>
  <c r="D477" i="28"/>
  <c r="C477" i="28"/>
  <c r="B477" i="28"/>
  <c r="H476" i="28"/>
  <c r="G476" i="28"/>
  <c r="F476" i="28"/>
  <c r="E476" i="28"/>
  <c r="D476" i="28"/>
  <c r="C476" i="28"/>
  <c r="B476" i="28"/>
  <c r="H475" i="28"/>
  <c r="G475" i="28"/>
  <c r="F475" i="28"/>
  <c r="E475" i="28"/>
  <c r="D475" i="28"/>
  <c r="C475" i="28"/>
  <c r="B475" i="28"/>
  <c r="H474" i="28"/>
  <c r="G474" i="28"/>
  <c r="F474" i="28"/>
  <c r="E474" i="28"/>
  <c r="D474" i="28"/>
  <c r="C474" i="28"/>
  <c r="B474" i="28"/>
  <c r="H473" i="28"/>
  <c r="G473" i="28"/>
  <c r="F473" i="28"/>
  <c r="E473" i="28"/>
  <c r="D473" i="28"/>
  <c r="C473" i="28"/>
  <c r="B473" i="28"/>
  <c r="H472" i="28"/>
  <c r="G472" i="28"/>
  <c r="F472" i="28"/>
  <c r="E472" i="28"/>
  <c r="D472" i="28"/>
  <c r="C472" i="28"/>
  <c r="B472" i="28"/>
  <c r="H471" i="28"/>
  <c r="G471" i="28"/>
  <c r="F471" i="28"/>
  <c r="E471" i="28"/>
  <c r="D471" i="28"/>
  <c r="C471" i="28"/>
  <c r="B471" i="28"/>
  <c r="H470" i="28"/>
  <c r="G470" i="28"/>
  <c r="F470" i="28"/>
  <c r="E470" i="28"/>
  <c r="D470" i="28"/>
  <c r="C470" i="28"/>
  <c r="B470" i="28"/>
  <c r="H469" i="28"/>
  <c r="G469" i="28"/>
  <c r="F469" i="28"/>
  <c r="E469" i="28"/>
  <c r="D469" i="28"/>
  <c r="C469" i="28"/>
  <c r="B469" i="28"/>
  <c r="H468" i="28"/>
  <c r="G468" i="28"/>
  <c r="F468" i="28"/>
  <c r="E468" i="28"/>
  <c r="D468" i="28"/>
  <c r="C468" i="28"/>
  <c r="B468" i="28"/>
  <c r="H467" i="28"/>
  <c r="G467" i="28"/>
  <c r="F467" i="28"/>
  <c r="E467" i="28"/>
  <c r="D467" i="28"/>
  <c r="C467" i="28"/>
  <c r="B467" i="28"/>
  <c r="H466" i="28"/>
  <c r="G466" i="28"/>
  <c r="F466" i="28"/>
  <c r="E466" i="28"/>
  <c r="D466" i="28"/>
  <c r="C466" i="28"/>
  <c r="B466" i="28"/>
  <c r="H465" i="28"/>
  <c r="G465" i="28"/>
  <c r="F465" i="28"/>
  <c r="E465" i="28"/>
  <c r="D465" i="28"/>
  <c r="C465" i="28"/>
  <c r="B465" i="28"/>
  <c r="H464" i="28"/>
  <c r="G464" i="28"/>
  <c r="F464" i="28"/>
  <c r="E464" i="28"/>
  <c r="D464" i="28"/>
  <c r="C464" i="28"/>
  <c r="B464" i="28"/>
  <c r="H463" i="28"/>
  <c r="G463" i="28"/>
  <c r="F463" i="28"/>
  <c r="E463" i="28"/>
  <c r="D463" i="28"/>
  <c r="C463" i="28"/>
  <c r="B463" i="28"/>
  <c r="H462" i="28"/>
  <c r="G462" i="28"/>
  <c r="F462" i="28"/>
  <c r="E462" i="28"/>
  <c r="D462" i="28"/>
  <c r="C462" i="28"/>
  <c r="B462" i="28"/>
  <c r="H461" i="28"/>
  <c r="G461" i="28"/>
  <c r="F461" i="28"/>
  <c r="E461" i="28"/>
  <c r="D461" i="28"/>
  <c r="C461" i="28"/>
  <c r="B461" i="28"/>
  <c r="H460" i="28"/>
  <c r="G460" i="28"/>
  <c r="F460" i="28"/>
  <c r="E460" i="28"/>
  <c r="D460" i="28"/>
  <c r="C460" i="28"/>
  <c r="B460" i="28"/>
  <c r="H459" i="28"/>
  <c r="G459" i="28"/>
  <c r="F459" i="28"/>
  <c r="E459" i="28"/>
  <c r="D459" i="28"/>
  <c r="C459" i="28"/>
  <c r="B459" i="28"/>
  <c r="H458" i="28"/>
  <c r="G458" i="28"/>
  <c r="F458" i="28"/>
  <c r="E458" i="28"/>
  <c r="D458" i="28"/>
  <c r="C458" i="28"/>
  <c r="B458" i="28"/>
  <c r="H457" i="28"/>
  <c r="G457" i="28"/>
  <c r="F457" i="28"/>
  <c r="E457" i="28"/>
  <c r="D457" i="28"/>
  <c r="C457" i="28"/>
  <c r="B457" i="28"/>
  <c r="H456" i="28"/>
  <c r="G456" i="28"/>
  <c r="F456" i="28"/>
  <c r="E456" i="28"/>
  <c r="D456" i="28"/>
  <c r="C456" i="28"/>
  <c r="B456" i="28"/>
  <c r="H455" i="28"/>
  <c r="G455" i="28"/>
  <c r="F455" i="28"/>
  <c r="E455" i="28"/>
  <c r="D455" i="28"/>
  <c r="C455" i="28"/>
  <c r="B455" i="28"/>
  <c r="H454" i="28"/>
  <c r="G454" i="28"/>
  <c r="F454" i="28"/>
  <c r="E454" i="28"/>
  <c r="D454" i="28"/>
  <c r="C454" i="28"/>
  <c r="B454" i="28"/>
  <c r="H453" i="28"/>
  <c r="G453" i="28"/>
  <c r="F453" i="28"/>
  <c r="E453" i="28"/>
  <c r="D453" i="28"/>
  <c r="C453" i="28"/>
  <c r="B453" i="28"/>
  <c r="H452" i="28"/>
  <c r="G452" i="28"/>
  <c r="F452" i="28"/>
  <c r="E452" i="28"/>
  <c r="D452" i="28"/>
  <c r="C452" i="28"/>
  <c r="B452" i="28"/>
  <c r="H451" i="28"/>
  <c r="G451" i="28"/>
  <c r="F451" i="28"/>
  <c r="E451" i="28"/>
  <c r="D451" i="28"/>
  <c r="C451" i="28"/>
  <c r="B451" i="28"/>
  <c r="H450" i="28"/>
  <c r="G450" i="28"/>
  <c r="F450" i="28"/>
  <c r="E450" i="28"/>
  <c r="D450" i="28"/>
  <c r="C450" i="28"/>
  <c r="B450" i="28"/>
  <c r="H449" i="28"/>
  <c r="G449" i="28"/>
  <c r="F449" i="28"/>
  <c r="E449" i="28"/>
  <c r="D449" i="28"/>
  <c r="C449" i="28"/>
  <c r="B449" i="28"/>
  <c r="H448" i="28"/>
  <c r="G448" i="28"/>
  <c r="F448" i="28"/>
  <c r="E448" i="28"/>
  <c r="D448" i="28"/>
  <c r="C448" i="28"/>
  <c r="B448" i="28"/>
  <c r="H447" i="28"/>
  <c r="G447" i="28"/>
  <c r="F447" i="28"/>
  <c r="E447" i="28"/>
  <c r="D447" i="28"/>
  <c r="C447" i="28"/>
  <c r="B447" i="28"/>
  <c r="H446" i="28"/>
  <c r="G446" i="28"/>
  <c r="F446" i="28"/>
  <c r="E446" i="28"/>
  <c r="D446" i="28"/>
  <c r="C446" i="28"/>
  <c r="B446" i="28"/>
  <c r="H445" i="28"/>
  <c r="G445" i="28"/>
  <c r="F445" i="28"/>
  <c r="E445" i="28"/>
  <c r="D445" i="28"/>
  <c r="C445" i="28"/>
  <c r="B445" i="28"/>
  <c r="H444" i="28"/>
  <c r="G444" i="28"/>
  <c r="F444" i="28"/>
  <c r="E444" i="28"/>
  <c r="D444" i="28"/>
  <c r="C444" i="28"/>
  <c r="B444" i="28"/>
  <c r="H443" i="28"/>
  <c r="G443" i="28"/>
  <c r="F443" i="28"/>
  <c r="E443" i="28"/>
  <c r="D443" i="28"/>
  <c r="C443" i="28"/>
  <c r="B443" i="28"/>
  <c r="H442" i="28"/>
  <c r="G442" i="28"/>
  <c r="F442" i="28"/>
  <c r="E442" i="28"/>
  <c r="D442" i="28"/>
  <c r="C442" i="28"/>
  <c r="B442" i="28"/>
  <c r="H441" i="28"/>
  <c r="G441" i="28"/>
  <c r="F441" i="28"/>
  <c r="E441" i="28"/>
  <c r="D441" i="28"/>
  <c r="C441" i="28"/>
  <c r="B441" i="28"/>
  <c r="H440" i="28"/>
  <c r="G440" i="28"/>
  <c r="F440" i="28"/>
  <c r="E440" i="28"/>
  <c r="D440" i="28"/>
  <c r="C440" i="28"/>
  <c r="B440" i="28"/>
  <c r="H439" i="28"/>
  <c r="G439" i="28"/>
  <c r="F439" i="28"/>
  <c r="E439" i="28"/>
  <c r="D439" i="28"/>
  <c r="C439" i="28"/>
  <c r="B439" i="28"/>
  <c r="H438" i="28"/>
  <c r="G438" i="28"/>
  <c r="F438" i="28"/>
  <c r="E438" i="28"/>
  <c r="D438" i="28"/>
  <c r="C438" i="28"/>
  <c r="B438" i="28"/>
  <c r="H437" i="28"/>
  <c r="G437" i="28"/>
  <c r="F437" i="28"/>
  <c r="E437" i="28"/>
  <c r="D437" i="28"/>
  <c r="C437" i="28"/>
  <c r="B437" i="28"/>
  <c r="H436" i="28"/>
  <c r="G436" i="28"/>
  <c r="F436" i="28"/>
  <c r="E436" i="28"/>
  <c r="D436" i="28"/>
  <c r="C436" i="28"/>
  <c r="B436" i="28"/>
  <c r="H435" i="28"/>
  <c r="G435" i="28"/>
  <c r="F435" i="28"/>
  <c r="E435" i="28"/>
  <c r="D435" i="28"/>
  <c r="C435" i="28"/>
  <c r="B435" i="28"/>
  <c r="H434" i="28"/>
  <c r="G434" i="28"/>
  <c r="F434" i="28"/>
  <c r="E434" i="28"/>
  <c r="D434" i="28"/>
  <c r="C434" i="28"/>
  <c r="B434" i="28"/>
  <c r="H433" i="28"/>
  <c r="G433" i="28"/>
  <c r="F433" i="28"/>
  <c r="E433" i="28"/>
  <c r="D433" i="28"/>
  <c r="C433" i="28"/>
  <c r="B433" i="28"/>
  <c r="H432" i="28"/>
  <c r="G432" i="28"/>
  <c r="F432" i="28"/>
  <c r="E432" i="28"/>
  <c r="D432" i="28"/>
  <c r="C432" i="28"/>
  <c r="B432" i="28"/>
  <c r="H431" i="28"/>
  <c r="G431" i="28"/>
  <c r="F431" i="28"/>
  <c r="E431" i="28"/>
  <c r="D431" i="28"/>
  <c r="C431" i="28"/>
  <c r="B431" i="28"/>
  <c r="H430" i="28"/>
  <c r="G430" i="28"/>
  <c r="F430" i="28"/>
  <c r="E430" i="28"/>
  <c r="D430" i="28"/>
  <c r="C430" i="28"/>
  <c r="B430" i="28"/>
  <c r="H429" i="28"/>
  <c r="G429" i="28"/>
  <c r="F429" i="28"/>
  <c r="E429" i="28"/>
  <c r="D429" i="28"/>
  <c r="C429" i="28"/>
  <c r="B429" i="28"/>
  <c r="H428" i="28"/>
  <c r="G428" i="28"/>
  <c r="F428" i="28"/>
  <c r="E428" i="28"/>
  <c r="D428" i="28"/>
  <c r="C428" i="28"/>
  <c r="B428" i="28"/>
  <c r="H427" i="28"/>
  <c r="G427" i="28"/>
  <c r="F427" i="28"/>
  <c r="E427" i="28"/>
  <c r="D427" i="28"/>
  <c r="C427" i="28"/>
  <c r="B427" i="28"/>
  <c r="H426" i="28"/>
  <c r="G426" i="28"/>
  <c r="F426" i="28"/>
  <c r="E426" i="28"/>
  <c r="D426" i="28"/>
  <c r="C426" i="28"/>
  <c r="B426" i="28"/>
  <c r="H425" i="28"/>
  <c r="G425" i="28"/>
  <c r="F425" i="28"/>
  <c r="E425" i="28"/>
  <c r="D425" i="28"/>
  <c r="C425" i="28"/>
  <c r="B425" i="28"/>
  <c r="H424" i="28"/>
  <c r="G424" i="28"/>
  <c r="F424" i="28"/>
  <c r="E424" i="28"/>
  <c r="D424" i="28"/>
  <c r="C424" i="28"/>
  <c r="B424" i="28"/>
  <c r="H423" i="28"/>
  <c r="G423" i="28"/>
  <c r="F423" i="28"/>
  <c r="E423" i="28"/>
  <c r="D423" i="28"/>
  <c r="C423" i="28"/>
  <c r="B423" i="28"/>
  <c r="H422" i="28"/>
  <c r="G422" i="28"/>
  <c r="F422" i="28"/>
  <c r="E422" i="28"/>
  <c r="D422" i="28"/>
  <c r="C422" i="28"/>
  <c r="B422" i="28"/>
  <c r="H421" i="28"/>
  <c r="G421" i="28"/>
  <c r="F421" i="28"/>
  <c r="E421" i="28"/>
  <c r="D421" i="28"/>
  <c r="C421" i="28"/>
  <c r="B421" i="28"/>
  <c r="H420" i="28"/>
  <c r="G420" i="28"/>
  <c r="F420" i="28"/>
  <c r="E420" i="28"/>
  <c r="D420" i="28"/>
  <c r="C420" i="28"/>
  <c r="B420" i="28"/>
  <c r="H419" i="28"/>
  <c r="G419" i="28"/>
  <c r="F419" i="28"/>
  <c r="E419" i="28"/>
  <c r="D419" i="28"/>
  <c r="C419" i="28"/>
  <c r="B419" i="28"/>
  <c r="H418" i="28"/>
  <c r="G418" i="28"/>
  <c r="F418" i="28"/>
  <c r="E418" i="28"/>
  <c r="D418" i="28"/>
  <c r="C418" i="28"/>
  <c r="B418" i="28"/>
  <c r="H417" i="28"/>
  <c r="G417" i="28"/>
  <c r="F417" i="28"/>
  <c r="E417" i="28"/>
  <c r="D417" i="28"/>
  <c r="C417" i="28"/>
  <c r="B417" i="28"/>
  <c r="H416" i="28"/>
  <c r="G416" i="28"/>
  <c r="F416" i="28"/>
  <c r="E416" i="28"/>
  <c r="D416" i="28"/>
  <c r="C416" i="28"/>
  <c r="B416" i="28"/>
  <c r="H415" i="28"/>
  <c r="G415" i="28"/>
  <c r="F415" i="28"/>
  <c r="E415" i="28"/>
  <c r="D415" i="28"/>
  <c r="C415" i="28"/>
  <c r="B415" i="28"/>
  <c r="H414" i="28"/>
  <c r="G414" i="28"/>
  <c r="F414" i="28"/>
  <c r="E414" i="28"/>
  <c r="D414" i="28"/>
  <c r="C414" i="28"/>
  <c r="B414" i="28"/>
  <c r="H413" i="28"/>
  <c r="G413" i="28"/>
  <c r="F413" i="28"/>
  <c r="E413" i="28"/>
  <c r="D413" i="28"/>
  <c r="C413" i="28"/>
  <c r="B413" i="28"/>
  <c r="H412" i="28"/>
  <c r="G412" i="28"/>
  <c r="F412" i="28"/>
  <c r="E412" i="28"/>
  <c r="D412" i="28"/>
  <c r="C412" i="28"/>
  <c r="B412" i="28"/>
  <c r="H411" i="28"/>
  <c r="G411" i="28"/>
  <c r="F411" i="28"/>
  <c r="E411" i="28"/>
  <c r="D411" i="28"/>
  <c r="C411" i="28"/>
  <c r="B411" i="28"/>
  <c r="H410" i="28"/>
  <c r="G410" i="28"/>
  <c r="F410" i="28"/>
  <c r="E410" i="28"/>
  <c r="D410" i="28"/>
  <c r="C410" i="28"/>
  <c r="B410" i="28"/>
  <c r="H409" i="28"/>
  <c r="G409" i="28"/>
  <c r="F409" i="28"/>
  <c r="E409" i="28"/>
  <c r="D409" i="28"/>
  <c r="C409" i="28"/>
  <c r="B409" i="28"/>
  <c r="H408" i="28"/>
  <c r="G408" i="28"/>
  <c r="F408" i="28"/>
  <c r="E408" i="28"/>
  <c r="D408" i="28"/>
  <c r="C408" i="28"/>
  <c r="B408" i="28"/>
  <c r="H407" i="28"/>
  <c r="G407" i="28"/>
  <c r="F407" i="28"/>
  <c r="E407" i="28"/>
  <c r="D407" i="28"/>
  <c r="C407" i="28"/>
  <c r="B407" i="28"/>
  <c r="H406" i="28"/>
  <c r="G406" i="28"/>
  <c r="F406" i="28"/>
  <c r="E406" i="28"/>
  <c r="D406" i="28"/>
  <c r="C406" i="28"/>
  <c r="B406" i="28"/>
  <c r="H405" i="28"/>
  <c r="G405" i="28"/>
  <c r="F405" i="28"/>
  <c r="E405" i="28"/>
  <c r="D405" i="28"/>
  <c r="C405" i="28"/>
  <c r="B405" i="28"/>
  <c r="H404" i="28"/>
  <c r="G404" i="28"/>
  <c r="F404" i="28"/>
  <c r="E404" i="28"/>
  <c r="D404" i="28"/>
  <c r="C404" i="28"/>
  <c r="B404" i="28"/>
  <c r="H403" i="28"/>
  <c r="G403" i="28"/>
  <c r="F403" i="28"/>
  <c r="E403" i="28"/>
  <c r="D403" i="28"/>
  <c r="C403" i="28"/>
  <c r="B403" i="28"/>
  <c r="H402" i="28"/>
  <c r="G402" i="28"/>
  <c r="F402" i="28"/>
  <c r="E402" i="28"/>
  <c r="D402" i="28"/>
  <c r="C402" i="28"/>
  <c r="B402" i="28"/>
  <c r="H401" i="28"/>
  <c r="G401" i="28"/>
  <c r="F401" i="28"/>
  <c r="E401" i="28"/>
  <c r="D401" i="28"/>
  <c r="C401" i="28"/>
  <c r="B401" i="28"/>
  <c r="H400" i="28"/>
  <c r="G400" i="28"/>
  <c r="F400" i="28"/>
  <c r="E400" i="28"/>
  <c r="D400" i="28"/>
  <c r="C400" i="28"/>
  <c r="B400" i="28"/>
  <c r="H399" i="28"/>
  <c r="G399" i="28"/>
  <c r="F399" i="28"/>
  <c r="E399" i="28"/>
  <c r="D399" i="28"/>
  <c r="C399" i="28"/>
  <c r="B399" i="28"/>
  <c r="H398" i="28"/>
  <c r="G398" i="28"/>
  <c r="F398" i="28"/>
  <c r="E398" i="28"/>
  <c r="D398" i="28"/>
  <c r="C398" i="28"/>
  <c r="B398" i="28"/>
  <c r="H397" i="28"/>
  <c r="G397" i="28"/>
  <c r="F397" i="28"/>
  <c r="E397" i="28"/>
  <c r="D397" i="28"/>
  <c r="C397" i="28"/>
  <c r="B397" i="28"/>
  <c r="H396" i="28"/>
  <c r="G396" i="28"/>
  <c r="F396" i="28"/>
  <c r="E396" i="28"/>
  <c r="D396" i="28"/>
  <c r="C396" i="28"/>
  <c r="B396" i="28"/>
  <c r="H395" i="28"/>
  <c r="G395" i="28"/>
  <c r="F395" i="28"/>
  <c r="E395" i="28"/>
  <c r="D395" i="28"/>
  <c r="C395" i="28"/>
  <c r="B395" i="28"/>
  <c r="H394" i="28"/>
  <c r="G394" i="28"/>
  <c r="F394" i="28"/>
  <c r="E394" i="28"/>
  <c r="D394" i="28"/>
  <c r="C394" i="28"/>
  <c r="B394" i="28"/>
  <c r="H393" i="28"/>
  <c r="G393" i="28"/>
  <c r="F393" i="28"/>
  <c r="E393" i="28"/>
  <c r="D393" i="28"/>
  <c r="C393" i="28"/>
  <c r="B393" i="28"/>
  <c r="H392" i="28"/>
  <c r="G392" i="28"/>
  <c r="F392" i="28"/>
  <c r="E392" i="28"/>
  <c r="D392" i="28"/>
  <c r="C392" i="28"/>
  <c r="B392" i="28"/>
  <c r="H391" i="28"/>
  <c r="G391" i="28"/>
  <c r="F391" i="28"/>
  <c r="E391" i="28"/>
  <c r="D391" i="28"/>
  <c r="C391" i="28"/>
  <c r="B391" i="28"/>
  <c r="H390" i="28"/>
  <c r="G390" i="28"/>
  <c r="F390" i="28"/>
  <c r="E390" i="28"/>
  <c r="D390" i="28"/>
  <c r="C390" i="28"/>
  <c r="B390" i="28"/>
  <c r="H389" i="28"/>
  <c r="G389" i="28"/>
  <c r="F389" i="28"/>
  <c r="E389" i="28"/>
  <c r="D389" i="28"/>
  <c r="C389" i="28"/>
  <c r="B389" i="28"/>
  <c r="H388" i="28"/>
  <c r="G388" i="28"/>
  <c r="F388" i="28"/>
  <c r="E388" i="28"/>
  <c r="D388" i="28"/>
  <c r="C388" i="28"/>
  <c r="B388" i="28"/>
  <c r="H387" i="28"/>
  <c r="G387" i="28"/>
  <c r="F387" i="28"/>
  <c r="E387" i="28"/>
  <c r="D387" i="28"/>
  <c r="C387" i="28"/>
  <c r="B387" i="28"/>
  <c r="H386" i="28"/>
  <c r="G386" i="28"/>
  <c r="F386" i="28"/>
  <c r="E386" i="28"/>
  <c r="D386" i="28"/>
  <c r="C386" i="28"/>
  <c r="B386" i="28"/>
  <c r="H385" i="28"/>
  <c r="G385" i="28"/>
  <c r="F385" i="28"/>
  <c r="E385" i="28"/>
  <c r="D385" i="28"/>
  <c r="C385" i="28"/>
  <c r="B385" i="28"/>
  <c r="H384" i="28"/>
  <c r="G384" i="28"/>
  <c r="F384" i="28"/>
  <c r="E384" i="28"/>
  <c r="D384" i="28"/>
  <c r="C384" i="28"/>
  <c r="B384" i="28"/>
  <c r="H383" i="28"/>
  <c r="G383" i="28"/>
  <c r="F383" i="28"/>
  <c r="E383" i="28"/>
  <c r="D383" i="28"/>
  <c r="C383" i="28"/>
  <c r="B383" i="28"/>
  <c r="H382" i="28"/>
  <c r="G382" i="28"/>
  <c r="F382" i="28"/>
  <c r="E382" i="28"/>
  <c r="D382" i="28"/>
  <c r="C382" i="28"/>
  <c r="B382" i="28"/>
  <c r="H381" i="28"/>
  <c r="G381" i="28"/>
  <c r="F381" i="28"/>
  <c r="E381" i="28"/>
  <c r="D381" i="28"/>
  <c r="C381" i="28"/>
  <c r="B381" i="28"/>
  <c r="H380" i="28"/>
  <c r="G380" i="28"/>
  <c r="F380" i="28"/>
  <c r="E380" i="28"/>
  <c r="D380" i="28"/>
  <c r="C380" i="28"/>
  <c r="B380" i="28"/>
  <c r="H379" i="28"/>
  <c r="G379" i="28"/>
  <c r="F379" i="28"/>
  <c r="E379" i="28"/>
  <c r="D379" i="28"/>
  <c r="C379" i="28"/>
  <c r="B379" i="28"/>
  <c r="H378" i="28"/>
  <c r="G378" i="28"/>
  <c r="F378" i="28"/>
  <c r="E378" i="28"/>
  <c r="D378" i="28"/>
  <c r="C378" i="28"/>
  <c r="B378" i="28"/>
  <c r="H377" i="28"/>
  <c r="G377" i="28"/>
  <c r="F377" i="28"/>
  <c r="E377" i="28"/>
  <c r="D377" i="28"/>
  <c r="C377" i="28"/>
  <c r="B377" i="28"/>
  <c r="H376" i="28"/>
  <c r="G376" i="28"/>
  <c r="F376" i="28"/>
  <c r="E376" i="28"/>
  <c r="D376" i="28"/>
  <c r="C376" i="28"/>
  <c r="B376" i="28"/>
  <c r="H375" i="28"/>
  <c r="G375" i="28"/>
  <c r="F375" i="28"/>
  <c r="E375" i="28"/>
  <c r="D375" i="28"/>
  <c r="C375" i="28"/>
  <c r="B375" i="28"/>
  <c r="H374" i="28"/>
  <c r="G374" i="28"/>
  <c r="F374" i="28"/>
  <c r="E374" i="28"/>
  <c r="D374" i="28"/>
  <c r="C374" i="28"/>
  <c r="B374" i="28"/>
  <c r="H373" i="28"/>
  <c r="G373" i="28"/>
  <c r="F373" i="28"/>
  <c r="E373" i="28"/>
  <c r="D373" i="28"/>
  <c r="C373" i="28"/>
  <c r="B373" i="28"/>
  <c r="H372" i="28"/>
  <c r="G372" i="28"/>
  <c r="F372" i="28"/>
  <c r="E372" i="28"/>
  <c r="D372" i="28"/>
  <c r="C372" i="28"/>
  <c r="B372" i="28"/>
  <c r="H371" i="28"/>
  <c r="G371" i="28"/>
  <c r="F371" i="28"/>
  <c r="E371" i="28"/>
  <c r="D371" i="28"/>
  <c r="C371" i="28"/>
  <c r="B371" i="28"/>
  <c r="H370" i="28"/>
  <c r="G370" i="28"/>
  <c r="F370" i="28"/>
  <c r="E370" i="28"/>
  <c r="D370" i="28"/>
  <c r="C370" i="28"/>
  <c r="B370" i="28"/>
  <c r="H369" i="28"/>
  <c r="G369" i="28"/>
  <c r="F369" i="28"/>
  <c r="E369" i="28"/>
  <c r="D369" i="28"/>
  <c r="C369" i="28"/>
  <c r="B369" i="28"/>
  <c r="H368" i="28"/>
  <c r="G368" i="28"/>
  <c r="F368" i="28"/>
  <c r="E368" i="28"/>
  <c r="D368" i="28"/>
  <c r="C368" i="28"/>
  <c r="B368" i="28"/>
  <c r="H367" i="28"/>
  <c r="G367" i="28"/>
  <c r="F367" i="28"/>
  <c r="E367" i="28"/>
  <c r="D367" i="28"/>
  <c r="C367" i="28"/>
  <c r="B367" i="28"/>
  <c r="H366" i="28"/>
  <c r="G366" i="28"/>
  <c r="F366" i="28"/>
  <c r="E366" i="28"/>
  <c r="D366" i="28"/>
  <c r="C366" i="28"/>
  <c r="B366" i="28"/>
  <c r="H365" i="28"/>
  <c r="G365" i="28"/>
  <c r="F365" i="28"/>
  <c r="E365" i="28"/>
  <c r="D365" i="28"/>
  <c r="C365" i="28"/>
  <c r="B365" i="28"/>
  <c r="H364" i="28"/>
  <c r="G364" i="28"/>
  <c r="F364" i="28"/>
  <c r="E364" i="28"/>
  <c r="D364" i="28"/>
  <c r="C364" i="28"/>
  <c r="B364" i="28"/>
  <c r="H363" i="28"/>
  <c r="G363" i="28"/>
  <c r="F363" i="28"/>
  <c r="E363" i="28"/>
  <c r="D363" i="28"/>
  <c r="C363" i="28"/>
  <c r="B363" i="28"/>
  <c r="H362" i="28"/>
  <c r="G362" i="28"/>
  <c r="F362" i="28"/>
  <c r="E362" i="28"/>
  <c r="D362" i="28"/>
  <c r="C362" i="28"/>
  <c r="B362" i="28"/>
  <c r="H361" i="28"/>
  <c r="G361" i="28"/>
  <c r="F361" i="28"/>
  <c r="E361" i="28"/>
  <c r="D361" i="28"/>
  <c r="C361" i="28"/>
  <c r="B361" i="28"/>
  <c r="H360" i="28"/>
  <c r="G360" i="28"/>
  <c r="F360" i="28"/>
  <c r="E360" i="28"/>
  <c r="D360" i="28"/>
  <c r="C360" i="28"/>
  <c r="B360" i="28"/>
  <c r="H359" i="28"/>
  <c r="G359" i="28"/>
  <c r="F359" i="28"/>
  <c r="E359" i="28"/>
  <c r="D359" i="28"/>
  <c r="C359" i="28"/>
  <c r="B359" i="28"/>
  <c r="H358" i="28"/>
  <c r="G358" i="28"/>
  <c r="F358" i="28"/>
  <c r="E358" i="28"/>
  <c r="D358" i="28"/>
  <c r="C358" i="28"/>
  <c r="B358" i="28"/>
  <c r="H357" i="28"/>
  <c r="G357" i="28"/>
  <c r="F357" i="28"/>
  <c r="E357" i="28"/>
  <c r="D357" i="28"/>
  <c r="C357" i="28"/>
  <c r="B357" i="28"/>
  <c r="H356" i="28"/>
  <c r="G356" i="28"/>
  <c r="F356" i="28"/>
  <c r="E356" i="28"/>
  <c r="D356" i="28"/>
  <c r="C356" i="28"/>
  <c r="B356" i="28"/>
  <c r="H355" i="28"/>
  <c r="G355" i="28"/>
  <c r="F355" i="28"/>
  <c r="E355" i="28"/>
  <c r="D355" i="28"/>
  <c r="C355" i="28"/>
  <c r="B355" i="28"/>
  <c r="H354" i="28"/>
  <c r="G354" i="28"/>
  <c r="F354" i="28"/>
  <c r="E354" i="28"/>
  <c r="D354" i="28"/>
  <c r="C354" i="28"/>
  <c r="B354" i="28"/>
  <c r="H353" i="28"/>
  <c r="G353" i="28"/>
  <c r="F353" i="28"/>
  <c r="E353" i="28"/>
  <c r="D353" i="28"/>
  <c r="C353" i="28"/>
  <c r="B353" i="28"/>
  <c r="H352" i="28"/>
  <c r="G352" i="28"/>
  <c r="F352" i="28"/>
  <c r="E352" i="28"/>
  <c r="D352" i="28"/>
  <c r="C352" i="28"/>
  <c r="B352" i="28"/>
  <c r="H351" i="28"/>
  <c r="G351" i="28"/>
  <c r="F351" i="28"/>
  <c r="E351" i="28"/>
  <c r="D351" i="28"/>
  <c r="C351" i="28"/>
  <c r="B351" i="28"/>
  <c r="H350" i="28"/>
  <c r="G350" i="28"/>
  <c r="F350" i="28"/>
  <c r="E350" i="28"/>
  <c r="D350" i="28"/>
  <c r="C350" i="28"/>
  <c r="B350" i="28"/>
  <c r="H349" i="28"/>
  <c r="G349" i="28"/>
  <c r="F349" i="28"/>
  <c r="E349" i="28"/>
  <c r="D349" i="28"/>
  <c r="C349" i="28"/>
  <c r="B349" i="28"/>
  <c r="H348" i="28"/>
  <c r="G348" i="28"/>
  <c r="F348" i="28"/>
  <c r="E348" i="28"/>
  <c r="D348" i="28"/>
  <c r="C348" i="28"/>
  <c r="B348" i="28"/>
  <c r="H347" i="28"/>
  <c r="G347" i="28"/>
  <c r="F347" i="28"/>
  <c r="E347" i="28"/>
  <c r="D347" i="28"/>
  <c r="C347" i="28"/>
  <c r="B347" i="28"/>
  <c r="H346" i="28"/>
  <c r="G346" i="28"/>
  <c r="F346" i="28"/>
  <c r="E346" i="28"/>
  <c r="D346" i="28"/>
  <c r="C346" i="28"/>
  <c r="B346" i="28"/>
  <c r="H345" i="28"/>
  <c r="G345" i="28"/>
  <c r="F345" i="28"/>
  <c r="E345" i="28"/>
  <c r="D345" i="28"/>
  <c r="C345" i="28"/>
  <c r="B345" i="28"/>
  <c r="H344" i="28"/>
  <c r="G344" i="28"/>
  <c r="F344" i="28"/>
  <c r="E344" i="28"/>
  <c r="D344" i="28"/>
  <c r="C344" i="28"/>
  <c r="B344" i="28"/>
  <c r="H343" i="28"/>
  <c r="G343" i="28"/>
  <c r="F343" i="28"/>
  <c r="E343" i="28"/>
  <c r="D343" i="28"/>
  <c r="C343" i="28"/>
  <c r="B343" i="28"/>
  <c r="H342" i="28"/>
  <c r="G342" i="28"/>
  <c r="F342" i="28"/>
  <c r="E342" i="28"/>
  <c r="D342" i="28"/>
  <c r="C342" i="28"/>
  <c r="B342" i="28"/>
  <c r="H341" i="28"/>
  <c r="G341" i="28"/>
  <c r="F341" i="28"/>
  <c r="E341" i="28"/>
  <c r="D341" i="28"/>
  <c r="C341" i="28"/>
  <c r="B341" i="28"/>
  <c r="H340" i="28"/>
  <c r="G340" i="28"/>
  <c r="F340" i="28"/>
  <c r="E340" i="28"/>
  <c r="D340" i="28"/>
  <c r="C340" i="28"/>
  <c r="B340" i="28"/>
  <c r="H339" i="28"/>
  <c r="G339" i="28"/>
  <c r="F339" i="28"/>
  <c r="E339" i="28"/>
  <c r="D339" i="28"/>
  <c r="C339" i="28"/>
  <c r="B339" i="28"/>
  <c r="H338" i="28"/>
  <c r="G338" i="28"/>
  <c r="F338" i="28"/>
  <c r="E338" i="28"/>
  <c r="D338" i="28"/>
  <c r="C338" i="28"/>
  <c r="B338" i="28"/>
  <c r="H337" i="28"/>
  <c r="G337" i="28"/>
  <c r="F337" i="28"/>
  <c r="E337" i="28"/>
  <c r="D337" i="28"/>
  <c r="C337" i="28"/>
  <c r="B337" i="28"/>
  <c r="H336" i="28"/>
  <c r="G336" i="28"/>
  <c r="F336" i="28"/>
  <c r="E336" i="28"/>
  <c r="D336" i="28"/>
  <c r="C336" i="28"/>
  <c r="B336" i="28"/>
  <c r="H335" i="28"/>
  <c r="G335" i="28"/>
  <c r="F335" i="28"/>
  <c r="E335" i="28"/>
  <c r="D335" i="28"/>
  <c r="C335" i="28"/>
  <c r="B335" i="28"/>
  <c r="H334" i="28"/>
  <c r="G334" i="28"/>
  <c r="F334" i="28"/>
  <c r="E334" i="28"/>
  <c r="D334" i="28"/>
  <c r="C334" i="28"/>
  <c r="B334" i="28"/>
  <c r="H333" i="28"/>
  <c r="G333" i="28"/>
  <c r="F333" i="28"/>
  <c r="E333" i="28"/>
  <c r="D333" i="28"/>
  <c r="C333" i="28"/>
  <c r="B333" i="28"/>
  <c r="H332" i="28"/>
  <c r="G332" i="28"/>
  <c r="F332" i="28"/>
  <c r="E332" i="28"/>
  <c r="D332" i="28"/>
  <c r="C332" i="28"/>
  <c r="B332" i="28"/>
  <c r="H331" i="28"/>
  <c r="G331" i="28"/>
  <c r="F331" i="28"/>
  <c r="E331" i="28"/>
  <c r="D331" i="28"/>
  <c r="C331" i="28"/>
  <c r="B331" i="28"/>
  <c r="H330" i="28"/>
  <c r="G330" i="28"/>
  <c r="F330" i="28"/>
  <c r="E330" i="28"/>
  <c r="D330" i="28"/>
  <c r="C330" i="28"/>
  <c r="B330" i="28"/>
  <c r="H329" i="28"/>
  <c r="G329" i="28"/>
  <c r="F329" i="28"/>
  <c r="E329" i="28"/>
  <c r="D329" i="28"/>
  <c r="C329" i="28"/>
  <c r="B329" i="28"/>
  <c r="H328" i="28"/>
  <c r="G328" i="28"/>
  <c r="F328" i="28"/>
  <c r="E328" i="28"/>
  <c r="D328" i="28"/>
  <c r="C328" i="28"/>
  <c r="B328" i="28"/>
  <c r="H327" i="28"/>
  <c r="G327" i="28"/>
  <c r="F327" i="28"/>
  <c r="E327" i="28"/>
  <c r="D327" i="28"/>
  <c r="C327" i="28"/>
  <c r="B327" i="28"/>
  <c r="H326" i="28"/>
  <c r="G326" i="28"/>
  <c r="F326" i="28"/>
  <c r="E326" i="28"/>
  <c r="D326" i="28"/>
  <c r="C326" i="28"/>
  <c r="B326" i="28"/>
  <c r="H325" i="28"/>
  <c r="G325" i="28"/>
  <c r="F325" i="28"/>
  <c r="E325" i="28"/>
  <c r="D325" i="28"/>
  <c r="C325" i="28"/>
  <c r="B325" i="28"/>
  <c r="H324" i="28"/>
  <c r="G324" i="28"/>
  <c r="F324" i="28"/>
  <c r="E324" i="28"/>
  <c r="D324" i="28"/>
  <c r="C324" i="28"/>
  <c r="B324" i="28"/>
  <c r="H323" i="28"/>
  <c r="G323" i="28"/>
  <c r="F323" i="28"/>
  <c r="E323" i="28"/>
  <c r="D323" i="28"/>
  <c r="C323" i="28"/>
  <c r="B323" i="28"/>
  <c r="H322" i="28"/>
  <c r="G322" i="28"/>
  <c r="F322" i="28"/>
  <c r="E322" i="28"/>
  <c r="D322" i="28"/>
  <c r="C322" i="28"/>
  <c r="B322" i="28"/>
  <c r="H321" i="28"/>
  <c r="G321" i="28"/>
  <c r="F321" i="28"/>
  <c r="E321" i="28"/>
  <c r="D321" i="28"/>
  <c r="C321" i="28"/>
  <c r="B321" i="28"/>
  <c r="H320" i="28"/>
  <c r="G320" i="28"/>
  <c r="F320" i="28"/>
  <c r="E320" i="28"/>
  <c r="D320" i="28"/>
  <c r="C320" i="28"/>
  <c r="B320" i="28"/>
  <c r="H319" i="28"/>
  <c r="G319" i="28"/>
  <c r="F319" i="28"/>
  <c r="E319" i="28"/>
  <c r="D319" i="28"/>
  <c r="C319" i="28"/>
  <c r="B319" i="28"/>
  <c r="H318" i="28"/>
  <c r="G318" i="28"/>
  <c r="F318" i="28"/>
  <c r="E318" i="28"/>
  <c r="D318" i="28"/>
  <c r="C318" i="28"/>
  <c r="B318" i="28"/>
  <c r="H317" i="28"/>
  <c r="G317" i="28"/>
  <c r="F317" i="28"/>
  <c r="E317" i="28"/>
  <c r="D317" i="28"/>
  <c r="C317" i="28"/>
  <c r="B317" i="28"/>
  <c r="H316" i="28"/>
  <c r="G316" i="28"/>
  <c r="F316" i="28"/>
  <c r="E316" i="28"/>
  <c r="D316" i="28"/>
  <c r="C316" i="28"/>
  <c r="B316" i="28"/>
  <c r="H315" i="28"/>
  <c r="G315" i="28"/>
  <c r="F315" i="28"/>
  <c r="E315" i="28"/>
  <c r="D315" i="28"/>
  <c r="C315" i="28"/>
  <c r="B315" i="28"/>
  <c r="H314" i="28"/>
  <c r="G314" i="28"/>
  <c r="F314" i="28"/>
  <c r="E314" i="28"/>
  <c r="D314" i="28"/>
  <c r="C314" i="28"/>
  <c r="B314" i="28"/>
  <c r="H313" i="28"/>
  <c r="G313" i="28"/>
  <c r="F313" i="28"/>
  <c r="E313" i="28"/>
  <c r="D313" i="28"/>
  <c r="C313" i="28"/>
  <c r="B313" i="28"/>
  <c r="H312" i="28"/>
  <c r="G312" i="28"/>
  <c r="F312" i="28"/>
  <c r="E312" i="28"/>
  <c r="D312" i="28"/>
  <c r="C312" i="28"/>
  <c r="B312" i="28"/>
  <c r="H311" i="28"/>
  <c r="G311" i="28"/>
  <c r="F311" i="28"/>
  <c r="E311" i="28"/>
  <c r="D311" i="28"/>
  <c r="C311" i="28"/>
  <c r="B311" i="28"/>
  <c r="H310" i="28"/>
  <c r="G310" i="28"/>
  <c r="F310" i="28"/>
  <c r="E310" i="28"/>
  <c r="D310" i="28"/>
  <c r="C310" i="28"/>
  <c r="B310" i="28"/>
  <c r="H309" i="28"/>
  <c r="G309" i="28"/>
  <c r="F309" i="28"/>
  <c r="E309" i="28"/>
  <c r="D309" i="28"/>
  <c r="C309" i="28"/>
  <c r="B309" i="28"/>
  <c r="H308" i="28"/>
  <c r="G308" i="28"/>
  <c r="F308" i="28"/>
  <c r="E308" i="28"/>
  <c r="D308" i="28"/>
  <c r="C308" i="28"/>
  <c r="B308" i="28"/>
  <c r="H307" i="28"/>
  <c r="G307" i="28"/>
  <c r="F307" i="28"/>
  <c r="E307" i="28"/>
  <c r="D307" i="28"/>
  <c r="C307" i="28"/>
  <c r="B307" i="28"/>
  <c r="H306" i="28"/>
  <c r="G306" i="28"/>
  <c r="F306" i="28"/>
  <c r="E306" i="28"/>
  <c r="D306" i="28"/>
  <c r="C306" i="28"/>
  <c r="B306" i="28"/>
  <c r="H305" i="28"/>
  <c r="G305" i="28"/>
  <c r="F305" i="28"/>
  <c r="E305" i="28"/>
  <c r="D305" i="28"/>
  <c r="C305" i="28"/>
  <c r="B305" i="28"/>
  <c r="H304" i="28"/>
  <c r="G304" i="28"/>
  <c r="F304" i="28"/>
  <c r="E304" i="28"/>
  <c r="D304" i="28"/>
  <c r="C304" i="28"/>
  <c r="B304" i="28"/>
  <c r="H303" i="28"/>
  <c r="G303" i="28"/>
  <c r="F303" i="28"/>
  <c r="E303" i="28"/>
  <c r="D303" i="28"/>
  <c r="C303" i="28"/>
  <c r="B303" i="28"/>
  <c r="H302" i="28"/>
  <c r="G302" i="28"/>
  <c r="F302" i="28"/>
  <c r="E302" i="28"/>
  <c r="D302" i="28"/>
  <c r="C302" i="28"/>
  <c r="B302" i="28"/>
  <c r="H301" i="28"/>
  <c r="G301" i="28"/>
  <c r="F301" i="28"/>
  <c r="E301" i="28"/>
  <c r="D301" i="28"/>
  <c r="C301" i="28"/>
  <c r="B301" i="28"/>
  <c r="H300" i="28"/>
  <c r="G300" i="28"/>
  <c r="F300" i="28"/>
  <c r="E300" i="28"/>
  <c r="D300" i="28"/>
  <c r="C300" i="28"/>
  <c r="B300" i="28"/>
  <c r="H299" i="28"/>
  <c r="G299" i="28"/>
  <c r="F299" i="28"/>
  <c r="E299" i="28"/>
  <c r="D299" i="28"/>
  <c r="C299" i="28"/>
  <c r="B299" i="28"/>
  <c r="H298" i="28"/>
  <c r="G298" i="28"/>
  <c r="F298" i="28"/>
  <c r="E298" i="28"/>
  <c r="D298" i="28"/>
  <c r="C298" i="28"/>
  <c r="B298" i="28"/>
  <c r="H297" i="28"/>
  <c r="G297" i="28"/>
  <c r="F297" i="28"/>
  <c r="E297" i="28"/>
  <c r="D297" i="28"/>
  <c r="C297" i="28"/>
  <c r="B297" i="28"/>
  <c r="H296" i="28"/>
  <c r="G296" i="28"/>
  <c r="F296" i="28"/>
  <c r="E296" i="28"/>
  <c r="D296" i="28"/>
  <c r="C296" i="28"/>
  <c r="B296" i="28"/>
  <c r="H295" i="28"/>
  <c r="G295" i="28"/>
  <c r="F295" i="28"/>
  <c r="E295" i="28"/>
  <c r="D295" i="28"/>
  <c r="C295" i="28"/>
  <c r="B295" i="28"/>
  <c r="H294" i="28"/>
  <c r="G294" i="28"/>
  <c r="F294" i="28"/>
  <c r="E294" i="28"/>
  <c r="D294" i="28"/>
  <c r="C294" i="28"/>
  <c r="B294" i="28"/>
  <c r="H293" i="28"/>
  <c r="G293" i="28"/>
  <c r="F293" i="28"/>
  <c r="E293" i="28"/>
  <c r="D293" i="28"/>
  <c r="C293" i="28"/>
  <c r="B293" i="28"/>
  <c r="H292" i="28"/>
  <c r="G292" i="28"/>
  <c r="F292" i="28"/>
  <c r="E292" i="28"/>
  <c r="D292" i="28"/>
  <c r="C292" i="28"/>
  <c r="B292" i="28"/>
  <c r="H291" i="28"/>
  <c r="G291" i="28"/>
  <c r="F291" i="28"/>
  <c r="E291" i="28"/>
  <c r="D291" i="28"/>
  <c r="C291" i="28"/>
  <c r="B291" i="28"/>
  <c r="H290" i="28"/>
  <c r="G290" i="28"/>
  <c r="F290" i="28"/>
  <c r="E290" i="28"/>
  <c r="D290" i="28"/>
  <c r="C290" i="28"/>
  <c r="B290" i="28"/>
  <c r="H289" i="28"/>
  <c r="G289" i="28"/>
  <c r="F289" i="28"/>
  <c r="E289" i="28"/>
  <c r="D289" i="28"/>
  <c r="C289" i="28"/>
  <c r="B289" i="28"/>
  <c r="H288" i="28"/>
  <c r="G288" i="28"/>
  <c r="F288" i="28"/>
  <c r="E288" i="28"/>
  <c r="D288" i="28"/>
  <c r="C288" i="28"/>
  <c r="B288" i="28"/>
  <c r="H287" i="28"/>
  <c r="G287" i="28"/>
  <c r="F287" i="28"/>
  <c r="E287" i="28"/>
  <c r="D287" i="28"/>
  <c r="C287" i="28"/>
  <c r="B287" i="28"/>
  <c r="H286" i="28"/>
  <c r="G286" i="28"/>
  <c r="F286" i="28"/>
  <c r="E286" i="28"/>
  <c r="D286" i="28"/>
  <c r="C286" i="28"/>
  <c r="B286" i="28"/>
  <c r="H285" i="28"/>
  <c r="G285" i="28"/>
  <c r="F285" i="28"/>
  <c r="E285" i="28"/>
  <c r="D285" i="28"/>
  <c r="C285" i="28"/>
  <c r="B285" i="28"/>
  <c r="H284" i="28"/>
  <c r="G284" i="28"/>
  <c r="F284" i="28"/>
  <c r="E284" i="28"/>
  <c r="D284" i="28"/>
  <c r="C284" i="28"/>
  <c r="B284" i="28"/>
  <c r="H283" i="28"/>
  <c r="G283" i="28"/>
  <c r="F283" i="28"/>
  <c r="E283" i="28"/>
  <c r="D283" i="28"/>
  <c r="C283" i="28"/>
  <c r="B283" i="28"/>
  <c r="H282" i="28"/>
  <c r="G282" i="28"/>
  <c r="F282" i="28"/>
  <c r="E282" i="28"/>
  <c r="D282" i="28"/>
  <c r="C282" i="28"/>
  <c r="B282" i="28"/>
  <c r="H281" i="28"/>
  <c r="G281" i="28"/>
  <c r="F281" i="28"/>
  <c r="E281" i="28"/>
  <c r="D281" i="28"/>
  <c r="C281" i="28"/>
  <c r="B281" i="28"/>
  <c r="H280" i="28"/>
  <c r="G280" i="28"/>
  <c r="F280" i="28"/>
  <c r="E280" i="28"/>
  <c r="D280" i="28"/>
  <c r="C280" i="28"/>
  <c r="B280" i="28"/>
  <c r="H279" i="28"/>
  <c r="G279" i="28"/>
  <c r="F279" i="28"/>
  <c r="E279" i="28"/>
  <c r="D279" i="28"/>
  <c r="C279" i="28"/>
  <c r="B279" i="28"/>
  <c r="H278" i="28"/>
  <c r="G278" i="28"/>
  <c r="F278" i="28"/>
  <c r="E278" i="28"/>
  <c r="D278" i="28"/>
  <c r="C278" i="28"/>
  <c r="B278" i="28"/>
  <c r="H277" i="28"/>
  <c r="G277" i="28"/>
  <c r="F277" i="28"/>
  <c r="E277" i="28"/>
  <c r="D277" i="28"/>
  <c r="C277" i="28"/>
  <c r="B277" i="28"/>
  <c r="H276" i="28"/>
  <c r="G276" i="28"/>
  <c r="F276" i="28"/>
  <c r="E276" i="28"/>
  <c r="D276" i="28"/>
  <c r="C276" i="28"/>
  <c r="B276" i="28"/>
  <c r="H275" i="28"/>
  <c r="G275" i="28"/>
  <c r="F275" i="28"/>
  <c r="E275" i="28"/>
  <c r="D275" i="28"/>
  <c r="C275" i="28"/>
  <c r="B275" i="28"/>
  <c r="H274" i="28"/>
  <c r="G274" i="28"/>
  <c r="F274" i="28"/>
  <c r="E274" i="28"/>
  <c r="D274" i="28"/>
  <c r="C274" i="28"/>
  <c r="B274" i="28"/>
  <c r="H273" i="28"/>
  <c r="G273" i="28"/>
  <c r="F273" i="28"/>
  <c r="E273" i="28"/>
  <c r="D273" i="28"/>
  <c r="C273" i="28"/>
  <c r="B273" i="28"/>
  <c r="H272" i="28"/>
  <c r="G272" i="28"/>
  <c r="F272" i="28"/>
  <c r="E272" i="28"/>
  <c r="D272" i="28"/>
  <c r="C272" i="28"/>
  <c r="B272" i="28"/>
  <c r="H271" i="28"/>
  <c r="G271" i="28"/>
  <c r="F271" i="28"/>
  <c r="E271" i="28"/>
  <c r="D271" i="28"/>
  <c r="C271" i="28"/>
  <c r="B271" i="28"/>
  <c r="H270" i="28"/>
  <c r="G270" i="28"/>
  <c r="F270" i="28"/>
  <c r="E270" i="28"/>
  <c r="D270" i="28"/>
  <c r="C270" i="28"/>
  <c r="B270" i="28"/>
  <c r="H269" i="28"/>
  <c r="G269" i="28"/>
  <c r="F269" i="28"/>
  <c r="E269" i="28"/>
  <c r="D269" i="28"/>
  <c r="C269" i="28"/>
  <c r="B269" i="28"/>
  <c r="H268" i="28"/>
  <c r="G268" i="28"/>
  <c r="F268" i="28"/>
  <c r="E268" i="28"/>
  <c r="D268" i="28"/>
  <c r="C268" i="28"/>
  <c r="B268" i="28"/>
  <c r="H267" i="28"/>
  <c r="G267" i="28"/>
  <c r="F267" i="28"/>
  <c r="E267" i="28"/>
  <c r="D267" i="28"/>
  <c r="C267" i="28"/>
  <c r="B267" i="28"/>
  <c r="H266" i="28"/>
  <c r="G266" i="28"/>
  <c r="F266" i="28"/>
  <c r="E266" i="28"/>
  <c r="D266" i="28"/>
  <c r="C266" i="28"/>
  <c r="B266" i="28"/>
  <c r="H265" i="28"/>
  <c r="G265" i="28"/>
  <c r="F265" i="28"/>
  <c r="E265" i="28"/>
  <c r="D265" i="28"/>
  <c r="C265" i="28"/>
  <c r="B265" i="28"/>
  <c r="H264" i="28"/>
  <c r="G264" i="28"/>
  <c r="F264" i="28"/>
  <c r="E264" i="28"/>
  <c r="D264" i="28"/>
  <c r="C264" i="28"/>
  <c r="B264" i="28"/>
  <c r="H263" i="28"/>
  <c r="G263" i="28"/>
  <c r="F263" i="28"/>
  <c r="E263" i="28"/>
  <c r="D263" i="28"/>
  <c r="C263" i="28"/>
  <c r="B263" i="28"/>
  <c r="H262" i="28"/>
  <c r="G262" i="28"/>
  <c r="F262" i="28"/>
  <c r="E262" i="28"/>
  <c r="D262" i="28"/>
  <c r="C262" i="28"/>
  <c r="B262" i="28"/>
  <c r="H261" i="28"/>
  <c r="G261" i="28"/>
  <c r="F261" i="28"/>
  <c r="E261" i="28"/>
  <c r="D261" i="28"/>
  <c r="C261" i="28"/>
  <c r="B261" i="28"/>
  <c r="H260" i="28"/>
  <c r="G260" i="28"/>
  <c r="F260" i="28"/>
  <c r="E260" i="28"/>
  <c r="D260" i="28"/>
  <c r="C260" i="28"/>
  <c r="B260" i="28"/>
  <c r="H259" i="28"/>
  <c r="G259" i="28"/>
  <c r="F259" i="28"/>
  <c r="E259" i="28"/>
  <c r="D259" i="28"/>
  <c r="C259" i="28"/>
  <c r="B259" i="28"/>
  <c r="H258" i="28"/>
  <c r="G258" i="28"/>
  <c r="F258" i="28"/>
  <c r="E258" i="28"/>
  <c r="D258" i="28"/>
  <c r="C258" i="28"/>
  <c r="B258" i="28"/>
  <c r="H257" i="28"/>
  <c r="G257" i="28"/>
  <c r="F257" i="28"/>
  <c r="E257" i="28"/>
  <c r="D257" i="28"/>
  <c r="C257" i="28"/>
  <c r="B257" i="28"/>
  <c r="H256" i="28"/>
  <c r="G256" i="28"/>
  <c r="F256" i="28"/>
  <c r="E256" i="28"/>
  <c r="D256" i="28"/>
  <c r="C256" i="28"/>
  <c r="B256" i="28"/>
  <c r="H255" i="28"/>
  <c r="G255" i="28"/>
  <c r="F255" i="28"/>
  <c r="E255" i="28"/>
  <c r="D255" i="28"/>
  <c r="C255" i="28"/>
  <c r="B255" i="28"/>
  <c r="H254" i="28"/>
  <c r="G254" i="28"/>
  <c r="F254" i="28"/>
  <c r="E254" i="28"/>
  <c r="D254" i="28"/>
  <c r="C254" i="28"/>
  <c r="B254" i="28"/>
  <c r="H253" i="28"/>
  <c r="G253" i="28"/>
  <c r="F253" i="28"/>
  <c r="E253" i="28"/>
  <c r="D253" i="28"/>
  <c r="C253" i="28"/>
  <c r="B253" i="28"/>
  <c r="H252" i="28"/>
  <c r="G252" i="28"/>
  <c r="F252" i="28"/>
  <c r="E252" i="28"/>
  <c r="D252" i="28"/>
  <c r="C252" i="28"/>
  <c r="B252" i="28"/>
  <c r="H251" i="28"/>
  <c r="G251" i="28"/>
  <c r="F251" i="28"/>
  <c r="E251" i="28"/>
  <c r="D251" i="28"/>
  <c r="C251" i="28"/>
  <c r="B251" i="28"/>
  <c r="H250" i="28"/>
  <c r="G250" i="28"/>
  <c r="F250" i="28"/>
  <c r="E250" i="28"/>
  <c r="D250" i="28"/>
  <c r="C250" i="28"/>
  <c r="B250" i="28"/>
  <c r="H249" i="28"/>
  <c r="G249" i="28"/>
  <c r="F249" i="28"/>
  <c r="E249" i="28"/>
  <c r="D249" i="28"/>
  <c r="C249" i="28"/>
  <c r="B249" i="28"/>
  <c r="H248" i="28"/>
  <c r="G248" i="28"/>
  <c r="F248" i="28"/>
  <c r="E248" i="28"/>
  <c r="D248" i="28"/>
  <c r="C248" i="28"/>
  <c r="B248" i="28"/>
  <c r="H247" i="28"/>
  <c r="G247" i="28"/>
  <c r="F247" i="28"/>
  <c r="E247" i="28"/>
  <c r="D247" i="28"/>
  <c r="C247" i="28"/>
  <c r="B247" i="28"/>
  <c r="H246" i="28"/>
  <c r="G246" i="28"/>
  <c r="F246" i="28"/>
  <c r="E246" i="28"/>
  <c r="D246" i="28"/>
  <c r="C246" i="28"/>
  <c r="B246" i="28"/>
  <c r="H245" i="28"/>
  <c r="G245" i="28"/>
  <c r="F245" i="28"/>
  <c r="E245" i="28"/>
  <c r="D245" i="28"/>
  <c r="C245" i="28"/>
  <c r="B245" i="28"/>
  <c r="H244" i="28"/>
  <c r="G244" i="28"/>
  <c r="F244" i="28"/>
  <c r="E244" i="28"/>
  <c r="D244" i="28"/>
  <c r="C244" i="28"/>
  <c r="B244" i="28"/>
  <c r="H243" i="28"/>
  <c r="G243" i="28"/>
  <c r="F243" i="28"/>
  <c r="E243" i="28"/>
  <c r="D243" i="28"/>
  <c r="C243" i="28"/>
  <c r="B243" i="28"/>
  <c r="H242" i="28"/>
  <c r="G242" i="28"/>
  <c r="F242" i="28"/>
  <c r="E242" i="28"/>
  <c r="D242" i="28"/>
  <c r="C242" i="28"/>
  <c r="B242" i="28"/>
  <c r="H241" i="28"/>
  <c r="G241" i="28"/>
  <c r="F241" i="28"/>
  <c r="E241" i="28"/>
  <c r="D241" i="28"/>
  <c r="C241" i="28"/>
  <c r="B241" i="28"/>
  <c r="H240" i="28"/>
  <c r="G240" i="28"/>
  <c r="F240" i="28"/>
  <c r="E240" i="28"/>
  <c r="D240" i="28"/>
  <c r="C240" i="28"/>
  <c r="B240" i="28"/>
  <c r="H239" i="28"/>
  <c r="G239" i="28"/>
  <c r="F239" i="28"/>
  <c r="E239" i="28"/>
  <c r="D239" i="28"/>
  <c r="C239" i="28"/>
  <c r="B239" i="28"/>
  <c r="H238" i="28"/>
  <c r="G238" i="28"/>
  <c r="F238" i="28"/>
  <c r="E238" i="28"/>
  <c r="D238" i="28"/>
  <c r="C238" i="28"/>
  <c r="B238" i="28"/>
  <c r="H237" i="28"/>
  <c r="G237" i="28"/>
  <c r="F237" i="28"/>
  <c r="E237" i="28"/>
  <c r="D237" i="28"/>
  <c r="C237" i="28"/>
  <c r="B237" i="28"/>
  <c r="H236" i="28"/>
  <c r="G236" i="28"/>
  <c r="F236" i="28"/>
  <c r="E236" i="28"/>
  <c r="D236" i="28"/>
  <c r="C236" i="28"/>
  <c r="B236" i="28"/>
  <c r="H235" i="28"/>
  <c r="G235" i="28"/>
  <c r="F235" i="28"/>
  <c r="E235" i="28"/>
  <c r="D235" i="28"/>
  <c r="C235" i="28"/>
  <c r="B235" i="28"/>
  <c r="H234" i="28"/>
  <c r="G234" i="28"/>
  <c r="F234" i="28"/>
  <c r="E234" i="28"/>
  <c r="D234" i="28"/>
  <c r="C234" i="28"/>
  <c r="B234" i="28"/>
  <c r="H233" i="28"/>
  <c r="G233" i="28"/>
  <c r="F233" i="28"/>
  <c r="E233" i="28"/>
  <c r="D233" i="28"/>
  <c r="C233" i="28"/>
  <c r="B233" i="28"/>
  <c r="H232" i="28"/>
  <c r="G232" i="28"/>
  <c r="F232" i="28"/>
  <c r="E232" i="28"/>
  <c r="D232" i="28"/>
  <c r="C232" i="28"/>
  <c r="B232" i="28"/>
  <c r="H231" i="28"/>
  <c r="G231" i="28"/>
  <c r="F231" i="28"/>
  <c r="E231" i="28"/>
  <c r="D231" i="28"/>
  <c r="C231" i="28"/>
  <c r="B231" i="28"/>
  <c r="H230" i="28"/>
  <c r="G230" i="28"/>
  <c r="F230" i="28"/>
  <c r="E230" i="28"/>
  <c r="D230" i="28"/>
  <c r="C230" i="28"/>
  <c r="B230" i="28"/>
  <c r="H229" i="28"/>
  <c r="G229" i="28"/>
  <c r="F229" i="28"/>
  <c r="E229" i="28"/>
  <c r="D229" i="28"/>
  <c r="C229" i="28"/>
  <c r="B229" i="28"/>
  <c r="H228" i="28"/>
  <c r="G228" i="28"/>
  <c r="F228" i="28"/>
  <c r="E228" i="28"/>
  <c r="D228" i="28"/>
  <c r="C228" i="28"/>
  <c r="B228" i="28"/>
  <c r="H227" i="28"/>
  <c r="G227" i="28"/>
  <c r="F227" i="28"/>
  <c r="E227" i="28"/>
  <c r="D227" i="28"/>
  <c r="C227" i="28"/>
  <c r="B227" i="28"/>
  <c r="H226" i="28"/>
  <c r="G226" i="28"/>
  <c r="F226" i="28"/>
  <c r="E226" i="28"/>
  <c r="D226" i="28"/>
  <c r="C226" i="28"/>
  <c r="B226" i="28"/>
  <c r="H225" i="28"/>
  <c r="G225" i="28"/>
  <c r="F225" i="28"/>
  <c r="E225" i="28"/>
  <c r="D225" i="28"/>
  <c r="C225" i="28"/>
  <c r="B225" i="28"/>
  <c r="H224" i="28"/>
  <c r="G224" i="28"/>
  <c r="F224" i="28"/>
  <c r="E224" i="28"/>
  <c r="D224" i="28"/>
  <c r="C224" i="28"/>
  <c r="B224" i="28"/>
  <c r="H223" i="28"/>
  <c r="G223" i="28"/>
  <c r="F223" i="28"/>
  <c r="E223" i="28"/>
  <c r="D223" i="28"/>
  <c r="C223" i="28"/>
  <c r="B223" i="28"/>
  <c r="H222" i="28"/>
  <c r="G222" i="28"/>
  <c r="F222" i="28"/>
  <c r="E222" i="28"/>
  <c r="D222" i="28"/>
  <c r="C222" i="28"/>
  <c r="B222" i="28"/>
  <c r="H221" i="28"/>
  <c r="G221" i="28"/>
  <c r="F221" i="28"/>
  <c r="E221" i="28"/>
  <c r="D221" i="28"/>
  <c r="C221" i="28"/>
  <c r="B221" i="28"/>
  <c r="H220" i="28"/>
  <c r="G220" i="28"/>
  <c r="F220" i="28"/>
  <c r="E220" i="28"/>
  <c r="D220" i="28"/>
  <c r="C220" i="28"/>
  <c r="B220" i="28"/>
  <c r="H219" i="28"/>
  <c r="G219" i="28"/>
  <c r="F219" i="28"/>
  <c r="E219" i="28"/>
  <c r="D219" i="28"/>
  <c r="C219" i="28"/>
  <c r="B219" i="28"/>
  <c r="H218" i="28"/>
  <c r="G218" i="28"/>
  <c r="F218" i="28"/>
  <c r="E218" i="28"/>
  <c r="D218" i="28"/>
  <c r="C218" i="28"/>
  <c r="B218" i="28"/>
  <c r="H217" i="28"/>
  <c r="G217" i="28"/>
  <c r="F217" i="28"/>
  <c r="E217" i="28"/>
  <c r="D217" i="28"/>
  <c r="C217" i="28"/>
  <c r="B217" i="28"/>
  <c r="H216" i="28"/>
  <c r="G216" i="28"/>
  <c r="F216" i="28"/>
  <c r="E216" i="28"/>
  <c r="D216" i="28"/>
  <c r="C216" i="28"/>
  <c r="B216" i="28"/>
  <c r="H215" i="28"/>
  <c r="G215" i="28"/>
  <c r="F215" i="28"/>
  <c r="E215" i="28"/>
  <c r="D215" i="28"/>
  <c r="C215" i="28"/>
  <c r="B215" i="28"/>
  <c r="H214" i="28"/>
  <c r="G214" i="28"/>
  <c r="F214" i="28"/>
  <c r="E214" i="28"/>
  <c r="D214" i="28"/>
  <c r="C214" i="28"/>
  <c r="B214" i="28"/>
  <c r="H213" i="28"/>
  <c r="G213" i="28"/>
  <c r="F213" i="28"/>
  <c r="E213" i="28"/>
  <c r="D213" i="28"/>
  <c r="C213" i="28"/>
  <c r="B213" i="28"/>
  <c r="H212" i="28"/>
  <c r="G212" i="28"/>
  <c r="F212" i="28"/>
  <c r="E212" i="28"/>
  <c r="D212" i="28"/>
  <c r="C212" i="28"/>
  <c r="B212" i="28"/>
  <c r="H211" i="28"/>
  <c r="G211" i="28"/>
  <c r="F211" i="28"/>
  <c r="E211" i="28"/>
  <c r="D211" i="28"/>
  <c r="C211" i="28"/>
  <c r="B211" i="28"/>
  <c r="H210" i="28"/>
  <c r="G210" i="28"/>
  <c r="F210" i="28"/>
  <c r="E210" i="28"/>
  <c r="D210" i="28"/>
  <c r="C210" i="28"/>
  <c r="B210" i="28"/>
  <c r="H209" i="28"/>
  <c r="G209" i="28"/>
  <c r="F209" i="28"/>
  <c r="E209" i="28"/>
  <c r="D209" i="28"/>
  <c r="C209" i="28"/>
  <c r="B209" i="28"/>
  <c r="H208" i="28"/>
  <c r="G208" i="28"/>
  <c r="F208" i="28"/>
  <c r="E208" i="28"/>
  <c r="D208" i="28"/>
  <c r="C208" i="28"/>
  <c r="B208" i="28"/>
  <c r="H207" i="28"/>
  <c r="G207" i="28"/>
  <c r="F207" i="28"/>
  <c r="E207" i="28"/>
  <c r="D207" i="28"/>
  <c r="C207" i="28"/>
  <c r="B207" i="28"/>
  <c r="H206" i="28"/>
  <c r="G206" i="28"/>
  <c r="F206" i="28"/>
  <c r="E206" i="28"/>
  <c r="D206" i="28"/>
  <c r="C206" i="28"/>
  <c r="B206" i="28"/>
  <c r="H205" i="28"/>
  <c r="G205" i="28"/>
  <c r="F205" i="28"/>
  <c r="E205" i="28"/>
  <c r="D205" i="28"/>
  <c r="C205" i="28"/>
  <c r="B205" i="28"/>
  <c r="H204" i="28"/>
  <c r="G204" i="28"/>
  <c r="F204" i="28"/>
  <c r="E204" i="28"/>
  <c r="D204" i="28"/>
  <c r="C204" i="28"/>
  <c r="B204" i="28"/>
  <c r="H203" i="28"/>
  <c r="G203" i="28"/>
  <c r="F203" i="28"/>
  <c r="E203" i="28"/>
  <c r="D203" i="28"/>
  <c r="C203" i="28"/>
  <c r="B203" i="28"/>
  <c r="H202" i="28"/>
  <c r="G202" i="28"/>
  <c r="F202" i="28"/>
  <c r="E202" i="28"/>
  <c r="D202" i="28"/>
  <c r="C202" i="28"/>
  <c r="B202" i="28"/>
  <c r="H201" i="28"/>
  <c r="G201" i="28"/>
  <c r="F201" i="28"/>
  <c r="E201" i="28"/>
  <c r="D201" i="28"/>
  <c r="C201" i="28"/>
  <c r="B201" i="28"/>
  <c r="H200" i="28"/>
  <c r="G200" i="28"/>
  <c r="F200" i="28"/>
  <c r="E200" i="28"/>
  <c r="D200" i="28"/>
  <c r="C200" i="28"/>
  <c r="B200" i="28"/>
  <c r="H199" i="28"/>
  <c r="G199" i="28"/>
  <c r="F199" i="28"/>
  <c r="E199" i="28"/>
  <c r="D199" i="28"/>
  <c r="C199" i="28"/>
  <c r="B199" i="28"/>
  <c r="H198" i="28"/>
  <c r="G198" i="28"/>
  <c r="F198" i="28"/>
  <c r="E198" i="28"/>
  <c r="D198" i="28"/>
  <c r="C198" i="28"/>
  <c r="B198" i="28"/>
  <c r="H197" i="28"/>
  <c r="G197" i="28"/>
  <c r="F197" i="28"/>
  <c r="E197" i="28"/>
  <c r="D197" i="28"/>
  <c r="C197" i="28"/>
  <c r="B197" i="28"/>
  <c r="H196" i="28"/>
  <c r="G196" i="28"/>
  <c r="F196" i="28"/>
  <c r="E196" i="28"/>
  <c r="D196" i="28"/>
  <c r="C196" i="28"/>
  <c r="B196" i="28"/>
  <c r="H195" i="28"/>
  <c r="G195" i="28"/>
  <c r="F195" i="28"/>
  <c r="E195" i="28"/>
  <c r="D195" i="28"/>
  <c r="C195" i="28"/>
  <c r="B195" i="28"/>
  <c r="H194" i="28"/>
  <c r="G194" i="28"/>
  <c r="F194" i="28"/>
  <c r="E194" i="28"/>
  <c r="D194" i="28"/>
  <c r="C194" i="28"/>
  <c r="B194" i="28"/>
  <c r="H193" i="28"/>
  <c r="G193" i="28"/>
  <c r="F193" i="28"/>
  <c r="E193" i="28"/>
  <c r="D193" i="28"/>
  <c r="C193" i="28"/>
  <c r="B193" i="28"/>
  <c r="H192" i="28"/>
  <c r="G192" i="28"/>
  <c r="F192" i="28"/>
  <c r="E192" i="28"/>
  <c r="D192" i="28"/>
  <c r="C192" i="28"/>
  <c r="B192" i="28"/>
  <c r="H191" i="28"/>
  <c r="G191" i="28"/>
  <c r="F191" i="28"/>
  <c r="E191" i="28"/>
  <c r="D191" i="28"/>
  <c r="C191" i="28"/>
  <c r="B191" i="28"/>
  <c r="H190" i="28"/>
  <c r="G190" i="28"/>
  <c r="F190" i="28"/>
  <c r="E190" i="28"/>
  <c r="D190" i="28"/>
  <c r="C190" i="28"/>
  <c r="B190" i="28"/>
  <c r="H189" i="28"/>
  <c r="G189" i="28"/>
  <c r="F189" i="28"/>
  <c r="E189" i="28"/>
  <c r="D189" i="28"/>
  <c r="C189" i="28"/>
  <c r="B189" i="28"/>
  <c r="H188" i="28"/>
  <c r="G188" i="28"/>
  <c r="F188" i="28"/>
  <c r="E188" i="28"/>
  <c r="D188" i="28"/>
  <c r="C188" i="28"/>
  <c r="B188" i="28"/>
  <c r="H187" i="28"/>
  <c r="G187" i="28"/>
  <c r="F187" i="28"/>
  <c r="E187" i="28"/>
  <c r="D187" i="28"/>
  <c r="C187" i="28"/>
  <c r="B187" i="28"/>
  <c r="H186" i="28"/>
  <c r="G186" i="28"/>
  <c r="F186" i="28"/>
  <c r="E186" i="28"/>
  <c r="D186" i="28"/>
  <c r="C186" i="28"/>
  <c r="B186" i="28"/>
  <c r="H185" i="28"/>
  <c r="G185" i="28"/>
  <c r="F185" i="28"/>
  <c r="E185" i="28"/>
  <c r="D185" i="28"/>
  <c r="C185" i="28"/>
  <c r="B185" i="28"/>
  <c r="H184" i="28"/>
  <c r="G184" i="28"/>
  <c r="F184" i="28"/>
  <c r="E184" i="28"/>
  <c r="D184" i="28"/>
  <c r="C184" i="28"/>
  <c r="B184" i="28"/>
  <c r="H183" i="28"/>
  <c r="G183" i="28"/>
  <c r="F183" i="28"/>
  <c r="E183" i="28"/>
  <c r="D183" i="28"/>
  <c r="C183" i="28"/>
  <c r="B183" i="28"/>
  <c r="H182" i="28"/>
  <c r="G182" i="28"/>
  <c r="F182" i="28"/>
  <c r="E182" i="28"/>
  <c r="D182" i="28"/>
  <c r="C182" i="28"/>
  <c r="B182" i="28"/>
  <c r="H181" i="28"/>
  <c r="G181" i="28"/>
  <c r="F181" i="28"/>
  <c r="E181" i="28"/>
  <c r="D181" i="28"/>
  <c r="C181" i="28"/>
  <c r="B181" i="28"/>
  <c r="H180" i="28"/>
  <c r="G180" i="28"/>
  <c r="F180" i="28"/>
  <c r="E180" i="28"/>
  <c r="D180" i="28"/>
  <c r="C180" i="28"/>
  <c r="B180" i="28"/>
  <c r="H179" i="28"/>
  <c r="G179" i="28"/>
  <c r="F179" i="28"/>
  <c r="E179" i="28"/>
  <c r="D179" i="28"/>
  <c r="C179" i="28"/>
  <c r="B179" i="28"/>
  <c r="H178" i="28"/>
  <c r="G178" i="28"/>
  <c r="F178" i="28"/>
  <c r="E178" i="28"/>
  <c r="D178" i="28"/>
  <c r="C178" i="28"/>
  <c r="B178" i="28"/>
  <c r="H177" i="28"/>
  <c r="G177" i="28"/>
  <c r="F177" i="28"/>
  <c r="E177" i="28"/>
  <c r="D177" i="28"/>
  <c r="C177" i="28"/>
  <c r="B177" i="28"/>
  <c r="H176" i="28"/>
  <c r="G176" i="28"/>
  <c r="F176" i="28"/>
  <c r="E176" i="28"/>
  <c r="D176" i="28"/>
  <c r="C176" i="28"/>
  <c r="B176" i="28"/>
  <c r="H175" i="28"/>
  <c r="G175" i="28"/>
  <c r="F175" i="28"/>
  <c r="E175" i="28"/>
  <c r="D175" i="28"/>
  <c r="C175" i="28"/>
  <c r="B175" i="28"/>
  <c r="H174" i="28"/>
  <c r="G174" i="28"/>
  <c r="F174" i="28"/>
  <c r="E174" i="28"/>
  <c r="D174" i="28"/>
  <c r="C174" i="28"/>
  <c r="B174" i="28"/>
  <c r="H173" i="28"/>
  <c r="G173" i="28"/>
  <c r="F173" i="28"/>
  <c r="E173" i="28"/>
  <c r="D173" i="28"/>
  <c r="C173" i="28"/>
  <c r="B173" i="28"/>
  <c r="H172" i="28"/>
  <c r="G172" i="28"/>
  <c r="F172" i="28"/>
  <c r="E172" i="28"/>
  <c r="D172" i="28"/>
  <c r="C172" i="28"/>
  <c r="B172" i="28"/>
  <c r="H171" i="28"/>
  <c r="G171" i="28"/>
  <c r="F171" i="28"/>
  <c r="E171" i="28"/>
  <c r="D171" i="28"/>
  <c r="C171" i="28"/>
  <c r="B171" i="28"/>
  <c r="H170" i="28"/>
  <c r="G170" i="28"/>
  <c r="F170" i="28"/>
  <c r="E170" i="28"/>
  <c r="D170" i="28"/>
  <c r="C170" i="28"/>
  <c r="B170" i="28"/>
  <c r="H169" i="28"/>
  <c r="G169" i="28"/>
  <c r="F169" i="28"/>
  <c r="E169" i="28"/>
  <c r="D169" i="28"/>
  <c r="C169" i="28"/>
  <c r="B169" i="28"/>
  <c r="H168" i="28"/>
  <c r="G168" i="28"/>
  <c r="F168" i="28"/>
  <c r="E168" i="28"/>
  <c r="D168" i="28"/>
  <c r="C168" i="28"/>
  <c r="B168" i="28"/>
  <c r="H167" i="28"/>
  <c r="G167" i="28"/>
  <c r="F167" i="28"/>
  <c r="E167" i="28"/>
  <c r="D167" i="28"/>
  <c r="C167" i="28"/>
  <c r="B167" i="28"/>
  <c r="H166" i="28"/>
  <c r="G166" i="28"/>
  <c r="F166" i="28"/>
  <c r="E166" i="28"/>
  <c r="D166" i="28"/>
  <c r="C166" i="28"/>
  <c r="B166" i="28"/>
  <c r="H165" i="28"/>
  <c r="G165" i="28"/>
  <c r="F165" i="28"/>
  <c r="E165" i="28"/>
  <c r="D165" i="28"/>
  <c r="C165" i="28"/>
  <c r="B165" i="28"/>
  <c r="H164" i="28"/>
  <c r="G164" i="28"/>
  <c r="F164" i="28"/>
  <c r="E164" i="28"/>
  <c r="D164" i="28"/>
  <c r="C164" i="28"/>
  <c r="B164" i="28"/>
  <c r="H163" i="28"/>
  <c r="G163" i="28"/>
  <c r="F163" i="28"/>
  <c r="E163" i="28"/>
  <c r="D163" i="28"/>
  <c r="C163" i="28"/>
  <c r="B163" i="28"/>
  <c r="H162" i="28"/>
  <c r="G162" i="28"/>
  <c r="F162" i="28"/>
  <c r="E162" i="28"/>
  <c r="D162" i="28"/>
  <c r="C162" i="28"/>
  <c r="B162" i="28"/>
  <c r="H161" i="28"/>
  <c r="G161" i="28"/>
  <c r="F161" i="28"/>
  <c r="E161" i="28"/>
  <c r="D161" i="28"/>
  <c r="C161" i="28"/>
  <c r="B161" i="28"/>
  <c r="H160" i="28"/>
  <c r="G160" i="28"/>
  <c r="F160" i="28"/>
  <c r="E160" i="28"/>
  <c r="D160" i="28"/>
  <c r="C160" i="28"/>
  <c r="B160" i="28"/>
  <c r="H159" i="28"/>
  <c r="G159" i="28"/>
  <c r="F159" i="28"/>
  <c r="E159" i="28"/>
  <c r="D159" i="28"/>
  <c r="C159" i="28"/>
  <c r="B159" i="28"/>
  <c r="H158" i="28"/>
  <c r="G158" i="28"/>
  <c r="F158" i="28"/>
  <c r="E158" i="28"/>
  <c r="D158" i="28"/>
  <c r="C158" i="28"/>
  <c r="B158" i="28"/>
  <c r="H157" i="28"/>
  <c r="G157" i="28"/>
  <c r="F157" i="28"/>
  <c r="E157" i="28"/>
  <c r="D157" i="28"/>
  <c r="C157" i="28"/>
  <c r="B157" i="28"/>
  <c r="H156" i="28"/>
  <c r="G156" i="28"/>
  <c r="F156" i="28"/>
  <c r="E156" i="28"/>
  <c r="D156" i="28"/>
  <c r="C156" i="28"/>
  <c r="B156" i="28"/>
  <c r="H155" i="28"/>
  <c r="G155" i="28"/>
  <c r="F155" i="28"/>
  <c r="E155" i="28"/>
  <c r="D155" i="28"/>
  <c r="C155" i="28"/>
  <c r="B155" i="28"/>
  <c r="H154" i="28"/>
  <c r="G154" i="28"/>
  <c r="F154" i="28"/>
  <c r="E154" i="28"/>
  <c r="D154" i="28"/>
  <c r="C154" i="28"/>
  <c r="B154" i="28"/>
  <c r="H153" i="28"/>
  <c r="G153" i="28"/>
  <c r="F153" i="28"/>
  <c r="E153" i="28"/>
  <c r="D153" i="28"/>
  <c r="C153" i="28"/>
  <c r="B153" i="28"/>
  <c r="H152" i="28"/>
  <c r="G152" i="28"/>
  <c r="F152" i="28"/>
  <c r="E152" i="28"/>
  <c r="D152" i="28"/>
  <c r="C152" i="28"/>
  <c r="B152" i="28"/>
  <c r="H151" i="28"/>
  <c r="G151" i="28"/>
  <c r="F151" i="28"/>
  <c r="E151" i="28"/>
  <c r="D151" i="28"/>
  <c r="C151" i="28"/>
  <c r="B151" i="28"/>
  <c r="H150" i="28"/>
  <c r="G150" i="28"/>
  <c r="F150" i="28"/>
  <c r="E150" i="28"/>
  <c r="D150" i="28"/>
  <c r="C150" i="28"/>
  <c r="B150" i="28"/>
  <c r="H149" i="28"/>
  <c r="G149" i="28"/>
  <c r="F149" i="28"/>
  <c r="E149" i="28"/>
  <c r="D149" i="28"/>
  <c r="C149" i="28"/>
  <c r="B149" i="28"/>
  <c r="H148" i="28"/>
  <c r="G148" i="28"/>
  <c r="F148" i="28"/>
  <c r="E148" i="28"/>
  <c r="D148" i="28"/>
  <c r="C148" i="28"/>
  <c r="B148" i="28"/>
  <c r="H147" i="28"/>
  <c r="G147" i="28"/>
  <c r="F147" i="28"/>
  <c r="E147" i="28"/>
  <c r="D147" i="28"/>
  <c r="C147" i="28"/>
  <c r="B147" i="28"/>
  <c r="H146" i="28"/>
  <c r="G146" i="28"/>
  <c r="F146" i="28"/>
  <c r="E146" i="28"/>
  <c r="D146" i="28"/>
  <c r="C146" i="28"/>
  <c r="B146" i="28"/>
  <c r="H145" i="28"/>
  <c r="G145" i="28"/>
  <c r="F145" i="28"/>
  <c r="E145" i="28"/>
  <c r="D145" i="28"/>
  <c r="C145" i="28"/>
  <c r="B145" i="28"/>
  <c r="H144" i="28"/>
  <c r="G144" i="28"/>
  <c r="F144" i="28"/>
  <c r="E144" i="28"/>
  <c r="D144" i="28"/>
  <c r="C144" i="28"/>
  <c r="B144" i="28"/>
  <c r="H143" i="28"/>
  <c r="G143" i="28"/>
  <c r="F143" i="28"/>
  <c r="E143" i="28"/>
  <c r="D143" i="28"/>
  <c r="C143" i="28"/>
  <c r="B143" i="28"/>
  <c r="H142" i="28"/>
  <c r="G142" i="28"/>
  <c r="F142" i="28"/>
  <c r="E142" i="28"/>
  <c r="D142" i="28"/>
  <c r="C142" i="28"/>
  <c r="B142" i="28"/>
  <c r="H141" i="28"/>
  <c r="G141" i="28"/>
  <c r="F141" i="28"/>
  <c r="E141" i="28"/>
  <c r="D141" i="28"/>
  <c r="C141" i="28"/>
  <c r="B141" i="28"/>
  <c r="H140" i="28"/>
  <c r="G140" i="28"/>
  <c r="F140" i="28"/>
  <c r="E140" i="28"/>
  <c r="D140" i="28"/>
  <c r="C140" i="28"/>
  <c r="B140" i="28"/>
  <c r="H139" i="28"/>
  <c r="G139" i="28"/>
  <c r="F139" i="28"/>
  <c r="E139" i="28"/>
  <c r="D139" i="28"/>
  <c r="C139" i="28"/>
  <c r="B139" i="28"/>
  <c r="H138" i="28"/>
  <c r="G138" i="28"/>
  <c r="F138" i="28"/>
  <c r="E138" i="28"/>
  <c r="D138" i="28"/>
  <c r="C138" i="28"/>
  <c r="B138" i="28"/>
  <c r="H137" i="28"/>
  <c r="G137" i="28"/>
  <c r="F137" i="28"/>
  <c r="E137" i="28"/>
  <c r="D137" i="28"/>
  <c r="C137" i="28"/>
  <c r="B137" i="28"/>
  <c r="H136" i="28"/>
  <c r="G136" i="28"/>
  <c r="F136" i="28"/>
  <c r="E136" i="28"/>
  <c r="D136" i="28"/>
  <c r="C136" i="28"/>
  <c r="B136" i="28"/>
  <c r="H135" i="28"/>
  <c r="G135" i="28"/>
  <c r="F135" i="28"/>
  <c r="E135" i="28"/>
  <c r="D135" i="28"/>
  <c r="C135" i="28"/>
  <c r="B135" i="28"/>
  <c r="H134" i="28"/>
  <c r="G134" i="28"/>
  <c r="F134" i="28"/>
  <c r="E134" i="28"/>
  <c r="D134" i="28"/>
  <c r="C134" i="28"/>
  <c r="B134" i="28"/>
  <c r="H133" i="28"/>
  <c r="G133" i="28"/>
  <c r="F133" i="28"/>
  <c r="E133" i="28"/>
  <c r="D133" i="28"/>
  <c r="C133" i="28"/>
  <c r="B133" i="28"/>
  <c r="H132" i="28"/>
  <c r="G132" i="28"/>
  <c r="F132" i="28"/>
  <c r="E132" i="28"/>
  <c r="D132" i="28"/>
  <c r="C132" i="28"/>
  <c r="B132" i="28"/>
  <c r="H131" i="28"/>
  <c r="G131" i="28"/>
  <c r="F131" i="28"/>
  <c r="E131" i="28"/>
  <c r="D131" i="28"/>
  <c r="C131" i="28"/>
  <c r="B131" i="28"/>
  <c r="H130" i="28"/>
  <c r="G130" i="28"/>
  <c r="F130" i="28"/>
  <c r="E130" i="28"/>
  <c r="D130" i="28"/>
  <c r="C130" i="28"/>
  <c r="B130" i="28"/>
  <c r="H129" i="28"/>
  <c r="G129" i="28"/>
  <c r="F129" i="28"/>
  <c r="E129" i="28"/>
  <c r="D129" i="28"/>
  <c r="C129" i="28"/>
  <c r="B129" i="28"/>
  <c r="H128" i="28"/>
  <c r="G128" i="28"/>
  <c r="F128" i="28"/>
  <c r="E128" i="28"/>
  <c r="D128" i="28"/>
  <c r="C128" i="28"/>
  <c r="B128" i="28"/>
  <c r="H127" i="28"/>
  <c r="G127" i="28"/>
  <c r="F127" i="28"/>
  <c r="E127" i="28"/>
  <c r="D127" i="28"/>
  <c r="C127" i="28"/>
  <c r="B127" i="28"/>
  <c r="H126" i="28"/>
  <c r="G126" i="28"/>
  <c r="F126" i="28"/>
  <c r="E126" i="28"/>
  <c r="D126" i="28"/>
  <c r="C126" i="28"/>
  <c r="B126" i="28"/>
  <c r="H125" i="28"/>
  <c r="G125" i="28"/>
  <c r="F125" i="28"/>
  <c r="E125" i="28"/>
  <c r="D125" i="28"/>
  <c r="C125" i="28"/>
  <c r="B125" i="28"/>
  <c r="H124" i="28"/>
  <c r="G124" i="28"/>
  <c r="F124" i="28"/>
  <c r="E124" i="28"/>
  <c r="D124" i="28"/>
  <c r="C124" i="28"/>
  <c r="B124" i="28"/>
  <c r="H123" i="28"/>
  <c r="G123" i="28"/>
  <c r="F123" i="28"/>
  <c r="E123" i="28"/>
  <c r="D123" i="28"/>
  <c r="C123" i="28"/>
  <c r="B123" i="28"/>
  <c r="H122" i="28"/>
  <c r="G122" i="28"/>
  <c r="F122" i="28"/>
  <c r="E122" i="28"/>
  <c r="D122" i="28"/>
  <c r="C122" i="28"/>
  <c r="B122" i="28"/>
  <c r="H121" i="28"/>
  <c r="G121" i="28"/>
  <c r="F121" i="28"/>
  <c r="E121" i="28"/>
  <c r="D121" i="28"/>
  <c r="C121" i="28"/>
  <c r="B121" i="28"/>
  <c r="H120" i="28"/>
  <c r="G120" i="28"/>
  <c r="F120" i="28"/>
  <c r="E120" i="28"/>
  <c r="D120" i="28"/>
  <c r="C120" i="28"/>
  <c r="B120" i="28"/>
  <c r="H119" i="28"/>
  <c r="G119" i="28"/>
  <c r="F119" i="28"/>
  <c r="E119" i="28"/>
  <c r="D119" i="28"/>
  <c r="C119" i="28"/>
  <c r="B119" i="28"/>
  <c r="H118" i="28"/>
  <c r="G118" i="28"/>
  <c r="F118" i="28"/>
  <c r="E118" i="28"/>
  <c r="D118" i="28"/>
  <c r="C118" i="28"/>
  <c r="B118" i="28"/>
  <c r="H117" i="28"/>
  <c r="G117" i="28"/>
  <c r="F117" i="28"/>
  <c r="E117" i="28"/>
  <c r="D117" i="28"/>
  <c r="C117" i="28"/>
  <c r="B117" i="28"/>
  <c r="H116" i="28"/>
  <c r="G116" i="28"/>
  <c r="F116" i="28"/>
  <c r="E116" i="28"/>
  <c r="D116" i="28"/>
  <c r="C116" i="28"/>
  <c r="B116" i="28"/>
  <c r="H115" i="28"/>
  <c r="G115" i="28"/>
  <c r="F115" i="28"/>
  <c r="E115" i="28"/>
  <c r="D115" i="28"/>
  <c r="C115" i="28"/>
  <c r="B115" i="28"/>
  <c r="H114" i="28"/>
  <c r="G114" i="28"/>
  <c r="F114" i="28"/>
  <c r="E114" i="28"/>
  <c r="D114" i="28"/>
  <c r="C114" i="28"/>
  <c r="B114" i="28"/>
  <c r="H113" i="28"/>
  <c r="G113" i="28"/>
  <c r="F113" i="28"/>
  <c r="E113" i="28"/>
  <c r="D113" i="28"/>
  <c r="C113" i="28"/>
  <c r="B113" i="28"/>
  <c r="H112" i="28"/>
  <c r="G112" i="28"/>
  <c r="F112" i="28"/>
  <c r="E112" i="28"/>
  <c r="D112" i="28"/>
  <c r="C112" i="28"/>
  <c r="B112" i="28"/>
  <c r="H111" i="28"/>
  <c r="G111" i="28"/>
  <c r="F111" i="28"/>
  <c r="E111" i="28"/>
  <c r="D111" i="28"/>
  <c r="C111" i="28"/>
  <c r="B111" i="28"/>
  <c r="H110" i="28"/>
  <c r="G110" i="28"/>
  <c r="F110" i="28"/>
  <c r="E110" i="28"/>
  <c r="D110" i="28"/>
  <c r="C110" i="28"/>
  <c r="B110" i="28"/>
  <c r="H109" i="28"/>
  <c r="G109" i="28"/>
  <c r="F109" i="28"/>
  <c r="E109" i="28"/>
  <c r="D109" i="28"/>
  <c r="C109" i="28"/>
  <c r="B109" i="28"/>
  <c r="H108" i="28"/>
  <c r="G108" i="28"/>
  <c r="F108" i="28"/>
  <c r="E108" i="28"/>
  <c r="D108" i="28"/>
  <c r="C108" i="28"/>
  <c r="B108" i="28"/>
  <c r="H107" i="28"/>
  <c r="G107" i="28"/>
  <c r="F107" i="28"/>
  <c r="E107" i="28"/>
  <c r="D107" i="28"/>
  <c r="C107" i="28"/>
  <c r="B107" i="28"/>
  <c r="H106" i="28"/>
  <c r="G106" i="28"/>
  <c r="F106" i="28"/>
  <c r="E106" i="28"/>
  <c r="D106" i="28"/>
  <c r="C106" i="28"/>
  <c r="B106" i="28"/>
  <c r="H105" i="28"/>
  <c r="G105" i="28"/>
  <c r="F105" i="28"/>
  <c r="E105" i="28"/>
  <c r="D105" i="28"/>
  <c r="C105" i="28"/>
  <c r="B105" i="28"/>
  <c r="H104" i="28"/>
  <c r="G104" i="28"/>
  <c r="F104" i="28"/>
  <c r="E104" i="28"/>
  <c r="D104" i="28"/>
  <c r="C104" i="28"/>
  <c r="B104" i="28"/>
  <c r="H103" i="28"/>
  <c r="G103" i="28"/>
  <c r="F103" i="28"/>
  <c r="E103" i="28"/>
  <c r="D103" i="28"/>
  <c r="C103" i="28"/>
  <c r="B103" i="28"/>
  <c r="H102" i="28"/>
  <c r="G102" i="28"/>
  <c r="F102" i="28"/>
  <c r="E102" i="28"/>
  <c r="D102" i="28"/>
  <c r="C102" i="28"/>
  <c r="B102" i="28"/>
  <c r="H101" i="28"/>
  <c r="G101" i="28"/>
  <c r="F101" i="28"/>
  <c r="E101" i="28"/>
  <c r="D101" i="28"/>
  <c r="C101" i="28"/>
  <c r="B101" i="28"/>
  <c r="H100" i="28"/>
  <c r="G100" i="28"/>
  <c r="F100" i="28"/>
  <c r="E100" i="28"/>
  <c r="D100" i="28"/>
  <c r="C100" i="28"/>
  <c r="B100" i="28"/>
  <c r="H99" i="28"/>
  <c r="G99" i="28"/>
  <c r="F99" i="28"/>
  <c r="E99" i="28"/>
  <c r="D99" i="28"/>
  <c r="C99" i="28"/>
  <c r="B99" i="28"/>
  <c r="H98" i="28"/>
  <c r="G98" i="28"/>
  <c r="F98" i="28"/>
  <c r="E98" i="28"/>
  <c r="D98" i="28"/>
  <c r="C98" i="28"/>
  <c r="B98" i="28"/>
  <c r="H97" i="28"/>
  <c r="G97" i="28"/>
  <c r="F97" i="28"/>
  <c r="E97" i="28"/>
  <c r="D97" i="28"/>
  <c r="C97" i="28"/>
  <c r="B97" i="28"/>
  <c r="H96" i="28"/>
  <c r="G96" i="28"/>
  <c r="F96" i="28"/>
  <c r="E96" i="28"/>
  <c r="D96" i="28"/>
  <c r="C96" i="28"/>
  <c r="B96" i="28"/>
  <c r="H95" i="28"/>
  <c r="G95" i="28"/>
  <c r="F95" i="28"/>
  <c r="E95" i="28"/>
  <c r="D95" i="28"/>
  <c r="C95" i="28"/>
  <c r="B95" i="28"/>
  <c r="H94" i="28"/>
  <c r="G94" i="28"/>
  <c r="F94" i="28"/>
  <c r="E94" i="28"/>
  <c r="D94" i="28"/>
  <c r="C94" i="28"/>
  <c r="B94" i="28"/>
  <c r="H93" i="28"/>
  <c r="G93" i="28"/>
  <c r="F93" i="28"/>
  <c r="E93" i="28"/>
  <c r="D93" i="28"/>
  <c r="C93" i="28"/>
  <c r="B93" i="28"/>
  <c r="H92" i="28"/>
  <c r="G92" i="28"/>
  <c r="F92" i="28"/>
  <c r="E92" i="28"/>
  <c r="D92" i="28"/>
  <c r="C92" i="28"/>
  <c r="B92" i="28"/>
  <c r="H91" i="28"/>
  <c r="G91" i="28"/>
  <c r="F91" i="28"/>
  <c r="E91" i="28"/>
  <c r="D91" i="28"/>
  <c r="C91" i="28"/>
  <c r="B91" i="28"/>
  <c r="H90" i="28"/>
  <c r="G90" i="28"/>
  <c r="F90" i="28"/>
  <c r="E90" i="28"/>
  <c r="D90" i="28"/>
  <c r="C90" i="28"/>
  <c r="B90" i="28"/>
  <c r="H89" i="28"/>
  <c r="G89" i="28"/>
  <c r="F89" i="28"/>
  <c r="E89" i="28"/>
  <c r="D89" i="28"/>
  <c r="C89" i="28"/>
  <c r="B89" i="28"/>
  <c r="H88" i="28"/>
  <c r="G88" i="28"/>
  <c r="F88" i="28"/>
  <c r="E88" i="28"/>
  <c r="D88" i="28"/>
  <c r="C88" i="28"/>
  <c r="B88" i="28"/>
  <c r="H87" i="28"/>
  <c r="G87" i="28"/>
  <c r="F87" i="28"/>
  <c r="E87" i="28"/>
  <c r="D87" i="28"/>
  <c r="C87" i="28"/>
  <c r="B87" i="28"/>
  <c r="H86" i="28"/>
  <c r="G86" i="28"/>
  <c r="F86" i="28"/>
  <c r="E86" i="28"/>
  <c r="D86" i="28"/>
  <c r="C86" i="28"/>
  <c r="B86" i="28"/>
  <c r="H85" i="28"/>
  <c r="G85" i="28"/>
  <c r="F85" i="28"/>
  <c r="E85" i="28"/>
  <c r="D85" i="28"/>
  <c r="C85" i="28"/>
  <c r="B85" i="28"/>
  <c r="H84" i="28"/>
  <c r="G84" i="28"/>
  <c r="F84" i="28"/>
  <c r="E84" i="28"/>
  <c r="D84" i="28"/>
  <c r="C84" i="28"/>
  <c r="B84" i="28"/>
  <c r="H83" i="28"/>
  <c r="G83" i="28"/>
  <c r="F83" i="28"/>
  <c r="E83" i="28"/>
  <c r="D83" i="28"/>
  <c r="C83" i="28"/>
  <c r="B83" i="28"/>
  <c r="H82" i="28"/>
  <c r="G82" i="28"/>
  <c r="F82" i="28"/>
  <c r="E82" i="28"/>
  <c r="D82" i="28"/>
  <c r="C82" i="28"/>
  <c r="B82" i="28"/>
  <c r="H81" i="28"/>
  <c r="G81" i="28"/>
  <c r="F81" i="28"/>
  <c r="E81" i="28"/>
  <c r="D81" i="28"/>
  <c r="C81" i="28"/>
  <c r="B81" i="28"/>
  <c r="H80" i="28"/>
  <c r="G80" i="28"/>
  <c r="F80" i="28"/>
  <c r="E80" i="28"/>
  <c r="D80" i="28"/>
  <c r="C80" i="28"/>
  <c r="B80" i="28"/>
  <c r="H79" i="28"/>
  <c r="G79" i="28"/>
  <c r="F79" i="28"/>
  <c r="E79" i="28"/>
  <c r="D79" i="28"/>
  <c r="C79" i="28"/>
  <c r="B79" i="28"/>
  <c r="H78" i="28"/>
  <c r="G78" i="28"/>
  <c r="F78" i="28"/>
  <c r="E78" i="28"/>
  <c r="D78" i="28"/>
  <c r="C78" i="28"/>
  <c r="B78" i="28"/>
  <c r="H77" i="28"/>
  <c r="G77" i="28"/>
  <c r="F77" i="28"/>
  <c r="E77" i="28"/>
  <c r="D77" i="28"/>
  <c r="C77" i="28"/>
  <c r="B77" i="28"/>
  <c r="H76" i="28"/>
  <c r="G76" i="28"/>
  <c r="F76" i="28"/>
  <c r="E76" i="28"/>
  <c r="D76" i="28"/>
  <c r="C76" i="28"/>
  <c r="B76" i="28"/>
  <c r="H75" i="28"/>
  <c r="G75" i="28"/>
  <c r="F75" i="28"/>
  <c r="E75" i="28"/>
  <c r="D75" i="28"/>
  <c r="C75" i="28"/>
  <c r="B75" i="28"/>
  <c r="H74" i="28"/>
  <c r="G74" i="28"/>
  <c r="F74" i="28"/>
  <c r="E74" i="28"/>
  <c r="D74" i="28"/>
  <c r="C74" i="28"/>
  <c r="B74" i="28"/>
  <c r="H73" i="28"/>
  <c r="G73" i="28"/>
  <c r="F73" i="28"/>
  <c r="E73" i="28"/>
  <c r="D73" i="28"/>
  <c r="C73" i="28"/>
  <c r="B73" i="28"/>
  <c r="H72" i="28"/>
  <c r="G72" i="28"/>
  <c r="F72" i="28"/>
  <c r="E72" i="28"/>
  <c r="D72" i="28"/>
  <c r="C72" i="28"/>
  <c r="B72" i="28"/>
  <c r="H71" i="28"/>
  <c r="G71" i="28"/>
  <c r="F71" i="28"/>
  <c r="E71" i="28"/>
  <c r="D71" i="28"/>
  <c r="C71" i="28"/>
  <c r="B71" i="28"/>
  <c r="H70" i="28"/>
  <c r="G70" i="28"/>
  <c r="F70" i="28"/>
  <c r="E70" i="28"/>
  <c r="D70" i="28"/>
  <c r="C70" i="28"/>
  <c r="B70" i="28"/>
  <c r="H69" i="28"/>
  <c r="G69" i="28"/>
  <c r="F69" i="28"/>
  <c r="E69" i="28"/>
  <c r="D69" i="28"/>
  <c r="C69" i="28"/>
  <c r="B69" i="28"/>
  <c r="H68" i="28"/>
  <c r="G68" i="28"/>
  <c r="F68" i="28"/>
  <c r="E68" i="28"/>
  <c r="D68" i="28"/>
  <c r="C68" i="28"/>
  <c r="B68" i="28"/>
  <c r="H67" i="28"/>
  <c r="G67" i="28"/>
  <c r="F67" i="28"/>
  <c r="E67" i="28"/>
  <c r="D67" i="28"/>
  <c r="C67" i="28"/>
  <c r="B67" i="28"/>
  <c r="H66" i="28"/>
  <c r="G66" i="28"/>
  <c r="F66" i="28"/>
  <c r="E66" i="28"/>
  <c r="D66" i="28"/>
  <c r="C66" i="28"/>
  <c r="B66" i="28"/>
  <c r="H65" i="28"/>
  <c r="G65" i="28"/>
  <c r="F65" i="28"/>
  <c r="E65" i="28"/>
  <c r="D65" i="28"/>
  <c r="C65" i="28"/>
  <c r="B65" i="28"/>
  <c r="H64" i="28"/>
  <c r="G64" i="28"/>
  <c r="F64" i="28"/>
  <c r="E64" i="28"/>
  <c r="D64" i="28"/>
  <c r="C64" i="28"/>
  <c r="B64" i="28"/>
  <c r="H63" i="28"/>
  <c r="G63" i="28"/>
  <c r="F63" i="28"/>
  <c r="E63" i="28"/>
  <c r="D63" i="28"/>
  <c r="C63" i="28"/>
  <c r="B63" i="28"/>
  <c r="H62" i="28"/>
  <c r="G62" i="28"/>
  <c r="F62" i="28"/>
  <c r="E62" i="28"/>
  <c r="D62" i="28"/>
  <c r="C62" i="28"/>
  <c r="B62" i="28"/>
  <c r="H61" i="28"/>
  <c r="G61" i="28"/>
  <c r="F61" i="28"/>
  <c r="E61" i="28"/>
  <c r="D61" i="28"/>
  <c r="C61" i="28"/>
  <c r="B61" i="28"/>
  <c r="H60" i="28"/>
  <c r="G60" i="28"/>
  <c r="F60" i="28"/>
  <c r="E60" i="28"/>
  <c r="D60" i="28"/>
  <c r="C60" i="28"/>
  <c r="B60" i="28"/>
  <c r="H59" i="28"/>
  <c r="G59" i="28"/>
  <c r="F59" i="28"/>
  <c r="E59" i="28"/>
  <c r="D59" i="28"/>
  <c r="C59" i="28"/>
  <c r="B59" i="28"/>
  <c r="H58" i="28"/>
  <c r="G58" i="28"/>
  <c r="F58" i="28"/>
  <c r="E58" i="28"/>
  <c r="D58" i="28"/>
  <c r="C58" i="28"/>
  <c r="B58" i="28"/>
  <c r="H57" i="28"/>
  <c r="G57" i="28"/>
  <c r="F57" i="28"/>
  <c r="E57" i="28"/>
  <c r="D57" i="28"/>
  <c r="C57" i="28"/>
  <c r="B57" i="28"/>
  <c r="H56" i="28"/>
  <c r="G56" i="28"/>
  <c r="F56" i="28"/>
  <c r="E56" i="28"/>
  <c r="D56" i="28"/>
  <c r="C56" i="28"/>
  <c r="B56" i="28"/>
  <c r="H55" i="28"/>
  <c r="G55" i="28"/>
  <c r="F55" i="28"/>
  <c r="E55" i="28"/>
  <c r="D55" i="28"/>
  <c r="C55" i="28"/>
  <c r="B55" i="28"/>
  <c r="H54" i="28"/>
  <c r="G54" i="28"/>
  <c r="F54" i="28"/>
  <c r="E54" i="28"/>
  <c r="D54" i="28"/>
  <c r="C54" i="28"/>
  <c r="B54" i="28"/>
  <c r="H53" i="28"/>
  <c r="G53" i="28"/>
  <c r="F53" i="28"/>
  <c r="E53" i="28"/>
  <c r="D53" i="28"/>
  <c r="C53" i="28"/>
  <c r="B53" i="28"/>
  <c r="H52" i="28"/>
  <c r="G52" i="28"/>
  <c r="F52" i="28"/>
  <c r="E52" i="28"/>
  <c r="D52" i="28"/>
  <c r="C52" i="28"/>
  <c r="B52" i="28"/>
  <c r="H51" i="28"/>
  <c r="G51" i="28"/>
  <c r="F51" i="28"/>
  <c r="E51" i="28"/>
  <c r="D51" i="28"/>
  <c r="C51" i="28"/>
  <c r="B51" i="28"/>
  <c r="H50" i="28"/>
  <c r="G50" i="28"/>
  <c r="F50" i="28"/>
  <c r="E50" i="28"/>
  <c r="D50" i="28"/>
  <c r="C50" i="28"/>
  <c r="B50" i="28"/>
  <c r="H49" i="28"/>
  <c r="G49" i="28"/>
  <c r="F49" i="28"/>
  <c r="E49" i="28"/>
  <c r="D49" i="28"/>
  <c r="C49" i="28"/>
  <c r="B49" i="28"/>
  <c r="H48" i="28"/>
  <c r="G48" i="28"/>
  <c r="F48" i="28"/>
  <c r="E48" i="28"/>
  <c r="D48" i="28"/>
  <c r="C48" i="28"/>
  <c r="B48" i="28"/>
  <c r="H47" i="28"/>
  <c r="G47" i="28"/>
  <c r="F47" i="28"/>
  <c r="E47" i="28"/>
  <c r="D47" i="28"/>
  <c r="C47" i="28"/>
  <c r="B47" i="28"/>
  <c r="H46" i="28"/>
  <c r="G46" i="28"/>
  <c r="F46" i="28"/>
  <c r="E46" i="28"/>
  <c r="D46" i="28"/>
  <c r="C46" i="28"/>
  <c r="B46" i="28"/>
  <c r="H45" i="28"/>
  <c r="G45" i="28"/>
  <c r="F45" i="28"/>
  <c r="E45" i="28"/>
  <c r="D45" i="28"/>
  <c r="C45" i="28"/>
  <c r="B45" i="28"/>
  <c r="H44" i="28"/>
  <c r="G44" i="28"/>
  <c r="F44" i="28"/>
  <c r="E44" i="28"/>
  <c r="D44" i="28"/>
  <c r="C44" i="28"/>
  <c r="B44" i="28"/>
  <c r="H43" i="28"/>
  <c r="G43" i="28"/>
  <c r="F43" i="28"/>
  <c r="E43" i="28"/>
  <c r="D43" i="28"/>
  <c r="C43" i="28"/>
  <c r="B43" i="28"/>
  <c r="H42" i="28"/>
  <c r="G42" i="28"/>
  <c r="F42" i="28"/>
  <c r="E42" i="28"/>
  <c r="D42" i="28"/>
  <c r="C42" i="28"/>
  <c r="B42" i="28"/>
  <c r="H41" i="28"/>
  <c r="G41" i="28"/>
  <c r="F41" i="28"/>
  <c r="E41" i="28"/>
  <c r="D41" i="28"/>
  <c r="C41" i="28"/>
  <c r="B41" i="28"/>
  <c r="H40" i="28"/>
  <c r="G40" i="28"/>
  <c r="F40" i="28"/>
  <c r="E40" i="28"/>
  <c r="D40" i="28"/>
  <c r="C40" i="28"/>
  <c r="B40" i="28"/>
  <c r="H39" i="28"/>
  <c r="G39" i="28"/>
  <c r="F39" i="28"/>
  <c r="E39" i="28"/>
  <c r="D39" i="28"/>
  <c r="C39" i="28"/>
  <c r="B39" i="28"/>
  <c r="H38" i="28"/>
  <c r="G38" i="28"/>
  <c r="F38" i="28"/>
  <c r="E38" i="28"/>
  <c r="D38" i="28"/>
  <c r="C38" i="28"/>
  <c r="B38" i="28"/>
  <c r="H37" i="28"/>
  <c r="G37" i="28"/>
  <c r="F37" i="28"/>
  <c r="E37" i="28"/>
  <c r="D37" i="28"/>
  <c r="C37" i="28"/>
  <c r="B37" i="28"/>
  <c r="H36" i="28"/>
  <c r="G36" i="28"/>
  <c r="F36" i="28"/>
  <c r="E36" i="28"/>
  <c r="D36" i="28"/>
  <c r="C36" i="28"/>
  <c r="B36" i="28"/>
  <c r="H35" i="28"/>
  <c r="G35" i="28"/>
  <c r="F35" i="28"/>
  <c r="E35" i="28"/>
  <c r="D35" i="28"/>
  <c r="C35" i="28"/>
  <c r="B35" i="28"/>
  <c r="H34" i="28"/>
  <c r="G34" i="28"/>
  <c r="F34" i="28"/>
  <c r="E34" i="28"/>
  <c r="D34" i="28"/>
  <c r="C34" i="28"/>
  <c r="B34" i="28"/>
  <c r="H33" i="28"/>
  <c r="G33" i="28"/>
  <c r="F33" i="28"/>
  <c r="E33" i="28"/>
  <c r="D33" i="28"/>
  <c r="C33" i="28"/>
  <c r="B33" i="28"/>
  <c r="H32" i="28"/>
  <c r="G32" i="28"/>
  <c r="F32" i="28"/>
  <c r="E32" i="28"/>
  <c r="D32" i="28"/>
  <c r="C32" i="28"/>
  <c r="B32" i="28"/>
  <c r="H31" i="28"/>
  <c r="G31" i="28"/>
  <c r="F31" i="28"/>
  <c r="E31" i="28"/>
  <c r="D31" i="28"/>
  <c r="C31" i="28"/>
  <c r="B31" i="28"/>
  <c r="H30" i="28"/>
  <c r="G30" i="28"/>
  <c r="F30" i="28"/>
  <c r="E30" i="28"/>
  <c r="D30" i="28"/>
  <c r="C30" i="28"/>
  <c r="B30" i="28"/>
  <c r="H29" i="28"/>
  <c r="G29" i="28"/>
  <c r="F29" i="28"/>
  <c r="E29" i="28"/>
  <c r="D29" i="28"/>
  <c r="C29" i="28"/>
  <c r="B29" i="28"/>
  <c r="H28" i="28"/>
  <c r="G28" i="28"/>
  <c r="F28" i="28"/>
  <c r="E28" i="28"/>
  <c r="D28" i="28"/>
  <c r="C28" i="28"/>
  <c r="B28" i="28"/>
  <c r="H27" i="28"/>
  <c r="G27" i="28"/>
  <c r="F27" i="28"/>
  <c r="E27" i="28"/>
  <c r="D27" i="28"/>
  <c r="C27" i="28"/>
  <c r="B27" i="28"/>
  <c r="H26" i="28"/>
  <c r="G26" i="28"/>
  <c r="F26" i="28"/>
  <c r="E26" i="28"/>
  <c r="D26" i="28"/>
  <c r="C26" i="28"/>
  <c r="B26" i="28"/>
  <c r="H25" i="28"/>
  <c r="G25" i="28"/>
  <c r="F25" i="28"/>
  <c r="E25" i="28"/>
  <c r="D25" i="28"/>
  <c r="C25" i="28"/>
  <c r="B25" i="28"/>
  <c r="H24" i="28"/>
  <c r="G24" i="28"/>
  <c r="F24" i="28"/>
  <c r="E24" i="28"/>
  <c r="D24" i="28"/>
  <c r="C24" i="28"/>
  <c r="B24" i="28"/>
  <c r="H23" i="28"/>
  <c r="G23" i="28"/>
  <c r="F23" i="28"/>
  <c r="E23" i="28"/>
  <c r="D23" i="28"/>
  <c r="C23" i="28"/>
  <c r="B23" i="28"/>
  <c r="H22" i="28"/>
  <c r="G22" i="28"/>
  <c r="F22" i="28"/>
  <c r="E22" i="28"/>
  <c r="D22" i="28"/>
  <c r="C22" i="28"/>
  <c r="B22" i="28"/>
  <c r="H21" i="28"/>
  <c r="G21" i="28"/>
  <c r="F21" i="28"/>
  <c r="E21" i="28"/>
  <c r="D21" i="28"/>
  <c r="C21" i="28"/>
  <c r="B21" i="28"/>
  <c r="H20" i="28"/>
  <c r="G20" i="28"/>
  <c r="F20" i="28"/>
  <c r="E20" i="28"/>
  <c r="D20" i="28"/>
  <c r="C20" i="28"/>
  <c r="B20" i="28"/>
  <c r="H19" i="28"/>
  <c r="G19" i="28"/>
  <c r="F19" i="28"/>
  <c r="E19" i="28"/>
  <c r="D19" i="28"/>
  <c r="C19" i="28"/>
  <c r="B19" i="28"/>
  <c r="H18" i="28"/>
  <c r="G18" i="28"/>
  <c r="F18" i="28"/>
  <c r="E18" i="28"/>
  <c r="D18" i="28"/>
  <c r="C18" i="28"/>
  <c r="B18" i="28"/>
  <c r="H17" i="28"/>
  <c r="G17" i="28"/>
  <c r="F17" i="28"/>
  <c r="E17" i="28"/>
  <c r="D17" i="28"/>
  <c r="C17" i="28"/>
  <c r="B17" i="28"/>
  <c r="H16" i="28"/>
  <c r="G16" i="28"/>
  <c r="F16" i="28"/>
  <c r="E16" i="28"/>
  <c r="D16" i="28"/>
  <c r="C16" i="28"/>
  <c r="B16" i="28"/>
  <c r="H15" i="28"/>
  <c r="G15" i="28"/>
  <c r="F15" i="28"/>
  <c r="E15" i="28"/>
  <c r="D15" i="28"/>
  <c r="C15" i="28"/>
  <c r="B15" i="28"/>
  <c r="H14" i="28"/>
  <c r="G14" i="28"/>
  <c r="F14" i="28"/>
  <c r="E14" i="28"/>
  <c r="D14" i="28"/>
  <c r="C14" i="28"/>
  <c r="B14" i="28"/>
  <c r="H13" i="28"/>
  <c r="G13" i="28"/>
  <c r="F13" i="28"/>
  <c r="E13" i="28"/>
  <c r="D13" i="28"/>
  <c r="C13" i="28"/>
  <c r="B13" i="28"/>
  <c r="H12" i="28"/>
  <c r="G12" i="28"/>
  <c r="F12" i="28"/>
  <c r="E12" i="28"/>
  <c r="D12" i="28"/>
  <c r="C12" i="28"/>
  <c r="B12" i="28"/>
  <c r="H11" i="28"/>
  <c r="G11" i="28"/>
  <c r="F11" i="28"/>
  <c r="E11" i="28"/>
  <c r="D11" i="28"/>
  <c r="C11" i="28"/>
  <c r="B11" i="28"/>
  <c r="H10" i="28"/>
  <c r="G10" i="28"/>
  <c r="F10" i="28"/>
  <c r="E10" i="28"/>
  <c r="D10" i="28"/>
  <c r="C10" i="28"/>
  <c r="B10" i="28"/>
  <c r="H9" i="28"/>
  <c r="G9" i="28"/>
  <c r="F9" i="28"/>
  <c r="E9" i="28"/>
  <c r="D9" i="28"/>
  <c r="C9" i="28"/>
  <c r="B9" i="28"/>
  <c r="H8" i="28"/>
  <c r="G8" i="28"/>
  <c r="F8" i="28"/>
  <c r="E8" i="28"/>
  <c r="D8" i="28"/>
  <c r="C8" i="28"/>
  <c r="B8" i="28"/>
  <c r="H7" i="28"/>
  <c r="G7" i="28"/>
  <c r="F7" i="28"/>
  <c r="E7" i="28"/>
  <c r="D7" i="28"/>
  <c r="C7" i="28"/>
  <c r="B7" i="28"/>
  <c r="H6" i="28"/>
  <c r="G6" i="28"/>
  <c r="F6" i="28"/>
  <c r="E6" i="28"/>
  <c r="D6" i="28"/>
  <c r="C6" i="28"/>
  <c r="B6" i="28"/>
  <c r="H5" i="28"/>
  <c r="G5" i="28"/>
  <c r="F5" i="28"/>
  <c r="E5" i="28"/>
  <c r="D5" i="28"/>
  <c r="C5" i="28"/>
  <c r="B5" i="28"/>
  <c r="H4" i="28"/>
  <c r="G4" i="28"/>
  <c r="F4" i="28"/>
  <c r="E4" i="28"/>
  <c r="D4" i="28"/>
  <c r="C4" i="28"/>
  <c r="B4" i="28"/>
  <c r="H3" i="28"/>
  <c r="G3" i="28"/>
  <c r="F3" i="28"/>
  <c r="E3" i="28"/>
  <c r="D3" i="28"/>
  <c r="C3" i="28"/>
  <c r="B3" i="28"/>
  <c r="H883" i="19" l="1"/>
  <c r="G883" i="19"/>
  <c r="F883" i="19"/>
  <c r="E883" i="19"/>
  <c r="D883" i="19"/>
  <c r="C883" i="19"/>
  <c r="B883" i="19"/>
  <c r="H882" i="19"/>
  <c r="G882" i="19"/>
  <c r="F882" i="19"/>
  <c r="E882" i="19"/>
  <c r="D882" i="19"/>
  <c r="C882" i="19"/>
  <c r="B882" i="19"/>
  <c r="H870" i="19"/>
  <c r="G870" i="19"/>
  <c r="F870" i="19"/>
  <c r="E870" i="19"/>
  <c r="D870" i="19"/>
  <c r="C870" i="19"/>
  <c r="B870" i="19"/>
  <c r="H869" i="19"/>
  <c r="G869" i="19"/>
  <c r="F869" i="19"/>
  <c r="E869" i="19"/>
  <c r="D869" i="19"/>
  <c r="C869" i="19"/>
  <c r="B869" i="19"/>
  <c r="H868" i="19"/>
  <c r="G868" i="19"/>
  <c r="F868" i="19"/>
  <c r="E868" i="19"/>
  <c r="D868" i="19"/>
  <c r="C868" i="19"/>
  <c r="B868" i="19"/>
  <c r="H867" i="19"/>
  <c r="G867" i="19"/>
  <c r="F867" i="19"/>
  <c r="E867" i="19"/>
  <c r="D867" i="19"/>
  <c r="C867" i="19"/>
  <c r="B867" i="19"/>
  <c r="H866" i="19"/>
  <c r="G866" i="19"/>
  <c r="F866" i="19"/>
  <c r="E866" i="19"/>
  <c r="D866" i="19"/>
  <c r="C866" i="19"/>
  <c r="B866" i="19"/>
  <c r="B865" i="19"/>
  <c r="C865" i="19"/>
  <c r="D865" i="19"/>
  <c r="E865" i="19"/>
  <c r="F865" i="19"/>
  <c r="G865" i="19"/>
  <c r="H865" i="19"/>
  <c r="B864" i="19"/>
  <c r="C864" i="19"/>
  <c r="D864" i="19"/>
  <c r="E864" i="19"/>
  <c r="F864" i="19"/>
  <c r="G864" i="19"/>
  <c r="H864" i="19"/>
  <c r="H567" i="19"/>
  <c r="G567" i="19"/>
  <c r="F567" i="19"/>
  <c r="E567" i="19"/>
  <c r="D567" i="19"/>
  <c r="C567" i="19"/>
  <c r="B567" i="19"/>
  <c r="H566" i="19"/>
  <c r="G566" i="19"/>
  <c r="F566" i="19"/>
  <c r="E566" i="19"/>
  <c r="D566" i="19"/>
  <c r="C566" i="19"/>
  <c r="B566" i="19"/>
  <c r="H542" i="19"/>
  <c r="G542" i="19"/>
  <c r="F542" i="19"/>
  <c r="E542" i="19"/>
  <c r="D542" i="19"/>
  <c r="C542" i="19"/>
  <c r="B542" i="19"/>
  <c r="H541" i="19"/>
  <c r="G541" i="19"/>
  <c r="F541" i="19"/>
  <c r="E541" i="19"/>
  <c r="D541" i="19"/>
  <c r="C541" i="19"/>
  <c r="B541" i="19"/>
  <c r="H540" i="19"/>
  <c r="G540" i="19"/>
  <c r="F540" i="19"/>
  <c r="E540" i="19"/>
  <c r="D540" i="19"/>
  <c r="C540" i="19"/>
  <c r="B540" i="19"/>
  <c r="H539" i="19"/>
  <c r="G539" i="19"/>
  <c r="F539" i="19"/>
  <c r="E539" i="19"/>
  <c r="D539" i="19"/>
  <c r="C539" i="19"/>
  <c r="B539" i="19"/>
  <c r="H538" i="19"/>
  <c r="G538" i="19"/>
  <c r="F538" i="19"/>
  <c r="E538" i="19"/>
  <c r="D538" i="19"/>
  <c r="C538" i="19"/>
  <c r="B538" i="19"/>
  <c r="H537" i="19"/>
  <c r="G537" i="19"/>
  <c r="F537" i="19"/>
  <c r="E537" i="19"/>
  <c r="D537" i="19"/>
  <c r="C537" i="19"/>
  <c r="B537" i="19"/>
  <c r="H536" i="19"/>
  <c r="G536" i="19"/>
  <c r="F536" i="19"/>
  <c r="E536" i="19"/>
  <c r="D536" i="19"/>
  <c r="C536" i="19"/>
  <c r="B536" i="19"/>
  <c r="H1334" i="3" l="1"/>
  <c r="G1334" i="3"/>
  <c r="F1334" i="3"/>
  <c r="E1334" i="3"/>
  <c r="D1334" i="3"/>
  <c r="C1334" i="3"/>
  <c r="B1334" i="3"/>
  <c r="H1333" i="3"/>
  <c r="G1333" i="3"/>
  <c r="F1333" i="3"/>
  <c r="E1333" i="3"/>
  <c r="D1333" i="3"/>
  <c r="C1333" i="3"/>
  <c r="B1333" i="3"/>
  <c r="H738" i="19"/>
  <c r="G738" i="19"/>
  <c r="F738" i="19"/>
  <c r="E738" i="19"/>
  <c r="D738" i="19"/>
  <c r="C738" i="19"/>
  <c r="B738" i="19"/>
  <c r="H737" i="19"/>
  <c r="G737" i="19"/>
  <c r="F737" i="19"/>
  <c r="E737" i="19"/>
  <c r="D737" i="19"/>
  <c r="C737" i="19"/>
  <c r="B737" i="19"/>
  <c r="H1228" i="3" l="1"/>
  <c r="G1228" i="3"/>
  <c r="F1228" i="3"/>
  <c r="E1228" i="3"/>
  <c r="D1228" i="3"/>
  <c r="C1228" i="3"/>
  <c r="B1228" i="3"/>
  <c r="H1227" i="3"/>
  <c r="G1227" i="3"/>
  <c r="F1227" i="3"/>
  <c r="E1227" i="3"/>
  <c r="D1227" i="3"/>
  <c r="C1227" i="3"/>
  <c r="B1227" i="3"/>
  <c r="H1226" i="3"/>
  <c r="G1226" i="3"/>
  <c r="F1226" i="3"/>
  <c r="E1226" i="3"/>
  <c r="D1226" i="3"/>
  <c r="C1226" i="3"/>
  <c r="B1226" i="3"/>
  <c r="H1225" i="3"/>
  <c r="G1225" i="3"/>
  <c r="F1225" i="3"/>
  <c r="E1225" i="3"/>
  <c r="D1225" i="3"/>
  <c r="C1225" i="3"/>
  <c r="B1225" i="3"/>
  <c r="H1224" i="3"/>
  <c r="G1224" i="3"/>
  <c r="F1224" i="3"/>
  <c r="E1224" i="3"/>
  <c r="D1224" i="3"/>
  <c r="C1224" i="3"/>
  <c r="B1224" i="3"/>
  <c r="H668" i="19"/>
  <c r="G668" i="19"/>
  <c r="F668" i="19"/>
  <c r="E668" i="19"/>
  <c r="D668" i="19"/>
  <c r="C668" i="19"/>
  <c r="B668" i="19"/>
  <c r="H667" i="19"/>
  <c r="G667" i="19"/>
  <c r="F667" i="19"/>
  <c r="E667" i="19"/>
  <c r="D667" i="19"/>
  <c r="C667" i="19"/>
  <c r="B667" i="19"/>
  <c r="H666" i="19"/>
  <c r="G666" i="19"/>
  <c r="F666" i="19"/>
  <c r="E666" i="19"/>
  <c r="D666" i="19"/>
  <c r="C666" i="19"/>
  <c r="B666" i="19"/>
  <c r="H665" i="19"/>
  <c r="G665" i="19"/>
  <c r="F665" i="19"/>
  <c r="E665" i="19"/>
  <c r="D665" i="19"/>
  <c r="C665" i="19"/>
  <c r="B665" i="19"/>
  <c r="H664" i="19"/>
  <c r="G664" i="19"/>
  <c r="F664" i="19"/>
  <c r="E664" i="19"/>
  <c r="D664" i="19"/>
  <c r="C664" i="19"/>
  <c r="B664" i="19"/>
  <c r="H866" i="3"/>
  <c r="G866" i="3"/>
  <c r="F866" i="3"/>
  <c r="E866" i="3"/>
  <c r="D866" i="3"/>
  <c r="C866" i="3"/>
  <c r="B866" i="3"/>
  <c r="H865" i="3"/>
  <c r="G865" i="3"/>
  <c r="F865" i="3"/>
  <c r="E865" i="3"/>
  <c r="D865" i="3"/>
  <c r="C865" i="3"/>
  <c r="B865" i="3"/>
  <c r="H454" i="19"/>
  <c r="G454" i="19"/>
  <c r="F454" i="19"/>
  <c r="E454" i="19"/>
  <c r="D454" i="19"/>
  <c r="C454" i="19"/>
  <c r="B454" i="19"/>
  <c r="H453" i="19"/>
  <c r="G453" i="19"/>
  <c r="F453" i="19"/>
  <c r="E453" i="19"/>
  <c r="D453" i="19"/>
  <c r="C453" i="19"/>
  <c r="B453" i="19"/>
  <c r="H1381" i="3" l="1"/>
  <c r="G1381" i="3"/>
  <c r="F1381" i="3"/>
  <c r="E1381" i="3"/>
  <c r="D1381" i="3"/>
  <c r="C1381" i="3"/>
  <c r="B1381" i="3"/>
  <c r="H1380" i="3"/>
  <c r="G1380" i="3"/>
  <c r="F1380" i="3"/>
  <c r="E1380" i="3"/>
  <c r="D1380" i="3"/>
  <c r="C1380" i="3"/>
  <c r="B1380" i="3"/>
  <c r="H1379" i="3"/>
  <c r="G1379" i="3"/>
  <c r="F1379" i="3"/>
  <c r="E1379" i="3"/>
  <c r="D1379" i="3"/>
  <c r="C1379" i="3"/>
  <c r="B1379" i="3"/>
  <c r="H1378" i="3"/>
  <c r="G1378" i="3"/>
  <c r="F1378" i="3"/>
  <c r="E1378" i="3"/>
  <c r="D1378" i="3"/>
  <c r="C1378" i="3"/>
  <c r="B1378" i="3"/>
  <c r="H768" i="19"/>
  <c r="G768" i="19"/>
  <c r="F768" i="19"/>
  <c r="E768" i="19"/>
  <c r="D768" i="19"/>
  <c r="C768" i="19"/>
  <c r="B768" i="19"/>
  <c r="H767" i="19"/>
  <c r="G767" i="19"/>
  <c r="F767" i="19"/>
  <c r="E767" i="19"/>
  <c r="D767" i="19"/>
  <c r="C767" i="19"/>
  <c r="B767" i="19"/>
  <c r="H766" i="19"/>
  <c r="G766" i="19"/>
  <c r="F766" i="19"/>
  <c r="E766" i="19"/>
  <c r="D766" i="19"/>
  <c r="C766" i="19"/>
  <c r="B766" i="19"/>
  <c r="H765" i="19"/>
  <c r="G765" i="19"/>
  <c r="F765" i="19"/>
  <c r="E765" i="19"/>
  <c r="D765" i="19"/>
  <c r="C765" i="19"/>
  <c r="B765" i="19"/>
  <c r="B497" i="19" l="1"/>
  <c r="C497" i="19"/>
  <c r="D497" i="19"/>
  <c r="E497" i="19"/>
  <c r="F497" i="19"/>
  <c r="G497" i="19"/>
  <c r="H497" i="19"/>
  <c r="B496" i="19"/>
  <c r="C496" i="19"/>
  <c r="D496" i="19"/>
  <c r="E496" i="19"/>
  <c r="F496" i="19"/>
  <c r="G496" i="19"/>
  <c r="H496" i="19"/>
  <c r="B495" i="19"/>
  <c r="C495" i="19"/>
  <c r="D495" i="19"/>
  <c r="E495" i="19"/>
  <c r="F495" i="19"/>
  <c r="G495" i="19"/>
  <c r="H495" i="19"/>
  <c r="B494" i="19"/>
  <c r="C494" i="19"/>
  <c r="D494" i="19"/>
  <c r="E494" i="19"/>
  <c r="F494" i="19"/>
  <c r="G494" i="19"/>
  <c r="H494" i="19"/>
  <c r="B493" i="19"/>
  <c r="C493" i="19"/>
  <c r="D493" i="19"/>
  <c r="E493" i="19"/>
  <c r="F493" i="19"/>
  <c r="G493" i="19"/>
  <c r="H493" i="19"/>
  <c r="B492" i="19"/>
  <c r="C492" i="19"/>
  <c r="D492" i="19"/>
  <c r="E492" i="19"/>
  <c r="F492" i="19"/>
  <c r="G492" i="19"/>
  <c r="H492" i="19"/>
  <c r="B491" i="19"/>
  <c r="C491" i="19"/>
  <c r="D491" i="19"/>
  <c r="E491" i="19"/>
  <c r="F491" i="19"/>
  <c r="G491" i="19"/>
  <c r="H491" i="19"/>
  <c r="F1423" i="1" l="1"/>
  <c r="E1423" i="1"/>
  <c r="D1423" i="1"/>
  <c r="C1423" i="1"/>
  <c r="B1423" i="1"/>
  <c r="A1423" i="1"/>
  <c r="F1422" i="1"/>
  <c r="E1422" i="1"/>
  <c r="D1422" i="1"/>
  <c r="C1422" i="1"/>
  <c r="B1422" i="1"/>
  <c r="A1422" i="1"/>
  <c r="F1421" i="1"/>
  <c r="E1421" i="1"/>
  <c r="D1421" i="1"/>
  <c r="C1421" i="1"/>
  <c r="B1421" i="1"/>
  <c r="A1421" i="1"/>
  <c r="F1420" i="1"/>
  <c r="E1420" i="1"/>
  <c r="D1420" i="1"/>
  <c r="C1420" i="1"/>
  <c r="B1420" i="1"/>
  <c r="A1420" i="1"/>
  <c r="F1419" i="1"/>
  <c r="E1419" i="1"/>
  <c r="D1419" i="1"/>
  <c r="C1419" i="1"/>
  <c r="B1419" i="1"/>
  <c r="A1419" i="1"/>
  <c r="F1418" i="1"/>
  <c r="E1418" i="1"/>
  <c r="D1418" i="1"/>
  <c r="C1418" i="1"/>
  <c r="B1418" i="1"/>
  <c r="A1418" i="1"/>
  <c r="F1417" i="1"/>
  <c r="E1417" i="1"/>
  <c r="D1417" i="1"/>
  <c r="C1417" i="1"/>
  <c r="B1417" i="1"/>
  <c r="A1417" i="1"/>
  <c r="F1416" i="1"/>
  <c r="E1416" i="1"/>
  <c r="D1416" i="1"/>
  <c r="C1416" i="1"/>
  <c r="B1416" i="1"/>
  <c r="A1416" i="1"/>
  <c r="F1415" i="1"/>
  <c r="E1415" i="1"/>
  <c r="D1415" i="1"/>
  <c r="C1415" i="1"/>
  <c r="B1415" i="1"/>
  <c r="A1415" i="1"/>
  <c r="F1414" i="1"/>
  <c r="E1414" i="1"/>
  <c r="D1414" i="1"/>
  <c r="C1414" i="1"/>
  <c r="B1414" i="1"/>
  <c r="A1414" i="1"/>
  <c r="F1413" i="1"/>
  <c r="E1413" i="1"/>
  <c r="D1413" i="1"/>
  <c r="C1413" i="1"/>
  <c r="B1413" i="1"/>
  <c r="A1413" i="1"/>
  <c r="F1412" i="1"/>
  <c r="E1412" i="1"/>
  <c r="D1412" i="1"/>
  <c r="C1412" i="1"/>
  <c r="B1412" i="1"/>
  <c r="A1412" i="1"/>
  <c r="F1411" i="1"/>
  <c r="E1411" i="1"/>
  <c r="D1411" i="1"/>
  <c r="C1411" i="1"/>
  <c r="B1411" i="1"/>
  <c r="A1411" i="1"/>
  <c r="F1410" i="1"/>
  <c r="E1410" i="1"/>
  <c r="D1410" i="1"/>
  <c r="C1410" i="1"/>
  <c r="B1410" i="1"/>
  <c r="A1410" i="1"/>
  <c r="F1409" i="1"/>
  <c r="E1409" i="1"/>
  <c r="D1409" i="1"/>
  <c r="C1409" i="1"/>
  <c r="B1409" i="1"/>
  <c r="A1409" i="1"/>
  <c r="F1408" i="1"/>
  <c r="E1408" i="1"/>
  <c r="D1408" i="1"/>
  <c r="C1408" i="1"/>
  <c r="B1408" i="1"/>
  <c r="A1408" i="1"/>
  <c r="F1407" i="1"/>
  <c r="E1407" i="1"/>
  <c r="D1407" i="1"/>
  <c r="C1407" i="1"/>
  <c r="B1407" i="1"/>
  <c r="A1407" i="1"/>
  <c r="F1406" i="1"/>
  <c r="E1406" i="1"/>
  <c r="D1406" i="1"/>
  <c r="C1406" i="1"/>
  <c r="B1406" i="1"/>
  <c r="A1406" i="1"/>
  <c r="F1405" i="1"/>
  <c r="E1405" i="1"/>
  <c r="D1405" i="1"/>
  <c r="C1405" i="1"/>
  <c r="B1405" i="1"/>
  <c r="A1405" i="1"/>
  <c r="F1404" i="1"/>
  <c r="E1404" i="1"/>
  <c r="D1404" i="1"/>
  <c r="C1404" i="1"/>
  <c r="B1404" i="1"/>
  <c r="A1404" i="1"/>
  <c r="F1403" i="1"/>
  <c r="E1403" i="1"/>
  <c r="D1403" i="1"/>
  <c r="C1403" i="1"/>
  <c r="B1403" i="1"/>
  <c r="A1403" i="1"/>
  <c r="F1402" i="1"/>
  <c r="E1402" i="1"/>
  <c r="D1402" i="1"/>
  <c r="C1402" i="1"/>
  <c r="B1402" i="1"/>
  <c r="A1402" i="1"/>
  <c r="F1401" i="1"/>
  <c r="E1401" i="1"/>
  <c r="D1401" i="1"/>
  <c r="C1401" i="1"/>
  <c r="B1401" i="1"/>
  <c r="A1401" i="1"/>
  <c r="F1400" i="1"/>
  <c r="E1400" i="1"/>
  <c r="D1400" i="1"/>
  <c r="C1400" i="1"/>
  <c r="B1400" i="1"/>
  <c r="A1400" i="1"/>
  <c r="F1399" i="1"/>
  <c r="E1399" i="1"/>
  <c r="D1399" i="1"/>
  <c r="C1399" i="1"/>
  <c r="B1399" i="1"/>
  <c r="A1399" i="1"/>
  <c r="F1398" i="1"/>
  <c r="E1398" i="1"/>
  <c r="D1398" i="1"/>
  <c r="C1398" i="1"/>
  <c r="B1398" i="1"/>
  <c r="A1398" i="1"/>
  <c r="F1397" i="1"/>
  <c r="E1397" i="1"/>
  <c r="D1397" i="1"/>
  <c r="C1397" i="1"/>
  <c r="B1397" i="1"/>
  <c r="A1397" i="1"/>
  <c r="F1396" i="1"/>
  <c r="E1396" i="1"/>
  <c r="D1396" i="1"/>
  <c r="C1396" i="1"/>
  <c r="B1396" i="1"/>
  <c r="A1396" i="1"/>
  <c r="F1395" i="1"/>
  <c r="E1395" i="1"/>
  <c r="D1395" i="1"/>
  <c r="C1395" i="1"/>
  <c r="B1395" i="1"/>
  <c r="A1395" i="1"/>
  <c r="F1394" i="1"/>
  <c r="E1394" i="1"/>
  <c r="D1394" i="1"/>
  <c r="C1394" i="1"/>
  <c r="B1394" i="1"/>
  <c r="A1394" i="1"/>
  <c r="F1393" i="1"/>
  <c r="E1393" i="1"/>
  <c r="D1393" i="1"/>
  <c r="C1393" i="1"/>
  <c r="B1393" i="1"/>
  <c r="A1393" i="1"/>
  <c r="F1392" i="1"/>
  <c r="E1392" i="1"/>
  <c r="D1392" i="1"/>
  <c r="C1392" i="1"/>
  <c r="B1392" i="1"/>
  <c r="A1392" i="1"/>
  <c r="F1391" i="1"/>
  <c r="E1391" i="1"/>
  <c r="D1391" i="1"/>
  <c r="C1391" i="1"/>
  <c r="B1391" i="1"/>
  <c r="A1391" i="1"/>
  <c r="F1390" i="1"/>
  <c r="E1390" i="1"/>
  <c r="D1390" i="1"/>
  <c r="C1390" i="1"/>
  <c r="B1390" i="1"/>
  <c r="A1390" i="1"/>
  <c r="F1389" i="1"/>
  <c r="E1389" i="1"/>
  <c r="D1389" i="1"/>
  <c r="C1389" i="1"/>
  <c r="B1389" i="1"/>
  <c r="A1389" i="1"/>
  <c r="F1388" i="1"/>
  <c r="E1388" i="1"/>
  <c r="D1388" i="1"/>
  <c r="C1388" i="1"/>
  <c r="B1388" i="1"/>
  <c r="A1388" i="1"/>
  <c r="F1387" i="1"/>
  <c r="E1387" i="1"/>
  <c r="D1387" i="1"/>
  <c r="C1387" i="1"/>
  <c r="B1387" i="1"/>
  <c r="A1387" i="1"/>
  <c r="F1386" i="1"/>
  <c r="E1386" i="1"/>
  <c r="D1386" i="1"/>
  <c r="C1386" i="1"/>
  <c r="B1386" i="1"/>
  <c r="A1386" i="1"/>
  <c r="F1385" i="1"/>
  <c r="E1385" i="1"/>
  <c r="D1385" i="1"/>
  <c r="C1385" i="1"/>
  <c r="B1385" i="1"/>
  <c r="A1385" i="1"/>
  <c r="F1384" i="1"/>
  <c r="E1384" i="1"/>
  <c r="D1384" i="1"/>
  <c r="C1384" i="1"/>
  <c r="B1384" i="1"/>
  <c r="A1384" i="1"/>
  <c r="F1383" i="1"/>
  <c r="E1383" i="1"/>
  <c r="D1383" i="1"/>
  <c r="C1383" i="1"/>
  <c r="B1383" i="1"/>
  <c r="A1383" i="1"/>
  <c r="F1382" i="1"/>
  <c r="E1382" i="1"/>
  <c r="D1382" i="1"/>
  <c r="C1382" i="1"/>
  <c r="B1382" i="1"/>
  <c r="A1382" i="1"/>
  <c r="F1381" i="1"/>
  <c r="E1381" i="1"/>
  <c r="D1381" i="1"/>
  <c r="C1381" i="1"/>
  <c r="B1381" i="1"/>
  <c r="A1381" i="1"/>
  <c r="F1380" i="1"/>
  <c r="E1380" i="1"/>
  <c r="D1380" i="1"/>
  <c r="C1380" i="1"/>
  <c r="B1380" i="1"/>
  <c r="A1380" i="1"/>
  <c r="F1379" i="1"/>
  <c r="E1379" i="1"/>
  <c r="D1379" i="1"/>
  <c r="C1379" i="1"/>
  <c r="B1379" i="1"/>
  <c r="A1379" i="1"/>
  <c r="F1378" i="1"/>
  <c r="E1378" i="1"/>
  <c r="D1378" i="1"/>
  <c r="C1378" i="1"/>
  <c r="B1378" i="1"/>
  <c r="A1378" i="1"/>
  <c r="F1377" i="1"/>
  <c r="E1377" i="1"/>
  <c r="D1377" i="1"/>
  <c r="C1377" i="1"/>
  <c r="B1377" i="1"/>
  <c r="A1377" i="1"/>
  <c r="F1376" i="1"/>
  <c r="E1376" i="1"/>
  <c r="D1376" i="1"/>
  <c r="C1376" i="1"/>
  <c r="B1376" i="1"/>
  <c r="A1376" i="1"/>
  <c r="F1375" i="1"/>
  <c r="E1375" i="1"/>
  <c r="D1375" i="1"/>
  <c r="C1375" i="1"/>
  <c r="B1375" i="1"/>
  <c r="A1375" i="1"/>
  <c r="F1374" i="1"/>
  <c r="E1374" i="1"/>
  <c r="D1374" i="1"/>
  <c r="C1374" i="1"/>
  <c r="B1374" i="1"/>
  <c r="A1374" i="1"/>
  <c r="F1373" i="1"/>
  <c r="E1373" i="1"/>
  <c r="D1373" i="1"/>
  <c r="C1373" i="1"/>
  <c r="B1373" i="1"/>
  <c r="A1373" i="1"/>
  <c r="F1372" i="1"/>
  <c r="E1372" i="1"/>
  <c r="D1372" i="1"/>
  <c r="C1372" i="1"/>
  <c r="B1372" i="1"/>
  <c r="A1372" i="1"/>
  <c r="F1371" i="1"/>
  <c r="E1371" i="1"/>
  <c r="D1371" i="1"/>
  <c r="C1371" i="1"/>
  <c r="B1371" i="1"/>
  <c r="A1371" i="1"/>
  <c r="F1370" i="1"/>
  <c r="E1370" i="1"/>
  <c r="D1370" i="1"/>
  <c r="C1370" i="1"/>
  <c r="B1370" i="1"/>
  <c r="A1370" i="1"/>
  <c r="F1369" i="1"/>
  <c r="E1369" i="1"/>
  <c r="D1369" i="1"/>
  <c r="C1369" i="1"/>
  <c r="B1369" i="1"/>
  <c r="A1369" i="1"/>
  <c r="F1368" i="1"/>
  <c r="E1368" i="1"/>
  <c r="D1368" i="1"/>
  <c r="C1368" i="1"/>
  <c r="B1368" i="1"/>
  <c r="A1368" i="1"/>
  <c r="F1367" i="1"/>
  <c r="E1367" i="1"/>
  <c r="D1367" i="1"/>
  <c r="C1367" i="1"/>
  <c r="B1367" i="1"/>
  <c r="A1367" i="1"/>
  <c r="F1366" i="1"/>
  <c r="E1366" i="1"/>
  <c r="D1366" i="1"/>
  <c r="C1366" i="1"/>
  <c r="B1366" i="1"/>
  <c r="A1366" i="1"/>
  <c r="F1365" i="1"/>
  <c r="E1365" i="1"/>
  <c r="D1365" i="1"/>
  <c r="C1365" i="1"/>
  <c r="B1365" i="1"/>
  <c r="A1365" i="1"/>
  <c r="F1364" i="1"/>
  <c r="E1364" i="1"/>
  <c r="D1364" i="1"/>
  <c r="C1364" i="1"/>
  <c r="B1364" i="1"/>
  <c r="A1364" i="1"/>
  <c r="F1363" i="1"/>
  <c r="E1363" i="1"/>
  <c r="D1363" i="1"/>
  <c r="C1363" i="1"/>
  <c r="B1363" i="1"/>
  <c r="A1363" i="1"/>
  <c r="F1362" i="1"/>
  <c r="E1362" i="1"/>
  <c r="D1362" i="1"/>
  <c r="C1362" i="1"/>
  <c r="B1362" i="1"/>
  <c r="A1362" i="1"/>
  <c r="F1361" i="1"/>
  <c r="E1361" i="1"/>
  <c r="D1361" i="1"/>
  <c r="C1361" i="1"/>
  <c r="B1361" i="1"/>
  <c r="A1361" i="1"/>
  <c r="F1360" i="1"/>
  <c r="E1360" i="1"/>
  <c r="D1360" i="1"/>
  <c r="C1360" i="1"/>
  <c r="B1360" i="1"/>
  <c r="A1360" i="1"/>
  <c r="F1359" i="1"/>
  <c r="E1359" i="1"/>
  <c r="D1359" i="1"/>
  <c r="C1359" i="1"/>
  <c r="B1359" i="1"/>
  <c r="A1359" i="1"/>
  <c r="F1358" i="1"/>
  <c r="E1358" i="1"/>
  <c r="D1358" i="1"/>
  <c r="C1358" i="1"/>
  <c r="B1358" i="1"/>
  <c r="A1358" i="1"/>
  <c r="F1357" i="1"/>
  <c r="E1357" i="1"/>
  <c r="D1357" i="1"/>
  <c r="C1357" i="1"/>
  <c r="B1357" i="1"/>
  <c r="A1357" i="1"/>
  <c r="F1356" i="1"/>
  <c r="E1356" i="1"/>
  <c r="D1356" i="1"/>
  <c r="C1356" i="1"/>
  <c r="B1356" i="1"/>
  <c r="A1356" i="1"/>
  <c r="F1355" i="1"/>
  <c r="E1355" i="1"/>
  <c r="D1355" i="1"/>
  <c r="C1355" i="1"/>
  <c r="B1355" i="1"/>
  <c r="A1355" i="1"/>
  <c r="F1354" i="1"/>
  <c r="E1354" i="1"/>
  <c r="D1354" i="1"/>
  <c r="C1354" i="1"/>
  <c r="B1354" i="1"/>
  <c r="A1354" i="1"/>
  <c r="F1353" i="1"/>
  <c r="E1353" i="1"/>
  <c r="D1353" i="1"/>
  <c r="C1353" i="1"/>
  <c r="B1353" i="1"/>
  <c r="A1353" i="1"/>
  <c r="F1352" i="1"/>
  <c r="E1352" i="1"/>
  <c r="D1352" i="1"/>
  <c r="C1352" i="1"/>
  <c r="B1352" i="1"/>
  <c r="A1352" i="1"/>
  <c r="F1351" i="1"/>
  <c r="E1351" i="1"/>
  <c r="D1351" i="1"/>
  <c r="C1351" i="1"/>
  <c r="B1351" i="1"/>
  <c r="A1351" i="1"/>
  <c r="F1350" i="1"/>
  <c r="E1350" i="1"/>
  <c r="D1350" i="1"/>
  <c r="C1350" i="1"/>
  <c r="B1350" i="1"/>
  <c r="A1350" i="1"/>
  <c r="F1349" i="1"/>
  <c r="E1349" i="1"/>
  <c r="D1349" i="1"/>
  <c r="C1349" i="1"/>
  <c r="B1349" i="1"/>
  <c r="A1349" i="1"/>
  <c r="F1348" i="1"/>
  <c r="E1348" i="1"/>
  <c r="D1348" i="1"/>
  <c r="C1348" i="1"/>
  <c r="B1348" i="1"/>
  <c r="A1348" i="1"/>
  <c r="F1347" i="1"/>
  <c r="E1347" i="1"/>
  <c r="D1347" i="1"/>
  <c r="C1347" i="1"/>
  <c r="B1347" i="1"/>
  <c r="A1347" i="1"/>
  <c r="F1346" i="1"/>
  <c r="E1346" i="1"/>
  <c r="D1346" i="1"/>
  <c r="C1346" i="1"/>
  <c r="B1346" i="1"/>
  <c r="A1346" i="1"/>
  <c r="F1345" i="1"/>
  <c r="E1345" i="1"/>
  <c r="D1345" i="1"/>
  <c r="C1345" i="1"/>
  <c r="B1345" i="1"/>
  <c r="A1345" i="1"/>
  <c r="F1344" i="1"/>
  <c r="E1344" i="1"/>
  <c r="D1344" i="1"/>
  <c r="C1344" i="1"/>
  <c r="B1344" i="1"/>
  <c r="A1344" i="1"/>
  <c r="F1343" i="1"/>
  <c r="E1343" i="1"/>
  <c r="D1343" i="1"/>
  <c r="C1343" i="1"/>
  <c r="B1343" i="1"/>
  <c r="A1343" i="1"/>
  <c r="F1342" i="1"/>
  <c r="E1342" i="1"/>
  <c r="D1342" i="1"/>
  <c r="C1342" i="1"/>
  <c r="B1342" i="1"/>
  <c r="A1342" i="1"/>
  <c r="F1341" i="1"/>
  <c r="E1341" i="1"/>
  <c r="D1341" i="1"/>
  <c r="C1341" i="1"/>
  <c r="B1341" i="1"/>
  <c r="A1341" i="1"/>
  <c r="F1340" i="1"/>
  <c r="E1340" i="1"/>
  <c r="D1340" i="1"/>
  <c r="C1340" i="1"/>
  <c r="B1340" i="1"/>
  <c r="A1340" i="1"/>
  <c r="F1339" i="1"/>
  <c r="E1339" i="1"/>
  <c r="D1339" i="1"/>
  <c r="C1339" i="1"/>
  <c r="B1339" i="1"/>
  <c r="A1339" i="1"/>
  <c r="F1338" i="1"/>
  <c r="E1338" i="1"/>
  <c r="D1338" i="1"/>
  <c r="C1338" i="1"/>
  <c r="B1338" i="1"/>
  <c r="A1338" i="1"/>
  <c r="F1337" i="1"/>
  <c r="E1337" i="1"/>
  <c r="D1337" i="1"/>
  <c r="C1337" i="1"/>
  <c r="B1337" i="1"/>
  <c r="A1337" i="1"/>
  <c r="F1336" i="1"/>
  <c r="E1336" i="1"/>
  <c r="D1336" i="1"/>
  <c r="C1336" i="1"/>
  <c r="B1336" i="1"/>
  <c r="A1336" i="1"/>
  <c r="F1335" i="1"/>
  <c r="E1335" i="1"/>
  <c r="D1335" i="1"/>
  <c r="C1335" i="1"/>
  <c r="B1335" i="1"/>
  <c r="A1335" i="1"/>
  <c r="F1334" i="1"/>
  <c r="E1334" i="1"/>
  <c r="D1334" i="1"/>
  <c r="C1334" i="1"/>
  <c r="B1334" i="1"/>
  <c r="A1334" i="1"/>
  <c r="F1333" i="1"/>
  <c r="E1333" i="1"/>
  <c r="D1333" i="1"/>
  <c r="C1333" i="1"/>
  <c r="B1333" i="1"/>
  <c r="A1333" i="1"/>
  <c r="F1332" i="1"/>
  <c r="E1332" i="1"/>
  <c r="D1332" i="1"/>
  <c r="C1332" i="1"/>
  <c r="B1332" i="1"/>
  <c r="A1332" i="1"/>
  <c r="F1331" i="1"/>
  <c r="E1331" i="1"/>
  <c r="D1331" i="1"/>
  <c r="C1331" i="1"/>
  <c r="B1331" i="1"/>
  <c r="A1331" i="1"/>
  <c r="F1330" i="1"/>
  <c r="E1330" i="1"/>
  <c r="D1330" i="1"/>
  <c r="C1330" i="1"/>
  <c r="B1330" i="1"/>
  <c r="A1330" i="1"/>
  <c r="F1329" i="1"/>
  <c r="E1329" i="1"/>
  <c r="D1329" i="1"/>
  <c r="C1329" i="1"/>
  <c r="B1329" i="1"/>
  <c r="A1329" i="1"/>
  <c r="F1328" i="1"/>
  <c r="E1328" i="1"/>
  <c r="D1328" i="1"/>
  <c r="C1328" i="1"/>
  <c r="B1328" i="1"/>
  <c r="A1328" i="1"/>
  <c r="F1327" i="1"/>
  <c r="E1327" i="1"/>
  <c r="D1327" i="1"/>
  <c r="C1327" i="1"/>
  <c r="B1327" i="1"/>
  <c r="A1327" i="1"/>
  <c r="F1326" i="1"/>
  <c r="E1326" i="1"/>
  <c r="D1326" i="1"/>
  <c r="C1326" i="1"/>
  <c r="B1326" i="1"/>
  <c r="A1326" i="1"/>
  <c r="F1325" i="1"/>
  <c r="E1325" i="1"/>
  <c r="D1325" i="1"/>
  <c r="C1325" i="1"/>
  <c r="B1325" i="1"/>
  <c r="A1325" i="1"/>
  <c r="F1324" i="1"/>
  <c r="E1324" i="1"/>
  <c r="D1324" i="1"/>
  <c r="C1324" i="1"/>
  <c r="B1324" i="1"/>
  <c r="A1324" i="1"/>
  <c r="F1323" i="1"/>
  <c r="E1323" i="1"/>
  <c r="D1323" i="1"/>
  <c r="C1323" i="1"/>
  <c r="B1323" i="1"/>
  <c r="A1323" i="1"/>
  <c r="F1322" i="1"/>
  <c r="E1322" i="1"/>
  <c r="D1322" i="1"/>
  <c r="C1322" i="1"/>
  <c r="B1322" i="1"/>
  <c r="A1322" i="1"/>
  <c r="F1321" i="1"/>
  <c r="E1321" i="1"/>
  <c r="D1321" i="1"/>
  <c r="C1321" i="1"/>
  <c r="B1321" i="1"/>
  <c r="A1321" i="1"/>
  <c r="F1320" i="1"/>
  <c r="E1320" i="1"/>
  <c r="D1320" i="1"/>
  <c r="C1320" i="1"/>
  <c r="B1320" i="1"/>
  <c r="A1320" i="1"/>
  <c r="F1319" i="1"/>
  <c r="E1319" i="1"/>
  <c r="D1319" i="1"/>
  <c r="C1319" i="1"/>
  <c r="B1319" i="1"/>
  <c r="A1319" i="1"/>
  <c r="F1318" i="1"/>
  <c r="E1318" i="1"/>
  <c r="D1318" i="1"/>
  <c r="C1318" i="1"/>
  <c r="B1318" i="1"/>
  <c r="A1318" i="1"/>
  <c r="F1317" i="1"/>
  <c r="E1317" i="1"/>
  <c r="D1317" i="1"/>
  <c r="C1317" i="1"/>
  <c r="B1317" i="1"/>
  <c r="A1317" i="1"/>
  <c r="F1316" i="1"/>
  <c r="E1316" i="1"/>
  <c r="D1316" i="1"/>
  <c r="C1316" i="1"/>
  <c r="B1316" i="1"/>
  <c r="A1316" i="1"/>
  <c r="F1315" i="1"/>
  <c r="E1315" i="1"/>
  <c r="D1315" i="1"/>
  <c r="C1315" i="1"/>
  <c r="B1315" i="1"/>
  <c r="A1315" i="1"/>
  <c r="F1314" i="1"/>
  <c r="E1314" i="1"/>
  <c r="D1314" i="1"/>
  <c r="C1314" i="1"/>
  <c r="B1314" i="1"/>
  <c r="A1314" i="1"/>
  <c r="F1313" i="1"/>
  <c r="E1313" i="1"/>
  <c r="D1313" i="1"/>
  <c r="C1313" i="1"/>
  <c r="B1313" i="1"/>
  <c r="A1313" i="1"/>
  <c r="F1312" i="1"/>
  <c r="E1312" i="1"/>
  <c r="D1312" i="1"/>
  <c r="C1312" i="1"/>
  <c r="B1312" i="1"/>
  <c r="A1312" i="1"/>
  <c r="F1311" i="1"/>
  <c r="E1311" i="1"/>
  <c r="D1311" i="1"/>
  <c r="C1311" i="1"/>
  <c r="B1311" i="1"/>
  <c r="A1311" i="1"/>
  <c r="F1310" i="1"/>
  <c r="E1310" i="1"/>
  <c r="D1310" i="1"/>
  <c r="C1310" i="1"/>
  <c r="B1310" i="1"/>
  <c r="A1310" i="1"/>
  <c r="F1309" i="1"/>
  <c r="E1309" i="1"/>
  <c r="D1309" i="1"/>
  <c r="C1309" i="1"/>
  <c r="B1309" i="1"/>
  <c r="A1309" i="1"/>
  <c r="F1308" i="1"/>
  <c r="E1308" i="1"/>
  <c r="D1308" i="1"/>
  <c r="C1308" i="1"/>
  <c r="B1308" i="1"/>
  <c r="A1308" i="1"/>
  <c r="F1307" i="1"/>
  <c r="E1307" i="1"/>
  <c r="D1307" i="1"/>
  <c r="C1307" i="1"/>
  <c r="B1307" i="1"/>
  <c r="A1307" i="1"/>
  <c r="F1306" i="1"/>
  <c r="E1306" i="1"/>
  <c r="D1306" i="1"/>
  <c r="C1306" i="1"/>
  <c r="B1306" i="1"/>
  <c r="A1306" i="1"/>
  <c r="F1305" i="1"/>
  <c r="E1305" i="1"/>
  <c r="D1305" i="1"/>
  <c r="C1305" i="1"/>
  <c r="B1305" i="1"/>
  <c r="A1305" i="1"/>
  <c r="F1304" i="1"/>
  <c r="E1304" i="1"/>
  <c r="D1304" i="1"/>
  <c r="C1304" i="1"/>
  <c r="B1304" i="1"/>
  <c r="A1304" i="1"/>
  <c r="F1303" i="1"/>
  <c r="E1303" i="1"/>
  <c r="D1303" i="1"/>
  <c r="C1303" i="1"/>
  <c r="B1303" i="1"/>
  <c r="A1303" i="1"/>
  <c r="F1302" i="1"/>
  <c r="E1302" i="1"/>
  <c r="D1302" i="1"/>
  <c r="C1302" i="1"/>
  <c r="B1302" i="1"/>
  <c r="A1302" i="1"/>
  <c r="F1301" i="1"/>
  <c r="E1301" i="1"/>
  <c r="D1301" i="1"/>
  <c r="C1301" i="1"/>
  <c r="B1301" i="1"/>
  <c r="A1301" i="1"/>
  <c r="F1300" i="1"/>
  <c r="E1300" i="1"/>
  <c r="D1300" i="1"/>
  <c r="C1300" i="1"/>
  <c r="B1300" i="1"/>
  <c r="A1300" i="1"/>
  <c r="F1299" i="1"/>
  <c r="E1299" i="1"/>
  <c r="D1299" i="1"/>
  <c r="C1299" i="1"/>
  <c r="B1299" i="1"/>
  <c r="A1299" i="1"/>
  <c r="F1298" i="1"/>
  <c r="E1298" i="1"/>
  <c r="D1298" i="1"/>
  <c r="C1298" i="1"/>
  <c r="B1298" i="1"/>
  <c r="A1298" i="1"/>
  <c r="F1297" i="1"/>
  <c r="E1297" i="1"/>
  <c r="D1297" i="1"/>
  <c r="C1297" i="1"/>
  <c r="B1297" i="1"/>
  <c r="A1297" i="1"/>
  <c r="F1296" i="1"/>
  <c r="E1296" i="1"/>
  <c r="D1296" i="1"/>
  <c r="C1296" i="1"/>
  <c r="B1296" i="1"/>
  <c r="A1296" i="1"/>
  <c r="F1295" i="1"/>
  <c r="E1295" i="1"/>
  <c r="D1295" i="1"/>
  <c r="C1295" i="1"/>
  <c r="B1295" i="1"/>
  <c r="A1295" i="1"/>
  <c r="F1294" i="1"/>
  <c r="E1294" i="1"/>
  <c r="D1294" i="1"/>
  <c r="C1294" i="1"/>
  <c r="B1294" i="1"/>
  <c r="A1294" i="1"/>
  <c r="F1293" i="1"/>
  <c r="E1293" i="1"/>
  <c r="D1293" i="1"/>
  <c r="C1293" i="1"/>
  <c r="B1293" i="1"/>
  <c r="A1293" i="1"/>
  <c r="F1292" i="1"/>
  <c r="E1292" i="1"/>
  <c r="D1292" i="1"/>
  <c r="C1292" i="1"/>
  <c r="B1292" i="1"/>
  <c r="A1292" i="1"/>
  <c r="F1291" i="1"/>
  <c r="E1291" i="1"/>
  <c r="D1291" i="1"/>
  <c r="C1291" i="1"/>
  <c r="B1291" i="1"/>
  <c r="A1291" i="1"/>
  <c r="F1290" i="1"/>
  <c r="E1290" i="1"/>
  <c r="D1290" i="1"/>
  <c r="C1290" i="1"/>
  <c r="B1290" i="1"/>
  <c r="A1290" i="1"/>
  <c r="F1289" i="1"/>
  <c r="E1289" i="1"/>
  <c r="D1289" i="1"/>
  <c r="C1289" i="1"/>
  <c r="B1289" i="1"/>
  <c r="A1289" i="1"/>
  <c r="F1288" i="1"/>
  <c r="E1288" i="1"/>
  <c r="D1288" i="1"/>
  <c r="C1288" i="1"/>
  <c r="B1288" i="1"/>
  <c r="A1288" i="1"/>
  <c r="F1287" i="1"/>
  <c r="E1287" i="1"/>
  <c r="D1287" i="1"/>
  <c r="C1287" i="1"/>
  <c r="B1287" i="1"/>
  <c r="A1287" i="1"/>
  <c r="F1286" i="1"/>
  <c r="E1286" i="1"/>
  <c r="D1286" i="1"/>
  <c r="C1286" i="1"/>
  <c r="B1286" i="1"/>
  <c r="A1286" i="1"/>
  <c r="F1285" i="1"/>
  <c r="E1285" i="1"/>
  <c r="D1285" i="1"/>
  <c r="C1285" i="1"/>
  <c r="B1285" i="1"/>
  <c r="A1285" i="1"/>
  <c r="F1284" i="1"/>
  <c r="E1284" i="1"/>
  <c r="D1284" i="1"/>
  <c r="C1284" i="1"/>
  <c r="B1284" i="1"/>
  <c r="A1284" i="1"/>
  <c r="F1283" i="1"/>
  <c r="E1283" i="1"/>
  <c r="D1283" i="1"/>
  <c r="C1283" i="1"/>
  <c r="B1283" i="1"/>
  <c r="A1283" i="1"/>
  <c r="F1282" i="1"/>
  <c r="E1282" i="1"/>
  <c r="D1282" i="1"/>
  <c r="C1282" i="1"/>
  <c r="B1282" i="1"/>
  <c r="A1282" i="1"/>
  <c r="F1281" i="1"/>
  <c r="E1281" i="1"/>
  <c r="D1281" i="1"/>
  <c r="C1281" i="1"/>
  <c r="B1281" i="1"/>
  <c r="A1281" i="1"/>
  <c r="F1280" i="1"/>
  <c r="E1280" i="1"/>
  <c r="D1280" i="1"/>
  <c r="C1280" i="1"/>
  <c r="B1280" i="1"/>
  <c r="A1280" i="1"/>
  <c r="F1279" i="1"/>
  <c r="E1279" i="1"/>
  <c r="D1279" i="1"/>
  <c r="C1279" i="1"/>
  <c r="B1279" i="1"/>
  <c r="A1279" i="1"/>
  <c r="F1278" i="1"/>
  <c r="E1278" i="1"/>
  <c r="D1278" i="1"/>
  <c r="C1278" i="1"/>
  <c r="B1278" i="1"/>
  <c r="A1278" i="1"/>
  <c r="F1277" i="1"/>
  <c r="E1277" i="1"/>
  <c r="D1277" i="1"/>
  <c r="C1277" i="1"/>
  <c r="B1277" i="1"/>
  <c r="A1277" i="1"/>
  <c r="F1276" i="1"/>
  <c r="E1276" i="1"/>
  <c r="D1276" i="1"/>
  <c r="C1276" i="1"/>
  <c r="B1276" i="1"/>
  <c r="A1276" i="1"/>
  <c r="F1275" i="1"/>
  <c r="E1275" i="1"/>
  <c r="D1275" i="1"/>
  <c r="C1275" i="1"/>
  <c r="B1275" i="1"/>
  <c r="A1275" i="1"/>
  <c r="F1274" i="1"/>
  <c r="E1274" i="1"/>
  <c r="D1274" i="1"/>
  <c r="C1274" i="1"/>
  <c r="B1274" i="1"/>
  <c r="A1274" i="1"/>
  <c r="F1273" i="1"/>
  <c r="E1273" i="1"/>
  <c r="D1273" i="1"/>
  <c r="C1273" i="1"/>
  <c r="B1273" i="1"/>
  <c r="A1273" i="1"/>
  <c r="F1272" i="1"/>
  <c r="E1272" i="1"/>
  <c r="D1272" i="1"/>
  <c r="C1272" i="1"/>
  <c r="B1272" i="1"/>
  <c r="A1272" i="1"/>
  <c r="F1271" i="1"/>
  <c r="E1271" i="1"/>
  <c r="D1271" i="1"/>
  <c r="C1271" i="1"/>
  <c r="B1271" i="1"/>
  <c r="A1271" i="1"/>
  <c r="F1270" i="1"/>
  <c r="E1270" i="1"/>
  <c r="D1270" i="1"/>
  <c r="C1270" i="1"/>
  <c r="B1270" i="1"/>
  <c r="A1270" i="1"/>
  <c r="F1269" i="1"/>
  <c r="E1269" i="1"/>
  <c r="D1269" i="1"/>
  <c r="C1269" i="1"/>
  <c r="B1269" i="1"/>
  <c r="A1269" i="1"/>
  <c r="F1268" i="1"/>
  <c r="E1268" i="1"/>
  <c r="D1268" i="1"/>
  <c r="C1268" i="1"/>
  <c r="B1268" i="1"/>
  <c r="A1268" i="1"/>
  <c r="F1267" i="1"/>
  <c r="E1267" i="1"/>
  <c r="D1267" i="1"/>
  <c r="C1267" i="1"/>
  <c r="B1267" i="1"/>
  <c r="A1267" i="1"/>
  <c r="F1266" i="1"/>
  <c r="E1266" i="1"/>
  <c r="D1266" i="1"/>
  <c r="C1266" i="1"/>
  <c r="B1266" i="1"/>
  <c r="A1266" i="1"/>
  <c r="F1265" i="1"/>
  <c r="E1265" i="1"/>
  <c r="D1265" i="1"/>
  <c r="C1265" i="1"/>
  <c r="B1265" i="1"/>
  <c r="A1265" i="1"/>
  <c r="F1264" i="1"/>
  <c r="E1264" i="1"/>
  <c r="D1264" i="1"/>
  <c r="C1264" i="1"/>
  <c r="B1264" i="1"/>
  <c r="A1264" i="1"/>
  <c r="F1263" i="1"/>
  <c r="E1263" i="1"/>
  <c r="D1263" i="1"/>
  <c r="C1263" i="1"/>
  <c r="B1263" i="1"/>
  <c r="A1263" i="1"/>
  <c r="F1262" i="1"/>
  <c r="E1262" i="1"/>
  <c r="D1262" i="1"/>
  <c r="C1262" i="1"/>
  <c r="B1262" i="1"/>
  <c r="A1262" i="1"/>
  <c r="F1261" i="1"/>
  <c r="E1261" i="1"/>
  <c r="D1261" i="1"/>
  <c r="C1261" i="1"/>
  <c r="B1261" i="1"/>
  <c r="A1261" i="1"/>
  <c r="F1260" i="1"/>
  <c r="E1260" i="1"/>
  <c r="D1260" i="1"/>
  <c r="C1260" i="1"/>
  <c r="B1260" i="1"/>
  <c r="A1260" i="1"/>
  <c r="F1259" i="1"/>
  <c r="E1259" i="1"/>
  <c r="D1259" i="1"/>
  <c r="C1259" i="1"/>
  <c r="B1259" i="1"/>
  <c r="A1259" i="1"/>
  <c r="F1258" i="1"/>
  <c r="E1258" i="1"/>
  <c r="D1258" i="1"/>
  <c r="C1258" i="1"/>
  <c r="B1258" i="1"/>
  <c r="A1258" i="1"/>
  <c r="F1257" i="1"/>
  <c r="E1257" i="1"/>
  <c r="D1257" i="1"/>
  <c r="C1257" i="1"/>
  <c r="B1257" i="1"/>
  <c r="A1257" i="1"/>
  <c r="F1256" i="1"/>
  <c r="E1256" i="1"/>
  <c r="D1256" i="1"/>
  <c r="C1256" i="1"/>
  <c r="B1256" i="1"/>
  <c r="A1256" i="1"/>
  <c r="F1255" i="1"/>
  <c r="E1255" i="1"/>
  <c r="D1255" i="1"/>
  <c r="C1255" i="1"/>
  <c r="B1255" i="1"/>
  <c r="A1255" i="1"/>
  <c r="F1254" i="1"/>
  <c r="E1254" i="1"/>
  <c r="D1254" i="1"/>
  <c r="C1254" i="1"/>
  <c r="B1254" i="1"/>
  <c r="A1254" i="1"/>
  <c r="F1253" i="1"/>
  <c r="E1253" i="1"/>
  <c r="D1253" i="1"/>
  <c r="C1253" i="1"/>
  <c r="B1253" i="1"/>
  <c r="A1253" i="1"/>
  <c r="F1252" i="1"/>
  <c r="E1252" i="1"/>
  <c r="D1252" i="1"/>
  <c r="C1252" i="1"/>
  <c r="B1252" i="1"/>
  <c r="A1252" i="1"/>
  <c r="F1251" i="1"/>
  <c r="E1251" i="1"/>
  <c r="D1251" i="1"/>
  <c r="C1251" i="1"/>
  <c r="B1251" i="1"/>
  <c r="A1251" i="1"/>
  <c r="F1250" i="1"/>
  <c r="E1250" i="1"/>
  <c r="D1250" i="1"/>
  <c r="C1250" i="1"/>
  <c r="B1250" i="1"/>
  <c r="A1250" i="1"/>
  <c r="F1249" i="1"/>
  <c r="E1249" i="1"/>
  <c r="D1249" i="1"/>
  <c r="C1249" i="1"/>
  <c r="B1249" i="1"/>
  <c r="A1249" i="1"/>
  <c r="F1248" i="1"/>
  <c r="E1248" i="1"/>
  <c r="D1248" i="1"/>
  <c r="C1248" i="1"/>
  <c r="B1248" i="1"/>
  <c r="A1248" i="1"/>
  <c r="F1247" i="1"/>
  <c r="E1247" i="1"/>
  <c r="D1247" i="1"/>
  <c r="C1247" i="1"/>
  <c r="B1247" i="1"/>
  <c r="A1247" i="1"/>
  <c r="F1246" i="1"/>
  <c r="E1246" i="1"/>
  <c r="D1246" i="1"/>
  <c r="C1246" i="1"/>
  <c r="B1246" i="1"/>
  <c r="A1246" i="1"/>
  <c r="F1245" i="1"/>
  <c r="E1245" i="1"/>
  <c r="D1245" i="1"/>
  <c r="C1245" i="1"/>
  <c r="B1245" i="1"/>
  <c r="A1245" i="1"/>
  <c r="F1244" i="1"/>
  <c r="E1244" i="1"/>
  <c r="D1244" i="1"/>
  <c r="C1244" i="1"/>
  <c r="B1244" i="1"/>
  <c r="A1244" i="1"/>
  <c r="F1243" i="1"/>
  <c r="E1243" i="1"/>
  <c r="D1243" i="1"/>
  <c r="C1243" i="1"/>
  <c r="B1243" i="1"/>
  <c r="A1243" i="1"/>
  <c r="F1242" i="1"/>
  <c r="E1242" i="1"/>
  <c r="D1242" i="1"/>
  <c r="C1242" i="1"/>
  <c r="B1242" i="1"/>
  <c r="A1242" i="1"/>
  <c r="F1241" i="1"/>
  <c r="E1241" i="1"/>
  <c r="D1241" i="1"/>
  <c r="C1241" i="1"/>
  <c r="B1241" i="1"/>
  <c r="A1241" i="1"/>
  <c r="F1240" i="1"/>
  <c r="E1240" i="1"/>
  <c r="D1240" i="1"/>
  <c r="C1240" i="1"/>
  <c r="B1240" i="1"/>
  <c r="A1240" i="1"/>
  <c r="F1239" i="1"/>
  <c r="E1239" i="1"/>
  <c r="D1239" i="1"/>
  <c r="C1239" i="1"/>
  <c r="B1239" i="1"/>
  <c r="A1239" i="1"/>
  <c r="F1238" i="1"/>
  <c r="E1238" i="1"/>
  <c r="D1238" i="1"/>
  <c r="C1238" i="1"/>
  <c r="B1238" i="1"/>
  <c r="A1238" i="1"/>
  <c r="F1237" i="1"/>
  <c r="E1237" i="1"/>
  <c r="D1237" i="1"/>
  <c r="C1237" i="1"/>
  <c r="B1237" i="1"/>
  <c r="A1237" i="1"/>
  <c r="F1236" i="1"/>
  <c r="E1236" i="1"/>
  <c r="D1236" i="1"/>
  <c r="C1236" i="1"/>
  <c r="B1236" i="1"/>
  <c r="A1236" i="1"/>
  <c r="F1235" i="1"/>
  <c r="E1235" i="1"/>
  <c r="D1235" i="1"/>
  <c r="C1235" i="1"/>
  <c r="B1235" i="1"/>
  <c r="A1235" i="1"/>
  <c r="F1234" i="1"/>
  <c r="E1234" i="1"/>
  <c r="D1234" i="1"/>
  <c r="C1234" i="1"/>
  <c r="B1234" i="1"/>
  <c r="A1234" i="1"/>
  <c r="F1233" i="1"/>
  <c r="E1233" i="1"/>
  <c r="D1233" i="1"/>
  <c r="C1233" i="1"/>
  <c r="B1233" i="1"/>
  <c r="A1233" i="1"/>
  <c r="F1232" i="1"/>
  <c r="E1232" i="1"/>
  <c r="D1232" i="1"/>
  <c r="C1232" i="1"/>
  <c r="B1232" i="1"/>
  <c r="A1232" i="1"/>
  <c r="F1231" i="1"/>
  <c r="E1231" i="1"/>
  <c r="D1231" i="1"/>
  <c r="C1231" i="1"/>
  <c r="B1231" i="1"/>
  <c r="A1231" i="1"/>
  <c r="F1230" i="1"/>
  <c r="E1230" i="1"/>
  <c r="D1230" i="1"/>
  <c r="C1230" i="1"/>
  <c r="B1230" i="1"/>
  <c r="A1230" i="1"/>
  <c r="F1229" i="1"/>
  <c r="E1229" i="1"/>
  <c r="D1229" i="1"/>
  <c r="C1229" i="1"/>
  <c r="B1229" i="1"/>
  <c r="A1229" i="1"/>
  <c r="F1228" i="1"/>
  <c r="E1228" i="1"/>
  <c r="D1228" i="1"/>
  <c r="C1228" i="1"/>
  <c r="B1228" i="1"/>
  <c r="A1228" i="1"/>
  <c r="F1227" i="1"/>
  <c r="E1227" i="1"/>
  <c r="D1227" i="1"/>
  <c r="C1227" i="1"/>
  <c r="B1227" i="1"/>
  <c r="A1227" i="1"/>
  <c r="F1226" i="1"/>
  <c r="E1226" i="1"/>
  <c r="D1226" i="1"/>
  <c r="C1226" i="1"/>
  <c r="B1226" i="1"/>
  <c r="A1226" i="1"/>
  <c r="F1225" i="1"/>
  <c r="E1225" i="1"/>
  <c r="D1225" i="1"/>
  <c r="C1225" i="1"/>
  <c r="B1225" i="1"/>
  <c r="A1225" i="1"/>
  <c r="F1224" i="1"/>
  <c r="E1224" i="1"/>
  <c r="D1224" i="1"/>
  <c r="C1224" i="1"/>
  <c r="B1224" i="1"/>
  <c r="A1224" i="1"/>
  <c r="F1223" i="1"/>
  <c r="E1223" i="1"/>
  <c r="D1223" i="1"/>
  <c r="C1223" i="1"/>
  <c r="B1223" i="1"/>
  <c r="A1223" i="1"/>
  <c r="F1222" i="1"/>
  <c r="E1222" i="1"/>
  <c r="D1222" i="1"/>
  <c r="C1222" i="1"/>
  <c r="B1222" i="1"/>
  <c r="A1222" i="1"/>
  <c r="F1221" i="1"/>
  <c r="E1221" i="1"/>
  <c r="D1221" i="1"/>
  <c r="C1221" i="1"/>
  <c r="B1221" i="1"/>
  <c r="A1221" i="1"/>
  <c r="F1220" i="1"/>
  <c r="E1220" i="1"/>
  <c r="D1220" i="1"/>
  <c r="C1220" i="1"/>
  <c r="B1220" i="1"/>
  <c r="A1220" i="1"/>
  <c r="F1219" i="1"/>
  <c r="E1219" i="1"/>
  <c r="D1219" i="1"/>
  <c r="C1219" i="1"/>
  <c r="B1219" i="1"/>
  <c r="A1219" i="1"/>
  <c r="F1218" i="1"/>
  <c r="E1218" i="1"/>
  <c r="D1218" i="1"/>
  <c r="C1218" i="1"/>
  <c r="B1218" i="1"/>
  <c r="A1218" i="1"/>
  <c r="F1217" i="1"/>
  <c r="E1217" i="1"/>
  <c r="D1217" i="1"/>
  <c r="C1217" i="1"/>
  <c r="B1217" i="1"/>
  <c r="A1217" i="1"/>
  <c r="F1216" i="1"/>
  <c r="E1216" i="1"/>
  <c r="D1216" i="1"/>
  <c r="C1216" i="1"/>
  <c r="B1216" i="1"/>
  <c r="A1216" i="1"/>
  <c r="F1215" i="1"/>
  <c r="E1215" i="1"/>
  <c r="D1215" i="1"/>
  <c r="C1215" i="1"/>
  <c r="B1215" i="1"/>
  <c r="A1215" i="1"/>
  <c r="F1214" i="1"/>
  <c r="E1214" i="1"/>
  <c r="D1214" i="1"/>
  <c r="C1214" i="1"/>
  <c r="B1214" i="1"/>
  <c r="A1214" i="1"/>
  <c r="F1213" i="1"/>
  <c r="E1213" i="1"/>
  <c r="D1213" i="1"/>
  <c r="C1213" i="1"/>
  <c r="B1213" i="1"/>
  <c r="A1213" i="1"/>
  <c r="F1212" i="1"/>
  <c r="E1212" i="1"/>
  <c r="D1212" i="1"/>
  <c r="C1212" i="1"/>
  <c r="B1212" i="1"/>
  <c r="A1212" i="1"/>
  <c r="F1211" i="1"/>
  <c r="E1211" i="1"/>
  <c r="D1211" i="1"/>
  <c r="C1211" i="1"/>
  <c r="B1211" i="1"/>
  <c r="A1211" i="1"/>
  <c r="F1210" i="1"/>
  <c r="E1210" i="1"/>
  <c r="D1210" i="1"/>
  <c r="C1210" i="1"/>
  <c r="B1210" i="1"/>
  <c r="A1210" i="1"/>
  <c r="F1209" i="1"/>
  <c r="E1209" i="1"/>
  <c r="D1209" i="1"/>
  <c r="C1209" i="1"/>
  <c r="B1209" i="1"/>
  <c r="A1209" i="1"/>
  <c r="F1208" i="1"/>
  <c r="E1208" i="1"/>
  <c r="D1208" i="1"/>
  <c r="C1208" i="1"/>
  <c r="B1208" i="1"/>
  <c r="A1208" i="1"/>
  <c r="F1207" i="1"/>
  <c r="E1207" i="1"/>
  <c r="D1207" i="1"/>
  <c r="C1207" i="1"/>
  <c r="B1207" i="1"/>
  <c r="A1207" i="1"/>
  <c r="F1206" i="1"/>
  <c r="E1206" i="1"/>
  <c r="D1206" i="1"/>
  <c r="C1206" i="1"/>
  <c r="B1206" i="1"/>
  <c r="A1206" i="1"/>
  <c r="F1205" i="1"/>
  <c r="E1205" i="1"/>
  <c r="D1205" i="1"/>
  <c r="C1205" i="1"/>
  <c r="B1205" i="1"/>
  <c r="A1205" i="1"/>
  <c r="F1204" i="1"/>
  <c r="E1204" i="1"/>
  <c r="D1204" i="1"/>
  <c r="C1204" i="1"/>
  <c r="B1204" i="1"/>
  <c r="A1204" i="1"/>
  <c r="F1203" i="1"/>
  <c r="E1203" i="1"/>
  <c r="D1203" i="1"/>
  <c r="C1203" i="1"/>
  <c r="B1203" i="1"/>
  <c r="A1203" i="1"/>
  <c r="F1202" i="1"/>
  <c r="E1202" i="1"/>
  <c r="D1202" i="1"/>
  <c r="C1202" i="1"/>
  <c r="B1202" i="1"/>
  <c r="A1202" i="1"/>
  <c r="F1201" i="1"/>
  <c r="E1201" i="1"/>
  <c r="D1201" i="1"/>
  <c r="C1201" i="1"/>
  <c r="B1201" i="1"/>
  <c r="A1201" i="1"/>
  <c r="F1200" i="1"/>
  <c r="E1200" i="1"/>
  <c r="D1200" i="1"/>
  <c r="C1200" i="1"/>
  <c r="B1200" i="1"/>
  <c r="A1200" i="1"/>
  <c r="F1199" i="1"/>
  <c r="E1199" i="1"/>
  <c r="D1199" i="1"/>
  <c r="C1199" i="1"/>
  <c r="B1199" i="1"/>
  <c r="A1199" i="1"/>
  <c r="F1198" i="1"/>
  <c r="E1198" i="1"/>
  <c r="D1198" i="1"/>
  <c r="C1198" i="1"/>
  <c r="B1198" i="1"/>
  <c r="A1198" i="1"/>
  <c r="F1197" i="1"/>
  <c r="E1197" i="1"/>
  <c r="D1197" i="1"/>
  <c r="C1197" i="1"/>
  <c r="B1197" i="1"/>
  <c r="A1197" i="1"/>
  <c r="F1196" i="1"/>
  <c r="E1196" i="1"/>
  <c r="D1196" i="1"/>
  <c r="C1196" i="1"/>
  <c r="B1196" i="1"/>
  <c r="A1196" i="1"/>
  <c r="F1195" i="1"/>
  <c r="E1195" i="1"/>
  <c r="D1195" i="1"/>
  <c r="C1195" i="1"/>
  <c r="B1195" i="1"/>
  <c r="A1195" i="1"/>
  <c r="F1194" i="1"/>
  <c r="E1194" i="1"/>
  <c r="D1194" i="1"/>
  <c r="C1194" i="1"/>
  <c r="B1194" i="1"/>
  <c r="A1194" i="1"/>
  <c r="F1193" i="1"/>
  <c r="E1193" i="1"/>
  <c r="D1193" i="1"/>
  <c r="C1193" i="1"/>
  <c r="B1193" i="1"/>
  <c r="A1193" i="1"/>
  <c r="F1192" i="1"/>
  <c r="E1192" i="1"/>
  <c r="D1192" i="1"/>
  <c r="C1192" i="1"/>
  <c r="B1192" i="1"/>
  <c r="A1192" i="1"/>
  <c r="F1191" i="1"/>
  <c r="E1191" i="1"/>
  <c r="D1191" i="1"/>
  <c r="C1191" i="1"/>
  <c r="B1191" i="1"/>
  <c r="A1191" i="1"/>
  <c r="F1190" i="1"/>
  <c r="E1190" i="1"/>
  <c r="D1190" i="1"/>
  <c r="C1190" i="1"/>
  <c r="B1190" i="1"/>
  <c r="A1190" i="1"/>
  <c r="F1189" i="1"/>
  <c r="E1189" i="1"/>
  <c r="D1189" i="1"/>
  <c r="C1189" i="1"/>
  <c r="B1189" i="1"/>
  <c r="A1189" i="1"/>
  <c r="F1188" i="1"/>
  <c r="E1188" i="1"/>
  <c r="D1188" i="1"/>
  <c r="C1188" i="1"/>
  <c r="B1188" i="1"/>
  <c r="A1188" i="1"/>
  <c r="F1187" i="1"/>
  <c r="E1187" i="1"/>
  <c r="D1187" i="1"/>
  <c r="C1187" i="1"/>
  <c r="B1187" i="1"/>
  <c r="A1187" i="1"/>
  <c r="F1186" i="1"/>
  <c r="E1186" i="1"/>
  <c r="D1186" i="1"/>
  <c r="C1186" i="1"/>
  <c r="B1186" i="1"/>
  <c r="A1186" i="1"/>
  <c r="F1185" i="1"/>
  <c r="E1185" i="1"/>
  <c r="D1185" i="1"/>
  <c r="C1185" i="1"/>
  <c r="B1185" i="1"/>
  <c r="A1185" i="1"/>
  <c r="F1184" i="1"/>
  <c r="E1184" i="1"/>
  <c r="D1184" i="1"/>
  <c r="C1184" i="1"/>
  <c r="B1184" i="1"/>
  <c r="A1184" i="1"/>
  <c r="F1183" i="1"/>
  <c r="E1183" i="1"/>
  <c r="D1183" i="1"/>
  <c r="C1183" i="1"/>
  <c r="B1183" i="1"/>
  <c r="A1183" i="1"/>
  <c r="F1182" i="1"/>
  <c r="E1182" i="1"/>
  <c r="D1182" i="1"/>
  <c r="C1182" i="1"/>
  <c r="B1182" i="1"/>
  <c r="A1182" i="1"/>
  <c r="F1181" i="1"/>
  <c r="E1181" i="1"/>
  <c r="D1181" i="1"/>
  <c r="C1181" i="1"/>
  <c r="B1181" i="1"/>
  <c r="A1181" i="1"/>
  <c r="F1180" i="1"/>
  <c r="E1180" i="1"/>
  <c r="D1180" i="1"/>
  <c r="C1180" i="1"/>
  <c r="B1180" i="1"/>
  <c r="A1180" i="1"/>
  <c r="F1179" i="1"/>
  <c r="E1179" i="1"/>
  <c r="D1179" i="1"/>
  <c r="C1179" i="1"/>
  <c r="B1179" i="1"/>
  <c r="A1179" i="1"/>
  <c r="F1178" i="1"/>
  <c r="E1178" i="1"/>
  <c r="D1178" i="1"/>
  <c r="C1178" i="1"/>
  <c r="B1178" i="1"/>
  <c r="A1178" i="1"/>
  <c r="F1177" i="1"/>
  <c r="E1177" i="1"/>
  <c r="D1177" i="1"/>
  <c r="C1177" i="1"/>
  <c r="B1177" i="1"/>
  <c r="A1177" i="1"/>
  <c r="F1176" i="1"/>
  <c r="E1176" i="1"/>
  <c r="D1176" i="1"/>
  <c r="C1176" i="1"/>
  <c r="B1176" i="1"/>
  <c r="A1176" i="1"/>
  <c r="F1175" i="1"/>
  <c r="E1175" i="1"/>
  <c r="D1175" i="1"/>
  <c r="C1175" i="1"/>
  <c r="B1175" i="1"/>
  <c r="A1175" i="1"/>
  <c r="F1174" i="1"/>
  <c r="E1174" i="1"/>
  <c r="D1174" i="1"/>
  <c r="C1174" i="1"/>
  <c r="B1174" i="1"/>
  <c r="A1174" i="1"/>
  <c r="F1173" i="1"/>
  <c r="E1173" i="1"/>
  <c r="D1173" i="1"/>
  <c r="C1173" i="1"/>
  <c r="B1173" i="1"/>
  <c r="A1173" i="1"/>
  <c r="F1172" i="1"/>
  <c r="E1172" i="1"/>
  <c r="D1172" i="1"/>
  <c r="C1172" i="1"/>
  <c r="B1172" i="1"/>
  <c r="A1172" i="1"/>
  <c r="F1171" i="1"/>
  <c r="E1171" i="1"/>
  <c r="D1171" i="1"/>
  <c r="C1171" i="1"/>
  <c r="B1171" i="1"/>
  <c r="A1171" i="1"/>
  <c r="F1170" i="1"/>
  <c r="E1170" i="1"/>
  <c r="D1170" i="1"/>
  <c r="C1170" i="1"/>
  <c r="B1170" i="1"/>
  <c r="A1170" i="1"/>
  <c r="F1169" i="1"/>
  <c r="E1169" i="1"/>
  <c r="D1169" i="1"/>
  <c r="C1169" i="1"/>
  <c r="B1169" i="1"/>
  <c r="A1169" i="1"/>
  <c r="F1168" i="1"/>
  <c r="E1168" i="1"/>
  <c r="D1168" i="1"/>
  <c r="C1168" i="1"/>
  <c r="B1168" i="1"/>
  <c r="A1168" i="1"/>
  <c r="F1167" i="1"/>
  <c r="E1167" i="1"/>
  <c r="D1167" i="1"/>
  <c r="C1167" i="1"/>
  <c r="B1167" i="1"/>
  <c r="A1167" i="1"/>
  <c r="F1166" i="1"/>
  <c r="E1166" i="1"/>
  <c r="D1166" i="1"/>
  <c r="C1166" i="1"/>
  <c r="B1166" i="1"/>
  <c r="A1166" i="1"/>
  <c r="F1165" i="1"/>
  <c r="E1165" i="1"/>
  <c r="D1165" i="1"/>
  <c r="C1165" i="1"/>
  <c r="B1165" i="1"/>
  <c r="A1165" i="1"/>
  <c r="F1164" i="1"/>
  <c r="E1164" i="1"/>
  <c r="D1164" i="1"/>
  <c r="C1164" i="1"/>
  <c r="B1164" i="1"/>
  <c r="A1164" i="1"/>
  <c r="F1163" i="1"/>
  <c r="E1163" i="1"/>
  <c r="D1163" i="1"/>
  <c r="C1163" i="1"/>
  <c r="B1163" i="1"/>
  <c r="A1163" i="1"/>
  <c r="F1162" i="1"/>
  <c r="E1162" i="1"/>
  <c r="D1162" i="1"/>
  <c r="C1162" i="1"/>
  <c r="B1162" i="1"/>
  <c r="A1162" i="1"/>
  <c r="F1161" i="1"/>
  <c r="E1161" i="1"/>
  <c r="D1161" i="1"/>
  <c r="C1161" i="1"/>
  <c r="B1161" i="1"/>
  <c r="A1161" i="1"/>
  <c r="F1160" i="1"/>
  <c r="E1160" i="1"/>
  <c r="D1160" i="1"/>
  <c r="C1160" i="1"/>
  <c r="B1160" i="1"/>
  <c r="A1160" i="1"/>
  <c r="F1159" i="1"/>
  <c r="E1159" i="1"/>
  <c r="D1159" i="1"/>
  <c r="C1159" i="1"/>
  <c r="B1159" i="1"/>
  <c r="A1159" i="1"/>
  <c r="F1158" i="1"/>
  <c r="E1158" i="1"/>
  <c r="D1158" i="1"/>
  <c r="C1158" i="1"/>
  <c r="B1158" i="1"/>
  <c r="A1158" i="1"/>
  <c r="F1157" i="1"/>
  <c r="E1157" i="1"/>
  <c r="D1157" i="1"/>
  <c r="C1157" i="1"/>
  <c r="B1157" i="1"/>
  <c r="A1157" i="1"/>
  <c r="F1156" i="1"/>
  <c r="E1156" i="1"/>
  <c r="D1156" i="1"/>
  <c r="C1156" i="1"/>
  <c r="B1156" i="1"/>
  <c r="A1156" i="1"/>
  <c r="F1155" i="1"/>
  <c r="E1155" i="1"/>
  <c r="D1155" i="1"/>
  <c r="C1155" i="1"/>
  <c r="B1155" i="1"/>
  <c r="A1155" i="1"/>
  <c r="F1154" i="1"/>
  <c r="E1154" i="1"/>
  <c r="D1154" i="1"/>
  <c r="C1154" i="1"/>
  <c r="B1154" i="1"/>
  <c r="A1154" i="1"/>
  <c r="F1153" i="1"/>
  <c r="E1153" i="1"/>
  <c r="D1153" i="1"/>
  <c r="C1153" i="1"/>
  <c r="B1153" i="1"/>
  <c r="A1153" i="1"/>
  <c r="F1152" i="1"/>
  <c r="E1152" i="1"/>
  <c r="D1152" i="1"/>
  <c r="C1152" i="1"/>
  <c r="B1152" i="1"/>
  <c r="A1152" i="1"/>
  <c r="F1151" i="1"/>
  <c r="E1151" i="1"/>
  <c r="D1151" i="1"/>
  <c r="C1151" i="1"/>
  <c r="B1151" i="1"/>
  <c r="A1151" i="1"/>
  <c r="F1150" i="1"/>
  <c r="E1150" i="1"/>
  <c r="D1150" i="1"/>
  <c r="C1150" i="1"/>
  <c r="B1150" i="1"/>
  <c r="A1150" i="1"/>
  <c r="F1149" i="1"/>
  <c r="E1149" i="1"/>
  <c r="D1149" i="1"/>
  <c r="C1149" i="1"/>
  <c r="B1149" i="1"/>
  <c r="A1149" i="1"/>
  <c r="F1148" i="1"/>
  <c r="E1148" i="1"/>
  <c r="D1148" i="1"/>
  <c r="C1148" i="1"/>
  <c r="B1148" i="1"/>
  <c r="A1148" i="1"/>
  <c r="F1147" i="1"/>
  <c r="E1147" i="1"/>
  <c r="D1147" i="1"/>
  <c r="C1147" i="1"/>
  <c r="B1147" i="1"/>
  <c r="A1147" i="1"/>
  <c r="F1146" i="1"/>
  <c r="E1146" i="1"/>
  <c r="D1146" i="1"/>
  <c r="C1146" i="1"/>
  <c r="B1146" i="1"/>
  <c r="A1146" i="1"/>
  <c r="F1145" i="1"/>
  <c r="E1145" i="1"/>
  <c r="D1145" i="1"/>
  <c r="C1145" i="1"/>
  <c r="B1145" i="1"/>
  <c r="A1145" i="1"/>
  <c r="F1144" i="1"/>
  <c r="E1144" i="1"/>
  <c r="D1144" i="1"/>
  <c r="C1144" i="1"/>
  <c r="B1144" i="1"/>
  <c r="A1144" i="1"/>
  <c r="F1143" i="1"/>
  <c r="E1143" i="1"/>
  <c r="D1143" i="1"/>
  <c r="C1143" i="1"/>
  <c r="B1143" i="1"/>
  <c r="A1143" i="1"/>
  <c r="F1142" i="1"/>
  <c r="E1142" i="1"/>
  <c r="D1142" i="1"/>
  <c r="C1142" i="1"/>
  <c r="B1142" i="1"/>
  <c r="A1142" i="1"/>
  <c r="F1141" i="1"/>
  <c r="E1141" i="1"/>
  <c r="D1141" i="1"/>
  <c r="C1141" i="1"/>
  <c r="B1141" i="1"/>
  <c r="A1141" i="1"/>
  <c r="F1140" i="1"/>
  <c r="E1140" i="1"/>
  <c r="D1140" i="1"/>
  <c r="C1140" i="1"/>
  <c r="B1140" i="1"/>
  <c r="A1140" i="1"/>
  <c r="F1139" i="1"/>
  <c r="E1139" i="1"/>
  <c r="D1139" i="1"/>
  <c r="C1139" i="1"/>
  <c r="B1139" i="1"/>
  <c r="A1139" i="1"/>
  <c r="F1138" i="1"/>
  <c r="E1138" i="1"/>
  <c r="D1138" i="1"/>
  <c r="C1138" i="1"/>
  <c r="B1138" i="1"/>
  <c r="A1138" i="1"/>
  <c r="F1137" i="1"/>
  <c r="E1137" i="1"/>
  <c r="D1137" i="1"/>
  <c r="C1137" i="1"/>
  <c r="B1137" i="1"/>
  <c r="A1137" i="1"/>
  <c r="F1136" i="1"/>
  <c r="E1136" i="1"/>
  <c r="D1136" i="1"/>
  <c r="C1136" i="1"/>
  <c r="B1136" i="1"/>
  <c r="A1136" i="1"/>
  <c r="F1135" i="1"/>
  <c r="E1135" i="1"/>
  <c r="D1135" i="1"/>
  <c r="C1135" i="1"/>
  <c r="B1135" i="1"/>
  <c r="A1135" i="1"/>
  <c r="F1134" i="1"/>
  <c r="E1134" i="1"/>
  <c r="D1134" i="1"/>
  <c r="C1134" i="1"/>
  <c r="B1134" i="1"/>
  <c r="A1134" i="1"/>
  <c r="F1133" i="1"/>
  <c r="E1133" i="1"/>
  <c r="D1133" i="1"/>
  <c r="C1133" i="1"/>
  <c r="B1133" i="1"/>
  <c r="A1133" i="1"/>
  <c r="F1132" i="1"/>
  <c r="E1132" i="1"/>
  <c r="D1132" i="1"/>
  <c r="C1132" i="1"/>
  <c r="B1132" i="1"/>
  <c r="A1132" i="1"/>
  <c r="F1131" i="1"/>
  <c r="E1131" i="1"/>
  <c r="D1131" i="1"/>
  <c r="C1131" i="1"/>
  <c r="B1131" i="1"/>
  <c r="A1131" i="1"/>
  <c r="F1130" i="1"/>
  <c r="E1130" i="1"/>
  <c r="D1130" i="1"/>
  <c r="C1130" i="1"/>
  <c r="B1130" i="1"/>
  <c r="A1130" i="1"/>
  <c r="F1129" i="1"/>
  <c r="E1129" i="1"/>
  <c r="D1129" i="1"/>
  <c r="C1129" i="1"/>
  <c r="B1129" i="1"/>
  <c r="A1129" i="1"/>
  <c r="F1128" i="1"/>
  <c r="E1128" i="1"/>
  <c r="D1128" i="1"/>
  <c r="C1128" i="1"/>
  <c r="B1128" i="1"/>
  <c r="A1128" i="1"/>
  <c r="F1127" i="1"/>
  <c r="E1127" i="1"/>
  <c r="D1127" i="1"/>
  <c r="C1127" i="1"/>
  <c r="B1127" i="1"/>
  <c r="A1127" i="1"/>
  <c r="F1126" i="1"/>
  <c r="E1126" i="1"/>
  <c r="D1126" i="1"/>
  <c r="C1126" i="1"/>
  <c r="B1126" i="1"/>
  <c r="A1126" i="1"/>
  <c r="F1125" i="1"/>
  <c r="E1125" i="1"/>
  <c r="D1125" i="1"/>
  <c r="C1125" i="1"/>
  <c r="B1125" i="1"/>
  <c r="A1125" i="1"/>
  <c r="F1124" i="1"/>
  <c r="E1124" i="1"/>
  <c r="D1124" i="1"/>
  <c r="C1124" i="1"/>
  <c r="B1124" i="1"/>
  <c r="A1124" i="1"/>
  <c r="F1123" i="1"/>
  <c r="E1123" i="1"/>
  <c r="D1123" i="1"/>
  <c r="C1123" i="1"/>
  <c r="B1123" i="1"/>
  <c r="A1123" i="1"/>
  <c r="F1122" i="1"/>
  <c r="E1122" i="1"/>
  <c r="D1122" i="1"/>
  <c r="C1122" i="1"/>
  <c r="B1122" i="1"/>
  <c r="A1122" i="1"/>
  <c r="F1121" i="1"/>
  <c r="E1121" i="1"/>
  <c r="D1121" i="1"/>
  <c r="C1121" i="1"/>
  <c r="B1121" i="1"/>
  <c r="A1121" i="1"/>
  <c r="F1120" i="1"/>
  <c r="E1120" i="1"/>
  <c r="D1120" i="1"/>
  <c r="C1120" i="1"/>
  <c r="B1120" i="1"/>
  <c r="A1120" i="1"/>
  <c r="F1119" i="1"/>
  <c r="E1119" i="1"/>
  <c r="D1119" i="1"/>
  <c r="C1119" i="1"/>
  <c r="B1119" i="1"/>
  <c r="A1119" i="1"/>
  <c r="F1118" i="1"/>
  <c r="E1118" i="1"/>
  <c r="D1118" i="1"/>
  <c r="C1118" i="1"/>
  <c r="B1118" i="1"/>
  <c r="A1118" i="1"/>
  <c r="F1117" i="1"/>
  <c r="E1117" i="1"/>
  <c r="D1117" i="1"/>
  <c r="C1117" i="1"/>
  <c r="B1117" i="1"/>
  <c r="A1117" i="1"/>
  <c r="F1116" i="1"/>
  <c r="E1116" i="1"/>
  <c r="D1116" i="1"/>
  <c r="C1116" i="1"/>
  <c r="B1116" i="1"/>
  <c r="A1116" i="1"/>
  <c r="F1115" i="1"/>
  <c r="E1115" i="1"/>
  <c r="D1115" i="1"/>
  <c r="C1115" i="1"/>
  <c r="B1115" i="1"/>
  <c r="A1115" i="1"/>
  <c r="F1114" i="1"/>
  <c r="E1114" i="1"/>
  <c r="D1114" i="1"/>
  <c r="C1114" i="1"/>
  <c r="B1114" i="1"/>
  <c r="A1114" i="1"/>
  <c r="F1113" i="1"/>
  <c r="E1113" i="1"/>
  <c r="D1113" i="1"/>
  <c r="C1113" i="1"/>
  <c r="B1113" i="1"/>
  <c r="A1113" i="1"/>
  <c r="F1112" i="1"/>
  <c r="E1112" i="1"/>
  <c r="D1112" i="1"/>
  <c r="C1112" i="1"/>
  <c r="B1112" i="1"/>
  <c r="A1112" i="1"/>
  <c r="F1111" i="1"/>
  <c r="E1111" i="1"/>
  <c r="D1111" i="1"/>
  <c r="C1111" i="1"/>
  <c r="B1111" i="1"/>
  <c r="A1111" i="1"/>
  <c r="F1110" i="1"/>
  <c r="E1110" i="1"/>
  <c r="D1110" i="1"/>
  <c r="C1110" i="1"/>
  <c r="B1110" i="1"/>
  <c r="A1110" i="1"/>
  <c r="F1109" i="1"/>
  <c r="E1109" i="1"/>
  <c r="D1109" i="1"/>
  <c r="C1109" i="1"/>
  <c r="B1109" i="1"/>
  <c r="A1109" i="1"/>
  <c r="F1108" i="1"/>
  <c r="E1108" i="1"/>
  <c r="D1108" i="1"/>
  <c r="C1108" i="1"/>
  <c r="B1108" i="1"/>
  <c r="A1108" i="1"/>
  <c r="F1107" i="1"/>
  <c r="E1107" i="1"/>
  <c r="D1107" i="1"/>
  <c r="C1107" i="1"/>
  <c r="B1107" i="1"/>
  <c r="A1107" i="1"/>
  <c r="F1106" i="1"/>
  <c r="E1106" i="1"/>
  <c r="D1106" i="1"/>
  <c r="C1106" i="1"/>
  <c r="B1106" i="1"/>
  <c r="A1106" i="1"/>
  <c r="F1105" i="1"/>
  <c r="E1105" i="1"/>
  <c r="D1105" i="1"/>
  <c r="C1105" i="1"/>
  <c r="B1105" i="1"/>
  <c r="A1105" i="1"/>
  <c r="F1104" i="1"/>
  <c r="E1104" i="1"/>
  <c r="D1104" i="1"/>
  <c r="C1104" i="1"/>
  <c r="B1104" i="1"/>
  <c r="A1104" i="1"/>
  <c r="F1103" i="1"/>
  <c r="E1103" i="1"/>
  <c r="D1103" i="1"/>
  <c r="C1103" i="1"/>
  <c r="B1103" i="1"/>
  <c r="A1103" i="1"/>
  <c r="F1102" i="1"/>
  <c r="E1102" i="1"/>
  <c r="D1102" i="1"/>
  <c r="C1102" i="1"/>
  <c r="B1102" i="1"/>
  <c r="A1102" i="1"/>
  <c r="F1101" i="1"/>
  <c r="E1101" i="1"/>
  <c r="D1101" i="1"/>
  <c r="C1101" i="1"/>
  <c r="B1101" i="1"/>
  <c r="A1101" i="1"/>
  <c r="F1100" i="1"/>
  <c r="E1100" i="1"/>
  <c r="D1100" i="1"/>
  <c r="C1100" i="1"/>
  <c r="B1100" i="1"/>
  <c r="A1100" i="1"/>
  <c r="F1099" i="1"/>
  <c r="E1099" i="1"/>
  <c r="D1099" i="1"/>
  <c r="C1099" i="1"/>
  <c r="B1099" i="1"/>
  <c r="A1099" i="1"/>
  <c r="F1098" i="1"/>
  <c r="E1098" i="1"/>
  <c r="D1098" i="1"/>
  <c r="C1098" i="1"/>
  <c r="B1098" i="1"/>
  <c r="A1098" i="1"/>
  <c r="F1097" i="1"/>
  <c r="E1097" i="1"/>
  <c r="D1097" i="1"/>
  <c r="C1097" i="1"/>
  <c r="B1097" i="1"/>
  <c r="A1097" i="1"/>
  <c r="F1096" i="1"/>
  <c r="E1096" i="1"/>
  <c r="D1096" i="1"/>
  <c r="C1096" i="1"/>
  <c r="B1096" i="1"/>
  <c r="A1096" i="1"/>
  <c r="F1095" i="1"/>
  <c r="E1095" i="1"/>
  <c r="D1095" i="1"/>
  <c r="C1095" i="1"/>
  <c r="B1095" i="1"/>
  <c r="A1095" i="1"/>
  <c r="F1094" i="1"/>
  <c r="E1094" i="1"/>
  <c r="D1094" i="1"/>
  <c r="C1094" i="1"/>
  <c r="B1094" i="1"/>
  <c r="A1094" i="1"/>
  <c r="F1093" i="1"/>
  <c r="E1093" i="1"/>
  <c r="D1093" i="1"/>
  <c r="C1093" i="1"/>
  <c r="B1093" i="1"/>
  <c r="A1093" i="1"/>
  <c r="F1092" i="1"/>
  <c r="E1092" i="1"/>
  <c r="D1092" i="1"/>
  <c r="C1092" i="1"/>
  <c r="B1092" i="1"/>
  <c r="A1092" i="1"/>
  <c r="F1091" i="1"/>
  <c r="E1091" i="1"/>
  <c r="D1091" i="1"/>
  <c r="C1091" i="1"/>
  <c r="B1091" i="1"/>
  <c r="A1091" i="1"/>
  <c r="F1090" i="1"/>
  <c r="E1090" i="1"/>
  <c r="D1090" i="1"/>
  <c r="C1090" i="1"/>
  <c r="B1090" i="1"/>
  <c r="A1090" i="1"/>
  <c r="F1089" i="1"/>
  <c r="E1089" i="1"/>
  <c r="D1089" i="1"/>
  <c r="C1089" i="1"/>
  <c r="B1089" i="1"/>
  <c r="A1089" i="1"/>
  <c r="F1088" i="1"/>
  <c r="E1088" i="1"/>
  <c r="D1088" i="1"/>
  <c r="C1088" i="1"/>
  <c r="B1088" i="1"/>
  <c r="A1088" i="1"/>
  <c r="F1087" i="1"/>
  <c r="E1087" i="1"/>
  <c r="D1087" i="1"/>
  <c r="C1087" i="1"/>
  <c r="B1087" i="1"/>
  <c r="A1087" i="1"/>
  <c r="F1086" i="1"/>
  <c r="E1086" i="1"/>
  <c r="D1086" i="1"/>
  <c r="C1086" i="1"/>
  <c r="B1086" i="1"/>
  <c r="A1086" i="1"/>
  <c r="F1085" i="1"/>
  <c r="E1085" i="1"/>
  <c r="D1085" i="1"/>
  <c r="C1085" i="1"/>
  <c r="B1085" i="1"/>
  <c r="A1085" i="1"/>
  <c r="F1084" i="1"/>
  <c r="E1084" i="1"/>
  <c r="D1084" i="1"/>
  <c r="C1084" i="1"/>
  <c r="B1084" i="1"/>
  <c r="A1084" i="1"/>
  <c r="F1083" i="1"/>
  <c r="E1083" i="1"/>
  <c r="D1083" i="1"/>
  <c r="C1083" i="1"/>
  <c r="B1083" i="1"/>
  <c r="A1083" i="1"/>
  <c r="F1082" i="1"/>
  <c r="E1082" i="1"/>
  <c r="D1082" i="1"/>
  <c r="C1082" i="1"/>
  <c r="B1082" i="1"/>
  <c r="A1082" i="1"/>
  <c r="F1081" i="1"/>
  <c r="E1081" i="1"/>
  <c r="D1081" i="1"/>
  <c r="C1081" i="1"/>
  <c r="B1081" i="1"/>
  <c r="A1081" i="1"/>
  <c r="F1080" i="1"/>
  <c r="E1080" i="1"/>
  <c r="D1080" i="1"/>
  <c r="C1080" i="1"/>
  <c r="B1080" i="1"/>
  <c r="A1080" i="1"/>
  <c r="F1079" i="1"/>
  <c r="E1079" i="1"/>
  <c r="D1079" i="1"/>
  <c r="C1079" i="1"/>
  <c r="B1079" i="1"/>
  <c r="A1079" i="1"/>
  <c r="F1078" i="1"/>
  <c r="E1078" i="1"/>
  <c r="D1078" i="1"/>
  <c r="C1078" i="1"/>
  <c r="B1078" i="1"/>
  <c r="A1078" i="1"/>
  <c r="F1077" i="1"/>
  <c r="E1077" i="1"/>
  <c r="D1077" i="1"/>
  <c r="C1077" i="1"/>
  <c r="B1077" i="1"/>
  <c r="A1077" i="1"/>
  <c r="F1076" i="1"/>
  <c r="E1076" i="1"/>
  <c r="D1076" i="1"/>
  <c r="C1076" i="1"/>
  <c r="B1076" i="1"/>
  <c r="A1076" i="1"/>
  <c r="F1075" i="1"/>
  <c r="E1075" i="1"/>
  <c r="D1075" i="1"/>
  <c r="C1075" i="1"/>
  <c r="B1075" i="1"/>
  <c r="A1075" i="1"/>
  <c r="F1074" i="1"/>
  <c r="E1074" i="1"/>
  <c r="D1074" i="1"/>
  <c r="C1074" i="1"/>
  <c r="B1074" i="1"/>
  <c r="A1074" i="1"/>
  <c r="F1073" i="1"/>
  <c r="E1073" i="1"/>
  <c r="D1073" i="1"/>
  <c r="C1073" i="1"/>
  <c r="B1073" i="1"/>
  <c r="A1073" i="1"/>
  <c r="F1072" i="1"/>
  <c r="E1072" i="1"/>
  <c r="D1072" i="1"/>
  <c r="C1072" i="1"/>
  <c r="B1072" i="1"/>
  <c r="A1072" i="1"/>
  <c r="F1071" i="1"/>
  <c r="E1071" i="1"/>
  <c r="D1071" i="1"/>
  <c r="C1071" i="1"/>
  <c r="B1071" i="1"/>
  <c r="A1071" i="1"/>
  <c r="F1070" i="1"/>
  <c r="E1070" i="1"/>
  <c r="D1070" i="1"/>
  <c r="C1070" i="1"/>
  <c r="B1070" i="1"/>
  <c r="A1070" i="1"/>
  <c r="F1069" i="1"/>
  <c r="E1069" i="1"/>
  <c r="D1069" i="1"/>
  <c r="C1069" i="1"/>
  <c r="B1069" i="1"/>
  <c r="A1069" i="1"/>
  <c r="F1068" i="1"/>
  <c r="E1068" i="1"/>
  <c r="D1068" i="1"/>
  <c r="C1068" i="1"/>
  <c r="B1068" i="1"/>
  <c r="A1068" i="1"/>
  <c r="F1067" i="1"/>
  <c r="E1067" i="1"/>
  <c r="D1067" i="1"/>
  <c r="C1067" i="1"/>
  <c r="B1067" i="1"/>
  <c r="A1067" i="1"/>
  <c r="F1066" i="1"/>
  <c r="E1066" i="1"/>
  <c r="D1066" i="1"/>
  <c r="C1066" i="1"/>
  <c r="B1066" i="1"/>
  <c r="A1066" i="1"/>
  <c r="F1065" i="1"/>
  <c r="E1065" i="1"/>
  <c r="D1065" i="1"/>
  <c r="C1065" i="1"/>
  <c r="B1065" i="1"/>
  <c r="A1065" i="1"/>
  <c r="F1064" i="1"/>
  <c r="E1064" i="1"/>
  <c r="D1064" i="1"/>
  <c r="C1064" i="1"/>
  <c r="B1064" i="1"/>
  <c r="A1064" i="1"/>
  <c r="F1063" i="1"/>
  <c r="E1063" i="1"/>
  <c r="D1063" i="1"/>
  <c r="C1063" i="1"/>
  <c r="B1063" i="1"/>
  <c r="A1063" i="1"/>
  <c r="F1062" i="1"/>
  <c r="E1062" i="1"/>
  <c r="D1062" i="1"/>
  <c r="C1062" i="1"/>
  <c r="B1062" i="1"/>
  <c r="A1062" i="1"/>
  <c r="F1061" i="1"/>
  <c r="E1061" i="1"/>
  <c r="D1061" i="1"/>
  <c r="C1061" i="1"/>
  <c r="B1061" i="1"/>
  <c r="A1061" i="1"/>
  <c r="F1060" i="1"/>
  <c r="E1060" i="1"/>
  <c r="D1060" i="1"/>
  <c r="C1060" i="1"/>
  <c r="B1060" i="1"/>
  <c r="A1060" i="1"/>
  <c r="F1059" i="1"/>
  <c r="E1059" i="1"/>
  <c r="D1059" i="1"/>
  <c r="C1059" i="1"/>
  <c r="B1059" i="1"/>
  <c r="A1059" i="1"/>
  <c r="F1058" i="1"/>
  <c r="E1058" i="1"/>
  <c r="D1058" i="1"/>
  <c r="C1058" i="1"/>
  <c r="B1058" i="1"/>
  <c r="A1058" i="1"/>
  <c r="F1057" i="1"/>
  <c r="E1057" i="1"/>
  <c r="D1057" i="1"/>
  <c r="C1057" i="1"/>
  <c r="B1057" i="1"/>
  <c r="A1057" i="1"/>
  <c r="F1056" i="1"/>
  <c r="E1056" i="1"/>
  <c r="D1056" i="1"/>
  <c r="C1056" i="1"/>
  <c r="B1056" i="1"/>
  <c r="A1056" i="1"/>
  <c r="F1055" i="1"/>
  <c r="E1055" i="1"/>
  <c r="D1055" i="1"/>
  <c r="C1055" i="1"/>
  <c r="B1055" i="1"/>
  <c r="A1055" i="1"/>
  <c r="F1054" i="1"/>
  <c r="E1054" i="1"/>
  <c r="D1054" i="1"/>
  <c r="C1054" i="1"/>
  <c r="B1054" i="1"/>
  <c r="A1054" i="1"/>
  <c r="F1053" i="1"/>
  <c r="E1053" i="1"/>
  <c r="D1053" i="1"/>
  <c r="C1053" i="1"/>
  <c r="B1053" i="1"/>
  <c r="A1053" i="1"/>
  <c r="F1052" i="1"/>
  <c r="E1052" i="1"/>
  <c r="D1052" i="1"/>
  <c r="C1052" i="1"/>
  <c r="B1052" i="1"/>
  <c r="A1052" i="1"/>
  <c r="F1051" i="1"/>
  <c r="E1051" i="1"/>
  <c r="D1051" i="1"/>
  <c r="C1051" i="1"/>
  <c r="B1051" i="1"/>
  <c r="A1051" i="1"/>
  <c r="F1050" i="1"/>
  <c r="E1050" i="1"/>
  <c r="D1050" i="1"/>
  <c r="C1050" i="1"/>
  <c r="B1050" i="1"/>
  <c r="A1050" i="1"/>
  <c r="F1049" i="1"/>
  <c r="E1049" i="1"/>
  <c r="D1049" i="1"/>
  <c r="C1049" i="1"/>
  <c r="B1049" i="1"/>
  <c r="A1049" i="1"/>
  <c r="F1048" i="1"/>
  <c r="E1048" i="1"/>
  <c r="D1048" i="1"/>
  <c r="C1048" i="1"/>
  <c r="B1048" i="1"/>
  <c r="A1048" i="1"/>
  <c r="F1047" i="1"/>
  <c r="E1047" i="1"/>
  <c r="D1047" i="1"/>
  <c r="C1047" i="1"/>
  <c r="B1047" i="1"/>
  <c r="A1047" i="1"/>
  <c r="F1046" i="1"/>
  <c r="E1046" i="1"/>
  <c r="D1046" i="1"/>
  <c r="C1046" i="1"/>
  <c r="B1046" i="1"/>
  <c r="A1046" i="1"/>
  <c r="F1045" i="1"/>
  <c r="E1045" i="1"/>
  <c r="D1045" i="1"/>
  <c r="C1045" i="1"/>
  <c r="B1045" i="1"/>
  <c r="A1045" i="1"/>
  <c r="F1044" i="1"/>
  <c r="E1044" i="1"/>
  <c r="D1044" i="1"/>
  <c r="C1044" i="1"/>
  <c r="B1044" i="1"/>
  <c r="A1044" i="1"/>
  <c r="F1043" i="1"/>
  <c r="E1043" i="1"/>
  <c r="D1043" i="1"/>
  <c r="C1043" i="1"/>
  <c r="B1043" i="1"/>
  <c r="A1043" i="1"/>
  <c r="F1042" i="1"/>
  <c r="E1042" i="1"/>
  <c r="D1042" i="1"/>
  <c r="C1042" i="1"/>
  <c r="B1042" i="1"/>
  <c r="A1042" i="1"/>
  <c r="F1041" i="1"/>
  <c r="E1041" i="1"/>
  <c r="D1041" i="1"/>
  <c r="C1041" i="1"/>
  <c r="B1041" i="1"/>
  <c r="A1041" i="1"/>
  <c r="F1040" i="1"/>
  <c r="E1040" i="1"/>
  <c r="D1040" i="1"/>
  <c r="C1040" i="1"/>
  <c r="B1040" i="1"/>
  <c r="A1040" i="1"/>
  <c r="F1039" i="1"/>
  <c r="E1039" i="1"/>
  <c r="D1039" i="1"/>
  <c r="C1039" i="1"/>
  <c r="B1039" i="1"/>
  <c r="A1039" i="1"/>
  <c r="F1038" i="1"/>
  <c r="E1038" i="1"/>
  <c r="D1038" i="1"/>
  <c r="C1038" i="1"/>
  <c r="B1038" i="1"/>
  <c r="A1038" i="1"/>
  <c r="F1037" i="1"/>
  <c r="E1037" i="1"/>
  <c r="D1037" i="1"/>
  <c r="C1037" i="1"/>
  <c r="B1037" i="1"/>
  <c r="A1037" i="1"/>
  <c r="F1036" i="1"/>
  <c r="E1036" i="1"/>
  <c r="D1036" i="1"/>
  <c r="C1036" i="1"/>
  <c r="B1036" i="1"/>
  <c r="A1036" i="1"/>
  <c r="F1035" i="1"/>
  <c r="E1035" i="1"/>
  <c r="D1035" i="1"/>
  <c r="C1035" i="1"/>
  <c r="B1035" i="1"/>
  <c r="A1035" i="1"/>
  <c r="F1034" i="1"/>
  <c r="E1034" i="1"/>
  <c r="D1034" i="1"/>
  <c r="C1034" i="1"/>
  <c r="B1034" i="1"/>
  <c r="A1034" i="1"/>
  <c r="F1033" i="1"/>
  <c r="E1033" i="1"/>
  <c r="D1033" i="1"/>
  <c r="C1033" i="1"/>
  <c r="B1033" i="1"/>
  <c r="A1033" i="1"/>
  <c r="F1032" i="1"/>
  <c r="E1032" i="1"/>
  <c r="D1032" i="1"/>
  <c r="C1032" i="1"/>
  <c r="B1032" i="1"/>
  <c r="A1032" i="1"/>
  <c r="F1031" i="1"/>
  <c r="E1031" i="1"/>
  <c r="D1031" i="1"/>
  <c r="C1031" i="1"/>
  <c r="B1031" i="1"/>
  <c r="A1031" i="1"/>
  <c r="F1030" i="1"/>
  <c r="E1030" i="1"/>
  <c r="D1030" i="1"/>
  <c r="C1030" i="1"/>
  <c r="B1030" i="1"/>
  <c r="A1030" i="1"/>
  <c r="F1029" i="1"/>
  <c r="E1029" i="1"/>
  <c r="D1029" i="1"/>
  <c r="C1029" i="1"/>
  <c r="B1029" i="1"/>
  <c r="A1029" i="1"/>
  <c r="F1028" i="1"/>
  <c r="E1028" i="1"/>
  <c r="D1028" i="1"/>
  <c r="C1028" i="1"/>
  <c r="B1028" i="1"/>
  <c r="A1028" i="1"/>
  <c r="F1027" i="1"/>
  <c r="E1027" i="1"/>
  <c r="D1027" i="1"/>
  <c r="C1027" i="1"/>
  <c r="B1027" i="1"/>
  <c r="A1027" i="1"/>
  <c r="F1026" i="1"/>
  <c r="E1026" i="1"/>
  <c r="D1026" i="1"/>
  <c r="C1026" i="1"/>
  <c r="B1026" i="1"/>
  <c r="A1026" i="1"/>
  <c r="F1025" i="1"/>
  <c r="E1025" i="1"/>
  <c r="D1025" i="1"/>
  <c r="C1025" i="1"/>
  <c r="B1025" i="1"/>
  <c r="A1025" i="1"/>
  <c r="F1024" i="1"/>
  <c r="E1024" i="1"/>
  <c r="D1024" i="1"/>
  <c r="C1024" i="1"/>
  <c r="B1024" i="1"/>
  <c r="A1024" i="1"/>
  <c r="F1023" i="1"/>
  <c r="E1023" i="1"/>
  <c r="D1023" i="1"/>
  <c r="C1023" i="1"/>
  <c r="B1023" i="1"/>
  <c r="A1023" i="1"/>
  <c r="F1022" i="1"/>
  <c r="E1022" i="1"/>
  <c r="D1022" i="1"/>
  <c r="C1022" i="1"/>
  <c r="B1022" i="1"/>
  <c r="A1022" i="1"/>
  <c r="F1021" i="1"/>
  <c r="E1021" i="1"/>
  <c r="D1021" i="1"/>
  <c r="C1021" i="1"/>
  <c r="B1021" i="1"/>
  <c r="A1021" i="1"/>
  <c r="F1020" i="1"/>
  <c r="E1020" i="1"/>
  <c r="D1020" i="1"/>
  <c r="C1020" i="1"/>
  <c r="B1020" i="1"/>
  <c r="A1020" i="1"/>
  <c r="F1019" i="1"/>
  <c r="E1019" i="1"/>
  <c r="D1019" i="1"/>
  <c r="C1019" i="1"/>
  <c r="B1019" i="1"/>
  <c r="A1019" i="1"/>
  <c r="F1018" i="1"/>
  <c r="E1018" i="1"/>
  <c r="D1018" i="1"/>
  <c r="C1018" i="1"/>
  <c r="B1018" i="1"/>
  <c r="A1018" i="1"/>
  <c r="F1017" i="1"/>
  <c r="E1017" i="1"/>
  <c r="D1017" i="1"/>
  <c r="C1017" i="1"/>
  <c r="B1017" i="1"/>
  <c r="A1017" i="1"/>
  <c r="F1016" i="1"/>
  <c r="E1016" i="1"/>
  <c r="D1016" i="1"/>
  <c r="C1016" i="1"/>
  <c r="B1016" i="1"/>
  <c r="A1016" i="1"/>
  <c r="F1015" i="1"/>
  <c r="E1015" i="1"/>
  <c r="D1015" i="1"/>
  <c r="C1015" i="1"/>
  <c r="B1015" i="1"/>
  <c r="A1015" i="1"/>
  <c r="F1014" i="1"/>
  <c r="E1014" i="1"/>
  <c r="D1014" i="1"/>
  <c r="C1014" i="1"/>
  <c r="B1014" i="1"/>
  <c r="A1014" i="1"/>
  <c r="F1013" i="1"/>
  <c r="E1013" i="1"/>
  <c r="D1013" i="1"/>
  <c r="C1013" i="1"/>
  <c r="B1013" i="1"/>
  <c r="A1013" i="1"/>
  <c r="F1012" i="1"/>
  <c r="E1012" i="1"/>
  <c r="D1012" i="1"/>
  <c r="C1012" i="1"/>
  <c r="B1012" i="1"/>
  <c r="A1012" i="1"/>
  <c r="F1011" i="1"/>
  <c r="E1011" i="1"/>
  <c r="D1011" i="1"/>
  <c r="C1011" i="1"/>
  <c r="B1011" i="1"/>
  <c r="A1011" i="1"/>
  <c r="F1010" i="1"/>
  <c r="E1010" i="1"/>
  <c r="D1010" i="1"/>
  <c r="C1010" i="1"/>
  <c r="B1010" i="1"/>
  <c r="A1010" i="1"/>
  <c r="F1009" i="1"/>
  <c r="E1009" i="1"/>
  <c r="D1009" i="1"/>
  <c r="C1009" i="1"/>
  <c r="B1009" i="1"/>
  <c r="A1009" i="1"/>
  <c r="F1008" i="1"/>
  <c r="E1008" i="1"/>
  <c r="D1008" i="1"/>
  <c r="C1008" i="1"/>
  <c r="B1008" i="1"/>
  <c r="A1008" i="1"/>
  <c r="F1007" i="1"/>
  <c r="E1007" i="1"/>
  <c r="D1007" i="1"/>
  <c r="C1007" i="1"/>
  <c r="B1007" i="1"/>
  <c r="A1007" i="1"/>
  <c r="F1006" i="1"/>
  <c r="E1006" i="1"/>
  <c r="D1006" i="1"/>
  <c r="C1006" i="1"/>
  <c r="B1006" i="1"/>
  <c r="A1006" i="1"/>
  <c r="F1005" i="1"/>
  <c r="E1005" i="1"/>
  <c r="D1005" i="1"/>
  <c r="C1005" i="1"/>
  <c r="B1005" i="1"/>
  <c r="A1005" i="1"/>
  <c r="F1004" i="1"/>
  <c r="E1004" i="1"/>
  <c r="D1004" i="1"/>
  <c r="C1004" i="1"/>
  <c r="B1004" i="1"/>
  <c r="A1004" i="1"/>
  <c r="F1003" i="1"/>
  <c r="E1003" i="1"/>
  <c r="D1003" i="1"/>
  <c r="C1003" i="1"/>
  <c r="B1003" i="1"/>
  <c r="A1003" i="1"/>
  <c r="F1002" i="1"/>
  <c r="E1002" i="1"/>
  <c r="D1002" i="1"/>
  <c r="C1002" i="1"/>
  <c r="B1002" i="1"/>
  <c r="A1002" i="1"/>
  <c r="F1001" i="1"/>
  <c r="E1001" i="1"/>
  <c r="D1001" i="1"/>
  <c r="C1001" i="1"/>
  <c r="B1001" i="1"/>
  <c r="A1001" i="1"/>
  <c r="F1000" i="1"/>
  <c r="E1000" i="1"/>
  <c r="D1000" i="1"/>
  <c r="C1000" i="1"/>
  <c r="B1000" i="1"/>
  <c r="A1000" i="1"/>
  <c r="F999" i="1"/>
  <c r="E999" i="1"/>
  <c r="D999" i="1"/>
  <c r="C999" i="1"/>
  <c r="B999" i="1"/>
  <c r="A999" i="1"/>
  <c r="F998" i="1"/>
  <c r="E998" i="1"/>
  <c r="D998" i="1"/>
  <c r="C998" i="1"/>
  <c r="B998" i="1"/>
  <c r="A998" i="1"/>
  <c r="F997" i="1"/>
  <c r="E997" i="1"/>
  <c r="D997" i="1"/>
  <c r="C997" i="1"/>
  <c r="B997" i="1"/>
  <c r="A997" i="1"/>
  <c r="F996" i="1"/>
  <c r="E996" i="1"/>
  <c r="D996" i="1"/>
  <c r="C996" i="1"/>
  <c r="B996" i="1"/>
  <c r="A996" i="1"/>
  <c r="F995" i="1"/>
  <c r="E995" i="1"/>
  <c r="D995" i="1"/>
  <c r="C995" i="1"/>
  <c r="B995" i="1"/>
  <c r="A995" i="1"/>
  <c r="F994" i="1"/>
  <c r="E994" i="1"/>
  <c r="D994" i="1"/>
  <c r="C994" i="1"/>
  <c r="B994" i="1"/>
  <c r="A994" i="1"/>
  <c r="F993" i="1"/>
  <c r="E993" i="1"/>
  <c r="D993" i="1"/>
  <c r="C993" i="1"/>
  <c r="B993" i="1"/>
  <c r="A993" i="1"/>
  <c r="F992" i="1"/>
  <c r="E992" i="1"/>
  <c r="D992" i="1"/>
  <c r="C992" i="1"/>
  <c r="B992" i="1"/>
  <c r="A992" i="1"/>
  <c r="F991" i="1"/>
  <c r="E991" i="1"/>
  <c r="D991" i="1"/>
  <c r="C991" i="1"/>
  <c r="B991" i="1"/>
  <c r="A991" i="1"/>
  <c r="F990" i="1"/>
  <c r="E990" i="1"/>
  <c r="D990" i="1"/>
  <c r="C990" i="1"/>
  <c r="B990" i="1"/>
  <c r="A990" i="1"/>
  <c r="F989" i="1"/>
  <c r="E989" i="1"/>
  <c r="D989" i="1"/>
  <c r="C989" i="1"/>
  <c r="B989" i="1"/>
  <c r="A989" i="1"/>
  <c r="F988" i="1"/>
  <c r="E988" i="1"/>
  <c r="D988" i="1"/>
  <c r="C988" i="1"/>
  <c r="B988" i="1"/>
  <c r="A988" i="1"/>
  <c r="F987" i="1"/>
  <c r="E987" i="1"/>
  <c r="D987" i="1"/>
  <c r="C987" i="1"/>
  <c r="B987" i="1"/>
  <c r="A987" i="1"/>
  <c r="F986" i="1"/>
  <c r="E986" i="1"/>
  <c r="D986" i="1"/>
  <c r="C986" i="1"/>
  <c r="B986" i="1"/>
  <c r="A986" i="1"/>
  <c r="F985" i="1"/>
  <c r="E985" i="1"/>
  <c r="D985" i="1"/>
  <c r="C985" i="1"/>
  <c r="B985" i="1"/>
  <c r="A985" i="1"/>
  <c r="F984" i="1"/>
  <c r="E984" i="1"/>
  <c r="D984" i="1"/>
  <c r="C984" i="1"/>
  <c r="B984" i="1"/>
  <c r="A984" i="1"/>
  <c r="F983" i="1"/>
  <c r="E983" i="1"/>
  <c r="D983" i="1"/>
  <c r="C983" i="1"/>
  <c r="B983" i="1"/>
  <c r="A983" i="1"/>
  <c r="F982" i="1"/>
  <c r="E982" i="1"/>
  <c r="D982" i="1"/>
  <c r="C982" i="1"/>
  <c r="B982" i="1"/>
  <c r="A982" i="1"/>
  <c r="F981" i="1"/>
  <c r="E981" i="1"/>
  <c r="D981" i="1"/>
  <c r="C981" i="1"/>
  <c r="B981" i="1"/>
  <c r="A981" i="1"/>
  <c r="F980" i="1"/>
  <c r="E980" i="1"/>
  <c r="D980" i="1"/>
  <c r="C980" i="1"/>
  <c r="B980" i="1"/>
  <c r="A980" i="1"/>
  <c r="F979" i="1"/>
  <c r="E979" i="1"/>
  <c r="D979" i="1"/>
  <c r="C979" i="1"/>
  <c r="B979" i="1"/>
  <c r="A979" i="1"/>
  <c r="F978" i="1"/>
  <c r="E978" i="1"/>
  <c r="D978" i="1"/>
  <c r="C978" i="1"/>
  <c r="B978" i="1"/>
  <c r="A978" i="1"/>
  <c r="F977" i="1"/>
  <c r="E977" i="1"/>
  <c r="D977" i="1"/>
  <c r="C977" i="1"/>
  <c r="B977" i="1"/>
  <c r="A977" i="1"/>
  <c r="F976" i="1"/>
  <c r="E976" i="1"/>
  <c r="D976" i="1"/>
  <c r="C976" i="1"/>
  <c r="B976" i="1"/>
  <c r="A976" i="1"/>
  <c r="F975" i="1"/>
  <c r="E975" i="1"/>
  <c r="D975" i="1"/>
  <c r="C975" i="1"/>
  <c r="B975" i="1"/>
  <c r="A975" i="1"/>
  <c r="F974" i="1"/>
  <c r="E974" i="1"/>
  <c r="D974" i="1"/>
  <c r="C974" i="1"/>
  <c r="B974" i="1"/>
  <c r="A974" i="1"/>
  <c r="F973" i="1"/>
  <c r="E973" i="1"/>
  <c r="D973" i="1"/>
  <c r="C973" i="1"/>
  <c r="B973" i="1"/>
  <c r="A973" i="1"/>
  <c r="F972" i="1"/>
  <c r="E972" i="1"/>
  <c r="D972" i="1"/>
  <c r="C972" i="1"/>
  <c r="B972" i="1"/>
  <c r="A972" i="1"/>
  <c r="F971" i="1"/>
  <c r="E971" i="1"/>
  <c r="D971" i="1"/>
  <c r="C971" i="1"/>
  <c r="B971" i="1"/>
  <c r="A971" i="1"/>
  <c r="F970" i="1"/>
  <c r="E970" i="1"/>
  <c r="D970" i="1"/>
  <c r="C970" i="1"/>
  <c r="B970" i="1"/>
  <c r="A970" i="1"/>
  <c r="F969" i="1"/>
  <c r="E969" i="1"/>
  <c r="D969" i="1"/>
  <c r="C969" i="1"/>
  <c r="B969" i="1"/>
  <c r="A969" i="1"/>
  <c r="F968" i="1"/>
  <c r="E968" i="1"/>
  <c r="D968" i="1"/>
  <c r="C968" i="1"/>
  <c r="B968" i="1"/>
  <c r="A968" i="1"/>
  <c r="F967" i="1"/>
  <c r="E967" i="1"/>
  <c r="D967" i="1"/>
  <c r="C967" i="1"/>
  <c r="B967" i="1"/>
  <c r="A967" i="1"/>
  <c r="F966" i="1"/>
  <c r="E966" i="1"/>
  <c r="D966" i="1"/>
  <c r="C966" i="1"/>
  <c r="B966" i="1"/>
  <c r="A966" i="1"/>
  <c r="F965" i="1"/>
  <c r="E965" i="1"/>
  <c r="D965" i="1"/>
  <c r="C965" i="1"/>
  <c r="B965" i="1"/>
  <c r="A965" i="1"/>
  <c r="F964" i="1"/>
  <c r="E964" i="1"/>
  <c r="D964" i="1"/>
  <c r="C964" i="1"/>
  <c r="B964" i="1"/>
  <c r="A964" i="1"/>
  <c r="F963" i="1"/>
  <c r="E963" i="1"/>
  <c r="D963" i="1"/>
  <c r="C963" i="1"/>
  <c r="B963" i="1"/>
  <c r="A963" i="1"/>
  <c r="F962" i="1"/>
  <c r="E962" i="1"/>
  <c r="D962" i="1"/>
  <c r="C962" i="1"/>
  <c r="B962" i="1"/>
  <c r="A962" i="1"/>
  <c r="F961" i="1"/>
  <c r="E961" i="1"/>
  <c r="D961" i="1"/>
  <c r="C961" i="1"/>
  <c r="B961" i="1"/>
  <c r="A961" i="1"/>
  <c r="F960" i="1"/>
  <c r="E960" i="1"/>
  <c r="D960" i="1"/>
  <c r="C960" i="1"/>
  <c r="B960" i="1"/>
  <c r="A960" i="1"/>
  <c r="F959" i="1"/>
  <c r="E959" i="1"/>
  <c r="D959" i="1"/>
  <c r="C959" i="1"/>
  <c r="B959" i="1"/>
  <c r="A959" i="1"/>
  <c r="F958" i="1"/>
  <c r="E958" i="1"/>
  <c r="D958" i="1"/>
  <c r="C958" i="1"/>
  <c r="B958" i="1"/>
  <c r="A958" i="1"/>
  <c r="F957" i="1"/>
  <c r="E957" i="1"/>
  <c r="D957" i="1"/>
  <c r="C957" i="1"/>
  <c r="B957" i="1"/>
  <c r="A957" i="1"/>
  <c r="F956" i="1"/>
  <c r="E956" i="1"/>
  <c r="D956" i="1"/>
  <c r="C956" i="1"/>
  <c r="B956" i="1"/>
  <c r="A956" i="1"/>
  <c r="F955" i="1"/>
  <c r="E955" i="1"/>
  <c r="D955" i="1"/>
  <c r="C955" i="1"/>
  <c r="B955" i="1"/>
  <c r="A955" i="1"/>
  <c r="F954" i="1"/>
  <c r="E954" i="1"/>
  <c r="D954" i="1"/>
  <c r="C954" i="1"/>
  <c r="B954" i="1"/>
  <c r="A954" i="1"/>
  <c r="F953" i="1"/>
  <c r="E953" i="1"/>
  <c r="D953" i="1"/>
  <c r="C953" i="1"/>
  <c r="B953" i="1"/>
  <c r="A953" i="1"/>
  <c r="F952" i="1"/>
  <c r="E952" i="1"/>
  <c r="D952" i="1"/>
  <c r="C952" i="1"/>
  <c r="B952" i="1"/>
  <c r="A952" i="1"/>
  <c r="F951" i="1"/>
  <c r="E951" i="1"/>
  <c r="D951" i="1"/>
  <c r="C951" i="1"/>
  <c r="B951" i="1"/>
  <c r="A951" i="1"/>
  <c r="F950" i="1"/>
  <c r="E950" i="1"/>
  <c r="D950" i="1"/>
  <c r="C950" i="1"/>
  <c r="B950" i="1"/>
  <c r="A950" i="1"/>
  <c r="F949" i="1"/>
  <c r="E949" i="1"/>
  <c r="D949" i="1"/>
  <c r="C949" i="1"/>
  <c r="B949" i="1"/>
  <c r="A949" i="1"/>
  <c r="F948" i="1"/>
  <c r="E948" i="1"/>
  <c r="D948" i="1"/>
  <c r="C948" i="1"/>
  <c r="B948" i="1"/>
  <c r="A948" i="1"/>
  <c r="F947" i="1"/>
  <c r="E947" i="1"/>
  <c r="D947" i="1"/>
  <c r="C947" i="1"/>
  <c r="B947" i="1"/>
  <c r="A947" i="1"/>
  <c r="F946" i="1"/>
  <c r="E946" i="1"/>
  <c r="D946" i="1"/>
  <c r="C946" i="1"/>
  <c r="B946" i="1"/>
  <c r="A946" i="1"/>
  <c r="F945" i="1"/>
  <c r="E945" i="1"/>
  <c r="D945" i="1"/>
  <c r="C945" i="1"/>
  <c r="B945" i="1"/>
  <c r="A945" i="1"/>
  <c r="F944" i="1"/>
  <c r="E944" i="1"/>
  <c r="D944" i="1"/>
  <c r="C944" i="1"/>
  <c r="B944" i="1"/>
  <c r="A944" i="1"/>
  <c r="F943" i="1"/>
  <c r="E943" i="1"/>
  <c r="D943" i="1"/>
  <c r="C943" i="1"/>
  <c r="B943" i="1"/>
  <c r="A943" i="1"/>
  <c r="F942" i="1"/>
  <c r="E942" i="1"/>
  <c r="D942" i="1"/>
  <c r="C942" i="1"/>
  <c r="B942" i="1"/>
  <c r="A942" i="1"/>
  <c r="F941" i="1"/>
  <c r="E941" i="1"/>
  <c r="D941" i="1"/>
  <c r="C941" i="1"/>
  <c r="B941" i="1"/>
  <c r="A941" i="1"/>
  <c r="F940" i="1"/>
  <c r="E940" i="1"/>
  <c r="D940" i="1"/>
  <c r="C940" i="1"/>
  <c r="B940" i="1"/>
  <c r="A940" i="1"/>
  <c r="F939" i="1"/>
  <c r="E939" i="1"/>
  <c r="D939" i="1"/>
  <c r="C939" i="1"/>
  <c r="B939" i="1"/>
  <c r="A939" i="1"/>
  <c r="F938" i="1"/>
  <c r="E938" i="1"/>
  <c r="D938" i="1"/>
  <c r="C938" i="1"/>
  <c r="B938" i="1"/>
  <c r="A938" i="1"/>
  <c r="F937" i="1"/>
  <c r="E937" i="1"/>
  <c r="D937" i="1"/>
  <c r="C937" i="1"/>
  <c r="B937" i="1"/>
  <c r="A937" i="1"/>
  <c r="F936" i="1"/>
  <c r="E936" i="1"/>
  <c r="D936" i="1"/>
  <c r="C936" i="1"/>
  <c r="B936" i="1"/>
  <c r="A936" i="1"/>
  <c r="F935" i="1"/>
  <c r="E935" i="1"/>
  <c r="D935" i="1"/>
  <c r="C935" i="1"/>
  <c r="B935" i="1"/>
  <c r="A935" i="1"/>
  <c r="F934" i="1"/>
  <c r="E934" i="1"/>
  <c r="D934" i="1"/>
  <c r="C934" i="1"/>
  <c r="B934" i="1"/>
  <c r="A934" i="1"/>
  <c r="F933" i="1"/>
  <c r="E933" i="1"/>
  <c r="D933" i="1"/>
  <c r="C933" i="1"/>
  <c r="B933" i="1"/>
  <c r="A933" i="1"/>
  <c r="F932" i="1"/>
  <c r="E932" i="1"/>
  <c r="D932" i="1"/>
  <c r="C932" i="1"/>
  <c r="B932" i="1"/>
  <c r="A932" i="1"/>
  <c r="F931" i="1"/>
  <c r="E931" i="1"/>
  <c r="D931" i="1"/>
  <c r="C931" i="1"/>
  <c r="B931" i="1"/>
  <c r="A931" i="1"/>
  <c r="F930" i="1"/>
  <c r="E930" i="1"/>
  <c r="D930" i="1"/>
  <c r="C930" i="1"/>
  <c r="B930" i="1"/>
  <c r="A930" i="1"/>
  <c r="F929" i="1"/>
  <c r="E929" i="1"/>
  <c r="D929" i="1"/>
  <c r="C929" i="1"/>
  <c r="B929" i="1"/>
  <c r="A929" i="1"/>
  <c r="F928" i="1"/>
  <c r="E928" i="1"/>
  <c r="D928" i="1"/>
  <c r="C928" i="1"/>
  <c r="B928" i="1"/>
  <c r="A928" i="1"/>
  <c r="F927" i="1"/>
  <c r="E927" i="1"/>
  <c r="D927" i="1"/>
  <c r="C927" i="1"/>
  <c r="B927" i="1"/>
  <c r="A927" i="1"/>
  <c r="F926" i="1"/>
  <c r="E926" i="1"/>
  <c r="D926" i="1"/>
  <c r="C926" i="1"/>
  <c r="B926" i="1"/>
  <c r="A926" i="1"/>
  <c r="F925" i="1"/>
  <c r="E925" i="1"/>
  <c r="D925" i="1"/>
  <c r="C925" i="1"/>
  <c r="B925" i="1"/>
  <c r="A925" i="1"/>
  <c r="F924" i="1"/>
  <c r="E924" i="1"/>
  <c r="D924" i="1"/>
  <c r="C924" i="1"/>
  <c r="B924" i="1"/>
  <c r="A924" i="1"/>
  <c r="F923" i="1"/>
  <c r="E923" i="1"/>
  <c r="D923" i="1"/>
  <c r="C923" i="1"/>
  <c r="B923" i="1"/>
  <c r="A923" i="1"/>
  <c r="F922" i="1"/>
  <c r="E922" i="1"/>
  <c r="D922" i="1"/>
  <c r="C922" i="1"/>
  <c r="B922" i="1"/>
  <c r="A922" i="1"/>
  <c r="F921" i="1"/>
  <c r="E921" i="1"/>
  <c r="D921" i="1"/>
  <c r="C921" i="1"/>
  <c r="B921" i="1"/>
  <c r="A921" i="1"/>
  <c r="F920" i="1"/>
  <c r="E920" i="1"/>
  <c r="D920" i="1"/>
  <c r="C920" i="1"/>
  <c r="B920" i="1"/>
  <c r="A920" i="1"/>
  <c r="F919" i="1"/>
  <c r="E919" i="1"/>
  <c r="D919" i="1"/>
  <c r="C919" i="1"/>
  <c r="B919" i="1"/>
  <c r="A919" i="1"/>
  <c r="F918" i="1"/>
  <c r="E918" i="1"/>
  <c r="D918" i="1"/>
  <c r="C918" i="1"/>
  <c r="B918" i="1"/>
  <c r="A918" i="1"/>
  <c r="F917" i="1"/>
  <c r="E917" i="1"/>
  <c r="D917" i="1"/>
  <c r="C917" i="1"/>
  <c r="B917" i="1"/>
  <c r="A917" i="1"/>
  <c r="F916" i="1"/>
  <c r="E916" i="1"/>
  <c r="D916" i="1"/>
  <c r="C916" i="1"/>
  <c r="B916" i="1"/>
  <c r="A916" i="1"/>
  <c r="F915" i="1"/>
  <c r="E915" i="1"/>
  <c r="D915" i="1"/>
  <c r="C915" i="1"/>
  <c r="B915" i="1"/>
  <c r="A915" i="1"/>
  <c r="F914" i="1"/>
  <c r="E914" i="1"/>
  <c r="D914" i="1"/>
  <c r="C914" i="1"/>
  <c r="B914" i="1"/>
  <c r="A914" i="1"/>
  <c r="F913" i="1"/>
  <c r="E913" i="1"/>
  <c r="D913" i="1"/>
  <c r="C913" i="1"/>
  <c r="B913" i="1"/>
  <c r="A913" i="1"/>
  <c r="F912" i="1"/>
  <c r="E912" i="1"/>
  <c r="D912" i="1"/>
  <c r="C912" i="1"/>
  <c r="B912" i="1"/>
  <c r="A912" i="1"/>
  <c r="F911" i="1"/>
  <c r="E911" i="1"/>
  <c r="D911" i="1"/>
  <c r="C911" i="1"/>
  <c r="B911" i="1"/>
  <c r="A911" i="1"/>
  <c r="F910" i="1"/>
  <c r="E910" i="1"/>
  <c r="D910" i="1"/>
  <c r="C910" i="1"/>
  <c r="B910" i="1"/>
  <c r="A910" i="1"/>
  <c r="F909" i="1"/>
  <c r="E909" i="1"/>
  <c r="D909" i="1"/>
  <c r="C909" i="1"/>
  <c r="B909" i="1"/>
  <c r="A909" i="1"/>
  <c r="F908" i="1"/>
  <c r="E908" i="1"/>
  <c r="D908" i="1"/>
  <c r="C908" i="1"/>
  <c r="B908" i="1"/>
  <c r="A908" i="1"/>
  <c r="F907" i="1"/>
  <c r="E907" i="1"/>
  <c r="D907" i="1"/>
  <c r="C907" i="1"/>
  <c r="B907" i="1"/>
  <c r="A907" i="1"/>
  <c r="F906" i="1"/>
  <c r="E906" i="1"/>
  <c r="D906" i="1"/>
  <c r="C906" i="1"/>
  <c r="B906" i="1"/>
  <c r="A906" i="1"/>
  <c r="F905" i="1"/>
  <c r="E905" i="1"/>
  <c r="D905" i="1"/>
  <c r="C905" i="1"/>
  <c r="B905" i="1"/>
  <c r="A905" i="1"/>
  <c r="F904" i="1"/>
  <c r="E904" i="1"/>
  <c r="D904" i="1"/>
  <c r="C904" i="1"/>
  <c r="B904" i="1"/>
  <c r="A904" i="1"/>
  <c r="F903" i="1"/>
  <c r="E903" i="1"/>
  <c r="D903" i="1"/>
  <c r="C903" i="1"/>
  <c r="B903" i="1"/>
  <c r="A903" i="1"/>
  <c r="F902" i="1"/>
  <c r="E902" i="1"/>
  <c r="D902" i="1"/>
  <c r="C902" i="1"/>
  <c r="B902" i="1"/>
  <c r="A902" i="1"/>
  <c r="F901" i="1"/>
  <c r="E901" i="1"/>
  <c r="D901" i="1"/>
  <c r="C901" i="1"/>
  <c r="B901" i="1"/>
  <c r="A901" i="1"/>
  <c r="F900" i="1"/>
  <c r="E900" i="1"/>
  <c r="D900" i="1"/>
  <c r="C900" i="1"/>
  <c r="B900" i="1"/>
  <c r="A900" i="1"/>
  <c r="F899" i="1"/>
  <c r="E899" i="1"/>
  <c r="D899" i="1"/>
  <c r="C899" i="1"/>
  <c r="B899" i="1"/>
  <c r="A899" i="1"/>
  <c r="F898" i="1"/>
  <c r="E898" i="1"/>
  <c r="D898" i="1"/>
  <c r="C898" i="1"/>
  <c r="B898" i="1"/>
  <c r="A898" i="1"/>
  <c r="F897" i="1"/>
  <c r="E897" i="1"/>
  <c r="D897" i="1"/>
  <c r="C897" i="1"/>
  <c r="B897" i="1"/>
  <c r="A897" i="1"/>
  <c r="F896" i="1"/>
  <c r="E896" i="1"/>
  <c r="D896" i="1"/>
  <c r="C896" i="1"/>
  <c r="B896" i="1"/>
  <c r="A896" i="1"/>
  <c r="F895" i="1"/>
  <c r="E895" i="1"/>
  <c r="D895" i="1"/>
  <c r="C895" i="1"/>
  <c r="B895" i="1"/>
  <c r="A895" i="1"/>
  <c r="F894" i="1"/>
  <c r="E894" i="1"/>
  <c r="D894" i="1"/>
  <c r="C894" i="1"/>
  <c r="B894" i="1"/>
  <c r="A894" i="1"/>
  <c r="F893" i="1"/>
  <c r="E893" i="1"/>
  <c r="D893" i="1"/>
  <c r="C893" i="1"/>
  <c r="B893" i="1"/>
  <c r="A893" i="1"/>
  <c r="F892" i="1"/>
  <c r="E892" i="1"/>
  <c r="D892" i="1"/>
  <c r="C892" i="1"/>
  <c r="B892" i="1"/>
  <c r="A892" i="1"/>
  <c r="F891" i="1"/>
  <c r="E891" i="1"/>
  <c r="D891" i="1"/>
  <c r="C891" i="1"/>
  <c r="B891" i="1"/>
  <c r="A891" i="1"/>
  <c r="F890" i="1"/>
  <c r="E890" i="1"/>
  <c r="D890" i="1"/>
  <c r="C890" i="1"/>
  <c r="B890" i="1"/>
  <c r="A890" i="1"/>
  <c r="F889" i="1"/>
  <c r="E889" i="1"/>
  <c r="D889" i="1"/>
  <c r="C889" i="1"/>
  <c r="B889" i="1"/>
  <c r="A889" i="1"/>
  <c r="F888" i="1"/>
  <c r="E888" i="1"/>
  <c r="D888" i="1"/>
  <c r="C888" i="1"/>
  <c r="B888" i="1"/>
  <c r="A888" i="1"/>
  <c r="F887" i="1"/>
  <c r="E887" i="1"/>
  <c r="D887" i="1"/>
  <c r="C887" i="1"/>
  <c r="B887" i="1"/>
  <c r="A887" i="1"/>
  <c r="F886" i="1"/>
  <c r="E886" i="1"/>
  <c r="D886" i="1"/>
  <c r="C886" i="1"/>
  <c r="B886" i="1"/>
  <c r="A886" i="1"/>
  <c r="F885" i="1"/>
  <c r="E885" i="1"/>
  <c r="D885" i="1"/>
  <c r="C885" i="1"/>
  <c r="B885" i="1"/>
  <c r="A885" i="1"/>
  <c r="F884" i="1"/>
  <c r="E884" i="1"/>
  <c r="D884" i="1"/>
  <c r="C884" i="1"/>
  <c r="B884" i="1"/>
  <c r="A884" i="1"/>
  <c r="F883" i="1"/>
  <c r="E883" i="1"/>
  <c r="D883" i="1"/>
  <c r="C883" i="1"/>
  <c r="B883" i="1"/>
  <c r="A883" i="1"/>
  <c r="F882" i="1"/>
  <c r="E882" i="1"/>
  <c r="D882" i="1"/>
  <c r="C882" i="1"/>
  <c r="B882" i="1"/>
  <c r="A882" i="1"/>
  <c r="F881" i="1"/>
  <c r="E881" i="1"/>
  <c r="D881" i="1"/>
  <c r="C881" i="1"/>
  <c r="B881" i="1"/>
  <c r="A881" i="1"/>
  <c r="F880" i="1"/>
  <c r="E880" i="1"/>
  <c r="D880" i="1"/>
  <c r="C880" i="1"/>
  <c r="B880" i="1"/>
  <c r="A880" i="1"/>
  <c r="F879" i="1"/>
  <c r="E879" i="1"/>
  <c r="D879" i="1"/>
  <c r="C879" i="1"/>
  <c r="B879" i="1"/>
  <c r="A879" i="1"/>
  <c r="F878" i="1"/>
  <c r="E878" i="1"/>
  <c r="D878" i="1"/>
  <c r="C878" i="1"/>
  <c r="B878" i="1"/>
  <c r="A878" i="1"/>
  <c r="F877" i="1"/>
  <c r="E877" i="1"/>
  <c r="D877" i="1"/>
  <c r="C877" i="1"/>
  <c r="B877" i="1"/>
  <c r="A877" i="1"/>
  <c r="F876" i="1"/>
  <c r="E876" i="1"/>
  <c r="D876" i="1"/>
  <c r="C876" i="1"/>
  <c r="B876" i="1"/>
  <c r="A876" i="1"/>
  <c r="F875" i="1"/>
  <c r="E875" i="1"/>
  <c r="D875" i="1"/>
  <c r="C875" i="1"/>
  <c r="B875" i="1"/>
  <c r="A875" i="1"/>
  <c r="F874" i="1"/>
  <c r="E874" i="1"/>
  <c r="D874" i="1"/>
  <c r="C874" i="1"/>
  <c r="B874" i="1"/>
  <c r="A874" i="1"/>
  <c r="F873" i="1"/>
  <c r="E873" i="1"/>
  <c r="D873" i="1"/>
  <c r="C873" i="1"/>
  <c r="B873" i="1"/>
  <c r="A873" i="1"/>
  <c r="F872" i="1"/>
  <c r="E872" i="1"/>
  <c r="D872" i="1"/>
  <c r="C872" i="1"/>
  <c r="B872" i="1"/>
  <c r="A872" i="1"/>
  <c r="F871" i="1"/>
  <c r="E871" i="1"/>
  <c r="D871" i="1"/>
  <c r="C871" i="1"/>
  <c r="B871" i="1"/>
  <c r="A871" i="1"/>
  <c r="F870" i="1"/>
  <c r="E870" i="1"/>
  <c r="D870" i="1"/>
  <c r="C870" i="1"/>
  <c r="B870" i="1"/>
  <c r="A870" i="1"/>
  <c r="F869" i="1"/>
  <c r="E869" i="1"/>
  <c r="D869" i="1"/>
  <c r="C869" i="1"/>
  <c r="B869" i="1"/>
  <c r="A869" i="1"/>
  <c r="F868" i="1"/>
  <c r="E868" i="1"/>
  <c r="D868" i="1"/>
  <c r="C868" i="1"/>
  <c r="B868" i="1"/>
  <c r="A868" i="1"/>
  <c r="F867" i="1"/>
  <c r="E867" i="1"/>
  <c r="D867" i="1"/>
  <c r="C867" i="1"/>
  <c r="B867" i="1"/>
  <c r="A867" i="1"/>
  <c r="F866" i="1"/>
  <c r="E866" i="1"/>
  <c r="D866" i="1"/>
  <c r="C866" i="1"/>
  <c r="B866" i="1"/>
  <c r="A866" i="1"/>
  <c r="F865" i="1"/>
  <c r="E865" i="1"/>
  <c r="D865" i="1"/>
  <c r="C865" i="1"/>
  <c r="B865" i="1"/>
  <c r="A865" i="1"/>
  <c r="F864" i="1"/>
  <c r="E864" i="1"/>
  <c r="D864" i="1"/>
  <c r="C864" i="1"/>
  <c r="B864" i="1"/>
  <c r="A864" i="1"/>
  <c r="F863" i="1"/>
  <c r="E863" i="1"/>
  <c r="D863" i="1"/>
  <c r="C863" i="1"/>
  <c r="B863" i="1"/>
  <c r="A863" i="1"/>
  <c r="F862" i="1"/>
  <c r="E862" i="1"/>
  <c r="D862" i="1"/>
  <c r="C862" i="1"/>
  <c r="B862" i="1"/>
  <c r="A862" i="1"/>
  <c r="F861" i="1"/>
  <c r="E861" i="1"/>
  <c r="D861" i="1"/>
  <c r="C861" i="1"/>
  <c r="B861" i="1"/>
  <c r="A861" i="1"/>
  <c r="F860" i="1"/>
  <c r="E860" i="1"/>
  <c r="D860" i="1"/>
  <c r="C860" i="1"/>
  <c r="B860" i="1"/>
  <c r="A860" i="1"/>
  <c r="F859" i="1"/>
  <c r="E859" i="1"/>
  <c r="D859" i="1"/>
  <c r="C859" i="1"/>
  <c r="B859" i="1"/>
  <c r="A859" i="1"/>
  <c r="F858" i="1"/>
  <c r="E858" i="1"/>
  <c r="D858" i="1"/>
  <c r="C858" i="1"/>
  <c r="B858" i="1"/>
  <c r="A858" i="1"/>
  <c r="F857" i="1"/>
  <c r="E857" i="1"/>
  <c r="D857" i="1"/>
  <c r="C857" i="1"/>
  <c r="B857" i="1"/>
  <c r="A857" i="1"/>
  <c r="F856" i="1"/>
  <c r="E856" i="1"/>
  <c r="D856" i="1"/>
  <c r="C856" i="1"/>
  <c r="B856" i="1"/>
  <c r="A856" i="1"/>
  <c r="F855" i="1"/>
  <c r="E855" i="1"/>
  <c r="D855" i="1"/>
  <c r="C855" i="1"/>
  <c r="B855" i="1"/>
  <c r="A855" i="1"/>
  <c r="F854" i="1"/>
  <c r="E854" i="1"/>
  <c r="D854" i="1"/>
  <c r="C854" i="1"/>
  <c r="B854" i="1"/>
  <c r="A854" i="1"/>
  <c r="F853" i="1"/>
  <c r="E853" i="1"/>
  <c r="D853" i="1"/>
  <c r="C853" i="1"/>
  <c r="B853" i="1"/>
  <c r="A853" i="1"/>
  <c r="F852" i="1"/>
  <c r="E852" i="1"/>
  <c r="D852" i="1"/>
  <c r="C852" i="1"/>
  <c r="B852" i="1"/>
  <c r="A852" i="1"/>
  <c r="F851" i="1"/>
  <c r="E851" i="1"/>
  <c r="D851" i="1"/>
  <c r="C851" i="1"/>
  <c r="B851" i="1"/>
  <c r="A851" i="1"/>
  <c r="F850" i="1"/>
  <c r="E850" i="1"/>
  <c r="D850" i="1"/>
  <c r="C850" i="1"/>
  <c r="B850" i="1"/>
  <c r="A850" i="1"/>
  <c r="F849" i="1"/>
  <c r="E849" i="1"/>
  <c r="D849" i="1"/>
  <c r="C849" i="1"/>
  <c r="B849" i="1"/>
  <c r="A849" i="1"/>
  <c r="F848" i="1"/>
  <c r="E848" i="1"/>
  <c r="D848" i="1"/>
  <c r="C848" i="1"/>
  <c r="B848" i="1"/>
  <c r="A848" i="1"/>
  <c r="F847" i="1"/>
  <c r="E847" i="1"/>
  <c r="D847" i="1"/>
  <c r="C847" i="1"/>
  <c r="B847" i="1"/>
  <c r="A847" i="1"/>
  <c r="F846" i="1"/>
  <c r="E846" i="1"/>
  <c r="D846" i="1"/>
  <c r="C846" i="1"/>
  <c r="B846" i="1"/>
  <c r="A846" i="1"/>
  <c r="F845" i="1"/>
  <c r="E845" i="1"/>
  <c r="D845" i="1"/>
  <c r="C845" i="1"/>
  <c r="B845" i="1"/>
  <c r="A845" i="1"/>
  <c r="F844" i="1"/>
  <c r="E844" i="1"/>
  <c r="D844" i="1"/>
  <c r="C844" i="1"/>
  <c r="B844" i="1"/>
  <c r="A844" i="1"/>
  <c r="F843" i="1"/>
  <c r="E843" i="1"/>
  <c r="D843" i="1"/>
  <c r="C843" i="1"/>
  <c r="B843" i="1"/>
  <c r="A843" i="1"/>
  <c r="F842" i="1"/>
  <c r="E842" i="1"/>
  <c r="D842" i="1"/>
  <c r="C842" i="1"/>
  <c r="B842" i="1"/>
  <c r="A842" i="1"/>
  <c r="F841" i="1"/>
  <c r="E841" i="1"/>
  <c r="D841" i="1"/>
  <c r="C841" i="1"/>
  <c r="B841" i="1"/>
  <c r="A841" i="1"/>
  <c r="F840" i="1"/>
  <c r="E840" i="1"/>
  <c r="D840" i="1"/>
  <c r="C840" i="1"/>
  <c r="B840" i="1"/>
  <c r="A840" i="1"/>
  <c r="F839" i="1"/>
  <c r="E839" i="1"/>
  <c r="D839" i="1"/>
  <c r="C839" i="1"/>
  <c r="B839" i="1"/>
  <c r="A839" i="1"/>
  <c r="F838" i="1"/>
  <c r="E838" i="1"/>
  <c r="D838" i="1"/>
  <c r="C838" i="1"/>
  <c r="B838" i="1"/>
  <c r="A838" i="1"/>
  <c r="F837" i="1"/>
  <c r="E837" i="1"/>
  <c r="D837" i="1"/>
  <c r="C837" i="1"/>
  <c r="B837" i="1"/>
  <c r="A837" i="1"/>
  <c r="F836" i="1"/>
  <c r="E836" i="1"/>
  <c r="D836" i="1"/>
  <c r="C836" i="1"/>
  <c r="B836" i="1"/>
  <c r="A836" i="1"/>
  <c r="F835" i="1"/>
  <c r="E835" i="1"/>
  <c r="D835" i="1"/>
  <c r="C835" i="1"/>
  <c r="B835" i="1"/>
  <c r="A835" i="1"/>
  <c r="F834" i="1"/>
  <c r="E834" i="1"/>
  <c r="D834" i="1"/>
  <c r="C834" i="1"/>
  <c r="B834" i="1"/>
  <c r="A834" i="1"/>
  <c r="F833" i="1"/>
  <c r="E833" i="1"/>
  <c r="D833" i="1"/>
  <c r="C833" i="1"/>
  <c r="B833" i="1"/>
  <c r="A833" i="1"/>
  <c r="F832" i="1"/>
  <c r="E832" i="1"/>
  <c r="D832" i="1"/>
  <c r="C832" i="1"/>
  <c r="B832" i="1"/>
  <c r="A832" i="1"/>
  <c r="F831" i="1"/>
  <c r="E831" i="1"/>
  <c r="D831" i="1"/>
  <c r="C831" i="1"/>
  <c r="B831" i="1"/>
  <c r="A831" i="1"/>
  <c r="F830" i="1"/>
  <c r="E830" i="1"/>
  <c r="D830" i="1"/>
  <c r="C830" i="1"/>
  <c r="B830" i="1"/>
  <c r="A830" i="1"/>
  <c r="F829" i="1"/>
  <c r="E829" i="1"/>
  <c r="D829" i="1"/>
  <c r="C829" i="1"/>
  <c r="B829" i="1"/>
  <c r="A829" i="1"/>
  <c r="F828" i="1"/>
  <c r="E828" i="1"/>
  <c r="D828" i="1"/>
  <c r="C828" i="1"/>
  <c r="B828" i="1"/>
  <c r="A828" i="1"/>
  <c r="F827" i="1"/>
  <c r="E827" i="1"/>
  <c r="D827" i="1"/>
  <c r="C827" i="1"/>
  <c r="B827" i="1"/>
  <c r="A827" i="1"/>
  <c r="F826" i="1"/>
  <c r="E826" i="1"/>
  <c r="D826" i="1"/>
  <c r="C826" i="1"/>
  <c r="B826" i="1"/>
  <c r="A826" i="1"/>
  <c r="F825" i="1"/>
  <c r="E825" i="1"/>
  <c r="D825" i="1"/>
  <c r="C825" i="1"/>
  <c r="B825" i="1"/>
  <c r="A825" i="1"/>
  <c r="F824" i="1"/>
  <c r="E824" i="1"/>
  <c r="D824" i="1"/>
  <c r="C824" i="1"/>
  <c r="B824" i="1"/>
  <c r="A824" i="1"/>
  <c r="F823" i="1"/>
  <c r="E823" i="1"/>
  <c r="D823" i="1"/>
  <c r="C823" i="1"/>
  <c r="B823" i="1"/>
  <c r="A823" i="1"/>
  <c r="F822" i="1"/>
  <c r="E822" i="1"/>
  <c r="D822" i="1"/>
  <c r="C822" i="1"/>
  <c r="B822" i="1"/>
  <c r="A822" i="1"/>
  <c r="F821" i="1"/>
  <c r="E821" i="1"/>
  <c r="D821" i="1"/>
  <c r="C821" i="1"/>
  <c r="B821" i="1"/>
  <c r="A821" i="1"/>
  <c r="F820" i="1"/>
  <c r="E820" i="1"/>
  <c r="D820" i="1"/>
  <c r="C820" i="1"/>
  <c r="B820" i="1"/>
  <c r="A820" i="1"/>
  <c r="F819" i="1"/>
  <c r="E819" i="1"/>
  <c r="D819" i="1"/>
  <c r="C819" i="1"/>
  <c r="B819" i="1"/>
  <c r="A819" i="1"/>
  <c r="F818" i="1"/>
  <c r="E818" i="1"/>
  <c r="D818" i="1"/>
  <c r="C818" i="1"/>
  <c r="B818" i="1"/>
  <c r="A818" i="1"/>
  <c r="F817" i="1"/>
  <c r="E817" i="1"/>
  <c r="D817" i="1"/>
  <c r="C817" i="1"/>
  <c r="B817" i="1"/>
  <c r="A817" i="1"/>
  <c r="F816" i="1"/>
  <c r="E816" i="1"/>
  <c r="D816" i="1"/>
  <c r="C816" i="1"/>
  <c r="B816" i="1"/>
  <c r="A816" i="1"/>
  <c r="F815" i="1"/>
  <c r="E815" i="1"/>
  <c r="D815" i="1"/>
  <c r="C815" i="1"/>
  <c r="B815" i="1"/>
  <c r="A815" i="1"/>
  <c r="F814" i="1"/>
  <c r="E814" i="1"/>
  <c r="D814" i="1"/>
  <c r="C814" i="1"/>
  <c r="B814" i="1"/>
  <c r="A814" i="1"/>
  <c r="F813" i="1"/>
  <c r="E813" i="1"/>
  <c r="D813" i="1"/>
  <c r="C813" i="1"/>
  <c r="B813" i="1"/>
  <c r="A813" i="1"/>
  <c r="F812" i="1"/>
  <c r="E812" i="1"/>
  <c r="D812" i="1"/>
  <c r="C812" i="1"/>
  <c r="B812" i="1"/>
  <c r="A812" i="1"/>
  <c r="F811" i="1"/>
  <c r="E811" i="1"/>
  <c r="D811" i="1"/>
  <c r="C811" i="1"/>
  <c r="B811" i="1"/>
  <c r="A811" i="1"/>
  <c r="F810" i="1"/>
  <c r="E810" i="1"/>
  <c r="D810" i="1"/>
  <c r="C810" i="1"/>
  <c r="B810" i="1"/>
  <c r="A810" i="1"/>
  <c r="F809" i="1"/>
  <c r="E809" i="1"/>
  <c r="D809" i="1"/>
  <c r="C809" i="1"/>
  <c r="B809" i="1"/>
  <c r="A809" i="1"/>
  <c r="F808" i="1"/>
  <c r="E808" i="1"/>
  <c r="D808" i="1"/>
  <c r="C808" i="1"/>
  <c r="B808" i="1"/>
  <c r="A808" i="1"/>
  <c r="F807" i="1"/>
  <c r="E807" i="1"/>
  <c r="D807" i="1"/>
  <c r="C807" i="1"/>
  <c r="B807" i="1"/>
  <c r="A807" i="1"/>
  <c r="F806" i="1"/>
  <c r="E806" i="1"/>
  <c r="D806" i="1"/>
  <c r="C806" i="1"/>
  <c r="B806" i="1"/>
  <c r="A806" i="1"/>
  <c r="F805" i="1"/>
  <c r="E805" i="1"/>
  <c r="D805" i="1"/>
  <c r="C805" i="1"/>
  <c r="B805" i="1"/>
  <c r="A805" i="1"/>
  <c r="F804" i="1"/>
  <c r="E804" i="1"/>
  <c r="D804" i="1"/>
  <c r="C804" i="1"/>
  <c r="B804" i="1"/>
  <c r="A804" i="1"/>
  <c r="F803" i="1"/>
  <c r="E803" i="1"/>
  <c r="D803" i="1"/>
  <c r="C803" i="1"/>
  <c r="B803" i="1"/>
  <c r="A803" i="1"/>
  <c r="F802" i="1"/>
  <c r="E802" i="1"/>
  <c r="D802" i="1"/>
  <c r="C802" i="1"/>
  <c r="B802" i="1"/>
  <c r="A802" i="1"/>
  <c r="F801" i="1"/>
  <c r="E801" i="1"/>
  <c r="D801" i="1"/>
  <c r="C801" i="1"/>
  <c r="B801" i="1"/>
  <c r="A801" i="1"/>
  <c r="F800" i="1"/>
  <c r="E800" i="1"/>
  <c r="D800" i="1"/>
  <c r="C800" i="1"/>
  <c r="B800" i="1"/>
  <c r="A800" i="1"/>
  <c r="F799" i="1"/>
  <c r="E799" i="1"/>
  <c r="D799" i="1"/>
  <c r="C799" i="1"/>
  <c r="B799" i="1"/>
  <c r="A799" i="1"/>
  <c r="F798" i="1"/>
  <c r="E798" i="1"/>
  <c r="D798" i="1"/>
  <c r="C798" i="1"/>
  <c r="B798" i="1"/>
  <c r="A798" i="1"/>
  <c r="F797" i="1"/>
  <c r="E797" i="1"/>
  <c r="D797" i="1"/>
  <c r="C797" i="1"/>
  <c r="B797" i="1"/>
  <c r="A797" i="1"/>
  <c r="F796" i="1"/>
  <c r="E796" i="1"/>
  <c r="D796" i="1"/>
  <c r="C796" i="1"/>
  <c r="B796" i="1"/>
  <c r="A796" i="1"/>
  <c r="F795" i="1"/>
  <c r="E795" i="1"/>
  <c r="D795" i="1"/>
  <c r="C795" i="1"/>
  <c r="B795" i="1"/>
  <c r="A795" i="1"/>
  <c r="F794" i="1"/>
  <c r="E794" i="1"/>
  <c r="D794" i="1"/>
  <c r="C794" i="1"/>
  <c r="B794" i="1"/>
  <c r="A794" i="1"/>
  <c r="F793" i="1"/>
  <c r="E793" i="1"/>
  <c r="D793" i="1"/>
  <c r="C793" i="1"/>
  <c r="B793" i="1"/>
  <c r="A793" i="1"/>
  <c r="F792" i="1"/>
  <c r="E792" i="1"/>
  <c r="D792" i="1"/>
  <c r="C792" i="1"/>
  <c r="B792" i="1"/>
  <c r="A792" i="1"/>
  <c r="F791" i="1"/>
  <c r="E791" i="1"/>
  <c r="D791" i="1"/>
  <c r="C791" i="1"/>
  <c r="B791" i="1"/>
  <c r="A791" i="1"/>
  <c r="F790" i="1"/>
  <c r="E790" i="1"/>
  <c r="D790" i="1"/>
  <c r="C790" i="1"/>
  <c r="B790" i="1"/>
  <c r="A790" i="1"/>
  <c r="F789" i="1"/>
  <c r="E789" i="1"/>
  <c r="D789" i="1"/>
  <c r="C789" i="1"/>
  <c r="B789" i="1"/>
  <c r="A789" i="1"/>
  <c r="F788" i="1"/>
  <c r="E788" i="1"/>
  <c r="D788" i="1"/>
  <c r="C788" i="1"/>
  <c r="B788" i="1"/>
  <c r="A788" i="1"/>
  <c r="F787" i="1"/>
  <c r="E787" i="1"/>
  <c r="D787" i="1"/>
  <c r="C787" i="1"/>
  <c r="B787" i="1"/>
  <c r="A787" i="1"/>
  <c r="F786" i="1"/>
  <c r="E786" i="1"/>
  <c r="D786" i="1"/>
  <c r="C786" i="1"/>
  <c r="B786" i="1"/>
  <c r="A786" i="1"/>
  <c r="F785" i="1"/>
  <c r="E785" i="1"/>
  <c r="D785" i="1"/>
  <c r="C785" i="1"/>
  <c r="B785" i="1"/>
  <c r="A785" i="1"/>
  <c r="F784" i="1"/>
  <c r="E784" i="1"/>
  <c r="D784" i="1"/>
  <c r="C784" i="1"/>
  <c r="B784" i="1"/>
  <c r="A784" i="1"/>
  <c r="F783" i="1"/>
  <c r="E783" i="1"/>
  <c r="D783" i="1"/>
  <c r="C783" i="1"/>
  <c r="B783" i="1"/>
  <c r="A783" i="1"/>
  <c r="F782" i="1"/>
  <c r="E782" i="1"/>
  <c r="D782" i="1"/>
  <c r="C782" i="1"/>
  <c r="B782" i="1"/>
  <c r="A782" i="1"/>
  <c r="F781" i="1"/>
  <c r="E781" i="1"/>
  <c r="D781" i="1"/>
  <c r="C781" i="1"/>
  <c r="B781" i="1"/>
  <c r="A781" i="1"/>
  <c r="F780" i="1"/>
  <c r="E780" i="1"/>
  <c r="D780" i="1"/>
  <c r="C780" i="1"/>
  <c r="B780" i="1"/>
  <c r="A780" i="1"/>
  <c r="F779" i="1"/>
  <c r="E779" i="1"/>
  <c r="D779" i="1"/>
  <c r="C779" i="1"/>
  <c r="B779" i="1"/>
  <c r="A779" i="1"/>
  <c r="F778" i="1"/>
  <c r="E778" i="1"/>
  <c r="D778" i="1"/>
  <c r="C778" i="1"/>
  <c r="B778" i="1"/>
  <c r="A778" i="1"/>
  <c r="F777" i="1"/>
  <c r="E777" i="1"/>
  <c r="D777" i="1"/>
  <c r="C777" i="1"/>
  <c r="B777" i="1"/>
  <c r="A777" i="1"/>
  <c r="F776" i="1"/>
  <c r="E776" i="1"/>
  <c r="D776" i="1"/>
  <c r="C776" i="1"/>
  <c r="B776" i="1"/>
  <c r="A776" i="1"/>
  <c r="F775" i="1"/>
  <c r="E775" i="1"/>
  <c r="D775" i="1"/>
  <c r="C775" i="1"/>
  <c r="B775" i="1"/>
  <c r="A775" i="1"/>
  <c r="F774" i="1"/>
  <c r="E774" i="1"/>
  <c r="D774" i="1"/>
  <c r="C774" i="1"/>
  <c r="B774" i="1"/>
  <c r="A774" i="1"/>
  <c r="F773" i="1"/>
  <c r="E773" i="1"/>
  <c r="D773" i="1"/>
  <c r="C773" i="1"/>
  <c r="B773" i="1"/>
  <c r="A773" i="1"/>
  <c r="F772" i="1"/>
  <c r="E772" i="1"/>
  <c r="D772" i="1"/>
  <c r="C772" i="1"/>
  <c r="B772" i="1"/>
  <c r="A772" i="1"/>
  <c r="F771" i="1"/>
  <c r="E771" i="1"/>
  <c r="D771" i="1"/>
  <c r="C771" i="1"/>
  <c r="B771" i="1"/>
  <c r="A771" i="1"/>
  <c r="F770" i="1"/>
  <c r="E770" i="1"/>
  <c r="D770" i="1"/>
  <c r="C770" i="1"/>
  <c r="B770" i="1"/>
  <c r="A770" i="1"/>
  <c r="F769" i="1"/>
  <c r="E769" i="1"/>
  <c r="D769" i="1"/>
  <c r="C769" i="1"/>
  <c r="B769" i="1"/>
  <c r="A769" i="1"/>
  <c r="F768" i="1"/>
  <c r="E768" i="1"/>
  <c r="D768" i="1"/>
  <c r="C768" i="1"/>
  <c r="B768" i="1"/>
  <c r="A768" i="1"/>
  <c r="F767" i="1"/>
  <c r="E767" i="1"/>
  <c r="D767" i="1"/>
  <c r="C767" i="1"/>
  <c r="B767" i="1"/>
  <c r="A767" i="1"/>
  <c r="F766" i="1"/>
  <c r="E766" i="1"/>
  <c r="D766" i="1"/>
  <c r="C766" i="1"/>
  <c r="B766" i="1"/>
  <c r="A766" i="1"/>
  <c r="F765" i="1"/>
  <c r="E765" i="1"/>
  <c r="D765" i="1"/>
  <c r="C765" i="1"/>
  <c r="B765" i="1"/>
  <c r="A765" i="1"/>
  <c r="F764" i="1"/>
  <c r="E764" i="1"/>
  <c r="D764" i="1"/>
  <c r="C764" i="1"/>
  <c r="B764" i="1"/>
  <c r="A764" i="1"/>
  <c r="F763" i="1"/>
  <c r="E763" i="1"/>
  <c r="D763" i="1"/>
  <c r="C763" i="1"/>
  <c r="B763" i="1"/>
  <c r="A763" i="1"/>
  <c r="F762" i="1"/>
  <c r="E762" i="1"/>
  <c r="D762" i="1"/>
  <c r="C762" i="1"/>
  <c r="B762" i="1"/>
  <c r="A762" i="1"/>
  <c r="F761" i="1"/>
  <c r="E761" i="1"/>
  <c r="D761" i="1"/>
  <c r="C761" i="1"/>
  <c r="B761" i="1"/>
  <c r="A761" i="1"/>
  <c r="F760" i="1"/>
  <c r="E760" i="1"/>
  <c r="D760" i="1"/>
  <c r="C760" i="1"/>
  <c r="B760" i="1"/>
  <c r="A760" i="1"/>
  <c r="F759" i="1"/>
  <c r="E759" i="1"/>
  <c r="D759" i="1"/>
  <c r="C759" i="1"/>
  <c r="B759" i="1"/>
  <c r="A759" i="1"/>
  <c r="F758" i="1"/>
  <c r="E758" i="1"/>
  <c r="D758" i="1"/>
  <c r="C758" i="1"/>
  <c r="B758" i="1"/>
  <c r="A758" i="1"/>
  <c r="F757" i="1"/>
  <c r="E757" i="1"/>
  <c r="D757" i="1"/>
  <c r="C757" i="1"/>
  <c r="B757" i="1"/>
  <c r="A757" i="1"/>
  <c r="F756" i="1"/>
  <c r="E756" i="1"/>
  <c r="D756" i="1"/>
  <c r="C756" i="1"/>
  <c r="B756" i="1"/>
  <c r="A756" i="1"/>
  <c r="F755" i="1"/>
  <c r="E755" i="1"/>
  <c r="D755" i="1"/>
  <c r="C755" i="1"/>
  <c r="B755" i="1"/>
  <c r="A755" i="1"/>
  <c r="F754" i="1"/>
  <c r="E754" i="1"/>
  <c r="D754" i="1"/>
  <c r="C754" i="1"/>
  <c r="B754" i="1"/>
  <c r="A754" i="1"/>
  <c r="F753" i="1"/>
  <c r="E753" i="1"/>
  <c r="D753" i="1"/>
  <c r="C753" i="1"/>
  <c r="B753" i="1"/>
  <c r="A753" i="1"/>
  <c r="F752" i="1"/>
  <c r="E752" i="1"/>
  <c r="D752" i="1"/>
  <c r="C752" i="1"/>
  <c r="B752" i="1"/>
  <c r="A752" i="1"/>
  <c r="F751" i="1"/>
  <c r="E751" i="1"/>
  <c r="D751" i="1"/>
  <c r="C751" i="1"/>
  <c r="B751" i="1"/>
  <c r="A751" i="1"/>
  <c r="F750" i="1"/>
  <c r="E750" i="1"/>
  <c r="D750" i="1"/>
  <c r="C750" i="1"/>
  <c r="B750" i="1"/>
  <c r="A750" i="1"/>
  <c r="F749" i="1"/>
  <c r="E749" i="1"/>
  <c r="D749" i="1"/>
  <c r="C749" i="1"/>
  <c r="B749" i="1"/>
  <c r="A749" i="1"/>
  <c r="F748" i="1"/>
  <c r="E748" i="1"/>
  <c r="D748" i="1"/>
  <c r="C748" i="1"/>
  <c r="B748" i="1"/>
  <c r="A748" i="1"/>
  <c r="F747" i="1"/>
  <c r="E747" i="1"/>
  <c r="D747" i="1"/>
  <c r="C747" i="1"/>
  <c r="B747" i="1"/>
  <c r="A747" i="1"/>
  <c r="F746" i="1"/>
  <c r="E746" i="1"/>
  <c r="D746" i="1"/>
  <c r="C746" i="1"/>
  <c r="B746" i="1"/>
  <c r="A746" i="1"/>
  <c r="F745" i="1"/>
  <c r="E745" i="1"/>
  <c r="D745" i="1"/>
  <c r="C745" i="1"/>
  <c r="B745" i="1"/>
  <c r="A745" i="1"/>
  <c r="F744" i="1"/>
  <c r="E744" i="1"/>
  <c r="D744" i="1"/>
  <c r="C744" i="1"/>
  <c r="B744" i="1"/>
  <c r="A744" i="1"/>
  <c r="F743" i="1"/>
  <c r="E743" i="1"/>
  <c r="D743" i="1"/>
  <c r="C743" i="1"/>
  <c r="B743" i="1"/>
  <c r="A743" i="1"/>
  <c r="F742" i="1"/>
  <c r="E742" i="1"/>
  <c r="D742" i="1"/>
  <c r="C742" i="1"/>
  <c r="B742" i="1"/>
  <c r="A742" i="1"/>
  <c r="F741" i="1"/>
  <c r="E741" i="1"/>
  <c r="D741" i="1"/>
  <c r="C741" i="1"/>
  <c r="B741" i="1"/>
  <c r="A741" i="1"/>
  <c r="F740" i="1"/>
  <c r="E740" i="1"/>
  <c r="D740" i="1"/>
  <c r="C740" i="1"/>
  <c r="B740" i="1"/>
  <c r="A740" i="1"/>
  <c r="F739" i="1"/>
  <c r="E739" i="1"/>
  <c r="D739" i="1"/>
  <c r="C739" i="1"/>
  <c r="B739" i="1"/>
  <c r="A739" i="1"/>
  <c r="F738" i="1"/>
  <c r="E738" i="1"/>
  <c r="D738" i="1"/>
  <c r="C738" i="1"/>
  <c r="B738" i="1"/>
  <c r="A738" i="1"/>
  <c r="F737" i="1"/>
  <c r="E737" i="1"/>
  <c r="D737" i="1"/>
  <c r="C737" i="1"/>
  <c r="B737" i="1"/>
  <c r="A737" i="1"/>
  <c r="F736" i="1"/>
  <c r="E736" i="1"/>
  <c r="D736" i="1"/>
  <c r="C736" i="1"/>
  <c r="B736" i="1"/>
  <c r="A736" i="1"/>
  <c r="F735" i="1"/>
  <c r="E735" i="1"/>
  <c r="D735" i="1"/>
  <c r="C735" i="1"/>
  <c r="B735" i="1"/>
  <c r="A735" i="1"/>
  <c r="F734" i="1"/>
  <c r="E734" i="1"/>
  <c r="D734" i="1"/>
  <c r="C734" i="1"/>
  <c r="B734" i="1"/>
  <c r="A734" i="1"/>
  <c r="F733" i="1"/>
  <c r="E733" i="1"/>
  <c r="D733" i="1"/>
  <c r="C733" i="1"/>
  <c r="B733" i="1"/>
  <c r="A733" i="1"/>
  <c r="F732" i="1"/>
  <c r="E732" i="1"/>
  <c r="D732" i="1"/>
  <c r="C732" i="1"/>
  <c r="B732" i="1"/>
  <c r="A732" i="1"/>
  <c r="F731" i="1"/>
  <c r="E731" i="1"/>
  <c r="D731" i="1"/>
  <c r="C731" i="1"/>
  <c r="B731" i="1"/>
  <c r="A731" i="1"/>
  <c r="F730" i="1"/>
  <c r="E730" i="1"/>
  <c r="D730" i="1"/>
  <c r="C730" i="1"/>
  <c r="B730" i="1"/>
  <c r="A730" i="1"/>
  <c r="F729" i="1"/>
  <c r="E729" i="1"/>
  <c r="D729" i="1"/>
  <c r="C729" i="1"/>
  <c r="B729" i="1"/>
  <c r="A729" i="1"/>
  <c r="F728" i="1"/>
  <c r="E728" i="1"/>
  <c r="D728" i="1"/>
  <c r="C728" i="1"/>
  <c r="B728" i="1"/>
  <c r="A728" i="1"/>
  <c r="F727" i="1"/>
  <c r="E727" i="1"/>
  <c r="D727" i="1"/>
  <c r="C727" i="1"/>
  <c r="B727" i="1"/>
  <c r="A727" i="1"/>
  <c r="F726" i="1"/>
  <c r="E726" i="1"/>
  <c r="D726" i="1"/>
  <c r="C726" i="1"/>
  <c r="B726" i="1"/>
  <c r="A726" i="1"/>
  <c r="F725" i="1"/>
  <c r="E725" i="1"/>
  <c r="D725" i="1"/>
  <c r="C725" i="1"/>
  <c r="B725" i="1"/>
  <c r="A725" i="1"/>
  <c r="F724" i="1"/>
  <c r="E724" i="1"/>
  <c r="D724" i="1"/>
  <c r="C724" i="1"/>
  <c r="B724" i="1"/>
  <c r="A724" i="1"/>
  <c r="F723" i="1"/>
  <c r="E723" i="1"/>
  <c r="D723" i="1"/>
  <c r="C723" i="1"/>
  <c r="B723" i="1"/>
  <c r="A723" i="1"/>
  <c r="F722" i="1"/>
  <c r="E722" i="1"/>
  <c r="D722" i="1"/>
  <c r="C722" i="1"/>
  <c r="B722" i="1"/>
  <c r="A722" i="1"/>
  <c r="F721" i="1"/>
  <c r="E721" i="1"/>
  <c r="D721" i="1"/>
  <c r="C721" i="1"/>
  <c r="B721" i="1"/>
  <c r="A721" i="1"/>
  <c r="F720" i="1"/>
  <c r="E720" i="1"/>
  <c r="D720" i="1"/>
  <c r="C720" i="1"/>
  <c r="B720" i="1"/>
  <c r="A720" i="1"/>
  <c r="F719" i="1"/>
  <c r="E719" i="1"/>
  <c r="D719" i="1"/>
  <c r="C719" i="1"/>
  <c r="B719" i="1"/>
  <c r="A719" i="1"/>
  <c r="F718" i="1"/>
  <c r="E718" i="1"/>
  <c r="D718" i="1"/>
  <c r="C718" i="1"/>
  <c r="B718" i="1"/>
  <c r="A718" i="1"/>
  <c r="F717" i="1"/>
  <c r="E717" i="1"/>
  <c r="D717" i="1"/>
  <c r="C717" i="1"/>
  <c r="B717" i="1"/>
  <c r="A717" i="1"/>
  <c r="F716" i="1"/>
  <c r="E716" i="1"/>
  <c r="D716" i="1"/>
  <c r="C716" i="1"/>
  <c r="B716" i="1"/>
  <c r="A716" i="1"/>
  <c r="F715" i="1"/>
  <c r="E715" i="1"/>
  <c r="D715" i="1"/>
  <c r="C715" i="1"/>
  <c r="B715" i="1"/>
  <c r="A715" i="1"/>
  <c r="F714" i="1"/>
  <c r="E714" i="1"/>
  <c r="D714" i="1"/>
  <c r="C714" i="1"/>
  <c r="B714" i="1"/>
  <c r="A714" i="1"/>
  <c r="F713" i="1"/>
  <c r="E713" i="1"/>
  <c r="D713" i="1"/>
  <c r="C713" i="1"/>
  <c r="B713" i="1"/>
  <c r="A713" i="1"/>
  <c r="F712" i="1"/>
  <c r="E712" i="1"/>
  <c r="D712" i="1"/>
  <c r="C712" i="1"/>
  <c r="B712" i="1"/>
  <c r="A712" i="1"/>
  <c r="F711" i="1"/>
  <c r="E711" i="1"/>
  <c r="D711" i="1"/>
  <c r="C711" i="1"/>
  <c r="B711" i="1"/>
  <c r="A711" i="1"/>
  <c r="F710" i="1"/>
  <c r="E710" i="1"/>
  <c r="D710" i="1"/>
  <c r="C710" i="1"/>
  <c r="B710" i="1"/>
  <c r="A710" i="1"/>
  <c r="F709" i="1"/>
  <c r="E709" i="1"/>
  <c r="D709" i="1"/>
  <c r="C709" i="1"/>
  <c r="B709" i="1"/>
  <c r="A709" i="1"/>
  <c r="F708" i="1"/>
  <c r="E708" i="1"/>
  <c r="D708" i="1"/>
  <c r="C708" i="1"/>
  <c r="B708" i="1"/>
  <c r="A708" i="1"/>
  <c r="F707" i="1"/>
  <c r="E707" i="1"/>
  <c r="D707" i="1"/>
  <c r="C707" i="1"/>
  <c r="B707" i="1"/>
  <c r="A707" i="1"/>
  <c r="F706" i="1"/>
  <c r="E706" i="1"/>
  <c r="D706" i="1"/>
  <c r="C706" i="1"/>
  <c r="B706" i="1"/>
  <c r="A706" i="1"/>
  <c r="F705" i="1"/>
  <c r="E705" i="1"/>
  <c r="D705" i="1"/>
  <c r="C705" i="1"/>
  <c r="B705" i="1"/>
  <c r="A705" i="1"/>
  <c r="F704" i="1"/>
  <c r="E704" i="1"/>
  <c r="D704" i="1"/>
  <c r="C704" i="1"/>
  <c r="B704" i="1"/>
  <c r="A704" i="1"/>
  <c r="F703" i="1"/>
  <c r="E703" i="1"/>
  <c r="D703" i="1"/>
  <c r="C703" i="1"/>
  <c r="B703" i="1"/>
  <c r="A703" i="1"/>
  <c r="F702" i="1"/>
  <c r="E702" i="1"/>
  <c r="D702" i="1"/>
  <c r="C702" i="1"/>
  <c r="B702" i="1"/>
  <c r="A702" i="1"/>
  <c r="F701" i="1"/>
  <c r="E701" i="1"/>
  <c r="D701" i="1"/>
  <c r="C701" i="1"/>
  <c r="B701" i="1"/>
  <c r="A701" i="1"/>
  <c r="F700" i="1"/>
  <c r="E700" i="1"/>
  <c r="D700" i="1"/>
  <c r="C700" i="1"/>
  <c r="B700" i="1"/>
  <c r="A700" i="1"/>
  <c r="F699" i="1"/>
  <c r="E699" i="1"/>
  <c r="D699" i="1"/>
  <c r="C699" i="1"/>
  <c r="B699" i="1"/>
  <c r="A699" i="1"/>
  <c r="F698" i="1"/>
  <c r="E698" i="1"/>
  <c r="D698" i="1"/>
  <c r="C698" i="1"/>
  <c r="B698" i="1"/>
  <c r="A698" i="1"/>
  <c r="F697" i="1"/>
  <c r="E697" i="1"/>
  <c r="D697" i="1"/>
  <c r="C697" i="1"/>
  <c r="B697" i="1"/>
  <c r="A697" i="1"/>
  <c r="F696" i="1"/>
  <c r="E696" i="1"/>
  <c r="D696" i="1"/>
  <c r="C696" i="1"/>
  <c r="B696" i="1"/>
  <c r="A696" i="1"/>
  <c r="F695" i="1"/>
  <c r="E695" i="1"/>
  <c r="D695" i="1"/>
  <c r="C695" i="1"/>
  <c r="B695" i="1"/>
  <c r="A695" i="1"/>
  <c r="F694" i="1"/>
  <c r="E694" i="1"/>
  <c r="D694" i="1"/>
  <c r="C694" i="1"/>
  <c r="B694" i="1"/>
  <c r="A694" i="1"/>
  <c r="F693" i="1"/>
  <c r="E693" i="1"/>
  <c r="D693" i="1"/>
  <c r="C693" i="1"/>
  <c r="B693" i="1"/>
  <c r="A693" i="1"/>
  <c r="F692" i="1"/>
  <c r="E692" i="1"/>
  <c r="D692" i="1"/>
  <c r="C692" i="1"/>
  <c r="B692" i="1"/>
  <c r="A692" i="1"/>
  <c r="F691" i="1"/>
  <c r="E691" i="1"/>
  <c r="D691" i="1"/>
  <c r="C691" i="1"/>
  <c r="B691" i="1"/>
  <c r="A691" i="1"/>
  <c r="F690" i="1"/>
  <c r="E690" i="1"/>
  <c r="D690" i="1"/>
  <c r="C690" i="1"/>
  <c r="B690" i="1"/>
  <c r="A690" i="1"/>
  <c r="F689" i="1"/>
  <c r="E689" i="1"/>
  <c r="D689" i="1"/>
  <c r="C689" i="1"/>
  <c r="B689" i="1"/>
  <c r="A689" i="1"/>
  <c r="F688" i="1"/>
  <c r="E688" i="1"/>
  <c r="D688" i="1"/>
  <c r="C688" i="1"/>
  <c r="B688" i="1"/>
  <c r="A688" i="1"/>
  <c r="F687" i="1"/>
  <c r="E687" i="1"/>
  <c r="D687" i="1"/>
  <c r="C687" i="1"/>
  <c r="B687" i="1"/>
  <c r="A687" i="1"/>
  <c r="F686" i="1"/>
  <c r="E686" i="1"/>
  <c r="D686" i="1"/>
  <c r="C686" i="1"/>
  <c r="B686" i="1"/>
  <c r="A686" i="1"/>
  <c r="F685" i="1"/>
  <c r="E685" i="1"/>
  <c r="D685" i="1"/>
  <c r="C685" i="1"/>
  <c r="B685" i="1"/>
  <c r="A685" i="1"/>
  <c r="F684" i="1"/>
  <c r="E684" i="1"/>
  <c r="D684" i="1"/>
  <c r="C684" i="1"/>
  <c r="B684" i="1"/>
  <c r="A684" i="1"/>
  <c r="F683" i="1"/>
  <c r="E683" i="1"/>
  <c r="D683" i="1"/>
  <c r="C683" i="1"/>
  <c r="B683" i="1"/>
  <c r="A683" i="1"/>
  <c r="F682" i="1"/>
  <c r="E682" i="1"/>
  <c r="D682" i="1"/>
  <c r="C682" i="1"/>
  <c r="B682" i="1"/>
  <c r="A682" i="1"/>
  <c r="F681" i="1"/>
  <c r="E681" i="1"/>
  <c r="D681" i="1"/>
  <c r="C681" i="1"/>
  <c r="B681" i="1"/>
  <c r="A681" i="1"/>
  <c r="F680" i="1"/>
  <c r="E680" i="1"/>
  <c r="D680" i="1"/>
  <c r="C680" i="1"/>
  <c r="B680" i="1"/>
  <c r="A680" i="1"/>
  <c r="F679" i="1"/>
  <c r="E679" i="1"/>
  <c r="D679" i="1"/>
  <c r="C679" i="1"/>
  <c r="B679" i="1"/>
  <c r="A679" i="1"/>
  <c r="F678" i="1"/>
  <c r="E678" i="1"/>
  <c r="D678" i="1"/>
  <c r="C678" i="1"/>
  <c r="B678" i="1"/>
  <c r="A678" i="1"/>
  <c r="F677" i="1"/>
  <c r="E677" i="1"/>
  <c r="D677" i="1"/>
  <c r="C677" i="1"/>
  <c r="B677" i="1"/>
  <c r="A677" i="1"/>
  <c r="F676" i="1"/>
  <c r="E676" i="1"/>
  <c r="D676" i="1"/>
  <c r="C676" i="1"/>
  <c r="B676" i="1"/>
  <c r="A676" i="1"/>
  <c r="F675" i="1"/>
  <c r="E675" i="1"/>
  <c r="D675" i="1"/>
  <c r="C675" i="1"/>
  <c r="B675" i="1"/>
  <c r="A675" i="1"/>
  <c r="F674" i="1"/>
  <c r="E674" i="1"/>
  <c r="D674" i="1"/>
  <c r="C674" i="1"/>
  <c r="B674" i="1"/>
  <c r="A674" i="1"/>
  <c r="F673" i="1"/>
  <c r="E673" i="1"/>
  <c r="D673" i="1"/>
  <c r="C673" i="1"/>
  <c r="B673" i="1"/>
  <c r="A673" i="1"/>
  <c r="F672" i="1"/>
  <c r="E672" i="1"/>
  <c r="D672" i="1"/>
  <c r="C672" i="1"/>
  <c r="B672" i="1"/>
  <c r="A672" i="1"/>
  <c r="F671" i="1"/>
  <c r="E671" i="1"/>
  <c r="D671" i="1"/>
  <c r="C671" i="1"/>
  <c r="B671" i="1"/>
  <c r="A671" i="1"/>
  <c r="F670" i="1"/>
  <c r="E670" i="1"/>
  <c r="D670" i="1"/>
  <c r="C670" i="1"/>
  <c r="B670" i="1"/>
  <c r="A670" i="1"/>
  <c r="F669" i="1"/>
  <c r="E669" i="1"/>
  <c r="D669" i="1"/>
  <c r="C669" i="1"/>
  <c r="B669" i="1"/>
  <c r="A669" i="1"/>
  <c r="F668" i="1"/>
  <c r="E668" i="1"/>
  <c r="D668" i="1"/>
  <c r="C668" i="1"/>
  <c r="B668" i="1"/>
  <c r="A668" i="1"/>
  <c r="F667" i="1"/>
  <c r="E667" i="1"/>
  <c r="D667" i="1"/>
  <c r="C667" i="1"/>
  <c r="B667" i="1"/>
  <c r="A667" i="1"/>
  <c r="F666" i="1"/>
  <c r="E666" i="1"/>
  <c r="D666" i="1"/>
  <c r="C666" i="1"/>
  <c r="B666" i="1"/>
  <c r="A666" i="1"/>
  <c r="F665" i="1"/>
  <c r="E665" i="1"/>
  <c r="D665" i="1"/>
  <c r="C665" i="1"/>
  <c r="B665" i="1"/>
  <c r="A665" i="1"/>
  <c r="F664" i="1"/>
  <c r="E664" i="1"/>
  <c r="D664" i="1"/>
  <c r="C664" i="1"/>
  <c r="B664" i="1"/>
  <c r="A664" i="1"/>
  <c r="F663" i="1"/>
  <c r="E663" i="1"/>
  <c r="D663" i="1"/>
  <c r="C663" i="1"/>
  <c r="B663" i="1"/>
  <c r="A663" i="1"/>
  <c r="F662" i="1"/>
  <c r="E662" i="1"/>
  <c r="D662" i="1"/>
  <c r="C662" i="1"/>
  <c r="B662" i="1"/>
  <c r="A662" i="1"/>
  <c r="F661" i="1"/>
  <c r="E661" i="1"/>
  <c r="D661" i="1"/>
  <c r="C661" i="1"/>
  <c r="B661" i="1"/>
  <c r="A661" i="1"/>
  <c r="F660" i="1"/>
  <c r="E660" i="1"/>
  <c r="D660" i="1"/>
  <c r="C660" i="1"/>
  <c r="B660" i="1"/>
  <c r="A660" i="1"/>
  <c r="F659" i="1"/>
  <c r="E659" i="1"/>
  <c r="D659" i="1"/>
  <c r="C659" i="1"/>
  <c r="B659" i="1"/>
  <c r="A659" i="1"/>
  <c r="F658" i="1"/>
  <c r="E658" i="1"/>
  <c r="D658" i="1"/>
  <c r="C658" i="1"/>
  <c r="B658" i="1"/>
  <c r="A658" i="1"/>
  <c r="F657" i="1"/>
  <c r="E657" i="1"/>
  <c r="D657" i="1"/>
  <c r="C657" i="1"/>
  <c r="B657" i="1"/>
  <c r="A657" i="1"/>
  <c r="F656" i="1"/>
  <c r="E656" i="1"/>
  <c r="D656" i="1"/>
  <c r="C656" i="1"/>
  <c r="B656" i="1"/>
  <c r="A656" i="1"/>
  <c r="F655" i="1"/>
  <c r="E655" i="1"/>
  <c r="D655" i="1"/>
  <c r="C655" i="1"/>
  <c r="B655" i="1"/>
  <c r="A655" i="1"/>
  <c r="F654" i="1"/>
  <c r="E654" i="1"/>
  <c r="D654" i="1"/>
  <c r="C654" i="1"/>
  <c r="B654" i="1"/>
  <c r="A654" i="1"/>
  <c r="F653" i="1"/>
  <c r="E653" i="1"/>
  <c r="D653" i="1"/>
  <c r="C653" i="1"/>
  <c r="B653" i="1"/>
  <c r="A653" i="1"/>
  <c r="F652" i="1"/>
  <c r="E652" i="1"/>
  <c r="D652" i="1"/>
  <c r="C652" i="1"/>
  <c r="B652" i="1"/>
  <c r="A652" i="1"/>
  <c r="F651" i="1"/>
  <c r="E651" i="1"/>
  <c r="D651" i="1"/>
  <c r="C651" i="1"/>
  <c r="B651" i="1"/>
  <c r="A651" i="1"/>
  <c r="F650" i="1"/>
  <c r="E650" i="1"/>
  <c r="D650" i="1"/>
  <c r="C650" i="1"/>
  <c r="B650" i="1"/>
  <c r="A650" i="1"/>
  <c r="F649" i="1"/>
  <c r="E649" i="1"/>
  <c r="D649" i="1"/>
  <c r="C649" i="1"/>
  <c r="B649" i="1"/>
  <c r="A649" i="1"/>
  <c r="F648" i="1"/>
  <c r="E648" i="1"/>
  <c r="D648" i="1"/>
  <c r="C648" i="1"/>
  <c r="B648" i="1"/>
  <c r="A648" i="1"/>
  <c r="F647" i="1"/>
  <c r="E647" i="1"/>
  <c r="D647" i="1"/>
  <c r="C647" i="1"/>
  <c r="B647" i="1"/>
  <c r="A647" i="1"/>
  <c r="F646" i="1"/>
  <c r="E646" i="1"/>
  <c r="D646" i="1"/>
  <c r="C646" i="1"/>
  <c r="B646" i="1"/>
  <c r="A646" i="1"/>
  <c r="F645" i="1"/>
  <c r="E645" i="1"/>
  <c r="D645" i="1"/>
  <c r="C645" i="1"/>
  <c r="B645" i="1"/>
  <c r="A645" i="1"/>
  <c r="F644" i="1"/>
  <c r="E644" i="1"/>
  <c r="D644" i="1"/>
  <c r="C644" i="1"/>
  <c r="B644" i="1"/>
  <c r="A644" i="1"/>
  <c r="F643" i="1"/>
  <c r="E643" i="1"/>
  <c r="D643" i="1"/>
  <c r="C643" i="1"/>
  <c r="B643" i="1"/>
  <c r="A643" i="1"/>
  <c r="F642" i="1"/>
  <c r="E642" i="1"/>
  <c r="D642" i="1"/>
  <c r="C642" i="1"/>
  <c r="B642" i="1"/>
  <c r="A642" i="1"/>
  <c r="F641" i="1"/>
  <c r="E641" i="1"/>
  <c r="D641" i="1"/>
  <c r="C641" i="1"/>
  <c r="B641" i="1"/>
  <c r="A641" i="1"/>
  <c r="F640" i="1"/>
  <c r="E640" i="1"/>
  <c r="D640" i="1"/>
  <c r="C640" i="1"/>
  <c r="B640" i="1"/>
  <c r="A640" i="1"/>
  <c r="F639" i="1"/>
  <c r="E639" i="1"/>
  <c r="D639" i="1"/>
  <c r="C639" i="1"/>
  <c r="B639" i="1"/>
  <c r="A639" i="1"/>
  <c r="F638" i="1"/>
  <c r="E638" i="1"/>
  <c r="D638" i="1"/>
  <c r="C638" i="1"/>
  <c r="B638" i="1"/>
  <c r="A638" i="1"/>
  <c r="F637" i="1"/>
  <c r="E637" i="1"/>
  <c r="D637" i="1"/>
  <c r="C637" i="1"/>
  <c r="B637" i="1"/>
  <c r="A637" i="1"/>
  <c r="F636" i="1"/>
  <c r="E636" i="1"/>
  <c r="D636" i="1"/>
  <c r="C636" i="1"/>
  <c r="B636" i="1"/>
  <c r="A636" i="1"/>
  <c r="F635" i="1"/>
  <c r="E635" i="1"/>
  <c r="D635" i="1"/>
  <c r="C635" i="1"/>
  <c r="B635" i="1"/>
  <c r="A635" i="1"/>
  <c r="F634" i="1"/>
  <c r="E634" i="1"/>
  <c r="D634" i="1"/>
  <c r="C634" i="1"/>
  <c r="B634" i="1"/>
  <c r="A634" i="1"/>
  <c r="F633" i="1"/>
  <c r="E633" i="1"/>
  <c r="D633" i="1"/>
  <c r="C633" i="1"/>
  <c r="B633" i="1"/>
  <c r="A633" i="1"/>
  <c r="F632" i="1"/>
  <c r="E632" i="1"/>
  <c r="D632" i="1"/>
  <c r="C632" i="1"/>
  <c r="B632" i="1"/>
  <c r="A632" i="1"/>
  <c r="F631" i="1"/>
  <c r="E631" i="1"/>
  <c r="D631" i="1"/>
  <c r="C631" i="1"/>
  <c r="B631" i="1"/>
  <c r="A631" i="1"/>
  <c r="F630" i="1"/>
  <c r="E630" i="1"/>
  <c r="D630" i="1"/>
  <c r="C630" i="1"/>
  <c r="B630" i="1"/>
  <c r="A630" i="1"/>
  <c r="F629" i="1"/>
  <c r="E629" i="1"/>
  <c r="D629" i="1"/>
  <c r="C629" i="1"/>
  <c r="B629" i="1"/>
  <c r="A629" i="1"/>
  <c r="F628" i="1"/>
  <c r="E628" i="1"/>
  <c r="D628" i="1"/>
  <c r="C628" i="1"/>
  <c r="B628" i="1"/>
  <c r="A628" i="1"/>
  <c r="F627" i="1"/>
  <c r="E627" i="1"/>
  <c r="D627" i="1"/>
  <c r="C627" i="1"/>
  <c r="B627" i="1"/>
  <c r="A627" i="1"/>
  <c r="F626" i="1"/>
  <c r="E626" i="1"/>
  <c r="D626" i="1"/>
  <c r="C626" i="1"/>
  <c r="B626" i="1"/>
  <c r="A626" i="1"/>
  <c r="F625" i="1"/>
  <c r="E625" i="1"/>
  <c r="D625" i="1"/>
  <c r="C625" i="1"/>
  <c r="B625" i="1"/>
  <c r="A625" i="1"/>
  <c r="F624" i="1"/>
  <c r="E624" i="1"/>
  <c r="D624" i="1"/>
  <c r="C624" i="1"/>
  <c r="B624" i="1"/>
  <c r="A624" i="1"/>
  <c r="F623" i="1"/>
  <c r="E623" i="1"/>
  <c r="D623" i="1"/>
  <c r="C623" i="1"/>
  <c r="B623" i="1"/>
  <c r="A623" i="1"/>
  <c r="F622" i="1"/>
  <c r="E622" i="1"/>
  <c r="D622" i="1"/>
  <c r="C622" i="1"/>
  <c r="B622" i="1"/>
  <c r="A622" i="1"/>
  <c r="F621" i="1"/>
  <c r="E621" i="1"/>
  <c r="D621" i="1"/>
  <c r="C621" i="1"/>
  <c r="B621" i="1"/>
  <c r="A621" i="1"/>
  <c r="F620" i="1"/>
  <c r="E620" i="1"/>
  <c r="D620" i="1"/>
  <c r="C620" i="1"/>
  <c r="B620" i="1"/>
  <c r="A620" i="1"/>
  <c r="F619" i="1"/>
  <c r="E619" i="1"/>
  <c r="D619" i="1"/>
  <c r="C619" i="1"/>
  <c r="B619" i="1"/>
  <c r="A619" i="1"/>
  <c r="F618" i="1"/>
  <c r="E618" i="1"/>
  <c r="D618" i="1"/>
  <c r="C618" i="1"/>
  <c r="B618" i="1"/>
  <c r="A618" i="1"/>
  <c r="F617" i="1"/>
  <c r="E617" i="1"/>
  <c r="D617" i="1"/>
  <c r="C617" i="1"/>
  <c r="B617" i="1"/>
  <c r="A617" i="1"/>
  <c r="F616" i="1"/>
  <c r="E616" i="1"/>
  <c r="D616" i="1"/>
  <c r="C616" i="1"/>
  <c r="B616" i="1"/>
  <c r="A616" i="1"/>
  <c r="F615" i="1"/>
  <c r="E615" i="1"/>
  <c r="D615" i="1"/>
  <c r="C615" i="1"/>
  <c r="B615" i="1"/>
  <c r="A615" i="1"/>
  <c r="F614" i="1"/>
  <c r="E614" i="1"/>
  <c r="D614" i="1"/>
  <c r="C614" i="1"/>
  <c r="B614" i="1"/>
  <c r="A614" i="1"/>
  <c r="F613" i="1"/>
  <c r="E613" i="1"/>
  <c r="D613" i="1"/>
  <c r="C613" i="1"/>
  <c r="B613" i="1"/>
  <c r="A613" i="1"/>
  <c r="F612" i="1"/>
  <c r="E612" i="1"/>
  <c r="D612" i="1"/>
  <c r="C612" i="1"/>
  <c r="B612" i="1"/>
  <c r="A612" i="1"/>
  <c r="F611" i="1"/>
  <c r="E611" i="1"/>
  <c r="D611" i="1"/>
  <c r="C611" i="1"/>
  <c r="B611" i="1"/>
  <c r="A611" i="1"/>
  <c r="F610" i="1"/>
  <c r="E610" i="1"/>
  <c r="D610" i="1"/>
  <c r="C610" i="1"/>
  <c r="B610" i="1"/>
  <c r="A610" i="1"/>
  <c r="F609" i="1"/>
  <c r="E609" i="1"/>
  <c r="D609" i="1"/>
  <c r="C609" i="1"/>
  <c r="B609" i="1"/>
  <c r="A609" i="1"/>
  <c r="F608" i="1"/>
  <c r="E608" i="1"/>
  <c r="D608" i="1"/>
  <c r="C608" i="1"/>
  <c r="B608" i="1"/>
  <c r="A608" i="1"/>
  <c r="F607" i="1"/>
  <c r="E607" i="1"/>
  <c r="D607" i="1"/>
  <c r="C607" i="1"/>
  <c r="B607" i="1"/>
  <c r="A607" i="1"/>
  <c r="F606" i="1"/>
  <c r="E606" i="1"/>
  <c r="D606" i="1"/>
  <c r="C606" i="1"/>
  <c r="B606" i="1"/>
  <c r="A606" i="1"/>
  <c r="F605" i="1"/>
  <c r="E605" i="1"/>
  <c r="D605" i="1"/>
  <c r="C605" i="1"/>
  <c r="B605" i="1"/>
  <c r="A605" i="1"/>
  <c r="F604" i="1"/>
  <c r="E604" i="1"/>
  <c r="D604" i="1"/>
  <c r="C604" i="1"/>
  <c r="B604" i="1"/>
  <c r="A604" i="1"/>
  <c r="F603" i="1"/>
  <c r="E603" i="1"/>
  <c r="D603" i="1"/>
  <c r="C603" i="1"/>
  <c r="B603" i="1"/>
  <c r="A603" i="1"/>
  <c r="F602" i="1"/>
  <c r="E602" i="1"/>
  <c r="D602" i="1"/>
  <c r="C602" i="1"/>
  <c r="B602" i="1"/>
  <c r="A602" i="1"/>
  <c r="F601" i="1"/>
  <c r="E601" i="1"/>
  <c r="D601" i="1"/>
  <c r="C601" i="1"/>
  <c r="B601" i="1"/>
  <c r="A601" i="1"/>
  <c r="F600" i="1"/>
  <c r="E600" i="1"/>
  <c r="D600" i="1"/>
  <c r="C600" i="1"/>
  <c r="B600" i="1"/>
  <c r="A600" i="1"/>
  <c r="F599" i="1"/>
  <c r="E599" i="1"/>
  <c r="D599" i="1"/>
  <c r="C599" i="1"/>
  <c r="B599" i="1"/>
  <c r="A599" i="1"/>
  <c r="F598" i="1"/>
  <c r="E598" i="1"/>
  <c r="D598" i="1"/>
  <c r="C598" i="1"/>
  <c r="B598" i="1"/>
  <c r="A598" i="1"/>
  <c r="F597" i="1"/>
  <c r="E597" i="1"/>
  <c r="D597" i="1"/>
  <c r="C597" i="1"/>
  <c r="B597" i="1"/>
  <c r="A597" i="1"/>
  <c r="F596" i="1"/>
  <c r="E596" i="1"/>
  <c r="D596" i="1"/>
  <c r="C596" i="1"/>
  <c r="B596" i="1"/>
  <c r="A596" i="1"/>
  <c r="F595" i="1"/>
  <c r="E595" i="1"/>
  <c r="D595" i="1"/>
  <c r="C595" i="1"/>
  <c r="B595" i="1"/>
  <c r="A595" i="1"/>
  <c r="F594" i="1"/>
  <c r="E594" i="1"/>
  <c r="D594" i="1"/>
  <c r="C594" i="1"/>
  <c r="B594" i="1"/>
  <c r="A594" i="1"/>
  <c r="F593" i="1"/>
  <c r="E593" i="1"/>
  <c r="D593" i="1"/>
  <c r="C593" i="1"/>
  <c r="B593" i="1"/>
  <c r="A593" i="1"/>
  <c r="F592" i="1"/>
  <c r="E592" i="1"/>
  <c r="D592" i="1"/>
  <c r="C592" i="1"/>
  <c r="B592" i="1"/>
  <c r="A592" i="1"/>
  <c r="F591" i="1"/>
  <c r="E591" i="1"/>
  <c r="D591" i="1"/>
  <c r="C591" i="1"/>
  <c r="B591" i="1"/>
  <c r="A591" i="1"/>
  <c r="F590" i="1"/>
  <c r="E590" i="1"/>
  <c r="D590" i="1"/>
  <c r="C590" i="1"/>
  <c r="B590" i="1"/>
  <c r="A590" i="1"/>
  <c r="F589" i="1"/>
  <c r="E589" i="1"/>
  <c r="D589" i="1"/>
  <c r="C589" i="1"/>
  <c r="B589" i="1"/>
  <c r="A589" i="1"/>
  <c r="F588" i="1"/>
  <c r="E588" i="1"/>
  <c r="D588" i="1"/>
  <c r="C588" i="1"/>
  <c r="B588" i="1"/>
  <c r="A588" i="1"/>
  <c r="F587" i="1"/>
  <c r="E587" i="1"/>
  <c r="D587" i="1"/>
  <c r="C587" i="1"/>
  <c r="B587" i="1"/>
  <c r="A587" i="1"/>
  <c r="F586" i="1"/>
  <c r="E586" i="1"/>
  <c r="D586" i="1"/>
  <c r="C586" i="1"/>
  <c r="B586" i="1"/>
  <c r="A586" i="1"/>
  <c r="F585" i="1"/>
  <c r="E585" i="1"/>
  <c r="D585" i="1"/>
  <c r="C585" i="1"/>
  <c r="B585" i="1"/>
  <c r="A585" i="1"/>
  <c r="F584" i="1"/>
  <c r="E584" i="1"/>
  <c r="D584" i="1"/>
  <c r="C584" i="1"/>
  <c r="B584" i="1"/>
  <c r="A584" i="1"/>
  <c r="F583" i="1"/>
  <c r="E583" i="1"/>
  <c r="D583" i="1"/>
  <c r="C583" i="1"/>
  <c r="B583" i="1"/>
  <c r="A583" i="1"/>
  <c r="F582" i="1"/>
  <c r="E582" i="1"/>
  <c r="D582" i="1"/>
  <c r="C582" i="1"/>
  <c r="B582" i="1"/>
  <c r="A582" i="1"/>
  <c r="F581" i="1"/>
  <c r="E581" i="1"/>
  <c r="D581" i="1"/>
  <c r="C581" i="1"/>
  <c r="B581" i="1"/>
  <c r="A581" i="1"/>
  <c r="F580" i="1"/>
  <c r="E580" i="1"/>
  <c r="D580" i="1"/>
  <c r="C580" i="1"/>
  <c r="B580" i="1"/>
  <c r="A580" i="1"/>
  <c r="F579" i="1"/>
  <c r="E579" i="1"/>
  <c r="D579" i="1"/>
  <c r="C579" i="1"/>
  <c r="B579" i="1"/>
  <c r="A579" i="1"/>
  <c r="F578" i="1"/>
  <c r="E578" i="1"/>
  <c r="D578" i="1"/>
  <c r="C578" i="1"/>
  <c r="B578" i="1"/>
  <c r="A578" i="1"/>
  <c r="F577" i="1"/>
  <c r="E577" i="1"/>
  <c r="D577" i="1"/>
  <c r="C577" i="1"/>
  <c r="B577" i="1"/>
  <c r="A577" i="1"/>
  <c r="F576" i="1"/>
  <c r="E576" i="1"/>
  <c r="D576" i="1"/>
  <c r="C576" i="1"/>
  <c r="B576" i="1"/>
  <c r="A576" i="1"/>
  <c r="F575" i="1"/>
  <c r="E575" i="1"/>
  <c r="D575" i="1"/>
  <c r="C575" i="1"/>
  <c r="B575" i="1"/>
  <c r="A575" i="1"/>
  <c r="F574" i="1"/>
  <c r="E574" i="1"/>
  <c r="D574" i="1"/>
  <c r="C574" i="1"/>
  <c r="B574" i="1"/>
  <c r="A574" i="1"/>
  <c r="F573" i="1"/>
  <c r="E573" i="1"/>
  <c r="D573" i="1"/>
  <c r="C573" i="1"/>
  <c r="B573" i="1"/>
  <c r="A573" i="1"/>
  <c r="F572" i="1"/>
  <c r="E572" i="1"/>
  <c r="D572" i="1"/>
  <c r="C572" i="1"/>
  <c r="B572" i="1"/>
  <c r="A572" i="1"/>
  <c r="F571" i="1"/>
  <c r="E571" i="1"/>
  <c r="D571" i="1"/>
  <c r="C571" i="1"/>
  <c r="B571" i="1"/>
  <c r="A571" i="1"/>
  <c r="F570" i="1"/>
  <c r="E570" i="1"/>
  <c r="D570" i="1"/>
  <c r="C570" i="1"/>
  <c r="B570" i="1"/>
  <c r="A570" i="1"/>
  <c r="F569" i="1"/>
  <c r="E569" i="1"/>
  <c r="D569" i="1"/>
  <c r="C569" i="1"/>
  <c r="B569" i="1"/>
  <c r="A569" i="1"/>
  <c r="F568" i="1"/>
  <c r="E568" i="1"/>
  <c r="D568" i="1"/>
  <c r="C568" i="1"/>
  <c r="B568" i="1"/>
  <c r="A568" i="1"/>
  <c r="F567" i="1"/>
  <c r="E567" i="1"/>
  <c r="D567" i="1"/>
  <c r="C567" i="1"/>
  <c r="B567" i="1"/>
  <c r="A567" i="1"/>
  <c r="F566" i="1"/>
  <c r="E566" i="1"/>
  <c r="D566" i="1"/>
  <c r="C566" i="1"/>
  <c r="B566" i="1"/>
  <c r="A566" i="1"/>
  <c r="F565" i="1"/>
  <c r="E565" i="1"/>
  <c r="D565" i="1"/>
  <c r="C565" i="1"/>
  <c r="B565" i="1"/>
  <c r="A565" i="1"/>
  <c r="F564" i="1"/>
  <c r="E564" i="1"/>
  <c r="D564" i="1"/>
  <c r="C564" i="1"/>
  <c r="B564" i="1"/>
  <c r="A564" i="1"/>
  <c r="F563" i="1"/>
  <c r="E563" i="1"/>
  <c r="D563" i="1"/>
  <c r="C563" i="1"/>
  <c r="B563" i="1"/>
  <c r="A563" i="1"/>
  <c r="F562" i="1"/>
  <c r="E562" i="1"/>
  <c r="D562" i="1"/>
  <c r="C562" i="1"/>
  <c r="B562" i="1"/>
  <c r="A562" i="1"/>
  <c r="F561" i="1"/>
  <c r="E561" i="1"/>
  <c r="D561" i="1"/>
  <c r="C561" i="1"/>
  <c r="B561" i="1"/>
  <c r="A561" i="1"/>
  <c r="F560" i="1"/>
  <c r="E560" i="1"/>
  <c r="D560" i="1"/>
  <c r="C560" i="1"/>
  <c r="B560" i="1"/>
  <c r="A560" i="1"/>
  <c r="F559" i="1"/>
  <c r="E559" i="1"/>
  <c r="D559" i="1"/>
  <c r="C559" i="1"/>
  <c r="B559" i="1"/>
  <c r="A559" i="1"/>
  <c r="F558" i="1"/>
  <c r="E558" i="1"/>
  <c r="D558" i="1"/>
  <c r="C558" i="1"/>
  <c r="B558" i="1"/>
  <c r="A558" i="1"/>
  <c r="F557" i="1"/>
  <c r="E557" i="1"/>
  <c r="D557" i="1"/>
  <c r="C557" i="1"/>
  <c r="B557" i="1"/>
  <c r="A557" i="1"/>
  <c r="F556" i="1"/>
  <c r="E556" i="1"/>
  <c r="D556" i="1"/>
  <c r="C556" i="1"/>
  <c r="B556" i="1"/>
  <c r="A556" i="1"/>
  <c r="F555" i="1"/>
  <c r="E555" i="1"/>
  <c r="D555" i="1"/>
  <c r="C555" i="1"/>
  <c r="B555" i="1"/>
  <c r="A555" i="1"/>
  <c r="F554" i="1"/>
  <c r="E554" i="1"/>
  <c r="D554" i="1"/>
  <c r="C554" i="1"/>
  <c r="B554" i="1"/>
  <c r="A554" i="1"/>
  <c r="F553" i="1"/>
  <c r="E553" i="1"/>
  <c r="D553" i="1"/>
  <c r="C553" i="1"/>
  <c r="B553" i="1"/>
  <c r="A553" i="1"/>
  <c r="F552" i="1"/>
  <c r="E552" i="1"/>
  <c r="D552" i="1"/>
  <c r="C552" i="1"/>
  <c r="B552" i="1"/>
  <c r="A552" i="1"/>
  <c r="F551" i="1"/>
  <c r="E551" i="1"/>
  <c r="D551" i="1"/>
  <c r="C551" i="1"/>
  <c r="B551" i="1"/>
  <c r="A551" i="1"/>
  <c r="F550" i="1"/>
  <c r="E550" i="1"/>
  <c r="D550" i="1"/>
  <c r="C550" i="1"/>
  <c r="B550" i="1"/>
  <c r="A550" i="1"/>
  <c r="F549" i="1"/>
  <c r="E549" i="1"/>
  <c r="D549" i="1"/>
  <c r="C549" i="1"/>
  <c r="B549" i="1"/>
  <c r="A549" i="1"/>
  <c r="F548" i="1"/>
  <c r="E548" i="1"/>
  <c r="D548" i="1"/>
  <c r="C548" i="1"/>
  <c r="B548" i="1"/>
  <c r="A548" i="1"/>
  <c r="F547" i="1"/>
  <c r="E547" i="1"/>
  <c r="D547" i="1"/>
  <c r="C547" i="1"/>
  <c r="B547" i="1"/>
  <c r="A547" i="1"/>
  <c r="F546" i="1"/>
  <c r="E546" i="1"/>
  <c r="D546" i="1"/>
  <c r="C546" i="1"/>
  <c r="B546" i="1"/>
  <c r="A546" i="1"/>
  <c r="F545" i="1"/>
  <c r="E545" i="1"/>
  <c r="D545" i="1"/>
  <c r="C545" i="1"/>
  <c r="B545" i="1"/>
  <c r="A545" i="1"/>
  <c r="F544" i="1"/>
  <c r="E544" i="1"/>
  <c r="D544" i="1"/>
  <c r="C544" i="1"/>
  <c r="B544" i="1"/>
  <c r="A544" i="1"/>
  <c r="F543" i="1"/>
  <c r="E543" i="1"/>
  <c r="D543" i="1"/>
  <c r="C543" i="1"/>
  <c r="B543" i="1"/>
  <c r="A543" i="1"/>
  <c r="F542" i="1"/>
  <c r="E542" i="1"/>
  <c r="D542" i="1"/>
  <c r="C542" i="1"/>
  <c r="B542" i="1"/>
  <c r="A542" i="1"/>
  <c r="F541" i="1"/>
  <c r="E541" i="1"/>
  <c r="D541" i="1"/>
  <c r="C541" i="1"/>
  <c r="B541" i="1"/>
  <c r="A541" i="1"/>
  <c r="F540" i="1"/>
  <c r="E540" i="1"/>
  <c r="D540" i="1"/>
  <c r="C540" i="1"/>
  <c r="B540" i="1"/>
  <c r="A540" i="1"/>
  <c r="F539" i="1"/>
  <c r="E539" i="1"/>
  <c r="D539" i="1"/>
  <c r="C539" i="1"/>
  <c r="B539" i="1"/>
  <c r="A539" i="1"/>
  <c r="F538" i="1"/>
  <c r="E538" i="1"/>
  <c r="D538" i="1"/>
  <c r="C538" i="1"/>
  <c r="B538" i="1"/>
  <c r="A538" i="1"/>
  <c r="F537" i="1"/>
  <c r="E537" i="1"/>
  <c r="D537" i="1"/>
  <c r="C537" i="1"/>
  <c r="B537" i="1"/>
  <c r="A537" i="1"/>
  <c r="F536" i="1"/>
  <c r="E536" i="1"/>
  <c r="D536" i="1"/>
  <c r="C536" i="1"/>
  <c r="B536" i="1"/>
  <c r="A536" i="1"/>
  <c r="F535" i="1"/>
  <c r="E535" i="1"/>
  <c r="D535" i="1"/>
  <c r="C535" i="1"/>
  <c r="B535" i="1"/>
  <c r="A535" i="1"/>
  <c r="F534" i="1"/>
  <c r="E534" i="1"/>
  <c r="D534" i="1"/>
  <c r="C534" i="1"/>
  <c r="B534" i="1"/>
  <c r="A534" i="1"/>
  <c r="F533" i="1"/>
  <c r="E533" i="1"/>
  <c r="D533" i="1"/>
  <c r="C533" i="1"/>
  <c r="B533" i="1"/>
  <c r="A533" i="1"/>
  <c r="F532" i="1"/>
  <c r="E532" i="1"/>
  <c r="D532" i="1"/>
  <c r="C532" i="1"/>
  <c r="B532" i="1"/>
  <c r="A532" i="1"/>
  <c r="F531" i="1"/>
  <c r="E531" i="1"/>
  <c r="D531" i="1"/>
  <c r="C531" i="1"/>
  <c r="B531" i="1"/>
  <c r="A531" i="1"/>
  <c r="F530" i="1"/>
  <c r="E530" i="1"/>
  <c r="D530" i="1"/>
  <c r="C530" i="1"/>
  <c r="B530" i="1"/>
  <c r="A530" i="1"/>
  <c r="F529" i="1"/>
  <c r="E529" i="1"/>
  <c r="D529" i="1"/>
  <c r="C529" i="1"/>
  <c r="B529" i="1"/>
  <c r="A529" i="1"/>
  <c r="F528" i="1"/>
  <c r="E528" i="1"/>
  <c r="D528" i="1"/>
  <c r="C528" i="1"/>
  <c r="B528" i="1"/>
  <c r="A528" i="1"/>
  <c r="F527" i="1"/>
  <c r="E527" i="1"/>
  <c r="D527" i="1"/>
  <c r="C527" i="1"/>
  <c r="B527" i="1"/>
  <c r="A527" i="1"/>
  <c r="F526" i="1"/>
  <c r="E526" i="1"/>
  <c r="D526" i="1"/>
  <c r="C526" i="1"/>
  <c r="B526" i="1"/>
  <c r="A526" i="1"/>
  <c r="F525" i="1"/>
  <c r="E525" i="1"/>
  <c r="D525" i="1"/>
  <c r="C525" i="1"/>
  <c r="B525" i="1"/>
  <c r="A525" i="1"/>
  <c r="F524" i="1"/>
  <c r="E524" i="1"/>
  <c r="D524" i="1"/>
  <c r="C524" i="1"/>
  <c r="B524" i="1"/>
  <c r="A524" i="1"/>
  <c r="F523" i="1"/>
  <c r="E523" i="1"/>
  <c r="D523" i="1"/>
  <c r="C523" i="1"/>
  <c r="B523" i="1"/>
  <c r="A523" i="1"/>
  <c r="F522" i="1"/>
  <c r="E522" i="1"/>
  <c r="D522" i="1"/>
  <c r="C522" i="1"/>
  <c r="B522" i="1"/>
  <c r="A522" i="1"/>
  <c r="F521" i="1"/>
  <c r="E521" i="1"/>
  <c r="D521" i="1"/>
  <c r="C521" i="1"/>
  <c r="B521" i="1"/>
  <c r="A521" i="1"/>
  <c r="F520" i="1"/>
  <c r="E520" i="1"/>
  <c r="D520" i="1"/>
  <c r="C520" i="1"/>
  <c r="B520" i="1"/>
  <c r="A520" i="1"/>
  <c r="F519" i="1"/>
  <c r="E519" i="1"/>
  <c r="D519" i="1"/>
  <c r="C519" i="1"/>
  <c r="B519" i="1"/>
  <c r="A519" i="1"/>
  <c r="F518" i="1"/>
  <c r="E518" i="1"/>
  <c r="D518" i="1"/>
  <c r="C518" i="1"/>
  <c r="B518" i="1"/>
  <c r="A518" i="1"/>
  <c r="F517" i="1"/>
  <c r="E517" i="1"/>
  <c r="D517" i="1"/>
  <c r="C517" i="1"/>
  <c r="B517" i="1"/>
  <c r="A517" i="1"/>
  <c r="F516" i="1"/>
  <c r="E516" i="1"/>
  <c r="D516" i="1"/>
  <c r="C516" i="1"/>
  <c r="B516" i="1"/>
  <c r="A516" i="1"/>
  <c r="F515" i="1"/>
  <c r="E515" i="1"/>
  <c r="D515" i="1"/>
  <c r="C515" i="1"/>
  <c r="B515" i="1"/>
  <c r="A515" i="1"/>
  <c r="F514" i="1"/>
  <c r="E514" i="1"/>
  <c r="D514" i="1"/>
  <c r="C514" i="1"/>
  <c r="B514" i="1"/>
  <c r="A514" i="1"/>
  <c r="F513" i="1"/>
  <c r="E513" i="1"/>
  <c r="D513" i="1"/>
  <c r="C513" i="1"/>
  <c r="B513" i="1"/>
  <c r="A513" i="1"/>
  <c r="F512" i="1"/>
  <c r="E512" i="1"/>
  <c r="D512" i="1"/>
  <c r="C512" i="1"/>
  <c r="B512" i="1"/>
  <c r="A512" i="1"/>
  <c r="F511" i="1"/>
  <c r="E511" i="1"/>
  <c r="D511" i="1"/>
  <c r="C511" i="1"/>
  <c r="B511" i="1"/>
  <c r="A511" i="1"/>
  <c r="F510" i="1"/>
  <c r="E510" i="1"/>
  <c r="D510" i="1"/>
  <c r="C510" i="1"/>
  <c r="B510" i="1"/>
  <c r="A510" i="1"/>
  <c r="F509" i="1"/>
  <c r="E509" i="1"/>
  <c r="D509" i="1"/>
  <c r="C509" i="1"/>
  <c r="B509" i="1"/>
  <c r="A509" i="1"/>
  <c r="F508" i="1"/>
  <c r="E508" i="1"/>
  <c r="D508" i="1"/>
  <c r="C508" i="1"/>
  <c r="B508" i="1"/>
  <c r="A508" i="1"/>
  <c r="F507" i="1"/>
  <c r="E507" i="1"/>
  <c r="D507" i="1"/>
  <c r="C507" i="1"/>
  <c r="B507" i="1"/>
  <c r="A507" i="1"/>
  <c r="F506" i="1"/>
  <c r="E506" i="1"/>
  <c r="D506" i="1"/>
  <c r="C506" i="1"/>
  <c r="B506" i="1"/>
  <c r="A506" i="1"/>
  <c r="F505" i="1"/>
  <c r="E505" i="1"/>
  <c r="D505" i="1"/>
  <c r="C505" i="1"/>
  <c r="B505" i="1"/>
  <c r="A505" i="1"/>
  <c r="F504" i="1"/>
  <c r="E504" i="1"/>
  <c r="D504" i="1"/>
  <c r="C504" i="1"/>
  <c r="B504" i="1"/>
  <c r="A504" i="1"/>
  <c r="F503" i="1"/>
  <c r="E503" i="1"/>
  <c r="D503" i="1"/>
  <c r="C503" i="1"/>
  <c r="B503" i="1"/>
  <c r="A503" i="1"/>
  <c r="F502" i="1"/>
  <c r="E502" i="1"/>
  <c r="D502" i="1"/>
  <c r="C502" i="1"/>
  <c r="B502" i="1"/>
  <c r="A502" i="1"/>
  <c r="F501" i="1"/>
  <c r="E501" i="1"/>
  <c r="D501" i="1"/>
  <c r="C501" i="1"/>
  <c r="B501" i="1"/>
  <c r="A501" i="1"/>
  <c r="F500" i="1"/>
  <c r="E500" i="1"/>
  <c r="D500" i="1"/>
  <c r="C500" i="1"/>
  <c r="B500" i="1"/>
  <c r="A500" i="1"/>
  <c r="F499" i="1"/>
  <c r="E499" i="1"/>
  <c r="D499" i="1"/>
  <c r="C499" i="1"/>
  <c r="B499" i="1"/>
  <c r="A499" i="1"/>
  <c r="F498" i="1"/>
  <c r="E498" i="1"/>
  <c r="D498" i="1"/>
  <c r="C498" i="1"/>
  <c r="B498" i="1"/>
  <c r="A498" i="1"/>
  <c r="F497" i="1"/>
  <c r="E497" i="1"/>
  <c r="D497" i="1"/>
  <c r="C497" i="1"/>
  <c r="B497" i="1"/>
  <c r="A497" i="1"/>
  <c r="F496" i="1"/>
  <c r="E496" i="1"/>
  <c r="D496" i="1"/>
  <c r="C496" i="1"/>
  <c r="B496" i="1"/>
  <c r="A496" i="1"/>
  <c r="F495" i="1"/>
  <c r="E495" i="1"/>
  <c r="D495" i="1"/>
  <c r="C495" i="1"/>
  <c r="B495" i="1"/>
  <c r="A495" i="1"/>
  <c r="F494" i="1"/>
  <c r="E494" i="1"/>
  <c r="D494" i="1"/>
  <c r="C494" i="1"/>
  <c r="B494" i="1"/>
  <c r="A494" i="1"/>
  <c r="F493" i="1"/>
  <c r="E493" i="1"/>
  <c r="D493" i="1"/>
  <c r="C493" i="1"/>
  <c r="B493" i="1"/>
  <c r="A493" i="1"/>
  <c r="F492" i="1"/>
  <c r="E492" i="1"/>
  <c r="D492" i="1"/>
  <c r="C492" i="1"/>
  <c r="B492" i="1"/>
  <c r="A492" i="1"/>
  <c r="F491" i="1"/>
  <c r="E491" i="1"/>
  <c r="D491" i="1"/>
  <c r="C491" i="1"/>
  <c r="B491" i="1"/>
  <c r="A491" i="1"/>
  <c r="F490" i="1"/>
  <c r="E490" i="1"/>
  <c r="D490" i="1"/>
  <c r="C490" i="1"/>
  <c r="B490" i="1"/>
  <c r="A490" i="1"/>
  <c r="F489" i="1"/>
  <c r="E489" i="1"/>
  <c r="D489" i="1"/>
  <c r="C489" i="1"/>
  <c r="B489" i="1"/>
  <c r="A489" i="1"/>
  <c r="F488" i="1"/>
  <c r="E488" i="1"/>
  <c r="D488" i="1"/>
  <c r="C488" i="1"/>
  <c r="B488" i="1"/>
  <c r="A488" i="1"/>
  <c r="F487" i="1"/>
  <c r="E487" i="1"/>
  <c r="D487" i="1"/>
  <c r="C487" i="1"/>
  <c r="B487" i="1"/>
  <c r="A487" i="1"/>
  <c r="F486" i="1"/>
  <c r="E486" i="1"/>
  <c r="D486" i="1"/>
  <c r="C486" i="1"/>
  <c r="B486" i="1"/>
  <c r="A486" i="1"/>
  <c r="F485" i="1"/>
  <c r="E485" i="1"/>
  <c r="D485" i="1"/>
  <c r="C485" i="1"/>
  <c r="B485" i="1"/>
  <c r="A485" i="1"/>
  <c r="F484" i="1"/>
  <c r="E484" i="1"/>
  <c r="D484" i="1"/>
  <c r="C484" i="1"/>
  <c r="B484" i="1"/>
  <c r="A484" i="1"/>
  <c r="F483" i="1"/>
  <c r="E483" i="1"/>
  <c r="D483" i="1"/>
  <c r="C483" i="1"/>
  <c r="B483" i="1"/>
  <c r="A483" i="1"/>
  <c r="F482" i="1"/>
  <c r="E482" i="1"/>
  <c r="D482" i="1"/>
  <c r="C482" i="1"/>
  <c r="B482" i="1"/>
  <c r="A482" i="1"/>
  <c r="F481" i="1"/>
  <c r="E481" i="1"/>
  <c r="D481" i="1"/>
  <c r="C481" i="1"/>
  <c r="B481" i="1"/>
  <c r="A481" i="1"/>
  <c r="F480" i="1"/>
  <c r="E480" i="1"/>
  <c r="D480" i="1"/>
  <c r="C480" i="1"/>
  <c r="B480" i="1"/>
  <c r="A480" i="1"/>
  <c r="F479" i="1"/>
  <c r="E479" i="1"/>
  <c r="D479" i="1"/>
  <c r="C479" i="1"/>
  <c r="B479" i="1"/>
  <c r="A479" i="1"/>
  <c r="F478" i="1"/>
  <c r="E478" i="1"/>
  <c r="D478" i="1"/>
  <c r="C478" i="1"/>
  <c r="B478" i="1"/>
  <c r="A478" i="1"/>
  <c r="F477" i="1"/>
  <c r="E477" i="1"/>
  <c r="D477" i="1"/>
  <c r="C477" i="1"/>
  <c r="B477" i="1"/>
  <c r="A477" i="1"/>
  <c r="F476" i="1"/>
  <c r="E476" i="1"/>
  <c r="D476" i="1"/>
  <c r="C476" i="1"/>
  <c r="B476" i="1"/>
  <c r="A476" i="1"/>
  <c r="F475" i="1"/>
  <c r="E475" i="1"/>
  <c r="D475" i="1"/>
  <c r="C475" i="1"/>
  <c r="B475" i="1"/>
  <c r="A475" i="1"/>
  <c r="F474" i="1"/>
  <c r="E474" i="1"/>
  <c r="D474" i="1"/>
  <c r="C474" i="1"/>
  <c r="B474" i="1"/>
  <c r="A474" i="1"/>
  <c r="F473" i="1"/>
  <c r="E473" i="1"/>
  <c r="D473" i="1"/>
  <c r="C473" i="1"/>
  <c r="B473" i="1"/>
  <c r="A473" i="1"/>
  <c r="F472" i="1"/>
  <c r="E472" i="1"/>
  <c r="D472" i="1"/>
  <c r="C472" i="1"/>
  <c r="B472" i="1"/>
  <c r="A472" i="1"/>
  <c r="F471" i="1"/>
  <c r="E471" i="1"/>
  <c r="D471" i="1"/>
  <c r="C471" i="1"/>
  <c r="B471" i="1"/>
  <c r="A471" i="1"/>
  <c r="F470" i="1"/>
  <c r="E470" i="1"/>
  <c r="D470" i="1"/>
  <c r="C470" i="1"/>
  <c r="B470" i="1"/>
  <c r="A470" i="1"/>
  <c r="F469" i="1"/>
  <c r="E469" i="1"/>
  <c r="D469" i="1"/>
  <c r="C469" i="1"/>
  <c r="B469" i="1"/>
  <c r="A469" i="1"/>
  <c r="F468" i="1"/>
  <c r="E468" i="1"/>
  <c r="D468" i="1"/>
  <c r="C468" i="1"/>
  <c r="B468" i="1"/>
  <c r="A468" i="1"/>
  <c r="F467" i="1"/>
  <c r="E467" i="1"/>
  <c r="D467" i="1"/>
  <c r="C467" i="1"/>
  <c r="B467" i="1"/>
  <c r="A467" i="1"/>
  <c r="F466" i="1"/>
  <c r="E466" i="1"/>
  <c r="D466" i="1"/>
  <c r="C466" i="1"/>
  <c r="B466" i="1"/>
  <c r="A466" i="1"/>
  <c r="F465" i="1"/>
  <c r="E465" i="1"/>
  <c r="D465" i="1"/>
  <c r="C465" i="1"/>
  <c r="B465" i="1"/>
  <c r="A465" i="1"/>
  <c r="F464" i="1"/>
  <c r="E464" i="1"/>
  <c r="D464" i="1"/>
  <c r="C464" i="1"/>
  <c r="B464" i="1"/>
  <c r="A464" i="1"/>
  <c r="F463" i="1"/>
  <c r="E463" i="1"/>
  <c r="D463" i="1"/>
  <c r="C463" i="1"/>
  <c r="B463" i="1"/>
  <c r="A463" i="1"/>
  <c r="F462" i="1"/>
  <c r="E462" i="1"/>
  <c r="D462" i="1"/>
  <c r="C462" i="1"/>
  <c r="B462" i="1"/>
  <c r="A462" i="1"/>
  <c r="F461" i="1"/>
  <c r="E461" i="1"/>
  <c r="D461" i="1"/>
  <c r="C461" i="1"/>
  <c r="B461" i="1"/>
  <c r="A461" i="1"/>
  <c r="F460" i="1"/>
  <c r="E460" i="1"/>
  <c r="D460" i="1"/>
  <c r="C460" i="1"/>
  <c r="B460" i="1"/>
  <c r="A460" i="1"/>
  <c r="F459" i="1"/>
  <c r="E459" i="1"/>
  <c r="D459" i="1"/>
  <c r="C459" i="1"/>
  <c r="B459" i="1"/>
  <c r="A459" i="1"/>
  <c r="F458" i="1"/>
  <c r="E458" i="1"/>
  <c r="D458" i="1"/>
  <c r="C458" i="1"/>
  <c r="B458" i="1"/>
  <c r="A458" i="1"/>
  <c r="F457" i="1"/>
  <c r="E457" i="1"/>
  <c r="D457" i="1"/>
  <c r="C457" i="1"/>
  <c r="B457" i="1"/>
  <c r="A457" i="1"/>
  <c r="F456" i="1"/>
  <c r="E456" i="1"/>
  <c r="D456" i="1"/>
  <c r="C456" i="1"/>
  <c r="B456" i="1"/>
  <c r="A456" i="1"/>
  <c r="F455" i="1"/>
  <c r="E455" i="1"/>
  <c r="D455" i="1"/>
  <c r="C455" i="1"/>
  <c r="B455" i="1"/>
  <c r="A455" i="1"/>
  <c r="F454" i="1"/>
  <c r="E454" i="1"/>
  <c r="D454" i="1"/>
  <c r="C454" i="1"/>
  <c r="B454" i="1"/>
  <c r="A454" i="1"/>
  <c r="F453" i="1"/>
  <c r="E453" i="1"/>
  <c r="D453" i="1"/>
  <c r="C453" i="1"/>
  <c r="B453" i="1"/>
  <c r="A453" i="1"/>
  <c r="F452" i="1"/>
  <c r="E452" i="1"/>
  <c r="D452" i="1"/>
  <c r="C452" i="1"/>
  <c r="B452" i="1"/>
  <c r="A452" i="1"/>
  <c r="F451" i="1"/>
  <c r="E451" i="1"/>
  <c r="D451" i="1"/>
  <c r="C451" i="1"/>
  <c r="B451" i="1"/>
  <c r="A451" i="1"/>
  <c r="F450" i="1"/>
  <c r="E450" i="1"/>
  <c r="D450" i="1"/>
  <c r="C450" i="1"/>
  <c r="B450" i="1"/>
  <c r="A450" i="1"/>
  <c r="F449" i="1"/>
  <c r="E449" i="1"/>
  <c r="D449" i="1"/>
  <c r="C449" i="1"/>
  <c r="B449" i="1"/>
  <c r="A449" i="1"/>
  <c r="F448" i="1"/>
  <c r="E448" i="1"/>
  <c r="D448" i="1"/>
  <c r="C448" i="1"/>
  <c r="B448" i="1"/>
  <c r="A448" i="1"/>
  <c r="F447" i="1"/>
  <c r="E447" i="1"/>
  <c r="D447" i="1"/>
  <c r="C447" i="1"/>
  <c r="B447" i="1"/>
  <c r="A447" i="1"/>
  <c r="F446" i="1"/>
  <c r="E446" i="1"/>
  <c r="D446" i="1"/>
  <c r="C446" i="1"/>
  <c r="B446" i="1"/>
  <c r="A446" i="1"/>
  <c r="F445" i="1"/>
  <c r="E445" i="1"/>
  <c r="D445" i="1"/>
  <c r="C445" i="1"/>
  <c r="B445" i="1"/>
  <c r="A445" i="1"/>
  <c r="F444" i="1"/>
  <c r="E444" i="1"/>
  <c r="D444" i="1"/>
  <c r="C444" i="1"/>
  <c r="B444" i="1"/>
  <c r="A444" i="1"/>
  <c r="F443" i="1"/>
  <c r="E443" i="1"/>
  <c r="D443" i="1"/>
  <c r="C443" i="1"/>
  <c r="B443" i="1"/>
  <c r="A443" i="1"/>
  <c r="F442" i="1"/>
  <c r="E442" i="1"/>
  <c r="D442" i="1"/>
  <c r="C442" i="1"/>
  <c r="B442" i="1"/>
  <c r="A442" i="1"/>
  <c r="F441" i="1"/>
  <c r="E441" i="1"/>
  <c r="D441" i="1"/>
  <c r="C441" i="1"/>
  <c r="B441" i="1"/>
  <c r="A441" i="1"/>
  <c r="F440" i="1"/>
  <c r="E440" i="1"/>
  <c r="D440" i="1"/>
  <c r="C440" i="1"/>
  <c r="B440" i="1"/>
  <c r="A440" i="1"/>
  <c r="F439" i="1"/>
  <c r="E439" i="1"/>
  <c r="D439" i="1"/>
  <c r="C439" i="1"/>
  <c r="B439" i="1"/>
  <c r="A439" i="1"/>
  <c r="F438" i="1"/>
  <c r="E438" i="1"/>
  <c r="D438" i="1"/>
  <c r="C438" i="1"/>
  <c r="B438" i="1"/>
  <c r="A438" i="1"/>
  <c r="F437" i="1"/>
  <c r="E437" i="1"/>
  <c r="D437" i="1"/>
  <c r="C437" i="1"/>
  <c r="B437" i="1"/>
  <c r="A437" i="1"/>
  <c r="F436" i="1"/>
  <c r="E436" i="1"/>
  <c r="D436" i="1"/>
  <c r="C436" i="1"/>
  <c r="B436" i="1"/>
  <c r="A436" i="1"/>
  <c r="F435" i="1"/>
  <c r="E435" i="1"/>
  <c r="D435" i="1"/>
  <c r="C435" i="1"/>
  <c r="B435" i="1"/>
  <c r="A435" i="1"/>
  <c r="F434" i="1"/>
  <c r="E434" i="1"/>
  <c r="D434" i="1"/>
  <c r="C434" i="1"/>
  <c r="B434" i="1"/>
  <c r="A434" i="1"/>
  <c r="F433" i="1"/>
  <c r="E433" i="1"/>
  <c r="D433" i="1"/>
  <c r="C433" i="1"/>
  <c r="B433" i="1"/>
  <c r="A433" i="1"/>
  <c r="F432" i="1"/>
  <c r="E432" i="1"/>
  <c r="D432" i="1"/>
  <c r="C432" i="1"/>
  <c r="B432" i="1"/>
  <c r="A432" i="1"/>
  <c r="F431" i="1"/>
  <c r="E431" i="1"/>
  <c r="D431" i="1"/>
  <c r="C431" i="1"/>
  <c r="B431" i="1"/>
  <c r="A431" i="1"/>
  <c r="F430" i="1"/>
  <c r="E430" i="1"/>
  <c r="D430" i="1"/>
  <c r="C430" i="1"/>
  <c r="B430" i="1"/>
  <c r="A430" i="1"/>
  <c r="F429" i="1"/>
  <c r="E429" i="1"/>
  <c r="D429" i="1"/>
  <c r="C429" i="1"/>
  <c r="B429" i="1"/>
  <c r="A429" i="1"/>
  <c r="F428" i="1"/>
  <c r="E428" i="1"/>
  <c r="D428" i="1"/>
  <c r="C428" i="1"/>
  <c r="B428" i="1"/>
  <c r="A428" i="1"/>
  <c r="F427" i="1"/>
  <c r="E427" i="1"/>
  <c r="D427" i="1"/>
  <c r="C427" i="1"/>
  <c r="B427" i="1"/>
  <c r="A427" i="1"/>
  <c r="F426" i="1"/>
  <c r="E426" i="1"/>
  <c r="D426" i="1"/>
  <c r="C426" i="1"/>
  <c r="B426" i="1"/>
  <c r="A426" i="1"/>
  <c r="F425" i="1"/>
  <c r="E425" i="1"/>
  <c r="D425" i="1"/>
  <c r="C425" i="1"/>
  <c r="B425" i="1"/>
  <c r="A425" i="1"/>
  <c r="F424" i="1"/>
  <c r="E424" i="1"/>
  <c r="D424" i="1"/>
  <c r="C424" i="1"/>
  <c r="B424" i="1"/>
  <c r="A424" i="1"/>
  <c r="F423" i="1"/>
  <c r="E423" i="1"/>
  <c r="D423" i="1"/>
  <c r="C423" i="1"/>
  <c r="B423" i="1"/>
  <c r="A423" i="1"/>
  <c r="F422" i="1"/>
  <c r="E422" i="1"/>
  <c r="D422" i="1"/>
  <c r="C422" i="1"/>
  <c r="B422" i="1"/>
  <c r="A422" i="1"/>
  <c r="F421" i="1"/>
  <c r="E421" i="1"/>
  <c r="D421" i="1"/>
  <c r="C421" i="1"/>
  <c r="B421" i="1"/>
  <c r="A421" i="1"/>
  <c r="F420" i="1"/>
  <c r="E420" i="1"/>
  <c r="D420" i="1"/>
  <c r="C420" i="1"/>
  <c r="B420" i="1"/>
  <c r="A420" i="1"/>
  <c r="F419" i="1"/>
  <c r="E419" i="1"/>
  <c r="D419" i="1"/>
  <c r="C419" i="1"/>
  <c r="B419" i="1"/>
  <c r="A419" i="1"/>
  <c r="F418" i="1"/>
  <c r="E418" i="1"/>
  <c r="D418" i="1"/>
  <c r="C418" i="1"/>
  <c r="B418" i="1"/>
  <c r="A418" i="1"/>
  <c r="F417" i="1"/>
  <c r="E417" i="1"/>
  <c r="D417" i="1"/>
  <c r="C417" i="1"/>
  <c r="B417" i="1"/>
  <c r="A417" i="1"/>
  <c r="F416" i="1"/>
  <c r="E416" i="1"/>
  <c r="D416" i="1"/>
  <c r="C416" i="1"/>
  <c r="B416" i="1"/>
  <c r="A416" i="1"/>
  <c r="F415" i="1"/>
  <c r="E415" i="1"/>
  <c r="D415" i="1"/>
  <c r="C415" i="1"/>
  <c r="B415" i="1"/>
  <c r="A415" i="1"/>
  <c r="F414" i="1"/>
  <c r="E414" i="1"/>
  <c r="D414" i="1"/>
  <c r="C414" i="1"/>
  <c r="B414" i="1"/>
  <c r="A414" i="1"/>
  <c r="F413" i="1"/>
  <c r="E413" i="1"/>
  <c r="D413" i="1"/>
  <c r="C413" i="1"/>
  <c r="B413" i="1"/>
  <c r="A413" i="1"/>
  <c r="F412" i="1"/>
  <c r="E412" i="1"/>
  <c r="D412" i="1"/>
  <c r="C412" i="1"/>
  <c r="B412" i="1"/>
  <c r="A412" i="1"/>
  <c r="F411" i="1"/>
  <c r="E411" i="1"/>
  <c r="D411" i="1"/>
  <c r="C411" i="1"/>
  <c r="B411" i="1"/>
  <c r="A411" i="1"/>
  <c r="F410" i="1"/>
  <c r="E410" i="1"/>
  <c r="D410" i="1"/>
  <c r="C410" i="1"/>
  <c r="B410" i="1"/>
  <c r="A410" i="1"/>
  <c r="F409" i="1"/>
  <c r="E409" i="1"/>
  <c r="D409" i="1"/>
  <c r="C409" i="1"/>
  <c r="B409" i="1"/>
  <c r="A409" i="1"/>
  <c r="F408" i="1"/>
  <c r="E408" i="1"/>
  <c r="D408" i="1"/>
  <c r="C408" i="1"/>
  <c r="B408" i="1"/>
  <c r="A408" i="1"/>
  <c r="F407" i="1"/>
  <c r="E407" i="1"/>
  <c r="D407" i="1"/>
  <c r="C407" i="1"/>
  <c r="B407" i="1"/>
  <c r="A407" i="1"/>
  <c r="F406" i="1"/>
  <c r="E406" i="1"/>
  <c r="D406" i="1"/>
  <c r="C406" i="1"/>
  <c r="B406" i="1"/>
  <c r="A406" i="1"/>
  <c r="F405" i="1"/>
  <c r="E405" i="1"/>
  <c r="D405" i="1"/>
  <c r="C405" i="1"/>
  <c r="B405" i="1"/>
  <c r="A405" i="1"/>
  <c r="F404" i="1"/>
  <c r="E404" i="1"/>
  <c r="D404" i="1"/>
  <c r="C404" i="1"/>
  <c r="B404" i="1"/>
  <c r="A404" i="1"/>
  <c r="F403" i="1"/>
  <c r="E403" i="1"/>
  <c r="D403" i="1"/>
  <c r="C403" i="1"/>
  <c r="B403" i="1"/>
  <c r="A403" i="1"/>
  <c r="F402" i="1"/>
  <c r="E402" i="1"/>
  <c r="D402" i="1"/>
  <c r="C402" i="1"/>
  <c r="B402" i="1"/>
  <c r="A402" i="1"/>
  <c r="F401" i="1"/>
  <c r="E401" i="1"/>
  <c r="D401" i="1"/>
  <c r="C401" i="1"/>
  <c r="B401" i="1"/>
  <c r="A401" i="1"/>
  <c r="F400" i="1"/>
  <c r="E400" i="1"/>
  <c r="D400" i="1"/>
  <c r="C400" i="1"/>
  <c r="B400" i="1"/>
  <c r="A400" i="1"/>
  <c r="F399" i="1"/>
  <c r="E399" i="1"/>
  <c r="D399" i="1"/>
  <c r="C399" i="1"/>
  <c r="B399" i="1"/>
  <c r="A399" i="1"/>
  <c r="F398" i="1"/>
  <c r="E398" i="1"/>
  <c r="D398" i="1"/>
  <c r="C398" i="1"/>
  <c r="B398" i="1"/>
  <c r="A398" i="1"/>
  <c r="F397" i="1"/>
  <c r="E397" i="1"/>
  <c r="D397" i="1"/>
  <c r="C397" i="1"/>
  <c r="B397" i="1"/>
  <c r="A397" i="1"/>
  <c r="F396" i="1"/>
  <c r="E396" i="1"/>
  <c r="D396" i="1"/>
  <c r="C396" i="1"/>
  <c r="B396" i="1"/>
  <c r="A396" i="1"/>
  <c r="F395" i="1"/>
  <c r="E395" i="1"/>
  <c r="D395" i="1"/>
  <c r="C395" i="1"/>
  <c r="B395" i="1"/>
  <c r="A395" i="1"/>
  <c r="F394" i="1"/>
  <c r="E394" i="1"/>
  <c r="D394" i="1"/>
  <c r="C394" i="1"/>
  <c r="B394" i="1"/>
  <c r="A394" i="1"/>
  <c r="F393" i="1"/>
  <c r="E393" i="1"/>
  <c r="D393" i="1"/>
  <c r="C393" i="1"/>
  <c r="B393" i="1"/>
  <c r="A393" i="1"/>
  <c r="F392" i="1"/>
  <c r="E392" i="1"/>
  <c r="D392" i="1"/>
  <c r="C392" i="1"/>
  <c r="B392" i="1"/>
  <c r="A392" i="1"/>
  <c r="F391" i="1"/>
  <c r="E391" i="1"/>
  <c r="D391" i="1"/>
  <c r="C391" i="1"/>
  <c r="B391" i="1"/>
  <c r="A391" i="1"/>
  <c r="F390" i="1"/>
  <c r="E390" i="1"/>
  <c r="D390" i="1"/>
  <c r="C390" i="1"/>
  <c r="B390" i="1"/>
  <c r="A390" i="1"/>
  <c r="F389" i="1"/>
  <c r="E389" i="1"/>
  <c r="D389" i="1"/>
  <c r="C389" i="1"/>
  <c r="B389" i="1"/>
  <c r="A389" i="1"/>
  <c r="F388" i="1"/>
  <c r="E388" i="1"/>
  <c r="D388" i="1"/>
  <c r="C388" i="1"/>
  <c r="B388" i="1"/>
  <c r="A388" i="1"/>
  <c r="F387" i="1"/>
  <c r="E387" i="1"/>
  <c r="D387" i="1"/>
  <c r="C387" i="1"/>
  <c r="B387" i="1"/>
  <c r="A387" i="1"/>
  <c r="F386" i="1"/>
  <c r="E386" i="1"/>
  <c r="D386" i="1"/>
  <c r="C386" i="1"/>
  <c r="B386" i="1"/>
  <c r="A386" i="1"/>
  <c r="F385" i="1"/>
  <c r="E385" i="1"/>
  <c r="D385" i="1"/>
  <c r="C385" i="1"/>
  <c r="B385" i="1"/>
  <c r="A385" i="1"/>
  <c r="F384" i="1"/>
  <c r="E384" i="1"/>
  <c r="D384" i="1"/>
  <c r="C384" i="1"/>
  <c r="B384" i="1"/>
  <c r="A384" i="1"/>
  <c r="F383" i="1"/>
  <c r="E383" i="1"/>
  <c r="D383" i="1"/>
  <c r="C383" i="1"/>
  <c r="B383" i="1"/>
  <c r="A383" i="1"/>
  <c r="F382" i="1"/>
  <c r="E382" i="1"/>
  <c r="D382" i="1"/>
  <c r="C382" i="1"/>
  <c r="B382" i="1"/>
  <c r="A382" i="1"/>
  <c r="F381" i="1"/>
  <c r="E381" i="1"/>
  <c r="D381" i="1"/>
  <c r="C381" i="1"/>
  <c r="B381" i="1"/>
  <c r="A381" i="1"/>
  <c r="F380" i="1"/>
  <c r="E380" i="1"/>
  <c r="D380" i="1"/>
  <c r="C380" i="1"/>
  <c r="B380" i="1"/>
  <c r="A380" i="1"/>
  <c r="F379" i="1"/>
  <c r="E379" i="1"/>
  <c r="D379" i="1"/>
  <c r="C379" i="1"/>
  <c r="B379" i="1"/>
  <c r="A379" i="1"/>
  <c r="F378" i="1"/>
  <c r="E378" i="1"/>
  <c r="D378" i="1"/>
  <c r="C378" i="1"/>
  <c r="B378" i="1"/>
  <c r="A378" i="1"/>
  <c r="F377" i="1"/>
  <c r="E377" i="1"/>
  <c r="D377" i="1"/>
  <c r="C377" i="1"/>
  <c r="B377" i="1"/>
  <c r="A377" i="1"/>
  <c r="F376" i="1"/>
  <c r="E376" i="1"/>
  <c r="D376" i="1"/>
  <c r="C376" i="1"/>
  <c r="B376" i="1"/>
  <c r="A376" i="1"/>
  <c r="F375" i="1"/>
  <c r="E375" i="1"/>
  <c r="D375" i="1"/>
  <c r="C375" i="1"/>
  <c r="B375" i="1"/>
  <c r="A375" i="1"/>
  <c r="F374" i="1"/>
  <c r="E374" i="1"/>
  <c r="D374" i="1"/>
  <c r="C374" i="1"/>
  <c r="B374" i="1"/>
  <c r="A374" i="1"/>
  <c r="F373" i="1"/>
  <c r="E373" i="1"/>
  <c r="D373" i="1"/>
  <c r="C373" i="1"/>
  <c r="B373" i="1"/>
  <c r="A373" i="1"/>
  <c r="F372" i="1"/>
  <c r="E372" i="1"/>
  <c r="D372" i="1"/>
  <c r="C372" i="1"/>
  <c r="B372" i="1"/>
  <c r="A372" i="1"/>
  <c r="F371" i="1"/>
  <c r="E371" i="1"/>
  <c r="D371" i="1"/>
  <c r="C371" i="1"/>
  <c r="B371" i="1"/>
  <c r="A371" i="1"/>
  <c r="F370" i="1"/>
  <c r="E370" i="1"/>
  <c r="D370" i="1"/>
  <c r="C370" i="1"/>
  <c r="B370" i="1"/>
  <c r="A370" i="1"/>
  <c r="F369" i="1"/>
  <c r="E369" i="1"/>
  <c r="D369" i="1"/>
  <c r="C369" i="1"/>
  <c r="B369" i="1"/>
  <c r="A369" i="1"/>
  <c r="F368" i="1"/>
  <c r="E368" i="1"/>
  <c r="D368" i="1"/>
  <c r="C368" i="1"/>
  <c r="B368" i="1"/>
  <c r="A368" i="1"/>
  <c r="F367" i="1"/>
  <c r="E367" i="1"/>
  <c r="D367" i="1"/>
  <c r="C367" i="1"/>
  <c r="B367" i="1"/>
  <c r="A367" i="1"/>
  <c r="F366" i="1"/>
  <c r="E366" i="1"/>
  <c r="D366" i="1"/>
  <c r="C366" i="1"/>
  <c r="B366" i="1"/>
  <c r="A366" i="1"/>
  <c r="F365" i="1"/>
  <c r="E365" i="1"/>
  <c r="D365" i="1"/>
  <c r="C365" i="1"/>
  <c r="B365" i="1"/>
  <c r="A365" i="1"/>
  <c r="F364" i="1"/>
  <c r="E364" i="1"/>
  <c r="D364" i="1"/>
  <c r="C364" i="1"/>
  <c r="B364" i="1"/>
  <c r="A364" i="1"/>
  <c r="F363" i="1"/>
  <c r="E363" i="1"/>
  <c r="D363" i="1"/>
  <c r="C363" i="1"/>
  <c r="B363" i="1"/>
  <c r="A363" i="1"/>
  <c r="F362" i="1"/>
  <c r="E362" i="1"/>
  <c r="D362" i="1"/>
  <c r="C362" i="1"/>
  <c r="B362" i="1"/>
  <c r="A362" i="1"/>
  <c r="F361" i="1"/>
  <c r="E361" i="1"/>
  <c r="D361" i="1"/>
  <c r="C361" i="1"/>
  <c r="B361" i="1"/>
  <c r="A361" i="1"/>
  <c r="F360" i="1"/>
  <c r="E360" i="1"/>
  <c r="D360" i="1"/>
  <c r="C360" i="1"/>
  <c r="B360" i="1"/>
  <c r="A360" i="1"/>
  <c r="F359" i="1"/>
  <c r="E359" i="1"/>
  <c r="D359" i="1"/>
  <c r="C359" i="1"/>
  <c r="B359" i="1"/>
  <c r="A359" i="1"/>
  <c r="F358" i="1"/>
  <c r="E358" i="1"/>
  <c r="D358" i="1"/>
  <c r="C358" i="1"/>
  <c r="B358" i="1"/>
  <c r="A358" i="1"/>
  <c r="F357" i="1"/>
  <c r="E357" i="1"/>
  <c r="D357" i="1"/>
  <c r="C357" i="1"/>
  <c r="B357" i="1"/>
  <c r="A357" i="1"/>
  <c r="F356" i="1"/>
  <c r="E356" i="1"/>
  <c r="D356" i="1"/>
  <c r="C356" i="1"/>
  <c r="B356" i="1"/>
  <c r="A356" i="1"/>
  <c r="F355" i="1"/>
  <c r="E355" i="1"/>
  <c r="D355" i="1"/>
  <c r="C355" i="1"/>
  <c r="B355" i="1"/>
  <c r="A355" i="1"/>
  <c r="F354" i="1"/>
  <c r="E354" i="1"/>
  <c r="D354" i="1"/>
  <c r="C354" i="1"/>
  <c r="B354" i="1"/>
  <c r="A354" i="1"/>
  <c r="F353" i="1"/>
  <c r="E353" i="1"/>
  <c r="D353" i="1"/>
  <c r="C353" i="1"/>
  <c r="B353" i="1"/>
  <c r="A353" i="1"/>
  <c r="F352" i="1"/>
  <c r="E352" i="1"/>
  <c r="D352" i="1"/>
  <c r="C352" i="1"/>
  <c r="B352" i="1"/>
  <c r="A352" i="1"/>
  <c r="F351" i="1"/>
  <c r="E351" i="1"/>
  <c r="D351" i="1"/>
  <c r="C351" i="1"/>
  <c r="B351" i="1"/>
  <c r="A351" i="1"/>
  <c r="F350" i="1"/>
  <c r="E350" i="1"/>
  <c r="D350" i="1"/>
  <c r="C350" i="1"/>
  <c r="B350" i="1"/>
  <c r="A350" i="1"/>
  <c r="F349" i="1"/>
  <c r="E349" i="1"/>
  <c r="D349" i="1"/>
  <c r="C349" i="1"/>
  <c r="B349" i="1"/>
  <c r="A349" i="1"/>
  <c r="F348" i="1"/>
  <c r="E348" i="1"/>
  <c r="D348" i="1"/>
  <c r="C348" i="1"/>
  <c r="B348" i="1"/>
  <c r="A348" i="1"/>
  <c r="F347" i="1"/>
  <c r="E347" i="1"/>
  <c r="D347" i="1"/>
  <c r="C347" i="1"/>
  <c r="B347" i="1"/>
  <c r="A347" i="1"/>
  <c r="F346" i="1"/>
  <c r="E346" i="1"/>
  <c r="D346" i="1"/>
  <c r="C346" i="1"/>
  <c r="B346" i="1"/>
  <c r="A346" i="1"/>
  <c r="F345" i="1"/>
  <c r="E345" i="1"/>
  <c r="D345" i="1"/>
  <c r="C345" i="1"/>
  <c r="B345" i="1"/>
  <c r="A345" i="1"/>
  <c r="F344" i="1"/>
  <c r="E344" i="1"/>
  <c r="D344" i="1"/>
  <c r="C344" i="1"/>
  <c r="B344" i="1"/>
  <c r="A344" i="1"/>
  <c r="F343" i="1"/>
  <c r="E343" i="1"/>
  <c r="D343" i="1"/>
  <c r="C343" i="1"/>
  <c r="B343" i="1"/>
  <c r="A343" i="1"/>
  <c r="F342" i="1"/>
  <c r="E342" i="1"/>
  <c r="D342" i="1"/>
  <c r="C342" i="1"/>
  <c r="B342" i="1"/>
  <c r="A342" i="1"/>
  <c r="F341" i="1"/>
  <c r="E341" i="1"/>
  <c r="D341" i="1"/>
  <c r="C341" i="1"/>
  <c r="B341" i="1"/>
  <c r="A341" i="1"/>
  <c r="F340" i="1"/>
  <c r="E340" i="1"/>
  <c r="D340" i="1"/>
  <c r="C340" i="1"/>
  <c r="B340" i="1"/>
  <c r="A340" i="1"/>
  <c r="F339" i="1"/>
  <c r="E339" i="1"/>
  <c r="D339" i="1"/>
  <c r="C339" i="1"/>
  <c r="B339" i="1"/>
  <c r="A339" i="1"/>
  <c r="F338" i="1"/>
  <c r="E338" i="1"/>
  <c r="D338" i="1"/>
  <c r="C338" i="1"/>
  <c r="B338" i="1"/>
  <c r="A338" i="1"/>
  <c r="F337" i="1"/>
  <c r="E337" i="1"/>
  <c r="D337" i="1"/>
  <c r="C337" i="1"/>
  <c r="B337" i="1"/>
  <c r="A337" i="1"/>
  <c r="F336" i="1"/>
  <c r="E336" i="1"/>
  <c r="D336" i="1"/>
  <c r="C336" i="1"/>
  <c r="B336" i="1"/>
  <c r="A336" i="1"/>
  <c r="F335" i="1"/>
  <c r="E335" i="1"/>
  <c r="D335" i="1"/>
  <c r="C335" i="1"/>
  <c r="B335" i="1"/>
  <c r="A335" i="1"/>
  <c r="F334" i="1"/>
  <c r="E334" i="1"/>
  <c r="D334" i="1"/>
  <c r="C334" i="1"/>
  <c r="B334" i="1"/>
  <c r="A334" i="1"/>
  <c r="F333" i="1"/>
  <c r="E333" i="1"/>
  <c r="D333" i="1"/>
  <c r="C333" i="1"/>
  <c r="B333" i="1"/>
  <c r="A333" i="1"/>
  <c r="F332" i="1"/>
  <c r="E332" i="1"/>
  <c r="D332" i="1"/>
  <c r="C332" i="1"/>
  <c r="B332" i="1"/>
  <c r="A332" i="1"/>
  <c r="F331" i="1"/>
  <c r="E331" i="1"/>
  <c r="D331" i="1"/>
  <c r="C331" i="1"/>
  <c r="B331" i="1"/>
  <c r="A331" i="1"/>
  <c r="F330" i="1"/>
  <c r="E330" i="1"/>
  <c r="D330" i="1"/>
  <c r="C330" i="1"/>
  <c r="B330" i="1"/>
  <c r="A330" i="1"/>
  <c r="F329" i="1"/>
  <c r="E329" i="1"/>
  <c r="D329" i="1"/>
  <c r="C329" i="1"/>
  <c r="B329" i="1"/>
  <c r="A329" i="1"/>
  <c r="F328" i="1"/>
  <c r="E328" i="1"/>
  <c r="D328" i="1"/>
  <c r="C328" i="1"/>
  <c r="B328" i="1"/>
  <c r="A328" i="1"/>
  <c r="F327" i="1"/>
  <c r="E327" i="1"/>
  <c r="D327" i="1"/>
  <c r="C327" i="1"/>
  <c r="B327" i="1"/>
  <c r="A327" i="1"/>
  <c r="F326" i="1"/>
  <c r="E326" i="1"/>
  <c r="D326" i="1"/>
  <c r="C326" i="1"/>
  <c r="B326" i="1"/>
  <c r="A326" i="1"/>
  <c r="F325" i="1"/>
  <c r="E325" i="1"/>
  <c r="D325" i="1"/>
  <c r="C325" i="1"/>
  <c r="B325" i="1"/>
  <c r="A325" i="1"/>
  <c r="F324" i="1"/>
  <c r="E324" i="1"/>
  <c r="D324" i="1"/>
  <c r="C324" i="1"/>
  <c r="B324" i="1"/>
  <c r="A324" i="1"/>
  <c r="F323" i="1"/>
  <c r="E323" i="1"/>
  <c r="D323" i="1"/>
  <c r="C323" i="1"/>
  <c r="B323" i="1"/>
  <c r="A323" i="1"/>
  <c r="F322" i="1"/>
  <c r="E322" i="1"/>
  <c r="D322" i="1"/>
  <c r="C322" i="1"/>
  <c r="B322" i="1"/>
  <c r="A322" i="1"/>
  <c r="F321" i="1"/>
  <c r="E321" i="1"/>
  <c r="D321" i="1"/>
  <c r="C321" i="1"/>
  <c r="B321" i="1"/>
  <c r="A321" i="1"/>
  <c r="F320" i="1"/>
  <c r="E320" i="1"/>
  <c r="D320" i="1"/>
  <c r="C320" i="1"/>
  <c r="B320" i="1"/>
  <c r="A320" i="1"/>
  <c r="F319" i="1"/>
  <c r="E319" i="1"/>
  <c r="D319" i="1"/>
  <c r="C319" i="1"/>
  <c r="B319" i="1"/>
  <c r="A319" i="1"/>
  <c r="F318" i="1"/>
  <c r="E318" i="1"/>
  <c r="D318" i="1"/>
  <c r="C318" i="1"/>
  <c r="B318" i="1"/>
  <c r="A318" i="1"/>
  <c r="F317" i="1"/>
  <c r="E317" i="1"/>
  <c r="D317" i="1"/>
  <c r="C317" i="1"/>
  <c r="B317" i="1"/>
  <c r="A317" i="1"/>
  <c r="F316" i="1"/>
  <c r="E316" i="1"/>
  <c r="D316" i="1"/>
  <c r="C316" i="1"/>
  <c r="B316" i="1"/>
  <c r="A316" i="1"/>
  <c r="F315" i="1"/>
  <c r="E315" i="1"/>
  <c r="D315" i="1"/>
  <c r="C315" i="1"/>
  <c r="B315" i="1"/>
  <c r="A315" i="1"/>
  <c r="F314" i="1"/>
  <c r="E314" i="1"/>
  <c r="D314" i="1"/>
  <c r="C314" i="1"/>
  <c r="B314" i="1"/>
  <c r="A314" i="1"/>
  <c r="F313" i="1"/>
  <c r="E313" i="1"/>
  <c r="D313" i="1"/>
  <c r="C313" i="1"/>
  <c r="B313" i="1"/>
  <c r="A313" i="1"/>
  <c r="F312" i="1"/>
  <c r="E312" i="1"/>
  <c r="D312" i="1"/>
  <c r="C312" i="1"/>
  <c r="B312" i="1"/>
  <c r="A312" i="1"/>
  <c r="F311" i="1"/>
  <c r="E311" i="1"/>
  <c r="D311" i="1"/>
  <c r="C311" i="1"/>
  <c r="B311" i="1"/>
  <c r="A311" i="1"/>
  <c r="F310" i="1"/>
  <c r="E310" i="1"/>
  <c r="D310" i="1"/>
  <c r="C310" i="1"/>
  <c r="B310" i="1"/>
  <c r="A310" i="1"/>
  <c r="F309" i="1"/>
  <c r="E309" i="1"/>
  <c r="D309" i="1"/>
  <c r="C309" i="1"/>
  <c r="B309" i="1"/>
  <c r="A309" i="1"/>
  <c r="F308" i="1"/>
  <c r="E308" i="1"/>
  <c r="D308" i="1"/>
  <c r="C308" i="1"/>
  <c r="B308" i="1"/>
  <c r="A308" i="1"/>
  <c r="F307" i="1"/>
  <c r="E307" i="1"/>
  <c r="D307" i="1"/>
  <c r="C307" i="1"/>
  <c r="B307" i="1"/>
  <c r="A307" i="1"/>
  <c r="F306" i="1"/>
  <c r="E306" i="1"/>
  <c r="D306" i="1"/>
  <c r="C306" i="1"/>
  <c r="B306" i="1"/>
  <c r="A306" i="1"/>
  <c r="F305" i="1"/>
  <c r="E305" i="1"/>
  <c r="D305" i="1"/>
  <c r="C305" i="1"/>
  <c r="B305" i="1"/>
  <c r="A305" i="1"/>
  <c r="F304" i="1"/>
  <c r="E304" i="1"/>
  <c r="D304" i="1"/>
  <c r="C304" i="1"/>
  <c r="B304" i="1"/>
  <c r="A304" i="1"/>
  <c r="F303" i="1"/>
  <c r="E303" i="1"/>
  <c r="D303" i="1"/>
  <c r="C303" i="1"/>
  <c r="B303" i="1"/>
  <c r="A303" i="1"/>
  <c r="F302" i="1"/>
  <c r="E302" i="1"/>
  <c r="D302" i="1"/>
  <c r="C302" i="1"/>
  <c r="B302" i="1"/>
  <c r="A302" i="1"/>
  <c r="F301" i="1"/>
  <c r="E301" i="1"/>
  <c r="D301" i="1"/>
  <c r="C301" i="1"/>
  <c r="B301" i="1"/>
  <c r="A301" i="1"/>
  <c r="F300" i="1"/>
  <c r="E300" i="1"/>
  <c r="D300" i="1"/>
  <c r="C300" i="1"/>
  <c r="B300" i="1"/>
  <c r="A300" i="1"/>
  <c r="F299" i="1"/>
  <c r="E299" i="1"/>
  <c r="D299" i="1"/>
  <c r="C299" i="1"/>
  <c r="B299" i="1"/>
  <c r="A299" i="1"/>
  <c r="F298" i="1"/>
  <c r="E298" i="1"/>
  <c r="D298" i="1"/>
  <c r="C298" i="1"/>
  <c r="B298" i="1"/>
  <c r="A298" i="1"/>
  <c r="F297" i="1"/>
  <c r="E297" i="1"/>
  <c r="D297" i="1"/>
  <c r="C297" i="1"/>
  <c r="B297" i="1"/>
  <c r="A297" i="1"/>
  <c r="F296" i="1"/>
  <c r="E296" i="1"/>
  <c r="D296" i="1"/>
  <c r="C296" i="1"/>
  <c r="B296" i="1"/>
  <c r="A296" i="1"/>
  <c r="F295" i="1"/>
  <c r="E295" i="1"/>
  <c r="D295" i="1"/>
  <c r="C295" i="1"/>
  <c r="B295" i="1"/>
  <c r="A295" i="1"/>
  <c r="F294" i="1"/>
  <c r="E294" i="1"/>
  <c r="D294" i="1"/>
  <c r="C294" i="1"/>
  <c r="B294" i="1"/>
  <c r="A294" i="1"/>
  <c r="F293" i="1"/>
  <c r="E293" i="1"/>
  <c r="D293" i="1"/>
  <c r="C293" i="1"/>
  <c r="B293" i="1"/>
  <c r="A293" i="1"/>
  <c r="F292" i="1"/>
  <c r="E292" i="1"/>
  <c r="D292" i="1"/>
  <c r="C292" i="1"/>
  <c r="B292" i="1"/>
  <c r="A292" i="1"/>
  <c r="F291" i="1"/>
  <c r="E291" i="1"/>
  <c r="D291" i="1"/>
  <c r="C291" i="1"/>
  <c r="B291" i="1"/>
  <c r="A291" i="1"/>
  <c r="F290" i="1"/>
  <c r="E290" i="1"/>
  <c r="D290" i="1"/>
  <c r="C290" i="1"/>
  <c r="B290" i="1"/>
  <c r="A290" i="1"/>
  <c r="F289" i="1"/>
  <c r="E289" i="1"/>
  <c r="D289" i="1"/>
  <c r="C289" i="1"/>
  <c r="B289" i="1"/>
  <c r="A289" i="1"/>
  <c r="F288" i="1"/>
  <c r="E288" i="1"/>
  <c r="D288" i="1"/>
  <c r="C288" i="1"/>
  <c r="B288" i="1"/>
  <c r="A288" i="1"/>
  <c r="F287" i="1"/>
  <c r="E287" i="1"/>
  <c r="D287" i="1"/>
  <c r="C287" i="1"/>
  <c r="B287" i="1"/>
  <c r="A287" i="1"/>
  <c r="F286" i="1"/>
  <c r="E286" i="1"/>
  <c r="D286" i="1"/>
  <c r="C286" i="1"/>
  <c r="B286" i="1"/>
  <c r="A286" i="1"/>
  <c r="F285" i="1"/>
  <c r="E285" i="1"/>
  <c r="D285" i="1"/>
  <c r="C285" i="1"/>
  <c r="B285" i="1"/>
  <c r="A285" i="1"/>
  <c r="F284" i="1"/>
  <c r="E284" i="1"/>
  <c r="D284" i="1"/>
  <c r="C284" i="1"/>
  <c r="B284" i="1"/>
  <c r="A284" i="1"/>
  <c r="F283" i="1"/>
  <c r="E283" i="1"/>
  <c r="D283" i="1"/>
  <c r="C283" i="1"/>
  <c r="B283" i="1"/>
  <c r="A283" i="1"/>
  <c r="F282" i="1"/>
  <c r="E282" i="1"/>
  <c r="D282" i="1"/>
  <c r="C282" i="1"/>
  <c r="B282" i="1"/>
  <c r="A282" i="1"/>
  <c r="F281" i="1"/>
  <c r="E281" i="1"/>
  <c r="D281" i="1"/>
  <c r="C281" i="1"/>
  <c r="B281" i="1"/>
  <c r="A281" i="1"/>
  <c r="F280" i="1"/>
  <c r="E280" i="1"/>
  <c r="D280" i="1"/>
  <c r="C280" i="1"/>
  <c r="B280" i="1"/>
  <c r="A280" i="1"/>
  <c r="F279" i="1"/>
  <c r="E279" i="1"/>
  <c r="D279" i="1"/>
  <c r="C279" i="1"/>
  <c r="B279" i="1"/>
  <c r="A279" i="1"/>
  <c r="F278" i="1"/>
  <c r="E278" i="1"/>
  <c r="D278" i="1"/>
  <c r="C278" i="1"/>
  <c r="B278" i="1"/>
  <c r="A278" i="1"/>
  <c r="F277" i="1"/>
  <c r="E277" i="1"/>
  <c r="D277" i="1"/>
  <c r="C277" i="1"/>
  <c r="B277" i="1"/>
  <c r="A277" i="1"/>
  <c r="F276" i="1"/>
  <c r="E276" i="1"/>
  <c r="D276" i="1"/>
  <c r="C276" i="1"/>
  <c r="B276" i="1"/>
  <c r="A276" i="1"/>
  <c r="F275" i="1"/>
  <c r="E275" i="1"/>
  <c r="D275" i="1"/>
  <c r="C275" i="1"/>
  <c r="B275" i="1"/>
  <c r="A275" i="1"/>
  <c r="F274" i="1"/>
  <c r="E274" i="1"/>
  <c r="D274" i="1"/>
  <c r="C274" i="1"/>
  <c r="B274" i="1"/>
  <c r="A274" i="1"/>
  <c r="F273" i="1"/>
  <c r="E273" i="1"/>
  <c r="D273" i="1"/>
  <c r="C273" i="1"/>
  <c r="B273" i="1"/>
  <c r="A273" i="1"/>
  <c r="F272" i="1"/>
  <c r="E272" i="1"/>
  <c r="D272" i="1"/>
  <c r="C272" i="1"/>
  <c r="B272" i="1"/>
  <c r="A272" i="1"/>
  <c r="F271" i="1"/>
  <c r="E271" i="1"/>
  <c r="D271" i="1"/>
  <c r="C271" i="1"/>
  <c r="B271" i="1"/>
  <c r="A271" i="1"/>
  <c r="F270" i="1"/>
  <c r="E270" i="1"/>
  <c r="D270" i="1"/>
  <c r="C270" i="1"/>
  <c r="B270" i="1"/>
  <c r="A270" i="1"/>
  <c r="F269" i="1"/>
  <c r="E269" i="1"/>
  <c r="D269" i="1"/>
  <c r="C269" i="1"/>
  <c r="B269" i="1"/>
  <c r="A269" i="1"/>
  <c r="F268" i="1"/>
  <c r="E268" i="1"/>
  <c r="D268" i="1"/>
  <c r="C268" i="1"/>
  <c r="B268" i="1"/>
  <c r="A268" i="1"/>
  <c r="F267" i="1"/>
  <c r="E267" i="1"/>
  <c r="D267" i="1"/>
  <c r="C267" i="1"/>
  <c r="B267" i="1"/>
  <c r="A267" i="1"/>
  <c r="F266" i="1"/>
  <c r="E266" i="1"/>
  <c r="D266" i="1"/>
  <c r="C266" i="1"/>
  <c r="B266" i="1"/>
  <c r="A266" i="1"/>
  <c r="F265" i="1"/>
  <c r="E265" i="1"/>
  <c r="D265" i="1"/>
  <c r="C265" i="1"/>
  <c r="B265" i="1"/>
  <c r="A265" i="1"/>
  <c r="F264" i="1"/>
  <c r="E264" i="1"/>
  <c r="D264" i="1"/>
  <c r="C264" i="1"/>
  <c r="B264" i="1"/>
  <c r="A264" i="1"/>
  <c r="F263" i="1"/>
  <c r="E263" i="1"/>
  <c r="D263" i="1"/>
  <c r="C263" i="1"/>
  <c r="B263" i="1"/>
  <c r="A263" i="1"/>
  <c r="F262" i="1"/>
  <c r="E262" i="1"/>
  <c r="D262" i="1"/>
  <c r="C262" i="1"/>
  <c r="B262" i="1"/>
  <c r="A262" i="1"/>
  <c r="F261" i="1"/>
  <c r="E261" i="1"/>
  <c r="D261" i="1"/>
  <c r="C261" i="1"/>
  <c r="B261" i="1"/>
  <c r="A261" i="1"/>
  <c r="F260" i="1"/>
  <c r="E260" i="1"/>
  <c r="D260" i="1"/>
  <c r="C260" i="1"/>
  <c r="B260" i="1"/>
  <c r="A260" i="1"/>
  <c r="F259" i="1"/>
  <c r="E259" i="1"/>
  <c r="D259" i="1"/>
  <c r="C259" i="1"/>
  <c r="B259" i="1"/>
  <c r="A259" i="1"/>
  <c r="F258" i="1"/>
  <c r="E258" i="1"/>
  <c r="D258" i="1"/>
  <c r="C258" i="1"/>
  <c r="B258" i="1"/>
  <c r="A258" i="1"/>
  <c r="F257" i="1"/>
  <c r="E257" i="1"/>
  <c r="D257" i="1"/>
  <c r="C257" i="1"/>
  <c r="B257" i="1"/>
  <c r="A257" i="1"/>
  <c r="F256" i="1"/>
  <c r="E256" i="1"/>
  <c r="D256" i="1"/>
  <c r="C256" i="1"/>
  <c r="B256" i="1"/>
  <c r="A256" i="1"/>
  <c r="F255" i="1"/>
  <c r="E255" i="1"/>
  <c r="D255" i="1"/>
  <c r="C255" i="1"/>
  <c r="B255" i="1"/>
  <c r="A255" i="1"/>
  <c r="F254" i="1"/>
  <c r="E254" i="1"/>
  <c r="D254" i="1"/>
  <c r="C254" i="1"/>
  <c r="B254" i="1"/>
  <c r="A254" i="1"/>
  <c r="F253" i="1"/>
  <c r="E253" i="1"/>
  <c r="D253" i="1"/>
  <c r="C253" i="1"/>
  <c r="B253" i="1"/>
  <c r="A253" i="1"/>
  <c r="F252" i="1"/>
  <c r="E252" i="1"/>
  <c r="D252" i="1"/>
  <c r="C252" i="1"/>
  <c r="B252" i="1"/>
  <c r="A252" i="1"/>
  <c r="F251" i="1"/>
  <c r="E251" i="1"/>
  <c r="D251" i="1"/>
  <c r="C251" i="1"/>
  <c r="B251" i="1"/>
  <c r="A251" i="1"/>
  <c r="F250" i="1"/>
  <c r="E250" i="1"/>
  <c r="D250" i="1"/>
  <c r="C250" i="1"/>
  <c r="B250" i="1"/>
  <c r="A250" i="1"/>
  <c r="F249" i="1"/>
  <c r="E249" i="1"/>
  <c r="D249" i="1"/>
  <c r="C249" i="1"/>
  <c r="B249" i="1"/>
  <c r="A249" i="1"/>
  <c r="F248" i="1"/>
  <c r="E248" i="1"/>
  <c r="D248" i="1"/>
  <c r="C248" i="1"/>
  <c r="B248" i="1"/>
  <c r="A248" i="1"/>
  <c r="F247" i="1"/>
  <c r="E247" i="1"/>
  <c r="D247" i="1"/>
  <c r="C247" i="1"/>
  <c r="B247" i="1"/>
  <c r="A247" i="1"/>
  <c r="F246" i="1"/>
  <c r="E246" i="1"/>
  <c r="D246" i="1"/>
  <c r="C246" i="1"/>
  <c r="B246" i="1"/>
  <c r="A246" i="1"/>
  <c r="F245" i="1"/>
  <c r="E245" i="1"/>
  <c r="D245" i="1"/>
  <c r="C245" i="1"/>
  <c r="B245" i="1"/>
  <c r="A245" i="1"/>
  <c r="F244" i="1"/>
  <c r="E244" i="1"/>
  <c r="D244" i="1"/>
  <c r="C244" i="1"/>
  <c r="B244" i="1"/>
  <c r="A244" i="1"/>
  <c r="F243" i="1"/>
  <c r="E243" i="1"/>
  <c r="D243" i="1"/>
  <c r="C243" i="1"/>
  <c r="B243" i="1"/>
  <c r="A243" i="1"/>
  <c r="F242" i="1"/>
  <c r="E242" i="1"/>
  <c r="D242" i="1"/>
  <c r="C242" i="1"/>
  <c r="B242" i="1"/>
  <c r="A242" i="1"/>
  <c r="F241" i="1"/>
  <c r="E241" i="1"/>
  <c r="D241" i="1"/>
  <c r="C241" i="1"/>
  <c r="B241" i="1"/>
  <c r="A241" i="1"/>
  <c r="F240" i="1"/>
  <c r="E240" i="1"/>
  <c r="D240" i="1"/>
  <c r="C240" i="1"/>
  <c r="B240" i="1"/>
  <c r="A240" i="1"/>
  <c r="F239" i="1"/>
  <c r="E239" i="1"/>
  <c r="D239" i="1"/>
  <c r="C239" i="1"/>
  <c r="B239" i="1"/>
  <c r="A239" i="1"/>
  <c r="F238" i="1"/>
  <c r="E238" i="1"/>
  <c r="D238" i="1"/>
  <c r="C238" i="1"/>
  <c r="B238" i="1"/>
  <c r="A238" i="1"/>
  <c r="F237" i="1"/>
  <c r="E237" i="1"/>
  <c r="D237" i="1"/>
  <c r="C237" i="1"/>
  <c r="B237" i="1"/>
  <c r="A237" i="1"/>
  <c r="F236" i="1"/>
  <c r="E236" i="1"/>
  <c r="D236" i="1"/>
  <c r="C236" i="1"/>
  <c r="B236" i="1"/>
  <c r="A236" i="1"/>
  <c r="F235" i="1"/>
  <c r="E235" i="1"/>
  <c r="D235" i="1"/>
  <c r="C235" i="1"/>
  <c r="B235" i="1"/>
  <c r="A235" i="1"/>
  <c r="F234" i="1"/>
  <c r="E234" i="1"/>
  <c r="D234" i="1"/>
  <c r="C234" i="1"/>
  <c r="B234" i="1"/>
  <c r="A234" i="1"/>
  <c r="F233" i="1"/>
  <c r="E233" i="1"/>
  <c r="D233" i="1"/>
  <c r="C233" i="1"/>
  <c r="B233" i="1"/>
  <c r="A233" i="1"/>
  <c r="F232" i="1"/>
  <c r="E232" i="1"/>
  <c r="D232" i="1"/>
  <c r="C232" i="1"/>
  <c r="B232" i="1"/>
  <c r="A232" i="1"/>
  <c r="F231" i="1"/>
  <c r="E231" i="1"/>
  <c r="D231" i="1"/>
  <c r="C231" i="1"/>
  <c r="B231" i="1"/>
  <c r="A231" i="1"/>
  <c r="F230" i="1"/>
  <c r="E230" i="1"/>
  <c r="D230" i="1"/>
  <c r="C230" i="1"/>
  <c r="B230" i="1"/>
  <c r="A230" i="1"/>
  <c r="F229" i="1"/>
  <c r="E229" i="1"/>
  <c r="D229" i="1"/>
  <c r="C229" i="1"/>
  <c r="B229" i="1"/>
  <c r="A229" i="1"/>
  <c r="F228" i="1"/>
  <c r="E228" i="1"/>
  <c r="D228" i="1"/>
  <c r="C228" i="1"/>
  <c r="B228" i="1"/>
  <c r="A228" i="1"/>
  <c r="F227" i="1"/>
  <c r="E227" i="1"/>
  <c r="D227" i="1"/>
  <c r="C227" i="1"/>
  <c r="B227" i="1"/>
  <c r="A227" i="1"/>
  <c r="F226" i="1"/>
  <c r="E226" i="1"/>
  <c r="D226" i="1"/>
  <c r="C226" i="1"/>
  <c r="B226" i="1"/>
  <c r="A226" i="1"/>
  <c r="F225" i="1"/>
  <c r="E225" i="1"/>
  <c r="D225" i="1"/>
  <c r="C225" i="1"/>
  <c r="B225" i="1"/>
  <c r="A225" i="1"/>
  <c r="F224" i="1"/>
  <c r="E224" i="1"/>
  <c r="D224" i="1"/>
  <c r="C224" i="1"/>
  <c r="B224" i="1"/>
  <c r="A224" i="1"/>
  <c r="F223" i="1"/>
  <c r="E223" i="1"/>
  <c r="D223" i="1"/>
  <c r="C223" i="1"/>
  <c r="B223" i="1"/>
  <c r="A223" i="1"/>
  <c r="F222" i="1"/>
  <c r="E222" i="1"/>
  <c r="D222" i="1"/>
  <c r="C222" i="1"/>
  <c r="B222" i="1"/>
  <c r="A222" i="1"/>
  <c r="F221" i="1"/>
  <c r="E221" i="1"/>
  <c r="D221" i="1"/>
  <c r="C221" i="1"/>
  <c r="B221" i="1"/>
  <c r="A221" i="1"/>
  <c r="F220" i="1"/>
  <c r="E220" i="1"/>
  <c r="D220" i="1"/>
  <c r="C220" i="1"/>
  <c r="B220" i="1"/>
  <c r="A220" i="1"/>
  <c r="F219" i="1"/>
  <c r="E219" i="1"/>
  <c r="D219" i="1"/>
  <c r="C219" i="1"/>
  <c r="B219" i="1"/>
  <c r="A219" i="1"/>
  <c r="F218" i="1"/>
  <c r="E218" i="1"/>
  <c r="D218" i="1"/>
  <c r="C218" i="1"/>
  <c r="B218" i="1"/>
  <c r="A218" i="1"/>
  <c r="F217" i="1"/>
  <c r="E217" i="1"/>
  <c r="D217" i="1"/>
  <c r="C217" i="1"/>
  <c r="B217" i="1"/>
  <c r="A217" i="1"/>
  <c r="F216" i="1"/>
  <c r="E216" i="1"/>
  <c r="D216" i="1"/>
  <c r="C216" i="1"/>
  <c r="B216" i="1"/>
  <c r="A216" i="1"/>
  <c r="F215" i="1"/>
  <c r="E215" i="1"/>
  <c r="D215" i="1"/>
  <c r="C215" i="1"/>
  <c r="B215" i="1"/>
  <c r="A215" i="1"/>
  <c r="F214" i="1"/>
  <c r="E214" i="1"/>
  <c r="D214" i="1"/>
  <c r="C214" i="1"/>
  <c r="B214" i="1"/>
  <c r="A214" i="1"/>
  <c r="F213" i="1"/>
  <c r="E213" i="1"/>
  <c r="D213" i="1"/>
  <c r="C213" i="1"/>
  <c r="B213" i="1"/>
  <c r="A213" i="1"/>
  <c r="F212" i="1"/>
  <c r="E212" i="1"/>
  <c r="D212" i="1"/>
  <c r="C212" i="1"/>
  <c r="B212" i="1"/>
  <c r="A212" i="1"/>
  <c r="F211" i="1"/>
  <c r="E211" i="1"/>
  <c r="D211" i="1"/>
  <c r="C211" i="1"/>
  <c r="B211" i="1"/>
  <c r="A211" i="1"/>
  <c r="F210" i="1"/>
  <c r="E210" i="1"/>
  <c r="D210" i="1"/>
  <c r="C210" i="1"/>
  <c r="B210" i="1"/>
  <c r="A210" i="1"/>
  <c r="F209" i="1"/>
  <c r="E209" i="1"/>
  <c r="D209" i="1"/>
  <c r="C209" i="1"/>
  <c r="B209" i="1"/>
  <c r="A209" i="1"/>
  <c r="F208" i="1"/>
  <c r="E208" i="1"/>
  <c r="D208" i="1"/>
  <c r="C208" i="1"/>
  <c r="B208" i="1"/>
  <c r="A208" i="1"/>
  <c r="F207" i="1"/>
  <c r="E207" i="1"/>
  <c r="D207" i="1"/>
  <c r="C207" i="1"/>
  <c r="B207" i="1"/>
  <c r="A207" i="1"/>
  <c r="F206" i="1"/>
  <c r="E206" i="1"/>
  <c r="D206" i="1"/>
  <c r="C206" i="1"/>
  <c r="B206" i="1"/>
  <c r="A206" i="1"/>
  <c r="F205" i="1"/>
  <c r="E205" i="1"/>
  <c r="D205" i="1"/>
  <c r="C205" i="1"/>
  <c r="B205" i="1"/>
  <c r="A205" i="1"/>
  <c r="F204" i="1"/>
  <c r="E204" i="1"/>
  <c r="D204" i="1"/>
  <c r="C204" i="1"/>
  <c r="B204" i="1"/>
  <c r="A204" i="1"/>
  <c r="F203" i="1"/>
  <c r="E203" i="1"/>
  <c r="D203" i="1"/>
  <c r="C203" i="1"/>
  <c r="B203" i="1"/>
  <c r="A203" i="1"/>
  <c r="F202" i="1"/>
  <c r="E202" i="1"/>
  <c r="D202" i="1"/>
  <c r="C202" i="1"/>
  <c r="B202" i="1"/>
  <c r="A202" i="1"/>
  <c r="F201" i="1"/>
  <c r="E201" i="1"/>
  <c r="D201" i="1"/>
  <c r="C201" i="1"/>
  <c r="B201" i="1"/>
  <c r="A201" i="1"/>
  <c r="F200" i="1"/>
  <c r="E200" i="1"/>
  <c r="D200" i="1"/>
  <c r="C200" i="1"/>
  <c r="B200" i="1"/>
  <c r="A200" i="1"/>
  <c r="F199" i="1"/>
  <c r="E199" i="1"/>
  <c r="D199" i="1"/>
  <c r="C199" i="1"/>
  <c r="B199" i="1"/>
  <c r="A199" i="1"/>
  <c r="F198" i="1"/>
  <c r="E198" i="1"/>
  <c r="D198" i="1"/>
  <c r="C198" i="1"/>
  <c r="B198" i="1"/>
  <c r="A198" i="1"/>
  <c r="F197" i="1"/>
  <c r="E197" i="1"/>
  <c r="D197" i="1"/>
  <c r="C197" i="1"/>
  <c r="B197" i="1"/>
  <c r="A197" i="1"/>
  <c r="F196" i="1"/>
  <c r="E196" i="1"/>
  <c r="D196" i="1"/>
  <c r="C196" i="1"/>
  <c r="B196" i="1"/>
  <c r="A196" i="1"/>
  <c r="F195" i="1"/>
  <c r="E195" i="1"/>
  <c r="D195" i="1"/>
  <c r="C195" i="1"/>
  <c r="B195" i="1"/>
  <c r="A195" i="1"/>
  <c r="F194" i="1"/>
  <c r="E194" i="1"/>
  <c r="D194" i="1"/>
  <c r="C194" i="1"/>
  <c r="B194" i="1"/>
  <c r="A194" i="1"/>
  <c r="F193" i="1"/>
  <c r="E193" i="1"/>
  <c r="D193" i="1"/>
  <c r="C193" i="1"/>
  <c r="B193" i="1"/>
  <c r="A193" i="1"/>
  <c r="F192" i="1"/>
  <c r="E192" i="1"/>
  <c r="D192" i="1"/>
  <c r="C192" i="1"/>
  <c r="B192" i="1"/>
  <c r="A192" i="1"/>
  <c r="F191" i="1"/>
  <c r="E191" i="1"/>
  <c r="D191" i="1"/>
  <c r="C191" i="1"/>
  <c r="B191" i="1"/>
  <c r="A191" i="1"/>
  <c r="F190" i="1"/>
  <c r="E190" i="1"/>
  <c r="D190" i="1"/>
  <c r="C190" i="1"/>
  <c r="B190" i="1"/>
  <c r="A190" i="1"/>
  <c r="F189" i="1"/>
  <c r="E189" i="1"/>
  <c r="D189" i="1"/>
  <c r="C189" i="1"/>
  <c r="B189" i="1"/>
  <c r="A189" i="1"/>
  <c r="F188" i="1"/>
  <c r="E188" i="1"/>
  <c r="D188" i="1"/>
  <c r="C188" i="1"/>
  <c r="B188" i="1"/>
  <c r="A188" i="1"/>
  <c r="F187" i="1"/>
  <c r="E187" i="1"/>
  <c r="D187" i="1"/>
  <c r="C187" i="1"/>
  <c r="B187" i="1"/>
  <c r="A187" i="1"/>
  <c r="F186" i="1"/>
  <c r="E186" i="1"/>
  <c r="D186" i="1"/>
  <c r="C186" i="1"/>
  <c r="B186" i="1"/>
  <c r="A186" i="1"/>
  <c r="F185" i="1"/>
  <c r="E185" i="1"/>
  <c r="D185" i="1"/>
  <c r="C185" i="1"/>
  <c r="B185" i="1"/>
  <c r="A185" i="1"/>
  <c r="F184" i="1"/>
  <c r="E184" i="1"/>
  <c r="D184" i="1"/>
  <c r="C184" i="1"/>
  <c r="B184" i="1"/>
  <c r="A184" i="1"/>
  <c r="F183" i="1"/>
  <c r="E183" i="1"/>
  <c r="D183" i="1"/>
  <c r="C183" i="1"/>
  <c r="B183" i="1"/>
  <c r="A183" i="1"/>
  <c r="F182" i="1"/>
  <c r="E182" i="1"/>
  <c r="D182" i="1"/>
  <c r="C182" i="1"/>
  <c r="B182" i="1"/>
  <c r="A182" i="1"/>
  <c r="F181" i="1"/>
  <c r="E181" i="1"/>
  <c r="D181" i="1"/>
  <c r="C181" i="1"/>
  <c r="B181" i="1"/>
  <c r="A181" i="1"/>
  <c r="F180" i="1"/>
  <c r="E180" i="1"/>
  <c r="D180" i="1"/>
  <c r="C180" i="1"/>
  <c r="B180" i="1"/>
  <c r="A180" i="1"/>
  <c r="F179" i="1"/>
  <c r="E179" i="1"/>
  <c r="D179" i="1"/>
  <c r="C179" i="1"/>
  <c r="B179" i="1"/>
  <c r="A179" i="1"/>
  <c r="F178" i="1"/>
  <c r="E178" i="1"/>
  <c r="D178" i="1"/>
  <c r="C178" i="1"/>
  <c r="B178" i="1"/>
  <c r="A178" i="1"/>
  <c r="F177" i="1"/>
  <c r="E177" i="1"/>
  <c r="D177" i="1"/>
  <c r="C177" i="1"/>
  <c r="B177" i="1"/>
  <c r="A177" i="1"/>
  <c r="F176" i="1"/>
  <c r="E176" i="1"/>
  <c r="D176" i="1"/>
  <c r="C176" i="1"/>
  <c r="B176" i="1"/>
  <c r="A176" i="1"/>
  <c r="F175" i="1"/>
  <c r="E175" i="1"/>
  <c r="D175" i="1"/>
  <c r="C175" i="1"/>
  <c r="B175" i="1"/>
  <c r="A175" i="1"/>
  <c r="F174" i="1"/>
  <c r="E174" i="1"/>
  <c r="D174" i="1"/>
  <c r="C174" i="1"/>
  <c r="B174" i="1"/>
  <c r="A174" i="1"/>
  <c r="F173" i="1"/>
  <c r="E173" i="1"/>
  <c r="D173" i="1"/>
  <c r="C173" i="1"/>
  <c r="B173" i="1"/>
  <c r="A173" i="1"/>
  <c r="F172" i="1"/>
  <c r="E172" i="1"/>
  <c r="D172" i="1"/>
  <c r="C172" i="1"/>
  <c r="B172" i="1"/>
  <c r="A172" i="1"/>
  <c r="F171" i="1"/>
  <c r="E171" i="1"/>
  <c r="D171" i="1"/>
  <c r="C171" i="1"/>
  <c r="B171" i="1"/>
  <c r="A171" i="1"/>
  <c r="F170" i="1"/>
  <c r="E170" i="1"/>
  <c r="D170" i="1"/>
  <c r="C170" i="1"/>
  <c r="B170" i="1"/>
  <c r="A170" i="1"/>
  <c r="F169" i="1"/>
  <c r="E169" i="1"/>
  <c r="D169" i="1"/>
  <c r="C169" i="1"/>
  <c r="B169" i="1"/>
  <c r="A169" i="1"/>
  <c r="F168" i="1"/>
  <c r="E168" i="1"/>
  <c r="D168" i="1"/>
  <c r="C168" i="1"/>
  <c r="B168" i="1"/>
  <c r="A168" i="1"/>
  <c r="F167" i="1"/>
  <c r="E167" i="1"/>
  <c r="D167" i="1"/>
  <c r="C167" i="1"/>
  <c r="B167" i="1"/>
  <c r="A167" i="1"/>
  <c r="F166" i="1"/>
  <c r="E166" i="1"/>
  <c r="D166" i="1"/>
  <c r="C166" i="1"/>
  <c r="B166" i="1"/>
  <c r="A166" i="1"/>
  <c r="F165" i="1"/>
  <c r="E165" i="1"/>
  <c r="D165" i="1"/>
  <c r="C165" i="1"/>
  <c r="B165" i="1"/>
  <c r="A165" i="1"/>
  <c r="F164" i="1"/>
  <c r="E164" i="1"/>
  <c r="D164" i="1"/>
  <c r="C164" i="1"/>
  <c r="B164" i="1"/>
  <c r="A164" i="1"/>
  <c r="F163" i="1"/>
  <c r="E163" i="1"/>
  <c r="D163" i="1"/>
  <c r="C163" i="1"/>
  <c r="B163" i="1"/>
  <c r="A163" i="1"/>
  <c r="F162" i="1"/>
  <c r="E162" i="1"/>
  <c r="D162" i="1"/>
  <c r="C162" i="1"/>
  <c r="B162" i="1"/>
  <c r="A162" i="1"/>
  <c r="F161" i="1"/>
  <c r="E161" i="1"/>
  <c r="D161" i="1"/>
  <c r="C161" i="1"/>
  <c r="B161" i="1"/>
  <c r="A161" i="1"/>
  <c r="F160" i="1"/>
  <c r="E160" i="1"/>
  <c r="D160" i="1"/>
  <c r="C160" i="1"/>
  <c r="B160" i="1"/>
  <c r="A160" i="1"/>
  <c r="F159" i="1"/>
  <c r="E159" i="1"/>
  <c r="D159" i="1"/>
  <c r="C159" i="1"/>
  <c r="B159" i="1"/>
  <c r="A159" i="1"/>
  <c r="F158" i="1"/>
  <c r="E158" i="1"/>
  <c r="D158" i="1"/>
  <c r="C158" i="1"/>
  <c r="B158" i="1"/>
  <c r="A158" i="1"/>
  <c r="F157" i="1"/>
  <c r="E157" i="1"/>
  <c r="D157" i="1"/>
  <c r="C157" i="1"/>
  <c r="B157" i="1"/>
  <c r="A157" i="1"/>
  <c r="F156" i="1"/>
  <c r="E156" i="1"/>
  <c r="D156" i="1"/>
  <c r="C156" i="1"/>
  <c r="B156" i="1"/>
  <c r="A156" i="1"/>
  <c r="F155" i="1"/>
  <c r="E155" i="1"/>
  <c r="D155" i="1"/>
  <c r="C155" i="1"/>
  <c r="B155" i="1"/>
  <c r="A155" i="1"/>
  <c r="F154" i="1"/>
  <c r="E154" i="1"/>
  <c r="D154" i="1"/>
  <c r="C154" i="1"/>
  <c r="B154" i="1"/>
  <c r="A154" i="1"/>
  <c r="F153" i="1"/>
  <c r="E153" i="1"/>
  <c r="D153" i="1"/>
  <c r="C153" i="1"/>
  <c r="B153" i="1"/>
  <c r="A153" i="1"/>
  <c r="F152" i="1"/>
  <c r="E152" i="1"/>
  <c r="D152" i="1"/>
  <c r="C152" i="1"/>
  <c r="B152" i="1"/>
  <c r="A152" i="1"/>
  <c r="F151" i="1"/>
  <c r="E151" i="1"/>
  <c r="D151" i="1"/>
  <c r="C151" i="1"/>
  <c r="B151" i="1"/>
  <c r="A151" i="1"/>
  <c r="F150" i="1"/>
  <c r="E150" i="1"/>
  <c r="D150" i="1"/>
  <c r="C150" i="1"/>
  <c r="B150" i="1"/>
  <c r="A150" i="1"/>
  <c r="F149" i="1"/>
  <c r="E149" i="1"/>
  <c r="D149" i="1"/>
  <c r="C149" i="1"/>
  <c r="B149" i="1"/>
  <c r="A149" i="1"/>
  <c r="F148" i="1"/>
  <c r="E148" i="1"/>
  <c r="D148" i="1"/>
  <c r="C148" i="1"/>
  <c r="B148" i="1"/>
  <c r="A148" i="1"/>
  <c r="F147" i="1"/>
  <c r="E147" i="1"/>
  <c r="D147" i="1"/>
  <c r="C147" i="1"/>
  <c r="B147" i="1"/>
  <c r="A147" i="1"/>
  <c r="F146" i="1"/>
  <c r="E146" i="1"/>
  <c r="D146" i="1"/>
  <c r="C146" i="1"/>
  <c r="B146" i="1"/>
  <c r="A146" i="1"/>
  <c r="F145" i="1"/>
  <c r="E145" i="1"/>
  <c r="D145" i="1"/>
  <c r="C145" i="1"/>
  <c r="B145" i="1"/>
  <c r="A145" i="1"/>
  <c r="F144" i="1"/>
  <c r="E144" i="1"/>
  <c r="D144" i="1"/>
  <c r="C144" i="1"/>
  <c r="B144" i="1"/>
  <c r="A144" i="1"/>
  <c r="F143" i="1"/>
  <c r="E143" i="1"/>
  <c r="D143" i="1"/>
  <c r="C143" i="1"/>
  <c r="B143" i="1"/>
  <c r="A143" i="1"/>
  <c r="F142" i="1"/>
  <c r="E142" i="1"/>
  <c r="D142" i="1"/>
  <c r="C142" i="1"/>
  <c r="B142" i="1"/>
  <c r="A142" i="1"/>
  <c r="F141" i="1"/>
  <c r="E141" i="1"/>
  <c r="D141" i="1"/>
  <c r="C141" i="1"/>
  <c r="B141" i="1"/>
  <c r="A141" i="1"/>
  <c r="F140" i="1"/>
  <c r="E140" i="1"/>
  <c r="D140" i="1"/>
  <c r="C140" i="1"/>
  <c r="B140" i="1"/>
  <c r="A140" i="1"/>
  <c r="F139" i="1"/>
  <c r="E139" i="1"/>
  <c r="D139" i="1"/>
  <c r="C139" i="1"/>
  <c r="B139" i="1"/>
  <c r="A139" i="1"/>
  <c r="F138" i="1"/>
  <c r="E138" i="1"/>
  <c r="D138" i="1"/>
  <c r="C138" i="1"/>
  <c r="B138" i="1"/>
  <c r="A138" i="1"/>
  <c r="F137" i="1"/>
  <c r="E137" i="1"/>
  <c r="D137" i="1"/>
  <c r="C137" i="1"/>
  <c r="B137" i="1"/>
  <c r="A137" i="1"/>
  <c r="F136" i="1"/>
  <c r="E136" i="1"/>
  <c r="D136" i="1"/>
  <c r="C136" i="1"/>
  <c r="B136" i="1"/>
  <c r="A136" i="1"/>
  <c r="F135" i="1"/>
  <c r="E135" i="1"/>
  <c r="D135" i="1"/>
  <c r="C135" i="1"/>
  <c r="B135" i="1"/>
  <c r="A135" i="1"/>
  <c r="F134" i="1"/>
  <c r="E134" i="1"/>
  <c r="D134" i="1"/>
  <c r="C134" i="1"/>
  <c r="B134" i="1"/>
  <c r="A134" i="1"/>
  <c r="F133" i="1"/>
  <c r="E133" i="1"/>
  <c r="D133" i="1"/>
  <c r="C133" i="1"/>
  <c r="B133" i="1"/>
  <c r="A133" i="1"/>
  <c r="F132" i="1"/>
  <c r="E132" i="1"/>
  <c r="D132" i="1"/>
  <c r="C132" i="1"/>
  <c r="B132" i="1"/>
  <c r="A132" i="1"/>
  <c r="F131" i="1"/>
  <c r="E131" i="1"/>
  <c r="D131" i="1"/>
  <c r="C131" i="1"/>
  <c r="B131" i="1"/>
  <c r="A131" i="1"/>
  <c r="F130" i="1"/>
  <c r="E130" i="1"/>
  <c r="D130" i="1"/>
  <c r="C130" i="1"/>
  <c r="B130" i="1"/>
  <c r="A130" i="1"/>
  <c r="F129" i="1"/>
  <c r="E129" i="1"/>
  <c r="D129" i="1"/>
  <c r="C129" i="1"/>
  <c r="B129" i="1"/>
  <c r="A129" i="1"/>
  <c r="F128" i="1"/>
  <c r="E128" i="1"/>
  <c r="D128" i="1"/>
  <c r="C128" i="1"/>
  <c r="B128" i="1"/>
  <c r="A128" i="1"/>
  <c r="F127" i="1"/>
  <c r="E127" i="1"/>
  <c r="D127" i="1"/>
  <c r="C127" i="1"/>
  <c r="B127" i="1"/>
  <c r="A127" i="1"/>
  <c r="F126" i="1"/>
  <c r="E126" i="1"/>
  <c r="D126" i="1"/>
  <c r="C126" i="1"/>
  <c r="B126" i="1"/>
  <c r="A126" i="1"/>
  <c r="F125" i="1"/>
  <c r="E125" i="1"/>
  <c r="D125" i="1"/>
  <c r="C125" i="1"/>
  <c r="B125" i="1"/>
  <c r="A125" i="1"/>
  <c r="F124" i="1"/>
  <c r="E124" i="1"/>
  <c r="D124" i="1"/>
  <c r="C124" i="1"/>
  <c r="B124" i="1"/>
  <c r="A124" i="1"/>
  <c r="F123" i="1"/>
  <c r="E123" i="1"/>
  <c r="D123" i="1"/>
  <c r="C123" i="1"/>
  <c r="B123" i="1"/>
  <c r="A123" i="1"/>
  <c r="F122" i="1"/>
  <c r="E122" i="1"/>
  <c r="D122" i="1"/>
  <c r="C122" i="1"/>
  <c r="B122" i="1"/>
  <c r="A122" i="1"/>
  <c r="F121" i="1"/>
  <c r="E121" i="1"/>
  <c r="D121" i="1"/>
  <c r="C121" i="1"/>
  <c r="B121" i="1"/>
  <c r="A121" i="1"/>
  <c r="F120" i="1"/>
  <c r="E120" i="1"/>
  <c r="D120" i="1"/>
  <c r="C120" i="1"/>
  <c r="B120" i="1"/>
  <c r="A120" i="1"/>
  <c r="F119" i="1"/>
  <c r="E119" i="1"/>
  <c r="D119" i="1"/>
  <c r="C119" i="1"/>
  <c r="B119" i="1"/>
  <c r="A119" i="1"/>
  <c r="F118" i="1"/>
  <c r="E118" i="1"/>
  <c r="D118" i="1"/>
  <c r="C118" i="1"/>
  <c r="B118" i="1"/>
  <c r="A118" i="1"/>
  <c r="F117" i="1"/>
  <c r="E117" i="1"/>
  <c r="D117" i="1"/>
  <c r="C117" i="1"/>
  <c r="B117" i="1"/>
  <c r="A117" i="1"/>
  <c r="F116" i="1"/>
  <c r="E116" i="1"/>
  <c r="D116" i="1"/>
  <c r="C116" i="1"/>
  <c r="B116" i="1"/>
  <c r="A116" i="1"/>
  <c r="F115" i="1"/>
  <c r="E115" i="1"/>
  <c r="D115" i="1"/>
  <c r="C115" i="1"/>
  <c r="B115" i="1"/>
  <c r="A115" i="1"/>
  <c r="F114" i="1"/>
  <c r="E114" i="1"/>
  <c r="D114" i="1"/>
  <c r="C114" i="1"/>
  <c r="B114" i="1"/>
  <c r="A114" i="1"/>
  <c r="F113" i="1"/>
  <c r="E113" i="1"/>
  <c r="D113" i="1"/>
  <c r="C113" i="1"/>
  <c r="B113" i="1"/>
  <c r="A113" i="1"/>
  <c r="F112" i="1"/>
  <c r="E112" i="1"/>
  <c r="D112" i="1"/>
  <c r="C112" i="1"/>
  <c r="B112" i="1"/>
  <c r="A112" i="1"/>
  <c r="F111" i="1"/>
  <c r="E111" i="1"/>
  <c r="D111" i="1"/>
  <c r="C111" i="1"/>
  <c r="B111" i="1"/>
  <c r="A111" i="1"/>
  <c r="F110" i="1"/>
  <c r="E110" i="1"/>
  <c r="D110" i="1"/>
  <c r="C110" i="1"/>
  <c r="B110" i="1"/>
  <c r="A110" i="1"/>
  <c r="F109" i="1"/>
  <c r="E109" i="1"/>
  <c r="D109" i="1"/>
  <c r="C109" i="1"/>
  <c r="B109" i="1"/>
  <c r="A109" i="1"/>
  <c r="F108" i="1"/>
  <c r="E108" i="1"/>
  <c r="D108" i="1"/>
  <c r="C108" i="1"/>
  <c r="B108" i="1"/>
  <c r="A108" i="1"/>
  <c r="F107" i="1"/>
  <c r="E107" i="1"/>
  <c r="D107" i="1"/>
  <c r="C107" i="1"/>
  <c r="B107" i="1"/>
  <c r="A107" i="1"/>
  <c r="F106" i="1"/>
  <c r="E106" i="1"/>
  <c r="D106" i="1"/>
  <c r="C106" i="1"/>
  <c r="B106" i="1"/>
  <c r="A106" i="1"/>
  <c r="F105" i="1"/>
  <c r="E105" i="1"/>
  <c r="D105" i="1"/>
  <c r="C105" i="1"/>
  <c r="B105" i="1"/>
  <c r="A105" i="1"/>
  <c r="F104" i="1"/>
  <c r="E104" i="1"/>
  <c r="D104" i="1"/>
  <c r="C104" i="1"/>
  <c r="B104" i="1"/>
  <c r="A104" i="1"/>
  <c r="F103" i="1"/>
  <c r="E103" i="1"/>
  <c r="D103" i="1"/>
  <c r="C103" i="1"/>
  <c r="B103" i="1"/>
  <c r="A103" i="1"/>
  <c r="F102" i="1"/>
  <c r="E102" i="1"/>
  <c r="D102" i="1"/>
  <c r="C102" i="1"/>
  <c r="B102" i="1"/>
  <c r="A102" i="1"/>
  <c r="F101" i="1"/>
  <c r="E101" i="1"/>
  <c r="D101" i="1"/>
  <c r="C101" i="1"/>
  <c r="B101" i="1"/>
  <c r="A101" i="1"/>
  <c r="F100" i="1"/>
  <c r="E100" i="1"/>
  <c r="D100" i="1"/>
  <c r="C100" i="1"/>
  <c r="B100" i="1"/>
  <c r="A100" i="1"/>
  <c r="F99" i="1"/>
  <c r="E99" i="1"/>
  <c r="D99" i="1"/>
  <c r="C99" i="1"/>
  <c r="B99" i="1"/>
  <c r="A99" i="1"/>
  <c r="F98" i="1"/>
  <c r="E98" i="1"/>
  <c r="D98" i="1"/>
  <c r="C98" i="1"/>
  <c r="B98" i="1"/>
  <c r="A98" i="1"/>
  <c r="F97" i="1"/>
  <c r="E97" i="1"/>
  <c r="D97" i="1"/>
  <c r="C97" i="1"/>
  <c r="B97" i="1"/>
  <c r="A97" i="1"/>
  <c r="F96" i="1"/>
  <c r="E96" i="1"/>
  <c r="D96" i="1"/>
  <c r="C96" i="1"/>
  <c r="B96" i="1"/>
  <c r="A96" i="1"/>
  <c r="F95" i="1"/>
  <c r="E95" i="1"/>
  <c r="D95" i="1"/>
  <c r="C95" i="1"/>
  <c r="B95" i="1"/>
  <c r="A95" i="1"/>
  <c r="F94" i="1"/>
  <c r="E94" i="1"/>
  <c r="D94" i="1"/>
  <c r="C94" i="1"/>
  <c r="B94" i="1"/>
  <c r="A94" i="1"/>
  <c r="F93" i="1"/>
  <c r="E93" i="1"/>
  <c r="D93" i="1"/>
  <c r="C93" i="1"/>
  <c r="B93" i="1"/>
  <c r="A93" i="1"/>
  <c r="F92" i="1"/>
  <c r="E92" i="1"/>
  <c r="D92" i="1"/>
  <c r="C92" i="1"/>
  <c r="B92" i="1"/>
  <c r="A92" i="1"/>
  <c r="F91" i="1"/>
  <c r="E91" i="1"/>
  <c r="D91" i="1"/>
  <c r="C91" i="1"/>
  <c r="B91" i="1"/>
  <c r="A91" i="1"/>
  <c r="F90" i="1"/>
  <c r="E90" i="1"/>
  <c r="D90" i="1"/>
  <c r="C90" i="1"/>
  <c r="B90" i="1"/>
  <c r="A90" i="1"/>
  <c r="F89" i="1"/>
  <c r="E89" i="1"/>
  <c r="D89" i="1"/>
  <c r="C89" i="1"/>
  <c r="B89" i="1"/>
  <c r="A89" i="1"/>
  <c r="F88" i="1"/>
  <c r="E88" i="1"/>
  <c r="D88" i="1"/>
  <c r="C88" i="1"/>
  <c r="B88" i="1"/>
  <c r="A88" i="1"/>
  <c r="F87" i="1"/>
  <c r="E87" i="1"/>
  <c r="D87" i="1"/>
  <c r="C87" i="1"/>
  <c r="B87" i="1"/>
  <c r="A87" i="1"/>
  <c r="F86" i="1"/>
  <c r="E86" i="1"/>
  <c r="D86" i="1"/>
  <c r="C86" i="1"/>
  <c r="B86" i="1"/>
  <c r="A86" i="1"/>
  <c r="F85" i="1"/>
  <c r="E85" i="1"/>
  <c r="D85" i="1"/>
  <c r="C85" i="1"/>
  <c r="B85" i="1"/>
  <c r="A85" i="1"/>
  <c r="F84" i="1"/>
  <c r="E84" i="1"/>
  <c r="D84" i="1"/>
  <c r="C84" i="1"/>
  <c r="B84" i="1"/>
  <c r="A84" i="1"/>
  <c r="F83" i="1"/>
  <c r="E83" i="1"/>
  <c r="D83" i="1"/>
  <c r="C83" i="1"/>
  <c r="B83" i="1"/>
  <c r="A83" i="1"/>
  <c r="F82" i="1"/>
  <c r="E82" i="1"/>
  <c r="D82" i="1"/>
  <c r="C82" i="1"/>
  <c r="B82" i="1"/>
  <c r="A82" i="1"/>
  <c r="F81" i="1"/>
  <c r="E81" i="1"/>
  <c r="D81" i="1"/>
  <c r="C81" i="1"/>
  <c r="B81" i="1"/>
  <c r="A81" i="1"/>
  <c r="F80" i="1"/>
  <c r="E80" i="1"/>
  <c r="D80" i="1"/>
  <c r="C80" i="1"/>
  <c r="B80" i="1"/>
  <c r="A80" i="1"/>
  <c r="F79" i="1"/>
  <c r="E79" i="1"/>
  <c r="D79" i="1"/>
  <c r="C79" i="1"/>
  <c r="B79" i="1"/>
  <c r="A79" i="1"/>
  <c r="F78" i="1"/>
  <c r="E78" i="1"/>
  <c r="D78" i="1"/>
  <c r="C78" i="1"/>
  <c r="B78" i="1"/>
  <c r="A78" i="1"/>
  <c r="F77" i="1"/>
  <c r="E77" i="1"/>
  <c r="D77" i="1"/>
  <c r="C77" i="1"/>
  <c r="B77" i="1"/>
  <c r="A77" i="1"/>
  <c r="F76" i="1"/>
  <c r="E76" i="1"/>
  <c r="D76" i="1"/>
  <c r="C76" i="1"/>
  <c r="B76" i="1"/>
  <c r="A76" i="1"/>
  <c r="F75" i="1"/>
  <c r="E75" i="1"/>
  <c r="D75" i="1"/>
  <c r="C75" i="1"/>
  <c r="B75" i="1"/>
  <c r="A75" i="1"/>
  <c r="F74" i="1"/>
  <c r="E74" i="1"/>
  <c r="D74" i="1"/>
  <c r="C74" i="1"/>
  <c r="B74" i="1"/>
  <c r="A74" i="1"/>
  <c r="F73" i="1"/>
  <c r="E73" i="1"/>
  <c r="D73" i="1"/>
  <c r="C73" i="1"/>
  <c r="B73" i="1"/>
  <c r="A73" i="1"/>
  <c r="F72" i="1"/>
  <c r="E72" i="1"/>
  <c r="D72" i="1"/>
  <c r="C72" i="1"/>
  <c r="B72" i="1"/>
  <c r="A72" i="1"/>
  <c r="F71" i="1"/>
  <c r="E71" i="1"/>
  <c r="D71" i="1"/>
  <c r="C71" i="1"/>
  <c r="B71" i="1"/>
  <c r="A71" i="1"/>
  <c r="F70" i="1"/>
  <c r="E70" i="1"/>
  <c r="D70" i="1"/>
  <c r="C70" i="1"/>
  <c r="B70" i="1"/>
  <c r="A70" i="1"/>
  <c r="F69" i="1"/>
  <c r="E69" i="1"/>
  <c r="D69" i="1"/>
  <c r="C69" i="1"/>
  <c r="B69" i="1"/>
  <c r="A69" i="1"/>
  <c r="F68" i="1"/>
  <c r="E68" i="1"/>
  <c r="D68" i="1"/>
  <c r="C68" i="1"/>
  <c r="B68" i="1"/>
  <c r="A68" i="1"/>
  <c r="F67" i="1"/>
  <c r="E67" i="1"/>
  <c r="D67" i="1"/>
  <c r="C67" i="1"/>
  <c r="B67" i="1"/>
  <c r="A67" i="1"/>
  <c r="F66" i="1"/>
  <c r="E66" i="1"/>
  <c r="D66" i="1"/>
  <c r="C66" i="1"/>
  <c r="B66" i="1"/>
  <c r="A66" i="1"/>
  <c r="F65" i="1"/>
  <c r="E65" i="1"/>
  <c r="D65" i="1"/>
  <c r="C65" i="1"/>
  <c r="B65" i="1"/>
  <c r="A65" i="1"/>
  <c r="F64" i="1"/>
  <c r="E64" i="1"/>
  <c r="D64" i="1"/>
  <c r="C64" i="1"/>
  <c r="B64" i="1"/>
  <c r="A64" i="1"/>
  <c r="F63" i="1"/>
  <c r="E63" i="1"/>
  <c r="D63" i="1"/>
  <c r="C63" i="1"/>
  <c r="B63" i="1"/>
  <c r="A63" i="1"/>
  <c r="F62" i="1"/>
  <c r="E62" i="1"/>
  <c r="D62" i="1"/>
  <c r="C62" i="1"/>
  <c r="B62" i="1"/>
  <c r="A62" i="1"/>
  <c r="F61" i="1"/>
  <c r="E61" i="1"/>
  <c r="D61" i="1"/>
  <c r="C61" i="1"/>
  <c r="B61" i="1"/>
  <c r="A61" i="1"/>
  <c r="F60" i="1"/>
  <c r="E60" i="1"/>
  <c r="D60" i="1"/>
  <c r="C60" i="1"/>
  <c r="B60" i="1"/>
  <c r="A60" i="1"/>
  <c r="F59" i="1"/>
  <c r="E59" i="1"/>
  <c r="D59" i="1"/>
  <c r="C59" i="1"/>
  <c r="B59" i="1"/>
  <c r="A59" i="1"/>
  <c r="F58" i="1"/>
  <c r="E58" i="1"/>
  <c r="D58" i="1"/>
  <c r="C58" i="1"/>
  <c r="B58" i="1"/>
  <c r="A58" i="1"/>
  <c r="F57" i="1"/>
  <c r="E57" i="1"/>
  <c r="D57" i="1"/>
  <c r="C57" i="1"/>
  <c r="B57" i="1"/>
  <c r="A57" i="1"/>
  <c r="F56" i="1"/>
  <c r="E56" i="1"/>
  <c r="D56" i="1"/>
  <c r="C56" i="1"/>
  <c r="B56" i="1"/>
  <c r="A56" i="1"/>
  <c r="F55" i="1"/>
  <c r="E55" i="1"/>
  <c r="D55" i="1"/>
  <c r="C55" i="1"/>
  <c r="B55" i="1"/>
  <c r="A55" i="1"/>
  <c r="F54" i="1"/>
  <c r="E54" i="1"/>
  <c r="D54" i="1"/>
  <c r="C54" i="1"/>
  <c r="B54" i="1"/>
  <c r="A54" i="1"/>
  <c r="F53" i="1"/>
  <c r="E53" i="1"/>
  <c r="D53" i="1"/>
  <c r="C53" i="1"/>
  <c r="B53" i="1"/>
  <c r="A53" i="1"/>
  <c r="F52" i="1"/>
  <c r="E52" i="1"/>
  <c r="D52" i="1"/>
  <c r="C52" i="1"/>
  <c r="B52" i="1"/>
  <c r="A52" i="1"/>
  <c r="F51" i="1"/>
  <c r="E51" i="1"/>
  <c r="D51" i="1"/>
  <c r="C51" i="1"/>
  <c r="B51" i="1"/>
  <c r="A51" i="1"/>
  <c r="F50" i="1"/>
  <c r="E50" i="1"/>
  <c r="D50" i="1"/>
  <c r="C50" i="1"/>
  <c r="B50" i="1"/>
  <c r="A50" i="1"/>
  <c r="F49" i="1"/>
  <c r="E49" i="1"/>
  <c r="D49" i="1"/>
  <c r="C49" i="1"/>
  <c r="B49" i="1"/>
  <c r="A49" i="1"/>
  <c r="F48" i="1"/>
  <c r="E48" i="1"/>
  <c r="D48" i="1"/>
  <c r="C48" i="1"/>
  <c r="B48" i="1"/>
  <c r="A48" i="1"/>
  <c r="F47" i="1"/>
  <c r="E47" i="1"/>
  <c r="D47" i="1"/>
  <c r="C47" i="1"/>
  <c r="B47" i="1"/>
  <c r="A47" i="1"/>
  <c r="F46" i="1"/>
  <c r="E46" i="1"/>
  <c r="D46" i="1"/>
  <c r="C46" i="1"/>
  <c r="B46" i="1"/>
  <c r="A46" i="1"/>
  <c r="F45" i="1"/>
  <c r="E45" i="1"/>
  <c r="D45" i="1"/>
  <c r="C45" i="1"/>
  <c r="B45" i="1"/>
  <c r="A45" i="1"/>
  <c r="F44" i="1"/>
  <c r="E44" i="1"/>
  <c r="D44" i="1"/>
  <c r="C44" i="1"/>
  <c r="B44" i="1"/>
  <c r="A44" i="1"/>
  <c r="F43" i="1"/>
  <c r="E43" i="1"/>
  <c r="D43" i="1"/>
  <c r="C43" i="1"/>
  <c r="B43" i="1"/>
  <c r="A43" i="1"/>
  <c r="F42" i="1"/>
  <c r="E42" i="1"/>
  <c r="D42" i="1"/>
  <c r="C42" i="1"/>
  <c r="B42" i="1"/>
  <c r="A42" i="1"/>
  <c r="F41" i="1"/>
  <c r="E41" i="1"/>
  <c r="D41" i="1"/>
  <c r="C41" i="1"/>
  <c r="B41" i="1"/>
  <c r="A41" i="1"/>
  <c r="F40" i="1"/>
  <c r="E40" i="1"/>
  <c r="D40" i="1"/>
  <c r="C40" i="1"/>
  <c r="B40" i="1"/>
  <c r="A40" i="1"/>
  <c r="F39" i="1"/>
  <c r="E39" i="1"/>
  <c r="D39" i="1"/>
  <c r="C39" i="1"/>
  <c r="B39" i="1"/>
  <c r="A39" i="1"/>
  <c r="F38" i="1"/>
  <c r="E38" i="1"/>
  <c r="D38" i="1"/>
  <c r="C38" i="1"/>
  <c r="B38" i="1"/>
  <c r="A38" i="1"/>
  <c r="F37" i="1"/>
  <c r="E37" i="1"/>
  <c r="D37" i="1"/>
  <c r="C37" i="1"/>
  <c r="B37" i="1"/>
  <c r="A37" i="1"/>
  <c r="F36" i="1"/>
  <c r="E36" i="1"/>
  <c r="D36" i="1"/>
  <c r="C36" i="1"/>
  <c r="B36" i="1"/>
  <c r="A36" i="1"/>
  <c r="F35" i="1"/>
  <c r="E35" i="1"/>
  <c r="D35" i="1"/>
  <c r="C35" i="1"/>
  <c r="B35" i="1"/>
  <c r="A35" i="1"/>
  <c r="F34" i="1"/>
  <c r="E34" i="1"/>
  <c r="D34" i="1"/>
  <c r="C34" i="1"/>
  <c r="B34" i="1"/>
  <c r="A34" i="1"/>
  <c r="F33" i="1"/>
  <c r="E33" i="1"/>
  <c r="D33" i="1"/>
  <c r="C33" i="1"/>
  <c r="B33" i="1"/>
  <c r="A33" i="1"/>
  <c r="F32" i="1"/>
  <c r="E32" i="1"/>
  <c r="D32" i="1"/>
  <c r="C32" i="1"/>
  <c r="B32" i="1"/>
  <c r="A32" i="1"/>
  <c r="F31" i="1"/>
  <c r="E31" i="1"/>
  <c r="D31" i="1"/>
  <c r="C31" i="1"/>
  <c r="B31" i="1"/>
  <c r="A31" i="1"/>
  <c r="F30" i="1"/>
  <c r="E30" i="1"/>
  <c r="D30" i="1"/>
  <c r="C30" i="1"/>
  <c r="B30" i="1"/>
  <c r="A30" i="1"/>
  <c r="F29" i="1"/>
  <c r="E29" i="1"/>
  <c r="D29" i="1"/>
  <c r="C29" i="1"/>
  <c r="B29" i="1"/>
  <c r="A29" i="1"/>
  <c r="F28" i="1"/>
  <c r="E28" i="1"/>
  <c r="D28" i="1"/>
  <c r="C28" i="1"/>
  <c r="B28" i="1"/>
  <c r="A28" i="1"/>
  <c r="F27" i="1"/>
  <c r="E27" i="1"/>
  <c r="D27" i="1"/>
  <c r="C27" i="1"/>
  <c r="B27" i="1"/>
  <c r="A27" i="1"/>
  <c r="F26" i="1"/>
  <c r="E26" i="1"/>
  <c r="D26" i="1"/>
  <c r="C26" i="1"/>
  <c r="B26" i="1"/>
  <c r="A26" i="1"/>
  <c r="F25" i="1"/>
  <c r="E25" i="1"/>
  <c r="D25" i="1"/>
  <c r="C25" i="1"/>
  <c r="B25" i="1"/>
  <c r="A25" i="1"/>
  <c r="F24" i="1"/>
  <c r="E24" i="1"/>
  <c r="D24" i="1"/>
  <c r="C24" i="1"/>
  <c r="B24" i="1"/>
  <c r="A24" i="1"/>
  <c r="F23" i="1"/>
  <c r="E23" i="1"/>
  <c r="D23" i="1"/>
  <c r="C23" i="1"/>
  <c r="B23" i="1"/>
  <c r="A23" i="1"/>
  <c r="F22" i="1"/>
  <c r="E22" i="1"/>
  <c r="D22" i="1"/>
  <c r="C22" i="1"/>
  <c r="B22" i="1"/>
  <c r="A22" i="1"/>
  <c r="F21" i="1"/>
  <c r="E21" i="1"/>
  <c r="D21" i="1"/>
  <c r="C21" i="1"/>
  <c r="B21" i="1"/>
  <c r="A21" i="1"/>
  <c r="F20" i="1"/>
  <c r="E20" i="1"/>
  <c r="D20" i="1"/>
  <c r="C20" i="1"/>
  <c r="B20" i="1"/>
  <c r="A20" i="1"/>
  <c r="F19"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 r="H1649" i="3"/>
  <c r="G1649" i="3"/>
  <c r="F1649" i="3"/>
  <c r="E1649" i="3"/>
  <c r="D1649" i="3"/>
  <c r="C1649" i="3"/>
  <c r="B1649" i="3"/>
  <c r="H1648" i="3"/>
  <c r="G1648" i="3"/>
  <c r="F1648" i="3"/>
  <c r="E1648" i="3"/>
  <c r="D1648" i="3"/>
  <c r="C1648" i="3"/>
  <c r="B1648" i="3"/>
  <c r="H1647" i="3"/>
  <c r="G1647" i="3"/>
  <c r="F1647" i="3"/>
  <c r="E1647" i="3"/>
  <c r="D1647" i="3"/>
  <c r="C1647" i="3"/>
  <c r="B1647" i="3"/>
  <c r="H1646" i="3"/>
  <c r="G1646" i="3"/>
  <c r="F1646" i="3"/>
  <c r="E1646" i="3"/>
  <c r="D1646" i="3"/>
  <c r="C1646" i="3"/>
  <c r="B1646" i="3"/>
  <c r="H1645" i="3"/>
  <c r="G1645" i="3"/>
  <c r="F1645" i="3"/>
  <c r="E1645" i="3"/>
  <c r="D1645" i="3"/>
  <c r="C1645" i="3"/>
  <c r="B1645" i="3"/>
  <c r="H1644" i="3"/>
  <c r="G1644" i="3"/>
  <c r="F1644" i="3"/>
  <c r="E1644" i="3"/>
  <c r="D1644" i="3"/>
  <c r="C1644" i="3"/>
  <c r="B1644" i="3"/>
  <c r="H1643" i="3"/>
  <c r="G1643" i="3"/>
  <c r="F1643" i="3"/>
  <c r="E1643" i="3"/>
  <c r="D1643" i="3"/>
  <c r="C1643" i="3"/>
  <c r="B1643" i="3"/>
  <c r="H1642" i="3"/>
  <c r="G1642" i="3"/>
  <c r="F1642" i="3"/>
  <c r="E1642" i="3"/>
  <c r="D1642" i="3"/>
  <c r="C1642" i="3"/>
  <c r="B1642" i="3"/>
  <c r="H1641" i="3"/>
  <c r="G1641" i="3"/>
  <c r="F1641" i="3"/>
  <c r="E1641" i="3"/>
  <c r="D1641" i="3"/>
  <c r="C1641" i="3"/>
  <c r="B1641" i="3"/>
  <c r="H1640" i="3"/>
  <c r="G1640" i="3"/>
  <c r="F1640" i="3"/>
  <c r="E1640" i="3"/>
  <c r="D1640" i="3"/>
  <c r="C1640" i="3"/>
  <c r="B1640" i="3"/>
  <c r="H1639" i="3"/>
  <c r="G1639" i="3"/>
  <c r="F1639" i="3"/>
  <c r="E1639" i="3"/>
  <c r="D1639" i="3"/>
  <c r="C1639" i="3"/>
  <c r="B1639" i="3"/>
  <c r="H1638" i="3"/>
  <c r="G1638" i="3"/>
  <c r="F1638" i="3"/>
  <c r="E1638" i="3"/>
  <c r="D1638" i="3"/>
  <c r="C1638" i="3"/>
  <c r="B1638" i="3"/>
  <c r="H1637" i="3"/>
  <c r="G1637" i="3"/>
  <c r="F1637" i="3"/>
  <c r="E1637" i="3"/>
  <c r="D1637" i="3"/>
  <c r="C1637" i="3"/>
  <c r="B1637" i="3"/>
  <c r="H1636" i="3"/>
  <c r="G1636" i="3"/>
  <c r="F1636" i="3"/>
  <c r="E1636" i="3"/>
  <c r="D1636" i="3"/>
  <c r="C1636" i="3"/>
  <c r="B1636" i="3"/>
  <c r="H1635" i="3"/>
  <c r="G1635" i="3"/>
  <c r="F1635" i="3"/>
  <c r="E1635" i="3"/>
  <c r="D1635" i="3"/>
  <c r="C1635" i="3"/>
  <c r="B1635" i="3"/>
  <c r="H1634" i="3"/>
  <c r="G1634" i="3"/>
  <c r="F1634" i="3"/>
  <c r="E1634" i="3"/>
  <c r="D1634" i="3"/>
  <c r="C1634" i="3"/>
  <c r="B1634" i="3"/>
  <c r="H1633" i="3"/>
  <c r="G1633" i="3"/>
  <c r="F1633" i="3"/>
  <c r="E1633" i="3"/>
  <c r="D1633" i="3"/>
  <c r="C1633" i="3"/>
  <c r="B1633" i="3"/>
  <c r="H1632" i="3"/>
  <c r="G1632" i="3"/>
  <c r="F1632" i="3"/>
  <c r="E1632" i="3"/>
  <c r="D1632" i="3"/>
  <c r="C1632" i="3"/>
  <c r="B1632" i="3"/>
  <c r="H1631" i="3"/>
  <c r="G1631" i="3"/>
  <c r="F1631" i="3"/>
  <c r="E1631" i="3"/>
  <c r="D1631" i="3"/>
  <c r="C1631" i="3"/>
  <c r="B1631" i="3"/>
  <c r="H1630" i="3"/>
  <c r="G1630" i="3"/>
  <c r="F1630" i="3"/>
  <c r="E1630" i="3"/>
  <c r="D1630" i="3"/>
  <c r="C1630" i="3"/>
  <c r="B1630" i="3"/>
  <c r="H1629" i="3"/>
  <c r="G1629" i="3"/>
  <c r="F1629" i="3"/>
  <c r="E1629" i="3"/>
  <c r="D1629" i="3"/>
  <c r="C1629" i="3"/>
  <c r="B1629" i="3"/>
  <c r="H1628" i="3"/>
  <c r="G1628" i="3"/>
  <c r="F1628" i="3"/>
  <c r="E1628" i="3"/>
  <c r="D1628" i="3"/>
  <c r="C1628" i="3"/>
  <c r="B1628" i="3"/>
  <c r="H1627" i="3"/>
  <c r="G1627" i="3"/>
  <c r="F1627" i="3"/>
  <c r="E1627" i="3"/>
  <c r="D1627" i="3"/>
  <c r="C1627" i="3"/>
  <c r="B1627" i="3"/>
  <c r="H1626" i="3"/>
  <c r="G1626" i="3"/>
  <c r="F1626" i="3"/>
  <c r="E1626" i="3"/>
  <c r="D1626" i="3"/>
  <c r="C1626" i="3"/>
  <c r="B1626" i="3"/>
  <c r="H1625" i="3"/>
  <c r="G1625" i="3"/>
  <c r="F1625" i="3"/>
  <c r="E1625" i="3"/>
  <c r="D1625" i="3"/>
  <c r="C1625" i="3"/>
  <c r="B1625" i="3"/>
  <c r="H1624" i="3"/>
  <c r="G1624" i="3"/>
  <c r="F1624" i="3"/>
  <c r="E1624" i="3"/>
  <c r="D1624" i="3"/>
  <c r="C1624" i="3"/>
  <c r="B1624" i="3"/>
  <c r="H1623" i="3"/>
  <c r="G1623" i="3"/>
  <c r="F1623" i="3"/>
  <c r="E1623" i="3"/>
  <c r="D1623" i="3"/>
  <c r="C1623" i="3"/>
  <c r="B1623" i="3"/>
  <c r="H1622" i="3"/>
  <c r="G1622" i="3"/>
  <c r="F1622" i="3"/>
  <c r="E1622" i="3"/>
  <c r="D1622" i="3"/>
  <c r="C1622" i="3"/>
  <c r="B1622" i="3"/>
  <c r="H1621" i="3"/>
  <c r="G1621" i="3"/>
  <c r="F1621" i="3"/>
  <c r="E1621" i="3"/>
  <c r="D1621" i="3"/>
  <c r="C1621" i="3"/>
  <c r="B1621" i="3"/>
  <c r="H1620" i="3"/>
  <c r="G1620" i="3"/>
  <c r="F1620" i="3"/>
  <c r="E1620" i="3"/>
  <c r="D1620" i="3"/>
  <c r="C1620" i="3"/>
  <c r="B1620" i="3"/>
  <c r="H1619" i="3"/>
  <c r="G1619" i="3"/>
  <c r="F1619" i="3"/>
  <c r="E1619" i="3"/>
  <c r="D1619" i="3"/>
  <c r="C1619" i="3"/>
  <c r="B1619" i="3"/>
  <c r="H1618" i="3"/>
  <c r="G1618" i="3"/>
  <c r="F1618" i="3"/>
  <c r="E1618" i="3"/>
  <c r="D1618" i="3"/>
  <c r="C1618" i="3"/>
  <c r="B1618" i="3"/>
  <c r="H1617" i="3"/>
  <c r="G1617" i="3"/>
  <c r="F1617" i="3"/>
  <c r="E1617" i="3"/>
  <c r="D1617" i="3"/>
  <c r="C1617" i="3"/>
  <c r="B1617" i="3"/>
  <c r="H1616" i="3"/>
  <c r="G1616" i="3"/>
  <c r="F1616" i="3"/>
  <c r="E1616" i="3"/>
  <c r="D1616" i="3"/>
  <c r="C1616" i="3"/>
  <c r="B1616" i="3"/>
  <c r="H1615" i="3"/>
  <c r="G1615" i="3"/>
  <c r="F1615" i="3"/>
  <c r="E1615" i="3"/>
  <c r="D1615" i="3"/>
  <c r="C1615" i="3"/>
  <c r="B1615" i="3"/>
  <c r="H1614" i="3"/>
  <c r="G1614" i="3"/>
  <c r="F1614" i="3"/>
  <c r="E1614" i="3"/>
  <c r="D1614" i="3"/>
  <c r="C1614" i="3"/>
  <c r="B1614" i="3"/>
  <c r="H1613" i="3"/>
  <c r="G1613" i="3"/>
  <c r="F1613" i="3"/>
  <c r="E1613" i="3"/>
  <c r="D1613" i="3"/>
  <c r="C1613" i="3"/>
  <c r="B1613" i="3"/>
  <c r="H1612" i="3"/>
  <c r="G1612" i="3"/>
  <c r="F1612" i="3"/>
  <c r="E1612" i="3"/>
  <c r="D1612" i="3"/>
  <c r="C1612" i="3"/>
  <c r="B1612" i="3"/>
  <c r="H1611" i="3"/>
  <c r="G1611" i="3"/>
  <c r="F1611" i="3"/>
  <c r="E1611" i="3"/>
  <c r="D1611" i="3"/>
  <c r="C1611" i="3"/>
  <c r="B1611" i="3"/>
  <c r="H1610" i="3"/>
  <c r="G1610" i="3"/>
  <c r="F1610" i="3"/>
  <c r="E1610" i="3"/>
  <c r="D1610" i="3"/>
  <c r="C1610" i="3"/>
  <c r="B1610" i="3"/>
  <c r="H1609" i="3"/>
  <c r="G1609" i="3"/>
  <c r="F1609" i="3"/>
  <c r="E1609" i="3"/>
  <c r="D1609" i="3"/>
  <c r="C1609" i="3"/>
  <c r="B1609" i="3"/>
  <c r="H1608" i="3"/>
  <c r="G1608" i="3"/>
  <c r="F1608" i="3"/>
  <c r="E1608" i="3"/>
  <c r="D1608" i="3"/>
  <c r="C1608" i="3"/>
  <c r="B1608" i="3"/>
  <c r="H1607" i="3"/>
  <c r="G1607" i="3"/>
  <c r="F1607" i="3"/>
  <c r="E1607" i="3"/>
  <c r="D1607" i="3"/>
  <c r="C1607" i="3"/>
  <c r="B1607" i="3"/>
  <c r="H1606" i="3"/>
  <c r="G1606" i="3"/>
  <c r="F1606" i="3"/>
  <c r="E1606" i="3"/>
  <c r="D1606" i="3"/>
  <c r="C1606" i="3"/>
  <c r="B1606" i="3"/>
  <c r="H1605" i="3"/>
  <c r="G1605" i="3"/>
  <c r="F1605" i="3"/>
  <c r="E1605" i="3"/>
  <c r="D1605" i="3"/>
  <c r="C1605" i="3"/>
  <c r="B1605" i="3"/>
  <c r="H1604" i="3"/>
  <c r="G1604" i="3"/>
  <c r="F1604" i="3"/>
  <c r="E1604" i="3"/>
  <c r="D1604" i="3"/>
  <c r="C1604" i="3"/>
  <c r="B1604" i="3"/>
  <c r="H1603" i="3"/>
  <c r="G1603" i="3"/>
  <c r="F1603" i="3"/>
  <c r="E1603" i="3"/>
  <c r="D1603" i="3"/>
  <c r="C1603" i="3"/>
  <c r="B1603" i="3"/>
  <c r="H1602" i="3"/>
  <c r="G1602" i="3"/>
  <c r="F1602" i="3"/>
  <c r="E1602" i="3"/>
  <c r="D1602" i="3"/>
  <c r="C1602" i="3"/>
  <c r="B1602" i="3"/>
  <c r="H1601" i="3"/>
  <c r="G1601" i="3"/>
  <c r="F1601" i="3"/>
  <c r="E1601" i="3"/>
  <c r="D1601" i="3"/>
  <c r="C1601" i="3"/>
  <c r="B1601" i="3"/>
  <c r="H1600" i="3"/>
  <c r="G1600" i="3"/>
  <c r="F1600" i="3"/>
  <c r="E1600" i="3"/>
  <c r="D1600" i="3"/>
  <c r="C1600" i="3"/>
  <c r="B1600" i="3"/>
  <c r="H1599" i="3"/>
  <c r="G1599" i="3"/>
  <c r="F1599" i="3"/>
  <c r="E1599" i="3"/>
  <c r="D1599" i="3"/>
  <c r="C1599" i="3"/>
  <c r="B1599" i="3"/>
  <c r="H1598" i="3"/>
  <c r="G1598" i="3"/>
  <c r="F1598" i="3"/>
  <c r="E1598" i="3"/>
  <c r="D1598" i="3"/>
  <c r="C1598" i="3"/>
  <c r="B1598" i="3"/>
  <c r="H1597" i="3"/>
  <c r="G1597" i="3"/>
  <c r="F1597" i="3"/>
  <c r="E1597" i="3"/>
  <c r="D1597" i="3"/>
  <c r="C1597" i="3"/>
  <c r="B1597" i="3"/>
  <c r="H1596" i="3"/>
  <c r="G1596" i="3"/>
  <c r="F1596" i="3"/>
  <c r="E1596" i="3"/>
  <c r="D1596" i="3"/>
  <c r="C1596" i="3"/>
  <c r="B1596" i="3"/>
  <c r="H1595" i="3"/>
  <c r="G1595" i="3"/>
  <c r="F1595" i="3"/>
  <c r="E1595" i="3"/>
  <c r="D1595" i="3"/>
  <c r="C1595" i="3"/>
  <c r="B1595" i="3"/>
  <c r="H1594" i="3"/>
  <c r="G1594" i="3"/>
  <c r="F1594" i="3"/>
  <c r="E1594" i="3"/>
  <c r="D1594" i="3"/>
  <c r="C1594" i="3"/>
  <c r="B1594" i="3"/>
  <c r="H1593" i="3"/>
  <c r="G1593" i="3"/>
  <c r="F1593" i="3"/>
  <c r="E1593" i="3"/>
  <c r="D1593" i="3"/>
  <c r="C1593" i="3"/>
  <c r="B1593" i="3"/>
  <c r="H1592" i="3"/>
  <c r="G1592" i="3"/>
  <c r="F1592" i="3"/>
  <c r="E1592" i="3"/>
  <c r="D1592" i="3"/>
  <c r="C1592" i="3"/>
  <c r="B1592" i="3"/>
  <c r="H1591" i="3"/>
  <c r="G1591" i="3"/>
  <c r="F1591" i="3"/>
  <c r="E1591" i="3"/>
  <c r="D1591" i="3"/>
  <c r="C1591" i="3"/>
  <c r="B1591" i="3"/>
  <c r="H1590" i="3"/>
  <c r="G1590" i="3"/>
  <c r="F1590" i="3"/>
  <c r="E1590" i="3"/>
  <c r="D1590" i="3"/>
  <c r="C1590" i="3"/>
  <c r="B1590" i="3"/>
  <c r="H1589" i="3"/>
  <c r="G1589" i="3"/>
  <c r="F1589" i="3"/>
  <c r="E1589" i="3"/>
  <c r="D1589" i="3"/>
  <c r="C1589" i="3"/>
  <c r="B1589" i="3"/>
  <c r="H1588" i="3"/>
  <c r="G1588" i="3"/>
  <c r="F1588" i="3"/>
  <c r="E1588" i="3"/>
  <c r="D1588" i="3"/>
  <c r="C1588" i="3"/>
  <c r="B1588" i="3"/>
  <c r="H1587" i="3"/>
  <c r="G1587" i="3"/>
  <c r="F1587" i="3"/>
  <c r="E1587" i="3"/>
  <c r="D1587" i="3"/>
  <c r="C1587" i="3"/>
  <c r="B1587" i="3"/>
  <c r="H1586" i="3"/>
  <c r="G1586" i="3"/>
  <c r="F1586" i="3"/>
  <c r="E1586" i="3"/>
  <c r="D1586" i="3"/>
  <c r="C1586" i="3"/>
  <c r="B1586" i="3"/>
  <c r="H1585" i="3"/>
  <c r="G1585" i="3"/>
  <c r="F1585" i="3"/>
  <c r="E1585" i="3"/>
  <c r="D1585" i="3"/>
  <c r="C1585" i="3"/>
  <c r="B1585" i="3"/>
  <c r="H1584" i="3"/>
  <c r="G1584" i="3"/>
  <c r="F1584" i="3"/>
  <c r="E1584" i="3"/>
  <c r="D1584" i="3"/>
  <c r="C1584" i="3"/>
  <c r="B1584" i="3"/>
  <c r="H1583" i="3"/>
  <c r="G1583" i="3"/>
  <c r="F1583" i="3"/>
  <c r="E1583" i="3"/>
  <c r="D1583" i="3"/>
  <c r="C1583" i="3"/>
  <c r="B1583" i="3"/>
  <c r="H1582" i="3"/>
  <c r="G1582" i="3"/>
  <c r="F1582" i="3"/>
  <c r="E1582" i="3"/>
  <c r="D1582" i="3"/>
  <c r="C1582" i="3"/>
  <c r="B1582" i="3"/>
  <c r="H1581" i="3"/>
  <c r="G1581" i="3"/>
  <c r="F1581" i="3"/>
  <c r="E1581" i="3"/>
  <c r="D1581" i="3"/>
  <c r="C1581" i="3"/>
  <c r="B1581" i="3"/>
  <c r="H1580" i="3"/>
  <c r="G1580" i="3"/>
  <c r="F1580" i="3"/>
  <c r="E1580" i="3"/>
  <c r="D1580" i="3"/>
  <c r="C1580" i="3"/>
  <c r="B1580" i="3"/>
  <c r="H1579" i="3"/>
  <c r="G1579" i="3"/>
  <c r="F1579" i="3"/>
  <c r="E1579" i="3"/>
  <c r="D1579" i="3"/>
  <c r="C1579" i="3"/>
  <c r="B1579" i="3"/>
  <c r="H1578" i="3"/>
  <c r="G1578" i="3"/>
  <c r="F1578" i="3"/>
  <c r="E1578" i="3"/>
  <c r="D1578" i="3"/>
  <c r="C1578" i="3"/>
  <c r="B1578" i="3"/>
  <c r="H1577" i="3"/>
  <c r="G1577" i="3"/>
  <c r="F1577" i="3"/>
  <c r="E1577" i="3"/>
  <c r="D1577" i="3"/>
  <c r="C1577" i="3"/>
  <c r="B1577" i="3"/>
  <c r="H1576" i="3"/>
  <c r="G1576" i="3"/>
  <c r="F1576" i="3"/>
  <c r="E1576" i="3"/>
  <c r="D1576" i="3"/>
  <c r="C1576" i="3"/>
  <c r="B1576" i="3"/>
  <c r="H1575" i="3"/>
  <c r="G1575" i="3"/>
  <c r="F1575" i="3"/>
  <c r="E1575" i="3"/>
  <c r="D1575" i="3"/>
  <c r="C1575" i="3"/>
  <c r="B1575" i="3"/>
  <c r="H1574" i="3"/>
  <c r="G1574" i="3"/>
  <c r="F1574" i="3"/>
  <c r="E1574" i="3"/>
  <c r="D1574" i="3"/>
  <c r="C1574" i="3"/>
  <c r="B1574" i="3"/>
  <c r="H1573" i="3"/>
  <c r="G1573" i="3"/>
  <c r="F1573" i="3"/>
  <c r="E1573" i="3"/>
  <c r="D1573" i="3"/>
  <c r="C1573" i="3"/>
  <c r="B1573" i="3"/>
  <c r="H1572" i="3"/>
  <c r="G1572" i="3"/>
  <c r="F1572" i="3"/>
  <c r="E1572" i="3"/>
  <c r="D1572" i="3"/>
  <c r="C1572" i="3"/>
  <c r="B1572" i="3"/>
  <c r="H1571" i="3"/>
  <c r="G1571" i="3"/>
  <c r="F1571" i="3"/>
  <c r="E1571" i="3"/>
  <c r="D1571" i="3"/>
  <c r="C1571" i="3"/>
  <c r="B1571" i="3"/>
  <c r="H1570" i="3"/>
  <c r="G1570" i="3"/>
  <c r="F1570" i="3"/>
  <c r="E1570" i="3"/>
  <c r="D1570" i="3"/>
  <c r="C1570" i="3"/>
  <c r="B1570" i="3"/>
  <c r="H1569" i="3"/>
  <c r="G1569" i="3"/>
  <c r="F1569" i="3"/>
  <c r="E1569" i="3"/>
  <c r="D1569" i="3"/>
  <c r="C1569" i="3"/>
  <c r="B1569" i="3"/>
  <c r="H1568" i="3"/>
  <c r="G1568" i="3"/>
  <c r="F1568" i="3"/>
  <c r="E1568" i="3"/>
  <c r="D1568" i="3"/>
  <c r="C1568" i="3"/>
  <c r="B1568" i="3"/>
  <c r="H1567" i="3"/>
  <c r="G1567" i="3"/>
  <c r="F1567" i="3"/>
  <c r="E1567" i="3"/>
  <c r="D1567" i="3"/>
  <c r="C1567" i="3"/>
  <c r="B1567" i="3"/>
  <c r="H1566" i="3"/>
  <c r="G1566" i="3"/>
  <c r="F1566" i="3"/>
  <c r="E1566" i="3"/>
  <c r="D1566" i="3"/>
  <c r="C1566" i="3"/>
  <c r="B1566" i="3"/>
  <c r="H1565" i="3"/>
  <c r="G1565" i="3"/>
  <c r="F1565" i="3"/>
  <c r="E1565" i="3"/>
  <c r="D1565" i="3"/>
  <c r="C1565" i="3"/>
  <c r="B1565" i="3"/>
  <c r="H1564" i="3"/>
  <c r="G1564" i="3"/>
  <c r="F1564" i="3"/>
  <c r="E1564" i="3"/>
  <c r="D1564" i="3"/>
  <c r="C1564" i="3"/>
  <c r="B1564" i="3"/>
  <c r="H1563" i="3"/>
  <c r="G1563" i="3"/>
  <c r="F1563" i="3"/>
  <c r="E1563" i="3"/>
  <c r="D1563" i="3"/>
  <c r="C1563" i="3"/>
  <c r="B1563" i="3"/>
  <c r="H1562" i="3"/>
  <c r="G1562" i="3"/>
  <c r="F1562" i="3"/>
  <c r="E1562" i="3"/>
  <c r="D1562" i="3"/>
  <c r="C1562" i="3"/>
  <c r="B1562" i="3"/>
  <c r="H1561" i="3"/>
  <c r="G1561" i="3"/>
  <c r="F1561" i="3"/>
  <c r="E1561" i="3"/>
  <c r="D1561" i="3"/>
  <c r="C1561" i="3"/>
  <c r="B1561" i="3"/>
  <c r="H1560" i="3"/>
  <c r="G1560" i="3"/>
  <c r="F1560" i="3"/>
  <c r="E1560" i="3"/>
  <c r="D1560" i="3"/>
  <c r="C1560" i="3"/>
  <c r="B1560" i="3"/>
  <c r="H1559" i="3"/>
  <c r="G1559" i="3"/>
  <c r="F1559" i="3"/>
  <c r="E1559" i="3"/>
  <c r="D1559" i="3"/>
  <c r="C1559" i="3"/>
  <c r="B1559" i="3"/>
  <c r="H1558" i="3"/>
  <c r="G1558" i="3"/>
  <c r="F1558" i="3"/>
  <c r="E1558" i="3"/>
  <c r="D1558" i="3"/>
  <c r="C1558" i="3"/>
  <c r="B1558" i="3"/>
  <c r="H1557" i="3"/>
  <c r="G1557" i="3"/>
  <c r="F1557" i="3"/>
  <c r="E1557" i="3"/>
  <c r="D1557" i="3"/>
  <c r="C1557" i="3"/>
  <c r="B1557" i="3"/>
  <c r="H1556" i="3"/>
  <c r="G1556" i="3"/>
  <c r="F1556" i="3"/>
  <c r="E1556" i="3"/>
  <c r="D1556" i="3"/>
  <c r="C1556" i="3"/>
  <c r="B1556" i="3"/>
  <c r="H1555" i="3"/>
  <c r="G1555" i="3"/>
  <c r="F1555" i="3"/>
  <c r="E1555" i="3"/>
  <c r="D1555" i="3"/>
  <c r="C1555" i="3"/>
  <c r="B1555" i="3"/>
  <c r="H1554" i="3"/>
  <c r="G1554" i="3"/>
  <c r="F1554" i="3"/>
  <c r="E1554" i="3"/>
  <c r="D1554" i="3"/>
  <c r="C1554" i="3"/>
  <c r="B1554" i="3"/>
  <c r="H1553" i="3"/>
  <c r="G1553" i="3"/>
  <c r="F1553" i="3"/>
  <c r="E1553" i="3"/>
  <c r="D1553" i="3"/>
  <c r="C1553" i="3"/>
  <c r="B1553" i="3"/>
  <c r="H1552" i="3"/>
  <c r="G1552" i="3"/>
  <c r="F1552" i="3"/>
  <c r="E1552" i="3"/>
  <c r="D1552" i="3"/>
  <c r="C1552" i="3"/>
  <c r="B1552" i="3"/>
  <c r="H1551" i="3"/>
  <c r="G1551" i="3"/>
  <c r="F1551" i="3"/>
  <c r="E1551" i="3"/>
  <c r="D1551" i="3"/>
  <c r="C1551" i="3"/>
  <c r="B1551" i="3"/>
  <c r="H1550" i="3"/>
  <c r="G1550" i="3"/>
  <c r="F1550" i="3"/>
  <c r="E1550" i="3"/>
  <c r="D1550" i="3"/>
  <c r="C1550" i="3"/>
  <c r="B1550" i="3"/>
  <c r="H1549" i="3"/>
  <c r="G1549" i="3"/>
  <c r="F1549" i="3"/>
  <c r="E1549" i="3"/>
  <c r="D1549" i="3"/>
  <c r="C1549" i="3"/>
  <c r="B1549" i="3"/>
  <c r="H1548" i="3"/>
  <c r="G1548" i="3"/>
  <c r="F1548" i="3"/>
  <c r="E1548" i="3"/>
  <c r="D1548" i="3"/>
  <c r="C1548" i="3"/>
  <c r="B1548" i="3"/>
  <c r="H1547" i="3"/>
  <c r="G1547" i="3"/>
  <c r="F1547" i="3"/>
  <c r="E1547" i="3"/>
  <c r="D1547" i="3"/>
  <c r="C1547" i="3"/>
  <c r="B1547" i="3"/>
  <c r="H1546" i="3"/>
  <c r="G1546" i="3"/>
  <c r="F1546" i="3"/>
  <c r="E1546" i="3"/>
  <c r="D1546" i="3"/>
  <c r="C1546" i="3"/>
  <c r="B1546" i="3"/>
  <c r="H1545" i="3"/>
  <c r="G1545" i="3"/>
  <c r="F1545" i="3"/>
  <c r="E1545" i="3"/>
  <c r="D1545" i="3"/>
  <c r="C1545" i="3"/>
  <c r="B1545" i="3"/>
  <c r="H1544" i="3"/>
  <c r="G1544" i="3"/>
  <c r="F1544" i="3"/>
  <c r="E1544" i="3"/>
  <c r="D1544" i="3"/>
  <c r="C1544" i="3"/>
  <c r="B1544" i="3"/>
  <c r="H1543" i="3"/>
  <c r="G1543" i="3"/>
  <c r="F1543" i="3"/>
  <c r="E1543" i="3"/>
  <c r="D1543" i="3"/>
  <c r="C1543" i="3"/>
  <c r="B1543" i="3"/>
  <c r="H1542" i="3"/>
  <c r="G1542" i="3"/>
  <c r="F1542" i="3"/>
  <c r="E1542" i="3"/>
  <c r="D1542" i="3"/>
  <c r="C1542" i="3"/>
  <c r="B1542" i="3"/>
  <c r="H1541" i="3"/>
  <c r="G1541" i="3"/>
  <c r="F1541" i="3"/>
  <c r="E1541" i="3"/>
  <c r="D1541" i="3"/>
  <c r="C1541" i="3"/>
  <c r="B1541" i="3"/>
  <c r="H1540" i="3"/>
  <c r="G1540" i="3"/>
  <c r="F1540" i="3"/>
  <c r="E1540" i="3"/>
  <c r="D1540" i="3"/>
  <c r="C1540" i="3"/>
  <c r="B1540" i="3"/>
  <c r="H1539" i="3"/>
  <c r="G1539" i="3"/>
  <c r="F1539" i="3"/>
  <c r="E1539" i="3"/>
  <c r="D1539" i="3"/>
  <c r="C1539" i="3"/>
  <c r="B1539" i="3"/>
  <c r="H1538" i="3"/>
  <c r="G1538" i="3"/>
  <c r="F1538" i="3"/>
  <c r="E1538" i="3"/>
  <c r="D1538" i="3"/>
  <c r="C1538" i="3"/>
  <c r="B1538" i="3"/>
  <c r="H1537" i="3"/>
  <c r="G1537" i="3"/>
  <c r="F1537" i="3"/>
  <c r="E1537" i="3"/>
  <c r="D1537" i="3"/>
  <c r="C1537" i="3"/>
  <c r="B1537" i="3"/>
  <c r="H1536" i="3"/>
  <c r="G1536" i="3"/>
  <c r="F1536" i="3"/>
  <c r="E1536" i="3"/>
  <c r="D1536" i="3"/>
  <c r="C1536" i="3"/>
  <c r="B1536" i="3"/>
  <c r="H1535" i="3"/>
  <c r="G1535" i="3"/>
  <c r="F1535" i="3"/>
  <c r="E1535" i="3"/>
  <c r="D1535" i="3"/>
  <c r="C1535" i="3"/>
  <c r="B1535" i="3"/>
  <c r="H1534" i="3"/>
  <c r="G1534" i="3"/>
  <c r="F1534" i="3"/>
  <c r="E1534" i="3"/>
  <c r="D1534" i="3"/>
  <c r="C1534" i="3"/>
  <c r="B1534" i="3"/>
  <c r="H1533" i="3"/>
  <c r="G1533" i="3"/>
  <c r="F1533" i="3"/>
  <c r="E1533" i="3"/>
  <c r="D1533" i="3"/>
  <c r="C1533" i="3"/>
  <c r="B1533" i="3"/>
  <c r="H1532" i="3"/>
  <c r="G1532" i="3"/>
  <c r="F1532" i="3"/>
  <c r="E1532" i="3"/>
  <c r="D1532" i="3"/>
  <c r="C1532" i="3"/>
  <c r="B1532" i="3"/>
  <c r="H1531" i="3"/>
  <c r="G1531" i="3"/>
  <c r="F1531" i="3"/>
  <c r="E1531" i="3"/>
  <c r="D1531" i="3"/>
  <c r="C1531" i="3"/>
  <c r="B1531" i="3"/>
  <c r="H1530" i="3"/>
  <c r="G1530" i="3"/>
  <c r="F1530" i="3"/>
  <c r="E1530" i="3"/>
  <c r="D1530" i="3"/>
  <c r="C1530" i="3"/>
  <c r="B1530" i="3"/>
  <c r="H1529" i="3"/>
  <c r="G1529" i="3"/>
  <c r="F1529" i="3"/>
  <c r="E1529" i="3"/>
  <c r="D1529" i="3"/>
  <c r="C1529" i="3"/>
  <c r="B1529" i="3"/>
  <c r="H1528" i="3"/>
  <c r="G1528" i="3"/>
  <c r="F1528" i="3"/>
  <c r="E1528" i="3"/>
  <c r="D1528" i="3"/>
  <c r="C1528" i="3"/>
  <c r="B1528" i="3"/>
  <c r="H1527" i="3"/>
  <c r="G1527" i="3"/>
  <c r="F1527" i="3"/>
  <c r="E1527" i="3"/>
  <c r="D1527" i="3"/>
  <c r="C1527" i="3"/>
  <c r="B1527" i="3"/>
  <c r="H1526" i="3"/>
  <c r="G1526" i="3"/>
  <c r="F1526" i="3"/>
  <c r="E1526" i="3"/>
  <c r="D1526" i="3"/>
  <c r="C1526" i="3"/>
  <c r="B1526" i="3"/>
  <c r="H1525" i="3"/>
  <c r="G1525" i="3"/>
  <c r="F1525" i="3"/>
  <c r="E1525" i="3"/>
  <c r="D1525" i="3"/>
  <c r="C1525" i="3"/>
  <c r="B1525" i="3"/>
  <c r="H1524" i="3"/>
  <c r="G1524" i="3"/>
  <c r="F1524" i="3"/>
  <c r="E1524" i="3"/>
  <c r="D1524" i="3"/>
  <c r="C1524" i="3"/>
  <c r="B1524" i="3"/>
  <c r="H1523" i="3"/>
  <c r="G1523" i="3"/>
  <c r="F1523" i="3"/>
  <c r="E1523" i="3"/>
  <c r="D1523" i="3"/>
  <c r="C1523" i="3"/>
  <c r="B1523" i="3"/>
  <c r="H1522" i="3"/>
  <c r="G1522" i="3"/>
  <c r="F1522" i="3"/>
  <c r="E1522" i="3"/>
  <c r="D1522" i="3"/>
  <c r="C1522" i="3"/>
  <c r="B1522" i="3"/>
  <c r="H1521" i="3"/>
  <c r="G1521" i="3"/>
  <c r="F1521" i="3"/>
  <c r="E1521" i="3"/>
  <c r="D1521" i="3"/>
  <c r="C1521" i="3"/>
  <c r="B1521" i="3"/>
  <c r="H1520" i="3"/>
  <c r="G1520" i="3"/>
  <c r="F1520" i="3"/>
  <c r="E1520" i="3"/>
  <c r="D1520" i="3"/>
  <c r="C1520" i="3"/>
  <c r="B1520" i="3"/>
  <c r="H1519" i="3"/>
  <c r="G1519" i="3"/>
  <c r="F1519" i="3"/>
  <c r="E1519" i="3"/>
  <c r="D1519" i="3"/>
  <c r="C1519" i="3"/>
  <c r="B1519" i="3"/>
  <c r="H1518" i="3"/>
  <c r="G1518" i="3"/>
  <c r="F1518" i="3"/>
  <c r="E1518" i="3"/>
  <c r="D1518" i="3"/>
  <c r="C1518" i="3"/>
  <c r="B1518" i="3"/>
  <c r="H1517" i="3"/>
  <c r="G1517" i="3"/>
  <c r="F1517" i="3"/>
  <c r="E1517" i="3"/>
  <c r="D1517" i="3"/>
  <c r="C1517" i="3"/>
  <c r="B1517" i="3"/>
  <c r="H1516" i="3"/>
  <c r="G1516" i="3"/>
  <c r="F1516" i="3"/>
  <c r="E1516" i="3"/>
  <c r="D1516" i="3"/>
  <c r="C1516" i="3"/>
  <c r="B1516" i="3"/>
  <c r="H1515" i="3"/>
  <c r="G1515" i="3"/>
  <c r="F1515" i="3"/>
  <c r="E1515" i="3"/>
  <c r="D1515" i="3"/>
  <c r="C1515" i="3"/>
  <c r="B1515" i="3"/>
  <c r="H1514" i="3"/>
  <c r="G1514" i="3"/>
  <c r="F1514" i="3"/>
  <c r="E1514" i="3"/>
  <c r="D1514" i="3"/>
  <c r="C1514" i="3"/>
  <c r="B1514" i="3"/>
  <c r="H1513" i="3"/>
  <c r="G1513" i="3"/>
  <c r="F1513" i="3"/>
  <c r="E1513" i="3"/>
  <c r="D1513" i="3"/>
  <c r="C1513" i="3"/>
  <c r="B1513" i="3"/>
  <c r="H1512" i="3"/>
  <c r="G1512" i="3"/>
  <c r="F1512" i="3"/>
  <c r="E1512" i="3"/>
  <c r="D1512" i="3"/>
  <c r="C1512" i="3"/>
  <c r="B1512" i="3"/>
  <c r="H1511" i="3"/>
  <c r="G1511" i="3"/>
  <c r="F1511" i="3"/>
  <c r="E1511" i="3"/>
  <c r="D1511" i="3"/>
  <c r="C1511" i="3"/>
  <c r="B1511" i="3"/>
  <c r="H1510" i="3"/>
  <c r="G1510" i="3"/>
  <c r="F1510" i="3"/>
  <c r="E1510" i="3"/>
  <c r="D1510" i="3"/>
  <c r="C1510" i="3"/>
  <c r="B1510" i="3"/>
  <c r="H1509" i="3"/>
  <c r="G1509" i="3"/>
  <c r="F1509" i="3"/>
  <c r="E1509" i="3"/>
  <c r="D1509" i="3"/>
  <c r="C1509" i="3"/>
  <c r="B1509" i="3"/>
  <c r="H1508" i="3"/>
  <c r="G1508" i="3"/>
  <c r="F1508" i="3"/>
  <c r="E1508" i="3"/>
  <c r="D1508" i="3"/>
  <c r="C1508" i="3"/>
  <c r="B1508" i="3"/>
  <c r="H1507" i="3"/>
  <c r="G1507" i="3"/>
  <c r="F1507" i="3"/>
  <c r="E1507" i="3"/>
  <c r="D1507" i="3"/>
  <c r="C1507" i="3"/>
  <c r="B1507" i="3"/>
  <c r="H1506" i="3"/>
  <c r="G1506" i="3"/>
  <c r="F1506" i="3"/>
  <c r="E1506" i="3"/>
  <c r="D1506" i="3"/>
  <c r="C1506" i="3"/>
  <c r="B1506" i="3"/>
  <c r="H1505" i="3"/>
  <c r="G1505" i="3"/>
  <c r="F1505" i="3"/>
  <c r="E1505" i="3"/>
  <c r="D1505" i="3"/>
  <c r="C1505" i="3"/>
  <c r="B1505" i="3"/>
  <c r="H1504" i="3"/>
  <c r="G1504" i="3"/>
  <c r="F1504" i="3"/>
  <c r="E1504" i="3"/>
  <c r="D1504" i="3"/>
  <c r="C1504" i="3"/>
  <c r="B1504" i="3"/>
  <c r="H1503" i="3"/>
  <c r="G1503" i="3"/>
  <c r="F1503" i="3"/>
  <c r="E1503" i="3"/>
  <c r="D1503" i="3"/>
  <c r="C1503" i="3"/>
  <c r="B1503" i="3"/>
  <c r="H1502" i="3"/>
  <c r="G1502" i="3"/>
  <c r="F1502" i="3"/>
  <c r="E1502" i="3"/>
  <c r="D1502" i="3"/>
  <c r="C1502" i="3"/>
  <c r="B1502" i="3"/>
  <c r="H1501" i="3"/>
  <c r="G1501" i="3"/>
  <c r="F1501" i="3"/>
  <c r="E1501" i="3"/>
  <c r="D1501" i="3"/>
  <c r="C1501" i="3"/>
  <c r="B1501" i="3"/>
  <c r="H1500" i="3"/>
  <c r="G1500" i="3"/>
  <c r="F1500" i="3"/>
  <c r="E1500" i="3"/>
  <c r="D1500" i="3"/>
  <c r="C1500" i="3"/>
  <c r="B1500" i="3"/>
  <c r="H1499" i="3"/>
  <c r="G1499" i="3"/>
  <c r="F1499" i="3"/>
  <c r="E1499" i="3"/>
  <c r="D1499" i="3"/>
  <c r="C1499" i="3"/>
  <c r="B1499" i="3"/>
  <c r="H1498" i="3"/>
  <c r="G1498" i="3"/>
  <c r="F1498" i="3"/>
  <c r="E1498" i="3"/>
  <c r="D1498" i="3"/>
  <c r="C1498" i="3"/>
  <c r="B1498" i="3"/>
  <c r="H1497" i="3"/>
  <c r="G1497" i="3"/>
  <c r="F1497" i="3"/>
  <c r="E1497" i="3"/>
  <c r="D1497" i="3"/>
  <c r="C1497" i="3"/>
  <c r="B1497" i="3"/>
  <c r="H1496" i="3"/>
  <c r="G1496" i="3"/>
  <c r="F1496" i="3"/>
  <c r="E1496" i="3"/>
  <c r="D1496" i="3"/>
  <c r="C1496" i="3"/>
  <c r="B1496" i="3"/>
  <c r="H1495" i="3"/>
  <c r="G1495" i="3"/>
  <c r="F1495" i="3"/>
  <c r="E1495" i="3"/>
  <c r="D1495" i="3"/>
  <c r="C1495" i="3"/>
  <c r="B1495" i="3"/>
  <c r="H1494" i="3"/>
  <c r="G1494" i="3"/>
  <c r="F1494" i="3"/>
  <c r="E1494" i="3"/>
  <c r="D1494" i="3"/>
  <c r="C1494" i="3"/>
  <c r="B1494" i="3"/>
  <c r="H1493" i="3"/>
  <c r="G1493" i="3"/>
  <c r="F1493" i="3"/>
  <c r="E1493" i="3"/>
  <c r="D1493" i="3"/>
  <c r="C1493" i="3"/>
  <c r="B1493" i="3"/>
  <c r="H1492" i="3"/>
  <c r="G1492" i="3"/>
  <c r="F1492" i="3"/>
  <c r="E1492" i="3"/>
  <c r="D1492" i="3"/>
  <c r="C1492" i="3"/>
  <c r="B1492" i="3"/>
  <c r="H1491" i="3"/>
  <c r="G1491" i="3"/>
  <c r="F1491" i="3"/>
  <c r="E1491" i="3"/>
  <c r="D1491" i="3"/>
  <c r="C1491" i="3"/>
  <c r="B1491" i="3"/>
  <c r="H1490" i="3"/>
  <c r="G1490" i="3"/>
  <c r="F1490" i="3"/>
  <c r="E1490" i="3"/>
  <c r="D1490" i="3"/>
  <c r="C1490" i="3"/>
  <c r="B1490" i="3"/>
  <c r="H1489" i="3"/>
  <c r="G1489" i="3"/>
  <c r="F1489" i="3"/>
  <c r="E1489" i="3"/>
  <c r="D1489" i="3"/>
  <c r="C1489" i="3"/>
  <c r="B1489" i="3"/>
  <c r="H1488" i="3"/>
  <c r="G1488" i="3"/>
  <c r="F1488" i="3"/>
  <c r="E1488" i="3"/>
  <c r="D1488" i="3"/>
  <c r="C1488" i="3"/>
  <c r="B1488" i="3"/>
  <c r="H1487" i="3"/>
  <c r="G1487" i="3"/>
  <c r="F1487" i="3"/>
  <c r="E1487" i="3"/>
  <c r="D1487" i="3"/>
  <c r="C1487" i="3"/>
  <c r="B1487" i="3"/>
  <c r="H1486" i="3"/>
  <c r="G1486" i="3"/>
  <c r="F1486" i="3"/>
  <c r="E1486" i="3"/>
  <c r="D1486" i="3"/>
  <c r="C1486" i="3"/>
  <c r="B1486" i="3"/>
  <c r="H1485" i="3"/>
  <c r="G1485" i="3"/>
  <c r="F1485" i="3"/>
  <c r="E1485" i="3"/>
  <c r="D1485" i="3"/>
  <c r="C1485" i="3"/>
  <c r="B1485" i="3"/>
  <c r="H1484" i="3"/>
  <c r="G1484" i="3"/>
  <c r="F1484" i="3"/>
  <c r="E1484" i="3"/>
  <c r="D1484" i="3"/>
  <c r="C1484" i="3"/>
  <c r="B1484" i="3"/>
  <c r="H1483" i="3"/>
  <c r="G1483" i="3"/>
  <c r="F1483" i="3"/>
  <c r="E1483" i="3"/>
  <c r="D1483" i="3"/>
  <c r="C1483" i="3"/>
  <c r="B1483" i="3"/>
  <c r="H1482" i="3"/>
  <c r="G1482" i="3"/>
  <c r="F1482" i="3"/>
  <c r="E1482" i="3"/>
  <c r="D1482" i="3"/>
  <c r="C1482" i="3"/>
  <c r="B1482" i="3"/>
  <c r="H1481" i="3"/>
  <c r="G1481" i="3"/>
  <c r="F1481" i="3"/>
  <c r="E1481" i="3"/>
  <c r="D1481" i="3"/>
  <c r="C1481" i="3"/>
  <c r="B1481" i="3"/>
  <c r="H1480" i="3"/>
  <c r="G1480" i="3"/>
  <c r="F1480" i="3"/>
  <c r="E1480" i="3"/>
  <c r="D1480" i="3"/>
  <c r="C1480" i="3"/>
  <c r="B1480" i="3"/>
  <c r="H1479" i="3"/>
  <c r="G1479" i="3"/>
  <c r="F1479" i="3"/>
  <c r="E1479" i="3"/>
  <c r="D1479" i="3"/>
  <c r="C1479" i="3"/>
  <c r="B1479" i="3"/>
  <c r="H1478" i="3"/>
  <c r="G1478" i="3"/>
  <c r="F1478" i="3"/>
  <c r="E1478" i="3"/>
  <c r="D1478" i="3"/>
  <c r="C1478" i="3"/>
  <c r="B1478" i="3"/>
  <c r="H1477" i="3"/>
  <c r="G1477" i="3"/>
  <c r="F1477" i="3"/>
  <c r="E1477" i="3"/>
  <c r="D1477" i="3"/>
  <c r="C1477" i="3"/>
  <c r="B1477" i="3"/>
  <c r="H1476" i="3"/>
  <c r="G1476" i="3"/>
  <c r="F1476" i="3"/>
  <c r="E1476" i="3"/>
  <c r="D1476" i="3"/>
  <c r="C1476" i="3"/>
  <c r="B1476" i="3"/>
  <c r="H1475" i="3"/>
  <c r="G1475" i="3"/>
  <c r="F1475" i="3"/>
  <c r="E1475" i="3"/>
  <c r="D1475" i="3"/>
  <c r="C1475" i="3"/>
  <c r="B1475" i="3"/>
  <c r="H1474" i="3"/>
  <c r="G1474" i="3"/>
  <c r="F1474" i="3"/>
  <c r="E1474" i="3"/>
  <c r="D1474" i="3"/>
  <c r="C1474" i="3"/>
  <c r="B1474" i="3"/>
  <c r="H1473" i="3"/>
  <c r="G1473" i="3"/>
  <c r="F1473" i="3"/>
  <c r="E1473" i="3"/>
  <c r="D1473" i="3"/>
  <c r="C1473" i="3"/>
  <c r="B1473" i="3"/>
  <c r="H1472" i="3"/>
  <c r="G1472" i="3"/>
  <c r="F1472" i="3"/>
  <c r="E1472" i="3"/>
  <c r="D1472" i="3"/>
  <c r="C1472" i="3"/>
  <c r="B1472" i="3"/>
  <c r="H1471" i="3"/>
  <c r="G1471" i="3"/>
  <c r="F1471" i="3"/>
  <c r="E1471" i="3"/>
  <c r="D1471" i="3"/>
  <c r="C1471" i="3"/>
  <c r="B1471" i="3"/>
  <c r="H1470" i="3"/>
  <c r="G1470" i="3"/>
  <c r="F1470" i="3"/>
  <c r="E1470" i="3"/>
  <c r="D1470" i="3"/>
  <c r="C1470" i="3"/>
  <c r="B1470" i="3"/>
  <c r="H1469" i="3"/>
  <c r="G1469" i="3"/>
  <c r="F1469" i="3"/>
  <c r="E1469" i="3"/>
  <c r="D1469" i="3"/>
  <c r="C1469" i="3"/>
  <c r="B1469" i="3"/>
  <c r="H1468" i="3"/>
  <c r="G1468" i="3"/>
  <c r="F1468" i="3"/>
  <c r="E1468" i="3"/>
  <c r="D1468" i="3"/>
  <c r="C1468" i="3"/>
  <c r="B1468" i="3"/>
  <c r="H1467" i="3"/>
  <c r="G1467" i="3"/>
  <c r="F1467" i="3"/>
  <c r="E1467" i="3"/>
  <c r="D1467" i="3"/>
  <c r="C1467" i="3"/>
  <c r="B1467" i="3"/>
  <c r="H1466" i="3"/>
  <c r="G1466" i="3"/>
  <c r="F1466" i="3"/>
  <c r="E1466" i="3"/>
  <c r="D1466" i="3"/>
  <c r="C1466" i="3"/>
  <c r="B1466" i="3"/>
  <c r="H1465" i="3"/>
  <c r="G1465" i="3"/>
  <c r="F1465" i="3"/>
  <c r="E1465" i="3"/>
  <c r="D1465" i="3"/>
  <c r="C1465" i="3"/>
  <c r="B1465" i="3"/>
  <c r="H1464" i="3"/>
  <c r="G1464" i="3"/>
  <c r="F1464" i="3"/>
  <c r="E1464" i="3"/>
  <c r="D1464" i="3"/>
  <c r="C1464" i="3"/>
  <c r="B1464" i="3"/>
  <c r="H1463" i="3"/>
  <c r="G1463" i="3"/>
  <c r="F1463" i="3"/>
  <c r="E1463" i="3"/>
  <c r="D1463" i="3"/>
  <c r="C1463" i="3"/>
  <c r="B1463" i="3"/>
  <c r="H1462" i="3"/>
  <c r="G1462" i="3"/>
  <c r="F1462" i="3"/>
  <c r="E1462" i="3"/>
  <c r="D1462" i="3"/>
  <c r="C1462" i="3"/>
  <c r="B1462" i="3"/>
  <c r="H1461" i="3"/>
  <c r="G1461" i="3"/>
  <c r="F1461" i="3"/>
  <c r="E1461" i="3"/>
  <c r="D1461" i="3"/>
  <c r="C1461" i="3"/>
  <c r="B1461" i="3"/>
  <c r="H1460" i="3"/>
  <c r="G1460" i="3"/>
  <c r="F1460" i="3"/>
  <c r="E1460" i="3"/>
  <c r="D1460" i="3"/>
  <c r="C1460" i="3"/>
  <c r="B1460" i="3"/>
  <c r="H1459" i="3"/>
  <c r="G1459" i="3"/>
  <c r="F1459" i="3"/>
  <c r="E1459" i="3"/>
  <c r="D1459" i="3"/>
  <c r="C1459" i="3"/>
  <c r="B1459" i="3"/>
  <c r="H1458" i="3"/>
  <c r="G1458" i="3"/>
  <c r="F1458" i="3"/>
  <c r="E1458" i="3"/>
  <c r="D1458" i="3"/>
  <c r="C1458" i="3"/>
  <c r="B1458" i="3"/>
  <c r="H1457" i="3"/>
  <c r="G1457" i="3"/>
  <c r="F1457" i="3"/>
  <c r="E1457" i="3"/>
  <c r="D1457" i="3"/>
  <c r="C1457" i="3"/>
  <c r="B1457" i="3"/>
  <c r="H1456" i="3"/>
  <c r="G1456" i="3"/>
  <c r="F1456" i="3"/>
  <c r="E1456" i="3"/>
  <c r="D1456" i="3"/>
  <c r="C1456" i="3"/>
  <c r="B1456" i="3"/>
  <c r="H1455" i="3"/>
  <c r="G1455" i="3"/>
  <c r="F1455" i="3"/>
  <c r="E1455" i="3"/>
  <c r="D1455" i="3"/>
  <c r="C1455" i="3"/>
  <c r="B1455" i="3"/>
  <c r="H1454" i="3"/>
  <c r="G1454" i="3"/>
  <c r="F1454" i="3"/>
  <c r="E1454" i="3"/>
  <c r="D1454" i="3"/>
  <c r="C1454" i="3"/>
  <c r="B1454" i="3"/>
  <c r="H1453" i="3"/>
  <c r="G1453" i="3"/>
  <c r="F1453" i="3"/>
  <c r="E1453" i="3"/>
  <c r="D1453" i="3"/>
  <c r="C1453" i="3"/>
  <c r="B1453" i="3"/>
  <c r="H1452" i="3"/>
  <c r="G1452" i="3"/>
  <c r="F1452" i="3"/>
  <c r="E1452" i="3"/>
  <c r="D1452" i="3"/>
  <c r="C1452" i="3"/>
  <c r="B1452" i="3"/>
  <c r="H1451" i="3"/>
  <c r="G1451" i="3"/>
  <c r="F1451" i="3"/>
  <c r="E1451" i="3"/>
  <c r="D1451" i="3"/>
  <c r="C1451" i="3"/>
  <c r="B1451" i="3"/>
  <c r="H1450" i="3"/>
  <c r="G1450" i="3"/>
  <c r="F1450" i="3"/>
  <c r="E1450" i="3"/>
  <c r="D1450" i="3"/>
  <c r="C1450" i="3"/>
  <c r="B1450" i="3"/>
  <c r="H1449" i="3"/>
  <c r="G1449" i="3"/>
  <c r="F1449" i="3"/>
  <c r="E1449" i="3"/>
  <c r="D1449" i="3"/>
  <c r="C1449" i="3"/>
  <c r="B1449" i="3"/>
  <c r="H1448" i="3"/>
  <c r="G1448" i="3"/>
  <c r="F1448" i="3"/>
  <c r="E1448" i="3"/>
  <c r="D1448" i="3"/>
  <c r="C1448" i="3"/>
  <c r="B1448" i="3"/>
  <c r="H1447" i="3"/>
  <c r="G1447" i="3"/>
  <c r="F1447" i="3"/>
  <c r="E1447" i="3"/>
  <c r="D1447" i="3"/>
  <c r="C1447" i="3"/>
  <c r="B1447" i="3"/>
  <c r="H1446" i="3"/>
  <c r="G1446" i="3"/>
  <c r="F1446" i="3"/>
  <c r="E1446" i="3"/>
  <c r="D1446" i="3"/>
  <c r="C1446" i="3"/>
  <c r="B1446" i="3"/>
  <c r="H1445" i="3"/>
  <c r="G1445" i="3"/>
  <c r="F1445" i="3"/>
  <c r="E1445" i="3"/>
  <c r="D1445" i="3"/>
  <c r="C1445" i="3"/>
  <c r="B1445" i="3"/>
  <c r="H1444" i="3"/>
  <c r="G1444" i="3"/>
  <c r="F1444" i="3"/>
  <c r="E1444" i="3"/>
  <c r="D1444" i="3"/>
  <c r="C1444" i="3"/>
  <c r="B1444" i="3"/>
  <c r="H1443" i="3"/>
  <c r="G1443" i="3"/>
  <c r="F1443" i="3"/>
  <c r="E1443" i="3"/>
  <c r="D1443" i="3"/>
  <c r="C1443" i="3"/>
  <c r="B1443" i="3"/>
  <c r="H1442" i="3"/>
  <c r="G1442" i="3"/>
  <c r="F1442" i="3"/>
  <c r="E1442" i="3"/>
  <c r="D1442" i="3"/>
  <c r="C1442" i="3"/>
  <c r="B1442" i="3"/>
  <c r="H1441" i="3"/>
  <c r="G1441" i="3"/>
  <c r="F1441" i="3"/>
  <c r="E1441" i="3"/>
  <c r="D1441" i="3"/>
  <c r="C1441" i="3"/>
  <c r="B1441" i="3"/>
  <c r="H1440" i="3"/>
  <c r="G1440" i="3"/>
  <c r="F1440" i="3"/>
  <c r="E1440" i="3"/>
  <c r="D1440" i="3"/>
  <c r="C1440" i="3"/>
  <c r="B1440" i="3"/>
  <c r="H1439" i="3"/>
  <c r="G1439" i="3"/>
  <c r="F1439" i="3"/>
  <c r="E1439" i="3"/>
  <c r="D1439" i="3"/>
  <c r="C1439" i="3"/>
  <c r="B1439" i="3"/>
  <c r="H1438" i="3"/>
  <c r="G1438" i="3"/>
  <c r="F1438" i="3"/>
  <c r="E1438" i="3"/>
  <c r="D1438" i="3"/>
  <c r="C1438" i="3"/>
  <c r="B1438" i="3"/>
  <c r="H1437" i="3"/>
  <c r="G1437" i="3"/>
  <c r="F1437" i="3"/>
  <c r="E1437" i="3"/>
  <c r="D1437" i="3"/>
  <c r="C1437" i="3"/>
  <c r="B1437" i="3"/>
  <c r="H1436" i="3"/>
  <c r="G1436" i="3"/>
  <c r="F1436" i="3"/>
  <c r="E1436" i="3"/>
  <c r="D1436" i="3"/>
  <c r="C1436" i="3"/>
  <c r="B1436" i="3"/>
  <c r="H1435" i="3"/>
  <c r="G1435" i="3"/>
  <c r="F1435" i="3"/>
  <c r="E1435" i="3"/>
  <c r="D1435" i="3"/>
  <c r="C1435" i="3"/>
  <c r="B1435" i="3"/>
  <c r="H1434" i="3"/>
  <c r="G1434" i="3"/>
  <c r="F1434" i="3"/>
  <c r="E1434" i="3"/>
  <c r="D1434" i="3"/>
  <c r="C1434" i="3"/>
  <c r="B1434" i="3"/>
  <c r="H1433" i="3"/>
  <c r="G1433" i="3"/>
  <c r="F1433" i="3"/>
  <c r="E1433" i="3"/>
  <c r="D1433" i="3"/>
  <c r="C1433" i="3"/>
  <c r="B1433" i="3"/>
  <c r="H1432" i="3"/>
  <c r="G1432" i="3"/>
  <c r="F1432" i="3"/>
  <c r="E1432" i="3"/>
  <c r="D1432" i="3"/>
  <c r="C1432" i="3"/>
  <c r="B1432" i="3"/>
  <c r="H1431" i="3"/>
  <c r="G1431" i="3"/>
  <c r="F1431" i="3"/>
  <c r="E1431" i="3"/>
  <c r="D1431" i="3"/>
  <c r="C1431" i="3"/>
  <c r="B1431" i="3"/>
  <c r="H1430" i="3"/>
  <c r="G1430" i="3"/>
  <c r="F1430" i="3"/>
  <c r="E1430" i="3"/>
  <c r="D1430" i="3"/>
  <c r="C1430" i="3"/>
  <c r="B1430" i="3"/>
  <c r="H1429" i="3"/>
  <c r="G1429" i="3"/>
  <c r="F1429" i="3"/>
  <c r="E1429" i="3"/>
  <c r="D1429" i="3"/>
  <c r="C1429" i="3"/>
  <c r="B1429" i="3"/>
  <c r="H1428" i="3"/>
  <c r="G1428" i="3"/>
  <c r="F1428" i="3"/>
  <c r="E1428" i="3"/>
  <c r="D1428" i="3"/>
  <c r="C1428" i="3"/>
  <c r="B1428" i="3"/>
  <c r="H1427" i="3"/>
  <c r="G1427" i="3"/>
  <c r="F1427" i="3"/>
  <c r="E1427" i="3"/>
  <c r="D1427" i="3"/>
  <c r="C1427" i="3"/>
  <c r="B1427" i="3"/>
  <c r="H1426" i="3"/>
  <c r="G1426" i="3"/>
  <c r="F1426" i="3"/>
  <c r="E1426" i="3"/>
  <c r="D1426" i="3"/>
  <c r="C1426" i="3"/>
  <c r="B1426" i="3"/>
  <c r="H1425" i="3"/>
  <c r="G1425" i="3"/>
  <c r="F1425" i="3"/>
  <c r="E1425" i="3"/>
  <c r="D1425" i="3"/>
  <c r="C1425" i="3"/>
  <c r="B1425" i="3"/>
  <c r="H1424" i="3"/>
  <c r="G1424" i="3"/>
  <c r="F1424" i="3"/>
  <c r="E1424" i="3"/>
  <c r="D1424" i="3"/>
  <c r="C1424" i="3"/>
  <c r="B1424" i="3"/>
  <c r="H1423" i="3"/>
  <c r="G1423" i="3"/>
  <c r="F1423" i="3"/>
  <c r="E1423" i="3"/>
  <c r="D1423" i="3"/>
  <c r="C1423" i="3"/>
  <c r="B1423" i="3"/>
  <c r="H1422" i="3"/>
  <c r="G1422" i="3"/>
  <c r="F1422" i="3"/>
  <c r="E1422" i="3"/>
  <c r="D1422" i="3"/>
  <c r="C1422" i="3"/>
  <c r="B1422" i="3"/>
  <c r="H1421" i="3"/>
  <c r="G1421" i="3"/>
  <c r="F1421" i="3"/>
  <c r="E1421" i="3"/>
  <c r="D1421" i="3"/>
  <c r="C1421" i="3"/>
  <c r="B1421" i="3"/>
  <c r="H1420" i="3"/>
  <c r="G1420" i="3"/>
  <c r="F1420" i="3"/>
  <c r="E1420" i="3"/>
  <c r="D1420" i="3"/>
  <c r="C1420" i="3"/>
  <c r="B1420" i="3"/>
  <c r="H1419" i="3"/>
  <c r="G1419" i="3"/>
  <c r="F1419" i="3"/>
  <c r="E1419" i="3"/>
  <c r="D1419" i="3"/>
  <c r="C1419" i="3"/>
  <c r="B1419" i="3"/>
  <c r="H1418" i="3"/>
  <c r="G1418" i="3"/>
  <c r="F1418" i="3"/>
  <c r="E1418" i="3"/>
  <c r="D1418" i="3"/>
  <c r="C1418" i="3"/>
  <c r="B1418" i="3"/>
  <c r="H1417" i="3"/>
  <c r="G1417" i="3"/>
  <c r="F1417" i="3"/>
  <c r="E1417" i="3"/>
  <c r="D1417" i="3"/>
  <c r="C1417" i="3"/>
  <c r="B1417" i="3"/>
  <c r="H1416" i="3"/>
  <c r="G1416" i="3"/>
  <c r="F1416" i="3"/>
  <c r="E1416" i="3"/>
  <c r="D1416" i="3"/>
  <c r="C1416" i="3"/>
  <c r="B1416" i="3"/>
  <c r="H1415" i="3"/>
  <c r="G1415" i="3"/>
  <c r="F1415" i="3"/>
  <c r="E1415" i="3"/>
  <c r="D1415" i="3"/>
  <c r="C1415" i="3"/>
  <c r="B1415" i="3"/>
  <c r="H1414" i="3"/>
  <c r="G1414" i="3"/>
  <c r="F1414" i="3"/>
  <c r="E1414" i="3"/>
  <c r="D1414" i="3"/>
  <c r="C1414" i="3"/>
  <c r="B1414" i="3"/>
  <c r="H1413" i="3"/>
  <c r="G1413" i="3"/>
  <c r="F1413" i="3"/>
  <c r="E1413" i="3"/>
  <c r="D1413" i="3"/>
  <c r="C1413" i="3"/>
  <c r="B1413" i="3"/>
  <c r="H1412" i="3"/>
  <c r="G1412" i="3"/>
  <c r="F1412" i="3"/>
  <c r="E1412" i="3"/>
  <c r="D1412" i="3"/>
  <c r="C1412" i="3"/>
  <c r="B1412" i="3"/>
  <c r="H1411" i="3"/>
  <c r="G1411" i="3"/>
  <c r="F1411" i="3"/>
  <c r="E1411" i="3"/>
  <c r="D1411" i="3"/>
  <c r="C1411" i="3"/>
  <c r="B1411" i="3"/>
  <c r="H1410" i="3"/>
  <c r="G1410" i="3"/>
  <c r="F1410" i="3"/>
  <c r="E1410" i="3"/>
  <c r="D1410" i="3"/>
  <c r="C1410" i="3"/>
  <c r="B1410" i="3"/>
  <c r="H1409" i="3"/>
  <c r="G1409" i="3"/>
  <c r="F1409" i="3"/>
  <c r="E1409" i="3"/>
  <c r="D1409" i="3"/>
  <c r="C1409" i="3"/>
  <c r="B1409" i="3"/>
  <c r="H1408" i="3"/>
  <c r="G1408" i="3"/>
  <c r="F1408" i="3"/>
  <c r="E1408" i="3"/>
  <c r="D1408" i="3"/>
  <c r="C1408" i="3"/>
  <c r="B1408" i="3"/>
  <c r="H1407" i="3"/>
  <c r="G1407" i="3"/>
  <c r="F1407" i="3"/>
  <c r="E1407" i="3"/>
  <c r="D1407" i="3"/>
  <c r="C1407" i="3"/>
  <c r="B1407" i="3"/>
  <c r="H1406" i="3"/>
  <c r="G1406" i="3"/>
  <c r="F1406" i="3"/>
  <c r="E1406" i="3"/>
  <c r="D1406" i="3"/>
  <c r="C1406" i="3"/>
  <c r="B1406" i="3"/>
  <c r="H1405" i="3"/>
  <c r="G1405" i="3"/>
  <c r="F1405" i="3"/>
  <c r="E1405" i="3"/>
  <c r="D1405" i="3"/>
  <c r="C1405" i="3"/>
  <c r="B1405" i="3"/>
  <c r="H1404" i="3"/>
  <c r="G1404" i="3"/>
  <c r="F1404" i="3"/>
  <c r="E1404" i="3"/>
  <c r="D1404" i="3"/>
  <c r="C1404" i="3"/>
  <c r="B1404" i="3"/>
  <c r="H1403" i="3"/>
  <c r="G1403" i="3"/>
  <c r="F1403" i="3"/>
  <c r="E1403" i="3"/>
  <c r="D1403" i="3"/>
  <c r="C1403" i="3"/>
  <c r="B1403" i="3"/>
  <c r="H1402" i="3"/>
  <c r="G1402" i="3"/>
  <c r="F1402" i="3"/>
  <c r="E1402" i="3"/>
  <c r="D1402" i="3"/>
  <c r="C1402" i="3"/>
  <c r="B1402" i="3"/>
  <c r="H1401" i="3"/>
  <c r="G1401" i="3"/>
  <c r="F1401" i="3"/>
  <c r="E1401" i="3"/>
  <c r="D1401" i="3"/>
  <c r="C1401" i="3"/>
  <c r="B1401" i="3"/>
  <c r="H1400" i="3"/>
  <c r="G1400" i="3"/>
  <c r="F1400" i="3"/>
  <c r="E1400" i="3"/>
  <c r="D1400" i="3"/>
  <c r="C1400" i="3"/>
  <c r="B1400" i="3"/>
  <c r="H1399" i="3"/>
  <c r="G1399" i="3"/>
  <c r="F1399" i="3"/>
  <c r="E1399" i="3"/>
  <c r="D1399" i="3"/>
  <c r="C1399" i="3"/>
  <c r="B1399" i="3"/>
  <c r="H1398" i="3"/>
  <c r="G1398" i="3"/>
  <c r="F1398" i="3"/>
  <c r="E1398" i="3"/>
  <c r="D1398" i="3"/>
  <c r="C1398" i="3"/>
  <c r="B1398" i="3"/>
  <c r="H1397" i="3"/>
  <c r="G1397" i="3"/>
  <c r="F1397" i="3"/>
  <c r="E1397" i="3"/>
  <c r="D1397" i="3"/>
  <c r="C1397" i="3"/>
  <c r="B1397" i="3"/>
  <c r="H1396" i="3"/>
  <c r="G1396" i="3"/>
  <c r="F1396" i="3"/>
  <c r="E1396" i="3"/>
  <c r="D1396" i="3"/>
  <c r="C1396" i="3"/>
  <c r="B1396" i="3"/>
  <c r="H1395" i="3"/>
  <c r="G1395" i="3"/>
  <c r="F1395" i="3"/>
  <c r="E1395" i="3"/>
  <c r="D1395" i="3"/>
  <c r="C1395" i="3"/>
  <c r="B1395" i="3"/>
  <c r="H1394" i="3"/>
  <c r="G1394" i="3"/>
  <c r="F1394" i="3"/>
  <c r="E1394" i="3"/>
  <c r="D1394" i="3"/>
  <c r="C1394" i="3"/>
  <c r="B1394" i="3"/>
  <c r="H1393" i="3"/>
  <c r="G1393" i="3"/>
  <c r="F1393" i="3"/>
  <c r="E1393" i="3"/>
  <c r="D1393" i="3"/>
  <c r="C1393" i="3"/>
  <c r="B1393" i="3"/>
  <c r="H1392" i="3"/>
  <c r="G1392" i="3"/>
  <c r="F1392" i="3"/>
  <c r="E1392" i="3"/>
  <c r="D1392" i="3"/>
  <c r="C1392" i="3"/>
  <c r="B1392" i="3"/>
  <c r="H1391" i="3"/>
  <c r="G1391" i="3"/>
  <c r="F1391" i="3"/>
  <c r="E1391" i="3"/>
  <c r="D1391" i="3"/>
  <c r="C1391" i="3"/>
  <c r="B1391" i="3"/>
  <c r="H1390" i="3"/>
  <c r="G1390" i="3"/>
  <c r="F1390" i="3"/>
  <c r="E1390" i="3"/>
  <c r="D1390" i="3"/>
  <c r="C1390" i="3"/>
  <c r="B1390" i="3"/>
  <c r="H1389" i="3"/>
  <c r="G1389" i="3"/>
  <c r="F1389" i="3"/>
  <c r="E1389" i="3"/>
  <c r="D1389" i="3"/>
  <c r="C1389" i="3"/>
  <c r="B1389" i="3"/>
  <c r="H1388" i="3"/>
  <c r="G1388" i="3"/>
  <c r="F1388" i="3"/>
  <c r="E1388" i="3"/>
  <c r="D1388" i="3"/>
  <c r="C1388" i="3"/>
  <c r="B1388" i="3"/>
  <c r="H1387" i="3"/>
  <c r="G1387" i="3"/>
  <c r="F1387" i="3"/>
  <c r="E1387" i="3"/>
  <c r="D1387" i="3"/>
  <c r="C1387" i="3"/>
  <c r="B1387" i="3"/>
  <c r="H1386" i="3"/>
  <c r="G1386" i="3"/>
  <c r="F1386" i="3"/>
  <c r="E1386" i="3"/>
  <c r="D1386" i="3"/>
  <c r="C1386" i="3"/>
  <c r="B1386" i="3"/>
  <c r="H1385" i="3"/>
  <c r="G1385" i="3"/>
  <c r="F1385" i="3"/>
  <c r="E1385" i="3"/>
  <c r="D1385" i="3"/>
  <c r="C1385" i="3"/>
  <c r="B1385" i="3"/>
  <c r="H1384" i="3"/>
  <c r="G1384" i="3"/>
  <c r="F1384" i="3"/>
  <c r="E1384" i="3"/>
  <c r="D1384" i="3"/>
  <c r="C1384" i="3"/>
  <c r="B1384" i="3"/>
  <c r="H1383" i="3"/>
  <c r="G1383" i="3"/>
  <c r="F1383" i="3"/>
  <c r="E1383" i="3"/>
  <c r="D1383" i="3"/>
  <c r="C1383" i="3"/>
  <c r="B1383" i="3"/>
  <c r="H1382" i="3"/>
  <c r="G1382" i="3"/>
  <c r="F1382" i="3"/>
  <c r="E1382" i="3"/>
  <c r="D1382" i="3"/>
  <c r="C1382" i="3"/>
  <c r="B1382" i="3"/>
  <c r="H1377" i="3"/>
  <c r="G1377" i="3"/>
  <c r="F1377" i="3"/>
  <c r="E1377" i="3"/>
  <c r="D1377" i="3"/>
  <c r="C1377" i="3"/>
  <c r="B1377" i="3"/>
  <c r="H1376" i="3"/>
  <c r="G1376" i="3"/>
  <c r="F1376" i="3"/>
  <c r="E1376" i="3"/>
  <c r="D1376" i="3"/>
  <c r="C1376" i="3"/>
  <c r="B1376" i="3"/>
  <c r="H1375" i="3"/>
  <c r="G1375" i="3"/>
  <c r="F1375" i="3"/>
  <c r="E1375" i="3"/>
  <c r="D1375" i="3"/>
  <c r="C1375" i="3"/>
  <c r="B1375" i="3"/>
  <c r="H1374" i="3"/>
  <c r="G1374" i="3"/>
  <c r="F1374" i="3"/>
  <c r="E1374" i="3"/>
  <c r="D1374" i="3"/>
  <c r="C1374" i="3"/>
  <c r="B1374" i="3"/>
  <c r="H1373" i="3"/>
  <c r="G1373" i="3"/>
  <c r="F1373" i="3"/>
  <c r="E1373" i="3"/>
  <c r="D1373" i="3"/>
  <c r="C1373" i="3"/>
  <c r="B1373" i="3"/>
  <c r="H1372" i="3"/>
  <c r="G1372" i="3"/>
  <c r="F1372" i="3"/>
  <c r="E1372" i="3"/>
  <c r="D1372" i="3"/>
  <c r="C1372" i="3"/>
  <c r="B1372" i="3"/>
  <c r="H1371" i="3"/>
  <c r="G1371" i="3"/>
  <c r="F1371" i="3"/>
  <c r="E1371" i="3"/>
  <c r="D1371" i="3"/>
  <c r="C1371" i="3"/>
  <c r="B1371" i="3"/>
  <c r="H1370" i="3"/>
  <c r="G1370" i="3"/>
  <c r="F1370" i="3"/>
  <c r="E1370" i="3"/>
  <c r="D1370" i="3"/>
  <c r="C1370" i="3"/>
  <c r="B1370" i="3"/>
  <c r="H1369" i="3"/>
  <c r="G1369" i="3"/>
  <c r="F1369" i="3"/>
  <c r="E1369" i="3"/>
  <c r="D1369" i="3"/>
  <c r="C1369" i="3"/>
  <c r="B1369" i="3"/>
  <c r="H1368" i="3"/>
  <c r="G1368" i="3"/>
  <c r="F1368" i="3"/>
  <c r="E1368" i="3"/>
  <c r="D1368" i="3"/>
  <c r="C1368" i="3"/>
  <c r="B1368" i="3"/>
  <c r="H1367" i="3"/>
  <c r="G1367" i="3"/>
  <c r="F1367" i="3"/>
  <c r="E1367" i="3"/>
  <c r="D1367" i="3"/>
  <c r="C1367" i="3"/>
  <c r="B1367" i="3"/>
  <c r="H1366" i="3"/>
  <c r="G1366" i="3"/>
  <c r="F1366" i="3"/>
  <c r="E1366" i="3"/>
  <c r="D1366" i="3"/>
  <c r="C1366" i="3"/>
  <c r="B1366" i="3"/>
  <c r="H1365" i="3"/>
  <c r="G1365" i="3"/>
  <c r="F1365" i="3"/>
  <c r="E1365" i="3"/>
  <c r="D1365" i="3"/>
  <c r="C1365" i="3"/>
  <c r="B1365" i="3"/>
  <c r="H1364" i="3"/>
  <c r="G1364" i="3"/>
  <c r="F1364" i="3"/>
  <c r="E1364" i="3"/>
  <c r="D1364" i="3"/>
  <c r="C1364" i="3"/>
  <c r="B1364" i="3"/>
  <c r="H1363" i="3"/>
  <c r="G1363" i="3"/>
  <c r="F1363" i="3"/>
  <c r="E1363" i="3"/>
  <c r="D1363" i="3"/>
  <c r="C1363" i="3"/>
  <c r="B1363" i="3"/>
  <c r="H1362" i="3"/>
  <c r="G1362" i="3"/>
  <c r="F1362" i="3"/>
  <c r="E1362" i="3"/>
  <c r="D1362" i="3"/>
  <c r="C1362" i="3"/>
  <c r="B1362" i="3"/>
  <c r="H1361" i="3"/>
  <c r="G1361" i="3"/>
  <c r="F1361" i="3"/>
  <c r="E1361" i="3"/>
  <c r="D1361" i="3"/>
  <c r="C1361" i="3"/>
  <c r="B1361" i="3"/>
  <c r="H1360" i="3"/>
  <c r="G1360" i="3"/>
  <c r="F1360" i="3"/>
  <c r="E1360" i="3"/>
  <c r="D1360" i="3"/>
  <c r="C1360" i="3"/>
  <c r="B1360" i="3"/>
  <c r="H1359" i="3"/>
  <c r="G1359" i="3"/>
  <c r="F1359" i="3"/>
  <c r="E1359" i="3"/>
  <c r="D1359" i="3"/>
  <c r="C1359" i="3"/>
  <c r="B1359" i="3"/>
  <c r="H1358" i="3"/>
  <c r="G1358" i="3"/>
  <c r="F1358" i="3"/>
  <c r="E1358" i="3"/>
  <c r="D1358" i="3"/>
  <c r="C1358" i="3"/>
  <c r="B1358" i="3"/>
  <c r="H1357" i="3"/>
  <c r="G1357" i="3"/>
  <c r="F1357" i="3"/>
  <c r="E1357" i="3"/>
  <c r="D1357" i="3"/>
  <c r="C1357" i="3"/>
  <c r="B1357" i="3"/>
  <c r="H1356" i="3"/>
  <c r="G1356" i="3"/>
  <c r="F1356" i="3"/>
  <c r="E1356" i="3"/>
  <c r="D1356" i="3"/>
  <c r="C1356" i="3"/>
  <c r="B1356" i="3"/>
  <c r="H1355" i="3"/>
  <c r="G1355" i="3"/>
  <c r="F1355" i="3"/>
  <c r="E1355" i="3"/>
  <c r="D1355" i="3"/>
  <c r="C1355" i="3"/>
  <c r="B1355" i="3"/>
  <c r="H1354" i="3"/>
  <c r="G1354" i="3"/>
  <c r="F1354" i="3"/>
  <c r="E1354" i="3"/>
  <c r="D1354" i="3"/>
  <c r="C1354" i="3"/>
  <c r="B1354" i="3"/>
  <c r="H1353" i="3"/>
  <c r="G1353" i="3"/>
  <c r="F1353" i="3"/>
  <c r="E1353" i="3"/>
  <c r="D1353" i="3"/>
  <c r="C1353" i="3"/>
  <c r="B1353" i="3"/>
  <c r="H1352" i="3"/>
  <c r="G1352" i="3"/>
  <c r="F1352" i="3"/>
  <c r="E1352" i="3"/>
  <c r="D1352" i="3"/>
  <c r="C1352" i="3"/>
  <c r="B1352" i="3"/>
  <c r="H1351" i="3"/>
  <c r="G1351" i="3"/>
  <c r="F1351" i="3"/>
  <c r="E1351" i="3"/>
  <c r="D1351" i="3"/>
  <c r="C1351" i="3"/>
  <c r="B1351" i="3"/>
  <c r="H1350" i="3"/>
  <c r="G1350" i="3"/>
  <c r="F1350" i="3"/>
  <c r="E1350" i="3"/>
  <c r="D1350" i="3"/>
  <c r="C1350" i="3"/>
  <c r="B1350" i="3"/>
  <c r="H1349" i="3"/>
  <c r="G1349" i="3"/>
  <c r="F1349" i="3"/>
  <c r="E1349" i="3"/>
  <c r="D1349" i="3"/>
  <c r="C1349" i="3"/>
  <c r="B1349" i="3"/>
  <c r="H1348" i="3"/>
  <c r="G1348" i="3"/>
  <c r="F1348" i="3"/>
  <c r="E1348" i="3"/>
  <c r="D1348" i="3"/>
  <c r="C1348" i="3"/>
  <c r="B1348" i="3"/>
  <c r="H1347" i="3"/>
  <c r="G1347" i="3"/>
  <c r="F1347" i="3"/>
  <c r="E1347" i="3"/>
  <c r="D1347" i="3"/>
  <c r="C1347" i="3"/>
  <c r="B1347" i="3"/>
  <c r="H1346" i="3"/>
  <c r="G1346" i="3"/>
  <c r="F1346" i="3"/>
  <c r="E1346" i="3"/>
  <c r="D1346" i="3"/>
  <c r="C1346" i="3"/>
  <c r="B1346" i="3"/>
  <c r="H1345" i="3"/>
  <c r="G1345" i="3"/>
  <c r="F1345" i="3"/>
  <c r="E1345" i="3"/>
  <c r="D1345" i="3"/>
  <c r="C1345" i="3"/>
  <c r="B1345" i="3"/>
  <c r="H1344" i="3"/>
  <c r="G1344" i="3"/>
  <c r="F1344" i="3"/>
  <c r="E1344" i="3"/>
  <c r="D1344" i="3"/>
  <c r="C1344" i="3"/>
  <c r="B1344" i="3"/>
  <c r="H1343" i="3"/>
  <c r="G1343" i="3"/>
  <c r="F1343" i="3"/>
  <c r="E1343" i="3"/>
  <c r="D1343" i="3"/>
  <c r="C1343" i="3"/>
  <c r="B1343" i="3"/>
  <c r="H1342" i="3"/>
  <c r="G1342" i="3"/>
  <c r="F1342" i="3"/>
  <c r="E1342" i="3"/>
  <c r="D1342" i="3"/>
  <c r="C1342" i="3"/>
  <c r="B1342" i="3"/>
  <c r="H1341" i="3"/>
  <c r="G1341" i="3"/>
  <c r="F1341" i="3"/>
  <c r="E1341" i="3"/>
  <c r="D1341" i="3"/>
  <c r="C1341" i="3"/>
  <c r="B1341" i="3"/>
  <c r="H1340" i="3"/>
  <c r="G1340" i="3"/>
  <c r="F1340" i="3"/>
  <c r="E1340" i="3"/>
  <c r="D1340" i="3"/>
  <c r="C1340" i="3"/>
  <c r="B1340" i="3"/>
  <c r="H1339" i="3"/>
  <c r="G1339" i="3"/>
  <c r="F1339" i="3"/>
  <c r="E1339" i="3"/>
  <c r="D1339" i="3"/>
  <c r="C1339" i="3"/>
  <c r="B1339" i="3"/>
  <c r="H1338" i="3"/>
  <c r="G1338" i="3"/>
  <c r="F1338" i="3"/>
  <c r="E1338" i="3"/>
  <c r="D1338" i="3"/>
  <c r="C1338" i="3"/>
  <c r="B1338" i="3"/>
  <c r="H1337" i="3"/>
  <c r="G1337" i="3"/>
  <c r="F1337" i="3"/>
  <c r="E1337" i="3"/>
  <c r="D1337" i="3"/>
  <c r="C1337" i="3"/>
  <c r="B1337" i="3"/>
  <c r="H1336" i="3"/>
  <c r="G1336" i="3"/>
  <c r="F1336" i="3"/>
  <c r="E1336" i="3"/>
  <c r="D1336" i="3"/>
  <c r="C1336" i="3"/>
  <c r="B1336" i="3"/>
  <c r="H1335" i="3"/>
  <c r="G1335" i="3"/>
  <c r="F1335" i="3"/>
  <c r="E1335" i="3"/>
  <c r="D1335" i="3"/>
  <c r="C1335" i="3"/>
  <c r="B1335" i="3"/>
  <c r="H1332" i="3"/>
  <c r="G1332" i="3"/>
  <c r="F1332" i="3"/>
  <c r="E1332" i="3"/>
  <c r="D1332" i="3"/>
  <c r="C1332" i="3"/>
  <c r="B1332" i="3"/>
  <c r="H1331" i="3"/>
  <c r="G1331" i="3"/>
  <c r="F1331" i="3"/>
  <c r="E1331" i="3"/>
  <c r="D1331" i="3"/>
  <c r="C1331" i="3"/>
  <c r="B1331" i="3"/>
  <c r="H1330" i="3"/>
  <c r="G1330" i="3"/>
  <c r="F1330" i="3"/>
  <c r="E1330" i="3"/>
  <c r="D1330" i="3"/>
  <c r="C1330" i="3"/>
  <c r="B1330" i="3"/>
  <c r="H1329" i="3"/>
  <c r="G1329" i="3"/>
  <c r="F1329" i="3"/>
  <c r="E1329" i="3"/>
  <c r="D1329" i="3"/>
  <c r="C1329" i="3"/>
  <c r="B1329" i="3"/>
  <c r="H1328" i="3"/>
  <c r="G1328" i="3"/>
  <c r="F1328" i="3"/>
  <c r="E1328" i="3"/>
  <c r="D1328" i="3"/>
  <c r="C1328" i="3"/>
  <c r="B1328" i="3"/>
  <c r="H1327" i="3"/>
  <c r="G1327" i="3"/>
  <c r="F1327" i="3"/>
  <c r="E1327" i="3"/>
  <c r="D1327" i="3"/>
  <c r="C1327" i="3"/>
  <c r="B1327" i="3"/>
  <c r="H1326" i="3"/>
  <c r="G1326" i="3"/>
  <c r="F1326" i="3"/>
  <c r="E1326" i="3"/>
  <c r="D1326" i="3"/>
  <c r="C1326" i="3"/>
  <c r="B1326" i="3"/>
  <c r="H1325" i="3"/>
  <c r="G1325" i="3"/>
  <c r="F1325" i="3"/>
  <c r="E1325" i="3"/>
  <c r="D1325" i="3"/>
  <c r="C1325" i="3"/>
  <c r="B1325" i="3"/>
  <c r="H1324" i="3"/>
  <c r="G1324" i="3"/>
  <c r="F1324" i="3"/>
  <c r="E1324" i="3"/>
  <c r="D1324" i="3"/>
  <c r="C1324" i="3"/>
  <c r="B1324" i="3"/>
  <c r="H1323" i="3"/>
  <c r="G1323" i="3"/>
  <c r="F1323" i="3"/>
  <c r="E1323" i="3"/>
  <c r="D1323" i="3"/>
  <c r="C1323" i="3"/>
  <c r="B1323" i="3"/>
  <c r="H1322" i="3"/>
  <c r="G1322" i="3"/>
  <c r="F1322" i="3"/>
  <c r="E1322" i="3"/>
  <c r="D1322" i="3"/>
  <c r="C1322" i="3"/>
  <c r="B1322" i="3"/>
  <c r="H1321" i="3"/>
  <c r="G1321" i="3"/>
  <c r="F1321" i="3"/>
  <c r="E1321" i="3"/>
  <c r="D1321" i="3"/>
  <c r="C1321" i="3"/>
  <c r="B1321" i="3"/>
  <c r="H1320" i="3"/>
  <c r="G1320" i="3"/>
  <c r="F1320" i="3"/>
  <c r="E1320" i="3"/>
  <c r="D1320" i="3"/>
  <c r="C1320" i="3"/>
  <c r="B1320" i="3"/>
  <c r="H1319" i="3"/>
  <c r="G1319" i="3"/>
  <c r="F1319" i="3"/>
  <c r="E1319" i="3"/>
  <c r="D1319" i="3"/>
  <c r="C1319" i="3"/>
  <c r="B1319" i="3"/>
  <c r="H1318" i="3"/>
  <c r="G1318" i="3"/>
  <c r="F1318" i="3"/>
  <c r="E1318" i="3"/>
  <c r="D1318" i="3"/>
  <c r="C1318" i="3"/>
  <c r="B1318" i="3"/>
  <c r="H1317" i="3"/>
  <c r="G1317" i="3"/>
  <c r="F1317" i="3"/>
  <c r="E1317" i="3"/>
  <c r="D1317" i="3"/>
  <c r="C1317" i="3"/>
  <c r="B1317" i="3"/>
  <c r="H1316" i="3"/>
  <c r="G1316" i="3"/>
  <c r="F1316" i="3"/>
  <c r="E1316" i="3"/>
  <c r="D1316" i="3"/>
  <c r="C1316" i="3"/>
  <c r="B1316" i="3"/>
  <c r="H1315" i="3"/>
  <c r="G1315" i="3"/>
  <c r="F1315" i="3"/>
  <c r="E1315" i="3"/>
  <c r="D1315" i="3"/>
  <c r="C1315" i="3"/>
  <c r="B1315" i="3"/>
  <c r="H1314" i="3"/>
  <c r="G1314" i="3"/>
  <c r="F1314" i="3"/>
  <c r="E1314" i="3"/>
  <c r="D1314" i="3"/>
  <c r="C1314" i="3"/>
  <c r="B1314" i="3"/>
  <c r="H1313" i="3"/>
  <c r="G1313" i="3"/>
  <c r="F1313" i="3"/>
  <c r="E1313" i="3"/>
  <c r="D1313" i="3"/>
  <c r="C1313" i="3"/>
  <c r="B1313" i="3"/>
  <c r="H1312" i="3"/>
  <c r="G1312" i="3"/>
  <c r="F1312" i="3"/>
  <c r="E1312" i="3"/>
  <c r="D1312" i="3"/>
  <c r="C1312" i="3"/>
  <c r="B1312" i="3"/>
  <c r="H1311" i="3"/>
  <c r="G1311" i="3"/>
  <c r="F1311" i="3"/>
  <c r="E1311" i="3"/>
  <c r="D1311" i="3"/>
  <c r="C1311" i="3"/>
  <c r="B1311" i="3"/>
  <c r="H1310" i="3"/>
  <c r="G1310" i="3"/>
  <c r="F1310" i="3"/>
  <c r="E1310" i="3"/>
  <c r="D1310" i="3"/>
  <c r="C1310" i="3"/>
  <c r="B1310" i="3"/>
  <c r="H1309" i="3"/>
  <c r="G1309" i="3"/>
  <c r="F1309" i="3"/>
  <c r="E1309" i="3"/>
  <c r="D1309" i="3"/>
  <c r="C1309" i="3"/>
  <c r="B1309" i="3"/>
  <c r="H1308" i="3"/>
  <c r="G1308" i="3"/>
  <c r="F1308" i="3"/>
  <c r="E1308" i="3"/>
  <c r="D1308" i="3"/>
  <c r="C1308" i="3"/>
  <c r="B1308" i="3"/>
  <c r="H1307" i="3"/>
  <c r="G1307" i="3"/>
  <c r="F1307" i="3"/>
  <c r="E1307" i="3"/>
  <c r="D1307" i="3"/>
  <c r="C1307" i="3"/>
  <c r="B1307" i="3"/>
  <c r="H1306" i="3"/>
  <c r="G1306" i="3"/>
  <c r="F1306" i="3"/>
  <c r="E1306" i="3"/>
  <c r="D1306" i="3"/>
  <c r="C1306" i="3"/>
  <c r="B1306" i="3"/>
  <c r="H1305" i="3"/>
  <c r="G1305" i="3"/>
  <c r="F1305" i="3"/>
  <c r="E1305" i="3"/>
  <c r="D1305" i="3"/>
  <c r="C1305" i="3"/>
  <c r="B1305" i="3"/>
  <c r="H1304" i="3"/>
  <c r="G1304" i="3"/>
  <c r="F1304" i="3"/>
  <c r="E1304" i="3"/>
  <c r="D1304" i="3"/>
  <c r="C1304" i="3"/>
  <c r="B1304" i="3"/>
  <c r="H1303" i="3"/>
  <c r="G1303" i="3"/>
  <c r="F1303" i="3"/>
  <c r="E1303" i="3"/>
  <c r="D1303" i="3"/>
  <c r="C1303" i="3"/>
  <c r="B1303" i="3"/>
  <c r="H1302" i="3"/>
  <c r="G1302" i="3"/>
  <c r="F1302" i="3"/>
  <c r="E1302" i="3"/>
  <c r="D1302" i="3"/>
  <c r="C1302" i="3"/>
  <c r="B1302" i="3"/>
  <c r="H1301" i="3"/>
  <c r="G1301" i="3"/>
  <c r="F1301" i="3"/>
  <c r="E1301" i="3"/>
  <c r="D1301" i="3"/>
  <c r="C1301" i="3"/>
  <c r="B1301" i="3"/>
  <c r="H1300" i="3"/>
  <c r="G1300" i="3"/>
  <c r="F1300" i="3"/>
  <c r="E1300" i="3"/>
  <c r="D1300" i="3"/>
  <c r="C1300" i="3"/>
  <c r="B1300" i="3"/>
  <c r="H1299" i="3"/>
  <c r="G1299" i="3"/>
  <c r="F1299" i="3"/>
  <c r="E1299" i="3"/>
  <c r="D1299" i="3"/>
  <c r="C1299" i="3"/>
  <c r="B1299" i="3"/>
  <c r="H1298" i="3"/>
  <c r="G1298" i="3"/>
  <c r="F1298" i="3"/>
  <c r="E1298" i="3"/>
  <c r="D1298" i="3"/>
  <c r="C1298" i="3"/>
  <c r="B1298" i="3"/>
  <c r="H1297" i="3"/>
  <c r="G1297" i="3"/>
  <c r="F1297" i="3"/>
  <c r="E1297" i="3"/>
  <c r="D1297" i="3"/>
  <c r="C1297" i="3"/>
  <c r="B1297" i="3"/>
  <c r="H1296" i="3"/>
  <c r="G1296" i="3"/>
  <c r="F1296" i="3"/>
  <c r="E1296" i="3"/>
  <c r="D1296" i="3"/>
  <c r="C1296" i="3"/>
  <c r="B1296" i="3"/>
  <c r="H1295" i="3"/>
  <c r="G1295" i="3"/>
  <c r="F1295" i="3"/>
  <c r="E1295" i="3"/>
  <c r="D1295" i="3"/>
  <c r="C1295" i="3"/>
  <c r="B1295" i="3"/>
  <c r="H1294" i="3"/>
  <c r="G1294" i="3"/>
  <c r="F1294" i="3"/>
  <c r="E1294" i="3"/>
  <c r="D1294" i="3"/>
  <c r="C1294" i="3"/>
  <c r="B1294" i="3"/>
  <c r="H1293" i="3"/>
  <c r="G1293" i="3"/>
  <c r="F1293" i="3"/>
  <c r="E1293" i="3"/>
  <c r="D1293" i="3"/>
  <c r="C1293" i="3"/>
  <c r="B1293" i="3"/>
  <c r="H1292" i="3"/>
  <c r="G1292" i="3"/>
  <c r="F1292" i="3"/>
  <c r="E1292" i="3"/>
  <c r="D1292" i="3"/>
  <c r="C1292" i="3"/>
  <c r="B1292" i="3"/>
  <c r="H1291" i="3"/>
  <c r="G1291" i="3"/>
  <c r="F1291" i="3"/>
  <c r="E1291" i="3"/>
  <c r="D1291" i="3"/>
  <c r="C1291" i="3"/>
  <c r="B1291" i="3"/>
  <c r="H1290" i="3"/>
  <c r="G1290" i="3"/>
  <c r="F1290" i="3"/>
  <c r="E1290" i="3"/>
  <c r="D1290" i="3"/>
  <c r="C1290" i="3"/>
  <c r="B1290" i="3"/>
  <c r="H1289" i="3"/>
  <c r="G1289" i="3"/>
  <c r="F1289" i="3"/>
  <c r="E1289" i="3"/>
  <c r="D1289" i="3"/>
  <c r="C1289" i="3"/>
  <c r="B1289" i="3"/>
  <c r="H1288" i="3"/>
  <c r="G1288" i="3"/>
  <c r="F1288" i="3"/>
  <c r="E1288" i="3"/>
  <c r="D1288" i="3"/>
  <c r="C1288" i="3"/>
  <c r="B1288" i="3"/>
  <c r="H1287" i="3"/>
  <c r="G1287" i="3"/>
  <c r="F1287" i="3"/>
  <c r="E1287" i="3"/>
  <c r="D1287" i="3"/>
  <c r="C1287" i="3"/>
  <c r="B1287" i="3"/>
  <c r="H1286" i="3"/>
  <c r="G1286" i="3"/>
  <c r="F1286" i="3"/>
  <c r="E1286" i="3"/>
  <c r="D1286" i="3"/>
  <c r="C1286" i="3"/>
  <c r="B1286" i="3"/>
  <c r="H1285" i="3"/>
  <c r="G1285" i="3"/>
  <c r="F1285" i="3"/>
  <c r="E1285" i="3"/>
  <c r="D1285" i="3"/>
  <c r="C1285" i="3"/>
  <c r="B1285" i="3"/>
  <c r="H1284" i="3"/>
  <c r="G1284" i="3"/>
  <c r="F1284" i="3"/>
  <c r="E1284" i="3"/>
  <c r="D1284" i="3"/>
  <c r="C1284" i="3"/>
  <c r="B1284" i="3"/>
  <c r="H1283" i="3"/>
  <c r="G1283" i="3"/>
  <c r="F1283" i="3"/>
  <c r="E1283" i="3"/>
  <c r="D1283" i="3"/>
  <c r="C1283" i="3"/>
  <c r="B1283" i="3"/>
  <c r="H1282" i="3"/>
  <c r="G1282" i="3"/>
  <c r="F1282" i="3"/>
  <c r="E1282" i="3"/>
  <c r="D1282" i="3"/>
  <c r="C1282" i="3"/>
  <c r="B1282" i="3"/>
  <c r="H1281" i="3"/>
  <c r="G1281" i="3"/>
  <c r="F1281" i="3"/>
  <c r="E1281" i="3"/>
  <c r="D1281" i="3"/>
  <c r="C1281" i="3"/>
  <c r="B1281" i="3"/>
  <c r="H1280" i="3"/>
  <c r="G1280" i="3"/>
  <c r="F1280" i="3"/>
  <c r="E1280" i="3"/>
  <c r="D1280" i="3"/>
  <c r="C1280" i="3"/>
  <c r="B1280" i="3"/>
  <c r="H1279" i="3"/>
  <c r="G1279" i="3"/>
  <c r="F1279" i="3"/>
  <c r="E1279" i="3"/>
  <c r="D1279" i="3"/>
  <c r="C1279" i="3"/>
  <c r="B1279" i="3"/>
  <c r="H1278" i="3"/>
  <c r="G1278" i="3"/>
  <c r="F1278" i="3"/>
  <c r="E1278" i="3"/>
  <c r="D1278" i="3"/>
  <c r="C1278" i="3"/>
  <c r="B1278" i="3"/>
  <c r="H1277" i="3"/>
  <c r="G1277" i="3"/>
  <c r="F1277" i="3"/>
  <c r="E1277" i="3"/>
  <c r="D1277" i="3"/>
  <c r="C1277" i="3"/>
  <c r="B1277" i="3"/>
  <c r="H1276" i="3"/>
  <c r="G1276" i="3"/>
  <c r="F1276" i="3"/>
  <c r="E1276" i="3"/>
  <c r="D1276" i="3"/>
  <c r="C1276" i="3"/>
  <c r="B1276" i="3"/>
  <c r="H1275" i="3"/>
  <c r="G1275" i="3"/>
  <c r="F1275" i="3"/>
  <c r="E1275" i="3"/>
  <c r="D1275" i="3"/>
  <c r="C1275" i="3"/>
  <c r="B1275" i="3"/>
  <c r="H1274" i="3"/>
  <c r="G1274" i="3"/>
  <c r="F1274" i="3"/>
  <c r="E1274" i="3"/>
  <c r="D1274" i="3"/>
  <c r="C1274" i="3"/>
  <c r="B1274" i="3"/>
  <c r="H1273" i="3"/>
  <c r="G1273" i="3"/>
  <c r="F1273" i="3"/>
  <c r="E1273" i="3"/>
  <c r="D1273" i="3"/>
  <c r="C1273" i="3"/>
  <c r="B1273" i="3"/>
  <c r="H1272" i="3"/>
  <c r="G1272" i="3"/>
  <c r="F1272" i="3"/>
  <c r="E1272" i="3"/>
  <c r="D1272" i="3"/>
  <c r="C1272" i="3"/>
  <c r="B1272" i="3"/>
  <c r="H1271" i="3"/>
  <c r="G1271" i="3"/>
  <c r="F1271" i="3"/>
  <c r="E1271" i="3"/>
  <c r="D1271" i="3"/>
  <c r="C1271" i="3"/>
  <c r="B1271" i="3"/>
  <c r="H1270" i="3"/>
  <c r="G1270" i="3"/>
  <c r="F1270" i="3"/>
  <c r="E1270" i="3"/>
  <c r="D1270" i="3"/>
  <c r="C1270" i="3"/>
  <c r="B1270" i="3"/>
  <c r="H1269" i="3"/>
  <c r="G1269" i="3"/>
  <c r="F1269" i="3"/>
  <c r="E1269" i="3"/>
  <c r="D1269" i="3"/>
  <c r="C1269" i="3"/>
  <c r="B1269" i="3"/>
  <c r="H1268" i="3"/>
  <c r="G1268" i="3"/>
  <c r="F1268" i="3"/>
  <c r="E1268" i="3"/>
  <c r="D1268" i="3"/>
  <c r="C1268" i="3"/>
  <c r="B1268" i="3"/>
  <c r="H1267" i="3"/>
  <c r="G1267" i="3"/>
  <c r="F1267" i="3"/>
  <c r="E1267" i="3"/>
  <c r="D1267" i="3"/>
  <c r="C1267" i="3"/>
  <c r="B1267" i="3"/>
  <c r="H1266" i="3"/>
  <c r="G1266" i="3"/>
  <c r="F1266" i="3"/>
  <c r="E1266" i="3"/>
  <c r="D1266" i="3"/>
  <c r="C1266" i="3"/>
  <c r="B1266" i="3"/>
  <c r="H1265" i="3"/>
  <c r="G1265" i="3"/>
  <c r="F1265" i="3"/>
  <c r="E1265" i="3"/>
  <c r="D1265" i="3"/>
  <c r="C1265" i="3"/>
  <c r="B1265" i="3"/>
  <c r="H1264" i="3"/>
  <c r="G1264" i="3"/>
  <c r="F1264" i="3"/>
  <c r="E1264" i="3"/>
  <c r="D1264" i="3"/>
  <c r="C1264" i="3"/>
  <c r="B1264" i="3"/>
  <c r="H1263" i="3"/>
  <c r="G1263" i="3"/>
  <c r="F1263" i="3"/>
  <c r="E1263" i="3"/>
  <c r="D1263" i="3"/>
  <c r="C1263" i="3"/>
  <c r="B1263" i="3"/>
  <c r="H1262" i="3"/>
  <c r="G1262" i="3"/>
  <c r="F1262" i="3"/>
  <c r="E1262" i="3"/>
  <c r="D1262" i="3"/>
  <c r="C1262" i="3"/>
  <c r="B1262" i="3"/>
  <c r="H1261" i="3"/>
  <c r="G1261" i="3"/>
  <c r="F1261" i="3"/>
  <c r="E1261" i="3"/>
  <c r="D1261" i="3"/>
  <c r="C1261" i="3"/>
  <c r="B1261" i="3"/>
  <c r="H1260" i="3"/>
  <c r="G1260" i="3"/>
  <c r="F1260" i="3"/>
  <c r="E1260" i="3"/>
  <c r="D1260" i="3"/>
  <c r="C1260" i="3"/>
  <c r="B1260" i="3"/>
  <c r="H1259" i="3"/>
  <c r="G1259" i="3"/>
  <c r="F1259" i="3"/>
  <c r="E1259" i="3"/>
  <c r="D1259" i="3"/>
  <c r="C1259" i="3"/>
  <c r="B1259" i="3"/>
  <c r="H1258" i="3"/>
  <c r="G1258" i="3"/>
  <c r="F1258" i="3"/>
  <c r="E1258" i="3"/>
  <c r="D1258" i="3"/>
  <c r="C1258" i="3"/>
  <c r="B1258" i="3"/>
  <c r="H1257" i="3"/>
  <c r="G1257" i="3"/>
  <c r="F1257" i="3"/>
  <c r="E1257" i="3"/>
  <c r="D1257" i="3"/>
  <c r="C1257" i="3"/>
  <c r="B1257" i="3"/>
  <c r="H1256" i="3"/>
  <c r="G1256" i="3"/>
  <c r="F1256" i="3"/>
  <c r="E1256" i="3"/>
  <c r="D1256" i="3"/>
  <c r="C1256" i="3"/>
  <c r="B1256" i="3"/>
  <c r="H1255" i="3"/>
  <c r="G1255" i="3"/>
  <c r="F1255" i="3"/>
  <c r="E1255" i="3"/>
  <c r="D1255" i="3"/>
  <c r="C1255" i="3"/>
  <c r="B1255" i="3"/>
  <c r="H1254" i="3"/>
  <c r="G1254" i="3"/>
  <c r="F1254" i="3"/>
  <c r="E1254" i="3"/>
  <c r="D1254" i="3"/>
  <c r="C1254" i="3"/>
  <c r="B1254" i="3"/>
  <c r="H1253" i="3"/>
  <c r="G1253" i="3"/>
  <c r="F1253" i="3"/>
  <c r="E1253" i="3"/>
  <c r="D1253" i="3"/>
  <c r="C1253" i="3"/>
  <c r="B1253" i="3"/>
  <c r="H1252" i="3"/>
  <c r="G1252" i="3"/>
  <c r="F1252" i="3"/>
  <c r="E1252" i="3"/>
  <c r="D1252" i="3"/>
  <c r="C1252" i="3"/>
  <c r="B1252" i="3"/>
  <c r="H1251" i="3"/>
  <c r="G1251" i="3"/>
  <c r="F1251" i="3"/>
  <c r="E1251" i="3"/>
  <c r="D1251" i="3"/>
  <c r="C1251" i="3"/>
  <c r="B1251" i="3"/>
  <c r="H1250" i="3"/>
  <c r="G1250" i="3"/>
  <c r="F1250" i="3"/>
  <c r="E1250" i="3"/>
  <c r="D1250" i="3"/>
  <c r="C1250" i="3"/>
  <c r="B1250" i="3"/>
  <c r="H1249" i="3"/>
  <c r="G1249" i="3"/>
  <c r="F1249" i="3"/>
  <c r="E1249" i="3"/>
  <c r="D1249" i="3"/>
  <c r="C1249" i="3"/>
  <c r="B1249" i="3"/>
  <c r="H1248" i="3"/>
  <c r="G1248" i="3"/>
  <c r="F1248" i="3"/>
  <c r="E1248" i="3"/>
  <c r="D1248" i="3"/>
  <c r="C1248" i="3"/>
  <c r="B1248" i="3"/>
  <c r="H1247" i="3"/>
  <c r="G1247" i="3"/>
  <c r="F1247" i="3"/>
  <c r="E1247" i="3"/>
  <c r="D1247" i="3"/>
  <c r="C1247" i="3"/>
  <c r="B1247" i="3"/>
  <c r="H1246" i="3"/>
  <c r="G1246" i="3"/>
  <c r="F1246" i="3"/>
  <c r="E1246" i="3"/>
  <c r="D1246" i="3"/>
  <c r="C1246" i="3"/>
  <c r="B1246" i="3"/>
  <c r="H1245" i="3"/>
  <c r="G1245" i="3"/>
  <c r="F1245" i="3"/>
  <c r="E1245" i="3"/>
  <c r="D1245" i="3"/>
  <c r="C1245" i="3"/>
  <c r="B1245" i="3"/>
  <c r="H1244" i="3"/>
  <c r="G1244" i="3"/>
  <c r="F1244" i="3"/>
  <c r="E1244" i="3"/>
  <c r="D1244" i="3"/>
  <c r="C1244" i="3"/>
  <c r="B1244" i="3"/>
  <c r="H1243" i="3"/>
  <c r="G1243" i="3"/>
  <c r="F1243" i="3"/>
  <c r="E1243" i="3"/>
  <c r="D1243" i="3"/>
  <c r="C1243" i="3"/>
  <c r="B1243" i="3"/>
  <c r="H1242" i="3"/>
  <c r="G1242" i="3"/>
  <c r="F1242" i="3"/>
  <c r="E1242" i="3"/>
  <c r="D1242" i="3"/>
  <c r="C1242" i="3"/>
  <c r="B1242" i="3"/>
  <c r="H1241" i="3"/>
  <c r="G1241" i="3"/>
  <c r="F1241" i="3"/>
  <c r="E1241" i="3"/>
  <c r="D1241" i="3"/>
  <c r="C1241" i="3"/>
  <c r="B1241" i="3"/>
  <c r="H1240" i="3"/>
  <c r="G1240" i="3"/>
  <c r="F1240" i="3"/>
  <c r="E1240" i="3"/>
  <c r="D1240" i="3"/>
  <c r="C1240" i="3"/>
  <c r="B1240" i="3"/>
  <c r="H1239" i="3"/>
  <c r="G1239" i="3"/>
  <c r="F1239" i="3"/>
  <c r="E1239" i="3"/>
  <c r="D1239" i="3"/>
  <c r="C1239" i="3"/>
  <c r="B1239" i="3"/>
  <c r="H1238" i="3"/>
  <c r="G1238" i="3"/>
  <c r="F1238" i="3"/>
  <c r="E1238" i="3"/>
  <c r="D1238" i="3"/>
  <c r="C1238" i="3"/>
  <c r="B1238" i="3"/>
  <c r="H1237" i="3"/>
  <c r="G1237" i="3"/>
  <c r="F1237" i="3"/>
  <c r="E1237" i="3"/>
  <c r="D1237" i="3"/>
  <c r="C1237" i="3"/>
  <c r="B1237" i="3"/>
  <c r="H1236" i="3"/>
  <c r="G1236" i="3"/>
  <c r="F1236" i="3"/>
  <c r="E1236" i="3"/>
  <c r="D1236" i="3"/>
  <c r="C1236" i="3"/>
  <c r="B1236" i="3"/>
  <c r="H1235" i="3"/>
  <c r="G1235" i="3"/>
  <c r="F1235" i="3"/>
  <c r="E1235" i="3"/>
  <c r="D1235" i="3"/>
  <c r="C1235" i="3"/>
  <c r="B1235" i="3"/>
  <c r="H1234" i="3"/>
  <c r="G1234" i="3"/>
  <c r="F1234" i="3"/>
  <c r="E1234" i="3"/>
  <c r="D1234" i="3"/>
  <c r="C1234" i="3"/>
  <c r="B1234" i="3"/>
  <c r="H1233" i="3"/>
  <c r="G1233" i="3"/>
  <c r="F1233" i="3"/>
  <c r="E1233" i="3"/>
  <c r="D1233" i="3"/>
  <c r="C1233" i="3"/>
  <c r="B1233" i="3"/>
  <c r="H1232" i="3"/>
  <c r="G1232" i="3"/>
  <c r="F1232" i="3"/>
  <c r="E1232" i="3"/>
  <c r="D1232" i="3"/>
  <c r="C1232" i="3"/>
  <c r="B1232" i="3"/>
  <c r="H1231" i="3"/>
  <c r="G1231" i="3"/>
  <c r="F1231" i="3"/>
  <c r="E1231" i="3"/>
  <c r="D1231" i="3"/>
  <c r="C1231" i="3"/>
  <c r="B1231" i="3"/>
  <c r="H1230" i="3"/>
  <c r="G1230" i="3"/>
  <c r="F1230" i="3"/>
  <c r="E1230" i="3"/>
  <c r="D1230" i="3"/>
  <c r="C1230" i="3"/>
  <c r="B1230" i="3"/>
  <c r="H1229" i="3"/>
  <c r="G1229" i="3"/>
  <c r="F1229" i="3"/>
  <c r="E1229" i="3"/>
  <c r="D1229" i="3"/>
  <c r="C1229" i="3"/>
  <c r="B1229" i="3"/>
  <c r="H1223" i="3"/>
  <c r="G1223" i="3"/>
  <c r="F1223" i="3"/>
  <c r="E1223" i="3"/>
  <c r="D1223" i="3"/>
  <c r="C1223" i="3"/>
  <c r="B1223" i="3"/>
  <c r="H1222" i="3"/>
  <c r="G1222" i="3"/>
  <c r="F1222" i="3"/>
  <c r="E1222" i="3"/>
  <c r="D1222" i="3"/>
  <c r="C1222" i="3"/>
  <c r="B1222" i="3"/>
  <c r="H1221" i="3"/>
  <c r="G1221" i="3"/>
  <c r="F1221" i="3"/>
  <c r="E1221" i="3"/>
  <c r="D1221" i="3"/>
  <c r="C1221" i="3"/>
  <c r="B1221" i="3"/>
  <c r="H1220" i="3"/>
  <c r="G1220" i="3"/>
  <c r="F1220" i="3"/>
  <c r="E1220" i="3"/>
  <c r="D1220" i="3"/>
  <c r="C1220" i="3"/>
  <c r="B1220" i="3"/>
  <c r="H1219" i="3"/>
  <c r="G1219" i="3"/>
  <c r="F1219" i="3"/>
  <c r="E1219" i="3"/>
  <c r="D1219" i="3"/>
  <c r="C1219" i="3"/>
  <c r="B1219" i="3"/>
  <c r="H1218" i="3"/>
  <c r="G1218" i="3"/>
  <c r="F1218" i="3"/>
  <c r="E1218" i="3"/>
  <c r="D1218" i="3"/>
  <c r="C1218" i="3"/>
  <c r="B1218" i="3"/>
  <c r="H1217" i="3"/>
  <c r="G1217" i="3"/>
  <c r="F1217" i="3"/>
  <c r="E1217" i="3"/>
  <c r="D1217" i="3"/>
  <c r="C1217" i="3"/>
  <c r="B1217" i="3"/>
  <c r="H1216" i="3"/>
  <c r="G1216" i="3"/>
  <c r="F1216" i="3"/>
  <c r="E1216" i="3"/>
  <c r="D1216" i="3"/>
  <c r="C1216" i="3"/>
  <c r="B1216" i="3"/>
  <c r="H1215" i="3"/>
  <c r="G1215" i="3"/>
  <c r="F1215" i="3"/>
  <c r="E1215" i="3"/>
  <c r="D1215" i="3"/>
  <c r="C1215" i="3"/>
  <c r="B1215" i="3"/>
  <c r="H1214" i="3"/>
  <c r="G1214" i="3"/>
  <c r="F1214" i="3"/>
  <c r="E1214" i="3"/>
  <c r="D1214" i="3"/>
  <c r="C1214" i="3"/>
  <c r="B1214" i="3"/>
  <c r="H1213" i="3"/>
  <c r="G1213" i="3"/>
  <c r="F1213" i="3"/>
  <c r="E1213" i="3"/>
  <c r="D1213" i="3"/>
  <c r="C1213" i="3"/>
  <c r="B1213" i="3"/>
  <c r="H1212" i="3"/>
  <c r="G1212" i="3"/>
  <c r="F1212" i="3"/>
  <c r="E1212" i="3"/>
  <c r="D1212" i="3"/>
  <c r="C1212" i="3"/>
  <c r="B1212" i="3"/>
  <c r="H1211" i="3"/>
  <c r="G1211" i="3"/>
  <c r="F1211" i="3"/>
  <c r="E1211" i="3"/>
  <c r="D1211" i="3"/>
  <c r="C1211" i="3"/>
  <c r="B1211" i="3"/>
  <c r="H1210" i="3"/>
  <c r="G1210" i="3"/>
  <c r="F1210" i="3"/>
  <c r="E1210" i="3"/>
  <c r="D1210" i="3"/>
  <c r="C1210" i="3"/>
  <c r="B1210" i="3"/>
  <c r="H1209" i="3"/>
  <c r="G1209" i="3"/>
  <c r="F1209" i="3"/>
  <c r="E1209" i="3"/>
  <c r="D1209" i="3"/>
  <c r="C1209" i="3"/>
  <c r="B1209" i="3"/>
  <c r="H1208" i="3"/>
  <c r="G1208" i="3"/>
  <c r="F1208" i="3"/>
  <c r="E1208" i="3"/>
  <c r="D1208" i="3"/>
  <c r="C1208" i="3"/>
  <c r="B1208" i="3"/>
  <c r="H1207" i="3"/>
  <c r="G1207" i="3"/>
  <c r="F1207" i="3"/>
  <c r="E1207" i="3"/>
  <c r="D1207" i="3"/>
  <c r="C1207" i="3"/>
  <c r="B1207" i="3"/>
  <c r="H1206" i="3"/>
  <c r="G1206" i="3"/>
  <c r="F1206" i="3"/>
  <c r="E1206" i="3"/>
  <c r="D1206" i="3"/>
  <c r="C1206" i="3"/>
  <c r="B1206" i="3"/>
  <c r="H1205" i="3"/>
  <c r="G1205" i="3"/>
  <c r="F1205" i="3"/>
  <c r="E1205" i="3"/>
  <c r="D1205" i="3"/>
  <c r="C1205" i="3"/>
  <c r="B1205" i="3"/>
  <c r="H1204" i="3"/>
  <c r="G1204" i="3"/>
  <c r="F1204" i="3"/>
  <c r="E1204" i="3"/>
  <c r="D1204" i="3"/>
  <c r="C1204" i="3"/>
  <c r="B1204" i="3"/>
  <c r="H1203" i="3"/>
  <c r="G1203" i="3"/>
  <c r="F1203" i="3"/>
  <c r="E1203" i="3"/>
  <c r="D1203" i="3"/>
  <c r="C1203" i="3"/>
  <c r="B1203" i="3"/>
  <c r="H1202" i="3"/>
  <c r="G1202" i="3"/>
  <c r="F1202" i="3"/>
  <c r="E1202" i="3"/>
  <c r="D1202" i="3"/>
  <c r="C1202" i="3"/>
  <c r="B1202" i="3"/>
  <c r="H1201" i="3"/>
  <c r="G1201" i="3"/>
  <c r="F1201" i="3"/>
  <c r="E1201" i="3"/>
  <c r="D1201" i="3"/>
  <c r="C1201" i="3"/>
  <c r="B1201" i="3"/>
  <c r="H1200" i="3"/>
  <c r="G1200" i="3"/>
  <c r="F1200" i="3"/>
  <c r="E1200" i="3"/>
  <c r="D1200" i="3"/>
  <c r="C1200" i="3"/>
  <c r="B1200" i="3"/>
  <c r="H1199" i="3"/>
  <c r="G1199" i="3"/>
  <c r="F1199" i="3"/>
  <c r="E1199" i="3"/>
  <c r="D1199" i="3"/>
  <c r="C1199" i="3"/>
  <c r="B1199" i="3"/>
  <c r="H1198" i="3"/>
  <c r="G1198" i="3"/>
  <c r="F1198" i="3"/>
  <c r="E1198" i="3"/>
  <c r="D1198" i="3"/>
  <c r="C1198" i="3"/>
  <c r="B1198" i="3"/>
  <c r="H1197" i="3"/>
  <c r="G1197" i="3"/>
  <c r="F1197" i="3"/>
  <c r="E1197" i="3"/>
  <c r="D1197" i="3"/>
  <c r="C1197" i="3"/>
  <c r="B1197" i="3"/>
  <c r="H1196" i="3"/>
  <c r="G1196" i="3"/>
  <c r="F1196" i="3"/>
  <c r="E1196" i="3"/>
  <c r="D1196" i="3"/>
  <c r="C1196" i="3"/>
  <c r="B1196" i="3"/>
  <c r="H1195" i="3"/>
  <c r="G1195" i="3"/>
  <c r="F1195" i="3"/>
  <c r="E1195" i="3"/>
  <c r="D1195" i="3"/>
  <c r="C1195" i="3"/>
  <c r="B1195" i="3"/>
  <c r="H1194" i="3"/>
  <c r="G1194" i="3"/>
  <c r="F1194" i="3"/>
  <c r="E1194" i="3"/>
  <c r="D1194" i="3"/>
  <c r="C1194" i="3"/>
  <c r="B1194" i="3"/>
  <c r="H1193" i="3"/>
  <c r="G1193" i="3"/>
  <c r="F1193" i="3"/>
  <c r="E1193" i="3"/>
  <c r="D1193" i="3"/>
  <c r="C1193" i="3"/>
  <c r="B1193" i="3"/>
  <c r="H1192" i="3"/>
  <c r="G1192" i="3"/>
  <c r="F1192" i="3"/>
  <c r="E1192" i="3"/>
  <c r="D1192" i="3"/>
  <c r="C1192" i="3"/>
  <c r="B1192" i="3"/>
  <c r="H1191" i="3"/>
  <c r="G1191" i="3"/>
  <c r="F1191" i="3"/>
  <c r="E1191" i="3"/>
  <c r="D1191" i="3"/>
  <c r="C1191" i="3"/>
  <c r="B1191" i="3"/>
  <c r="H1190" i="3"/>
  <c r="G1190" i="3"/>
  <c r="F1190" i="3"/>
  <c r="E1190" i="3"/>
  <c r="D1190" i="3"/>
  <c r="C1190" i="3"/>
  <c r="B1190" i="3"/>
  <c r="H1189" i="3"/>
  <c r="G1189" i="3"/>
  <c r="F1189" i="3"/>
  <c r="E1189" i="3"/>
  <c r="D1189" i="3"/>
  <c r="C1189" i="3"/>
  <c r="B1189" i="3"/>
  <c r="H1188" i="3"/>
  <c r="G1188" i="3"/>
  <c r="F1188" i="3"/>
  <c r="E1188" i="3"/>
  <c r="D1188" i="3"/>
  <c r="C1188" i="3"/>
  <c r="B1188" i="3"/>
  <c r="H1187" i="3"/>
  <c r="G1187" i="3"/>
  <c r="F1187" i="3"/>
  <c r="E1187" i="3"/>
  <c r="D1187" i="3"/>
  <c r="C1187" i="3"/>
  <c r="B1187" i="3"/>
  <c r="H1186" i="3"/>
  <c r="G1186" i="3"/>
  <c r="F1186" i="3"/>
  <c r="E1186" i="3"/>
  <c r="D1186" i="3"/>
  <c r="C1186" i="3"/>
  <c r="B1186" i="3"/>
  <c r="H1185" i="3"/>
  <c r="G1185" i="3"/>
  <c r="F1185" i="3"/>
  <c r="E1185" i="3"/>
  <c r="D1185" i="3"/>
  <c r="C1185" i="3"/>
  <c r="B1185" i="3"/>
  <c r="H1184" i="3"/>
  <c r="G1184" i="3"/>
  <c r="F1184" i="3"/>
  <c r="E1184" i="3"/>
  <c r="D1184" i="3"/>
  <c r="C1184" i="3"/>
  <c r="B1184" i="3"/>
  <c r="H1183" i="3"/>
  <c r="G1183" i="3"/>
  <c r="F1183" i="3"/>
  <c r="E1183" i="3"/>
  <c r="D1183" i="3"/>
  <c r="C1183" i="3"/>
  <c r="B1183" i="3"/>
  <c r="H1182" i="3"/>
  <c r="G1182" i="3"/>
  <c r="F1182" i="3"/>
  <c r="E1182" i="3"/>
  <c r="D1182" i="3"/>
  <c r="C1182" i="3"/>
  <c r="B1182" i="3"/>
  <c r="H1181" i="3"/>
  <c r="G1181" i="3"/>
  <c r="F1181" i="3"/>
  <c r="E1181" i="3"/>
  <c r="D1181" i="3"/>
  <c r="C1181" i="3"/>
  <c r="B1181" i="3"/>
  <c r="H1180" i="3"/>
  <c r="G1180" i="3"/>
  <c r="F1180" i="3"/>
  <c r="E1180" i="3"/>
  <c r="D1180" i="3"/>
  <c r="C1180" i="3"/>
  <c r="B1180" i="3"/>
  <c r="H1179" i="3"/>
  <c r="G1179" i="3"/>
  <c r="F1179" i="3"/>
  <c r="E1179" i="3"/>
  <c r="D1179" i="3"/>
  <c r="C1179" i="3"/>
  <c r="B1179" i="3"/>
  <c r="H1178" i="3"/>
  <c r="G1178" i="3"/>
  <c r="F1178" i="3"/>
  <c r="E1178" i="3"/>
  <c r="D1178" i="3"/>
  <c r="C1178" i="3"/>
  <c r="B1178" i="3"/>
  <c r="H1177" i="3"/>
  <c r="G1177" i="3"/>
  <c r="F1177" i="3"/>
  <c r="E1177" i="3"/>
  <c r="D1177" i="3"/>
  <c r="C1177" i="3"/>
  <c r="B1177" i="3"/>
  <c r="H1176" i="3"/>
  <c r="G1176" i="3"/>
  <c r="F1176" i="3"/>
  <c r="E1176" i="3"/>
  <c r="D1176" i="3"/>
  <c r="C1176" i="3"/>
  <c r="B1176" i="3"/>
  <c r="H1175" i="3"/>
  <c r="G1175" i="3"/>
  <c r="F1175" i="3"/>
  <c r="E1175" i="3"/>
  <c r="D1175" i="3"/>
  <c r="C1175" i="3"/>
  <c r="B1175" i="3"/>
  <c r="H1174" i="3"/>
  <c r="G1174" i="3"/>
  <c r="F1174" i="3"/>
  <c r="E1174" i="3"/>
  <c r="D1174" i="3"/>
  <c r="C1174" i="3"/>
  <c r="B1174" i="3"/>
  <c r="H1173" i="3"/>
  <c r="G1173" i="3"/>
  <c r="F1173" i="3"/>
  <c r="E1173" i="3"/>
  <c r="D1173" i="3"/>
  <c r="C1173" i="3"/>
  <c r="B1173" i="3"/>
  <c r="H1172" i="3"/>
  <c r="G1172" i="3"/>
  <c r="F1172" i="3"/>
  <c r="E1172" i="3"/>
  <c r="D1172" i="3"/>
  <c r="C1172" i="3"/>
  <c r="B1172" i="3"/>
  <c r="H1171" i="3"/>
  <c r="G1171" i="3"/>
  <c r="F1171" i="3"/>
  <c r="E1171" i="3"/>
  <c r="D1171" i="3"/>
  <c r="C1171" i="3"/>
  <c r="B1171" i="3"/>
  <c r="H1170" i="3"/>
  <c r="G1170" i="3"/>
  <c r="F1170" i="3"/>
  <c r="E1170" i="3"/>
  <c r="D1170" i="3"/>
  <c r="C1170" i="3"/>
  <c r="B1170" i="3"/>
  <c r="H1169" i="3"/>
  <c r="G1169" i="3"/>
  <c r="F1169" i="3"/>
  <c r="E1169" i="3"/>
  <c r="D1169" i="3"/>
  <c r="C1169" i="3"/>
  <c r="B1169" i="3"/>
  <c r="H1168" i="3"/>
  <c r="G1168" i="3"/>
  <c r="F1168" i="3"/>
  <c r="E1168" i="3"/>
  <c r="D1168" i="3"/>
  <c r="C1168" i="3"/>
  <c r="B1168" i="3"/>
  <c r="H1167" i="3"/>
  <c r="G1167" i="3"/>
  <c r="F1167" i="3"/>
  <c r="E1167" i="3"/>
  <c r="D1167" i="3"/>
  <c r="C1167" i="3"/>
  <c r="B1167" i="3"/>
  <c r="H1166" i="3"/>
  <c r="G1166" i="3"/>
  <c r="F1166" i="3"/>
  <c r="E1166" i="3"/>
  <c r="D1166" i="3"/>
  <c r="C1166" i="3"/>
  <c r="B1166" i="3"/>
  <c r="H1165" i="3"/>
  <c r="G1165" i="3"/>
  <c r="F1165" i="3"/>
  <c r="E1165" i="3"/>
  <c r="D1165" i="3"/>
  <c r="C1165" i="3"/>
  <c r="B1165" i="3"/>
  <c r="H1164" i="3"/>
  <c r="G1164" i="3"/>
  <c r="F1164" i="3"/>
  <c r="E1164" i="3"/>
  <c r="D1164" i="3"/>
  <c r="C1164" i="3"/>
  <c r="B1164" i="3"/>
  <c r="H1163" i="3"/>
  <c r="G1163" i="3"/>
  <c r="F1163" i="3"/>
  <c r="E1163" i="3"/>
  <c r="D1163" i="3"/>
  <c r="C1163" i="3"/>
  <c r="B1163" i="3"/>
  <c r="H1162" i="3"/>
  <c r="G1162" i="3"/>
  <c r="F1162" i="3"/>
  <c r="E1162" i="3"/>
  <c r="D1162" i="3"/>
  <c r="C1162" i="3"/>
  <c r="B1162" i="3"/>
  <c r="H1161" i="3"/>
  <c r="G1161" i="3"/>
  <c r="F1161" i="3"/>
  <c r="E1161" i="3"/>
  <c r="D1161" i="3"/>
  <c r="C1161" i="3"/>
  <c r="B1161" i="3"/>
  <c r="H1160" i="3"/>
  <c r="G1160" i="3"/>
  <c r="F1160" i="3"/>
  <c r="E1160" i="3"/>
  <c r="D1160" i="3"/>
  <c r="C1160" i="3"/>
  <c r="B1160" i="3"/>
  <c r="H1159" i="3"/>
  <c r="G1159" i="3"/>
  <c r="F1159" i="3"/>
  <c r="E1159" i="3"/>
  <c r="D1159" i="3"/>
  <c r="C1159" i="3"/>
  <c r="B1159" i="3"/>
  <c r="H1158" i="3"/>
  <c r="G1158" i="3"/>
  <c r="F1158" i="3"/>
  <c r="E1158" i="3"/>
  <c r="D1158" i="3"/>
  <c r="C1158" i="3"/>
  <c r="B1158" i="3"/>
  <c r="H1157" i="3"/>
  <c r="G1157" i="3"/>
  <c r="F1157" i="3"/>
  <c r="E1157" i="3"/>
  <c r="D1157" i="3"/>
  <c r="C1157" i="3"/>
  <c r="B1157" i="3"/>
  <c r="H1156" i="3"/>
  <c r="G1156" i="3"/>
  <c r="F1156" i="3"/>
  <c r="E1156" i="3"/>
  <c r="D1156" i="3"/>
  <c r="C1156" i="3"/>
  <c r="B1156" i="3"/>
  <c r="H1155" i="3"/>
  <c r="G1155" i="3"/>
  <c r="F1155" i="3"/>
  <c r="E1155" i="3"/>
  <c r="D1155" i="3"/>
  <c r="C1155" i="3"/>
  <c r="B1155" i="3"/>
  <c r="H1154" i="3"/>
  <c r="G1154" i="3"/>
  <c r="F1154" i="3"/>
  <c r="E1154" i="3"/>
  <c r="D1154" i="3"/>
  <c r="C1154" i="3"/>
  <c r="B1154" i="3"/>
  <c r="H1153" i="3"/>
  <c r="G1153" i="3"/>
  <c r="F1153" i="3"/>
  <c r="E1153" i="3"/>
  <c r="D1153" i="3"/>
  <c r="C1153" i="3"/>
  <c r="B1153" i="3"/>
  <c r="H1152" i="3"/>
  <c r="G1152" i="3"/>
  <c r="F1152" i="3"/>
  <c r="E1152" i="3"/>
  <c r="D1152" i="3"/>
  <c r="C1152" i="3"/>
  <c r="B1152" i="3"/>
  <c r="H1151" i="3"/>
  <c r="G1151" i="3"/>
  <c r="F1151" i="3"/>
  <c r="E1151" i="3"/>
  <c r="D1151" i="3"/>
  <c r="C1151" i="3"/>
  <c r="B1151" i="3"/>
  <c r="H1150" i="3"/>
  <c r="G1150" i="3"/>
  <c r="F1150" i="3"/>
  <c r="E1150" i="3"/>
  <c r="D1150" i="3"/>
  <c r="C1150" i="3"/>
  <c r="B1150" i="3"/>
  <c r="H1149" i="3"/>
  <c r="G1149" i="3"/>
  <c r="F1149" i="3"/>
  <c r="E1149" i="3"/>
  <c r="D1149" i="3"/>
  <c r="C1149" i="3"/>
  <c r="B1149" i="3"/>
  <c r="H1148" i="3"/>
  <c r="G1148" i="3"/>
  <c r="F1148" i="3"/>
  <c r="E1148" i="3"/>
  <c r="D1148" i="3"/>
  <c r="C1148" i="3"/>
  <c r="B1148" i="3"/>
  <c r="H1147" i="3"/>
  <c r="G1147" i="3"/>
  <c r="F1147" i="3"/>
  <c r="E1147" i="3"/>
  <c r="D1147" i="3"/>
  <c r="C1147" i="3"/>
  <c r="B1147" i="3"/>
  <c r="H1146" i="3"/>
  <c r="G1146" i="3"/>
  <c r="F1146" i="3"/>
  <c r="E1146" i="3"/>
  <c r="D1146" i="3"/>
  <c r="C1146" i="3"/>
  <c r="B1146" i="3"/>
  <c r="H1145" i="3"/>
  <c r="G1145" i="3"/>
  <c r="F1145" i="3"/>
  <c r="E1145" i="3"/>
  <c r="D1145" i="3"/>
  <c r="C1145" i="3"/>
  <c r="B1145" i="3"/>
  <c r="H1144" i="3"/>
  <c r="G1144" i="3"/>
  <c r="F1144" i="3"/>
  <c r="E1144" i="3"/>
  <c r="D1144" i="3"/>
  <c r="C1144" i="3"/>
  <c r="B1144" i="3"/>
  <c r="H1143" i="3"/>
  <c r="G1143" i="3"/>
  <c r="F1143" i="3"/>
  <c r="E1143" i="3"/>
  <c r="D1143" i="3"/>
  <c r="C1143" i="3"/>
  <c r="B1143" i="3"/>
  <c r="H1142" i="3"/>
  <c r="G1142" i="3"/>
  <c r="F1142" i="3"/>
  <c r="E1142" i="3"/>
  <c r="D1142" i="3"/>
  <c r="C1142" i="3"/>
  <c r="B1142" i="3"/>
  <c r="H1141" i="3"/>
  <c r="G1141" i="3"/>
  <c r="F1141" i="3"/>
  <c r="E1141" i="3"/>
  <c r="D1141" i="3"/>
  <c r="C1141" i="3"/>
  <c r="B1141" i="3"/>
  <c r="H1140" i="3"/>
  <c r="G1140" i="3"/>
  <c r="F1140" i="3"/>
  <c r="E1140" i="3"/>
  <c r="D1140" i="3"/>
  <c r="C1140" i="3"/>
  <c r="B1140" i="3"/>
  <c r="H1139" i="3"/>
  <c r="G1139" i="3"/>
  <c r="F1139" i="3"/>
  <c r="E1139" i="3"/>
  <c r="D1139" i="3"/>
  <c r="C1139" i="3"/>
  <c r="B1139" i="3"/>
  <c r="H1138" i="3"/>
  <c r="G1138" i="3"/>
  <c r="F1138" i="3"/>
  <c r="E1138" i="3"/>
  <c r="D1138" i="3"/>
  <c r="C1138" i="3"/>
  <c r="B1138" i="3"/>
  <c r="H1137" i="3"/>
  <c r="G1137" i="3"/>
  <c r="F1137" i="3"/>
  <c r="E1137" i="3"/>
  <c r="D1137" i="3"/>
  <c r="C1137" i="3"/>
  <c r="B1137" i="3"/>
  <c r="H1136" i="3"/>
  <c r="G1136" i="3"/>
  <c r="F1136" i="3"/>
  <c r="E1136" i="3"/>
  <c r="D1136" i="3"/>
  <c r="C1136" i="3"/>
  <c r="B1136" i="3"/>
  <c r="H1135" i="3"/>
  <c r="G1135" i="3"/>
  <c r="F1135" i="3"/>
  <c r="E1135" i="3"/>
  <c r="D1135" i="3"/>
  <c r="C1135" i="3"/>
  <c r="B1135" i="3"/>
  <c r="H1134" i="3"/>
  <c r="G1134" i="3"/>
  <c r="F1134" i="3"/>
  <c r="E1134" i="3"/>
  <c r="D1134" i="3"/>
  <c r="C1134" i="3"/>
  <c r="B1134" i="3"/>
  <c r="H1133" i="3"/>
  <c r="G1133" i="3"/>
  <c r="F1133" i="3"/>
  <c r="E1133" i="3"/>
  <c r="D1133" i="3"/>
  <c r="C1133" i="3"/>
  <c r="B1133" i="3"/>
  <c r="H1132" i="3"/>
  <c r="G1132" i="3"/>
  <c r="F1132" i="3"/>
  <c r="E1132" i="3"/>
  <c r="D1132" i="3"/>
  <c r="C1132" i="3"/>
  <c r="B1132" i="3"/>
  <c r="H1131" i="3"/>
  <c r="G1131" i="3"/>
  <c r="F1131" i="3"/>
  <c r="E1131" i="3"/>
  <c r="D1131" i="3"/>
  <c r="C1131" i="3"/>
  <c r="B1131" i="3"/>
  <c r="H1130" i="3"/>
  <c r="G1130" i="3"/>
  <c r="F1130" i="3"/>
  <c r="E1130" i="3"/>
  <c r="D1130" i="3"/>
  <c r="C1130" i="3"/>
  <c r="B1130" i="3"/>
  <c r="H1129" i="3"/>
  <c r="G1129" i="3"/>
  <c r="F1129" i="3"/>
  <c r="E1129" i="3"/>
  <c r="D1129" i="3"/>
  <c r="C1129" i="3"/>
  <c r="B1129" i="3"/>
  <c r="H1128" i="3"/>
  <c r="G1128" i="3"/>
  <c r="F1128" i="3"/>
  <c r="E1128" i="3"/>
  <c r="D1128" i="3"/>
  <c r="C1128" i="3"/>
  <c r="B1128" i="3"/>
  <c r="H1127" i="3"/>
  <c r="G1127" i="3"/>
  <c r="F1127" i="3"/>
  <c r="E1127" i="3"/>
  <c r="D1127" i="3"/>
  <c r="C1127" i="3"/>
  <c r="B1127" i="3"/>
  <c r="H1126" i="3"/>
  <c r="G1126" i="3"/>
  <c r="F1126" i="3"/>
  <c r="E1126" i="3"/>
  <c r="D1126" i="3"/>
  <c r="C1126" i="3"/>
  <c r="B1126" i="3"/>
  <c r="H1125" i="3"/>
  <c r="G1125" i="3"/>
  <c r="F1125" i="3"/>
  <c r="E1125" i="3"/>
  <c r="D1125" i="3"/>
  <c r="C1125" i="3"/>
  <c r="B1125" i="3"/>
  <c r="H1124" i="3"/>
  <c r="G1124" i="3"/>
  <c r="F1124" i="3"/>
  <c r="E1124" i="3"/>
  <c r="D1124" i="3"/>
  <c r="C1124" i="3"/>
  <c r="B1124" i="3"/>
  <c r="H1123" i="3"/>
  <c r="G1123" i="3"/>
  <c r="F1123" i="3"/>
  <c r="E1123" i="3"/>
  <c r="D1123" i="3"/>
  <c r="C1123" i="3"/>
  <c r="B1123" i="3"/>
  <c r="H1122" i="3"/>
  <c r="G1122" i="3"/>
  <c r="F1122" i="3"/>
  <c r="E1122" i="3"/>
  <c r="D1122" i="3"/>
  <c r="C1122" i="3"/>
  <c r="B1122" i="3"/>
  <c r="H1121" i="3"/>
  <c r="G1121" i="3"/>
  <c r="F1121" i="3"/>
  <c r="E1121" i="3"/>
  <c r="D1121" i="3"/>
  <c r="C1121" i="3"/>
  <c r="B1121" i="3"/>
  <c r="H1120" i="3"/>
  <c r="G1120" i="3"/>
  <c r="F1120" i="3"/>
  <c r="E1120" i="3"/>
  <c r="D1120" i="3"/>
  <c r="C1120" i="3"/>
  <c r="B1120" i="3"/>
  <c r="H1119" i="3"/>
  <c r="G1119" i="3"/>
  <c r="F1119" i="3"/>
  <c r="E1119" i="3"/>
  <c r="D1119" i="3"/>
  <c r="C1119" i="3"/>
  <c r="B1119" i="3"/>
  <c r="H1118" i="3"/>
  <c r="G1118" i="3"/>
  <c r="F1118" i="3"/>
  <c r="E1118" i="3"/>
  <c r="D1118" i="3"/>
  <c r="C1118" i="3"/>
  <c r="B1118" i="3"/>
  <c r="H1117" i="3"/>
  <c r="G1117" i="3"/>
  <c r="F1117" i="3"/>
  <c r="E1117" i="3"/>
  <c r="D1117" i="3"/>
  <c r="C1117" i="3"/>
  <c r="B1117" i="3"/>
  <c r="H1116" i="3"/>
  <c r="G1116" i="3"/>
  <c r="F1116" i="3"/>
  <c r="E1116" i="3"/>
  <c r="D1116" i="3"/>
  <c r="C1116" i="3"/>
  <c r="B1116" i="3"/>
  <c r="H1115" i="3"/>
  <c r="G1115" i="3"/>
  <c r="F1115" i="3"/>
  <c r="E1115" i="3"/>
  <c r="D1115" i="3"/>
  <c r="C1115" i="3"/>
  <c r="B1115" i="3"/>
  <c r="H1114" i="3"/>
  <c r="G1114" i="3"/>
  <c r="F1114" i="3"/>
  <c r="E1114" i="3"/>
  <c r="D1114" i="3"/>
  <c r="C1114" i="3"/>
  <c r="B1114" i="3"/>
  <c r="H1113" i="3"/>
  <c r="G1113" i="3"/>
  <c r="F1113" i="3"/>
  <c r="E1113" i="3"/>
  <c r="D1113" i="3"/>
  <c r="C1113" i="3"/>
  <c r="B1113" i="3"/>
  <c r="H1112" i="3"/>
  <c r="G1112" i="3"/>
  <c r="F1112" i="3"/>
  <c r="E1112" i="3"/>
  <c r="D1112" i="3"/>
  <c r="C1112" i="3"/>
  <c r="B1112" i="3"/>
  <c r="H1111" i="3"/>
  <c r="G1111" i="3"/>
  <c r="F1111" i="3"/>
  <c r="E1111" i="3"/>
  <c r="D1111" i="3"/>
  <c r="C1111" i="3"/>
  <c r="B1111" i="3"/>
  <c r="H1110" i="3"/>
  <c r="G1110" i="3"/>
  <c r="F1110" i="3"/>
  <c r="E1110" i="3"/>
  <c r="D1110" i="3"/>
  <c r="C1110" i="3"/>
  <c r="B1110" i="3"/>
  <c r="H1109" i="3"/>
  <c r="G1109" i="3"/>
  <c r="F1109" i="3"/>
  <c r="E1109" i="3"/>
  <c r="D1109" i="3"/>
  <c r="C1109" i="3"/>
  <c r="B1109" i="3"/>
  <c r="H1108" i="3"/>
  <c r="G1108" i="3"/>
  <c r="F1108" i="3"/>
  <c r="E1108" i="3"/>
  <c r="D1108" i="3"/>
  <c r="C1108" i="3"/>
  <c r="B1108" i="3"/>
  <c r="H1107" i="3"/>
  <c r="G1107" i="3"/>
  <c r="F1107" i="3"/>
  <c r="E1107" i="3"/>
  <c r="D1107" i="3"/>
  <c r="C1107" i="3"/>
  <c r="B1107" i="3"/>
  <c r="H1106" i="3"/>
  <c r="G1106" i="3"/>
  <c r="F1106" i="3"/>
  <c r="E1106" i="3"/>
  <c r="D1106" i="3"/>
  <c r="C1106" i="3"/>
  <c r="B1106" i="3"/>
  <c r="H1105" i="3"/>
  <c r="G1105" i="3"/>
  <c r="F1105" i="3"/>
  <c r="E1105" i="3"/>
  <c r="D1105" i="3"/>
  <c r="C1105" i="3"/>
  <c r="B1105" i="3"/>
  <c r="H1104" i="3"/>
  <c r="G1104" i="3"/>
  <c r="F1104" i="3"/>
  <c r="E1104" i="3"/>
  <c r="D1104" i="3"/>
  <c r="C1104" i="3"/>
  <c r="B1104" i="3"/>
  <c r="H1103" i="3"/>
  <c r="G1103" i="3"/>
  <c r="F1103" i="3"/>
  <c r="E1103" i="3"/>
  <c r="D1103" i="3"/>
  <c r="C1103" i="3"/>
  <c r="B1103" i="3"/>
  <c r="H1102" i="3"/>
  <c r="G1102" i="3"/>
  <c r="F1102" i="3"/>
  <c r="E1102" i="3"/>
  <c r="D1102" i="3"/>
  <c r="C1102" i="3"/>
  <c r="B1102" i="3"/>
  <c r="H1101" i="3"/>
  <c r="G1101" i="3"/>
  <c r="F1101" i="3"/>
  <c r="E1101" i="3"/>
  <c r="D1101" i="3"/>
  <c r="C1101" i="3"/>
  <c r="B1101" i="3"/>
  <c r="H1100" i="3"/>
  <c r="G1100" i="3"/>
  <c r="F1100" i="3"/>
  <c r="E1100" i="3"/>
  <c r="D1100" i="3"/>
  <c r="C1100" i="3"/>
  <c r="B1100" i="3"/>
  <c r="H1099" i="3"/>
  <c r="G1099" i="3"/>
  <c r="F1099" i="3"/>
  <c r="E1099" i="3"/>
  <c r="D1099" i="3"/>
  <c r="C1099" i="3"/>
  <c r="B1099" i="3"/>
  <c r="H1098" i="3"/>
  <c r="G1098" i="3"/>
  <c r="F1098" i="3"/>
  <c r="E1098" i="3"/>
  <c r="D1098" i="3"/>
  <c r="C1098" i="3"/>
  <c r="B1098" i="3"/>
  <c r="H1097" i="3"/>
  <c r="G1097" i="3"/>
  <c r="F1097" i="3"/>
  <c r="E1097" i="3"/>
  <c r="D1097" i="3"/>
  <c r="C1097" i="3"/>
  <c r="B1097" i="3"/>
  <c r="H1096" i="3"/>
  <c r="G1096" i="3"/>
  <c r="F1096" i="3"/>
  <c r="E1096" i="3"/>
  <c r="D1096" i="3"/>
  <c r="C1096" i="3"/>
  <c r="B1096" i="3"/>
  <c r="H1095" i="3"/>
  <c r="G1095" i="3"/>
  <c r="F1095" i="3"/>
  <c r="E1095" i="3"/>
  <c r="D1095" i="3"/>
  <c r="C1095" i="3"/>
  <c r="B1095" i="3"/>
  <c r="H1094" i="3"/>
  <c r="G1094" i="3"/>
  <c r="F1094" i="3"/>
  <c r="E1094" i="3"/>
  <c r="D1094" i="3"/>
  <c r="C1094" i="3"/>
  <c r="B1094" i="3"/>
  <c r="H1093" i="3"/>
  <c r="G1093" i="3"/>
  <c r="F1093" i="3"/>
  <c r="E1093" i="3"/>
  <c r="D1093" i="3"/>
  <c r="C1093" i="3"/>
  <c r="B1093" i="3"/>
  <c r="H1092" i="3"/>
  <c r="G1092" i="3"/>
  <c r="F1092" i="3"/>
  <c r="E1092" i="3"/>
  <c r="D1092" i="3"/>
  <c r="C1092" i="3"/>
  <c r="B1092" i="3"/>
  <c r="H1091" i="3"/>
  <c r="G1091" i="3"/>
  <c r="F1091" i="3"/>
  <c r="E1091" i="3"/>
  <c r="D1091" i="3"/>
  <c r="C1091" i="3"/>
  <c r="B1091" i="3"/>
  <c r="H1090" i="3"/>
  <c r="G1090" i="3"/>
  <c r="F1090" i="3"/>
  <c r="E1090" i="3"/>
  <c r="D1090" i="3"/>
  <c r="C1090" i="3"/>
  <c r="B1090" i="3"/>
  <c r="H1089" i="3"/>
  <c r="G1089" i="3"/>
  <c r="F1089" i="3"/>
  <c r="E1089" i="3"/>
  <c r="D1089" i="3"/>
  <c r="C1089" i="3"/>
  <c r="B1089" i="3"/>
  <c r="H1088" i="3"/>
  <c r="G1088" i="3"/>
  <c r="F1088" i="3"/>
  <c r="E1088" i="3"/>
  <c r="D1088" i="3"/>
  <c r="C1088" i="3"/>
  <c r="B1088" i="3"/>
  <c r="H1087" i="3"/>
  <c r="G1087" i="3"/>
  <c r="F1087" i="3"/>
  <c r="E1087" i="3"/>
  <c r="D1087" i="3"/>
  <c r="C1087" i="3"/>
  <c r="B1087" i="3"/>
  <c r="H1086" i="3"/>
  <c r="G1086" i="3"/>
  <c r="F1086" i="3"/>
  <c r="E1086" i="3"/>
  <c r="D1086" i="3"/>
  <c r="C1086" i="3"/>
  <c r="B1086" i="3"/>
  <c r="H1085" i="3"/>
  <c r="G1085" i="3"/>
  <c r="F1085" i="3"/>
  <c r="E1085" i="3"/>
  <c r="D1085" i="3"/>
  <c r="C1085" i="3"/>
  <c r="B1085" i="3"/>
  <c r="H1084" i="3"/>
  <c r="G1084" i="3"/>
  <c r="F1084" i="3"/>
  <c r="E1084" i="3"/>
  <c r="D1084" i="3"/>
  <c r="C1084" i="3"/>
  <c r="B1084" i="3"/>
  <c r="H1083" i="3"/>
  <c r="G1083" i="3"/>
  <c r="F1083" i="3"/>
  <c r="E1083" i="3"/>
  <c r="D1083" i="3"/>
  <c r="C1083" i="3"/>
  <c r="B1083" i="3"/>
  <c r="H1082" i="3"/>
  <c r="G1082" i="3"/>
  <c r="F1082" i="3"/>
  <c r="E1082" i="3"/>
  <c r="D1082" i="3"/>
  <c r="C1082" i="3"/>
  <c r="B1082" i="3"/>
  <c r="H1081" i="3"/>
  <c r="G1081" i="3"/>
  <c r="F1081" i="3"/>
  <c r="E1081" i="3"/>
  <c r="D1081" i="3"/>
  <c r="C1081" i="3"/>
  <c r="B1081" i="3"/>
  <c r="H1080" i="3"/>
  <c r="G1080" i="3"/>
  <c r="F1080" i="3"/>
  <c r="E1080" i="3"/>
  <c r="D1080" i="3"/>
  <c r="C1080" i="3"/>
  <c r="B1080" i="3"/>
  <c r="H1079" i="3"/>
  <c r="G1079" i="3"/>
  <c r="F1079" i="3"/>
  <c r="E1079" i="3"/>
  <c r="D1079" i="3"/>
  <c r="C1079" i="3"/>
  <c r="B1079" i="3"/>
  <c r="H1078" i="3"/>
  <c r="G1078" i="3"/>
  <c r="F1078" i="3"/>
  <c r="E1078" i="3"/>
  <c r="D1078" i="3"/>
  <c r="C1078" i="3"/>
  <c r="B1078" i="3"/>
  <c r="H1077" i="3"/>
  <c r="G1077" i="3"/>
  <c r="F1077" i="3"/>
  <c r="E1077" i="3"/>
  <c r="D1077" i="3"/>
  <c r="C1077" i="3"/>
  <c r="B1077" i="3"/>
  <c r="H1076" i="3"/>
  <c r="G1076" i="3"/>
  <c r="F1076" i="3"/>
  <c r="E1076" i="3"/>
  <c r="D1076" i="3"/>
  <c r="C1076" i="3"/>
  <c r="B1076" i="3"/>
  <c r="H1075" i="3"/>
  <c r="G1075" i="3"/>
  <c r="F1075" i="3"/>
  <c r="E1075" i="3"/>
  <c r="D1075" i="3"/>
  <c r="C1075" i="3"/>
  <c r="B1075" i="3"/>
  <c r="H1074" i="3"/>
  <c r="G1074" i="3"/>
  <c r="F1074" i="3"/>
  <c r="E1074" i="3"/>
  <c r="D1074" i="3"/>
  <c r="C1074" i="3"/>
  <c r="B1074" i="3"/>
  <c r="H1073" i="3"/>
  <c r="G1073" i="3"/>
  <c r="F1073" i="3"/>
  <c r="E1073" i="3"/>
  <c r="D1073" i="3"/>
  <c r="C1073" i="3"/>
  <c r="B1073" i="3"/>
  <c r="H1072" i="3"/>
  <c r="G1072" i="3"/>
  <c r="F1072" i="3"/>
  <c r="E1072" i="3"/>
  <c r="D1072" i="3"/>
  <c r="C1072" i="3"/>
  <c r="B1072" i="3"/>
  <c r="H1071" i="3"/>
  <c r="G1071" i="3"/>
  <c r="F1071" i="3"/>
  <c r="E1071" i="3"/>
  <c r="D1071" i="3"/>
  <c r="C1071" i="3"/>
  <c r="B1071" i="3"/>
  <c r="H1070" i="3"/>
  <c r="G1070" i="3"/>
  <c r="F1070" i="3"/>
  <c r="E1070" i="3"/>
  <c r="D1070" i="3"/>
  <c r="C1070" i="3"/>
  <c r="B1070" i="3"/>
  <c r="H1069" i="3"/>
  <c r="G1069" i="3"/>
  <c r="F1069" i="3"/>
  <c r="E1069" i="3"/>
  <c r="D1069" i="3"/>
  <c r="C1069" i="3"/>
  <c r="B1069" i="3"/>
  <c r="H1068" i="3"/>
  <c r="G1068" i="3"/>
  <c r="F1068" i="3"/>
  <c r="E1068" i="3"/>
  <c r="D1068" i="3"/>
  <c r="C1068" i="3"/>
  <c r="B1068" i="3"/>
  <c r="H1067" i="3"/>
  <c r="G1067" i="3"/>
  <c r="F1067" i="3"/>
  <c r="E1067" i="3"/>
  <c r="D1067" i="3"/>
  <c r="C1067" i="3"/>
  <c r="B1067" i="3"/>
  <c r="H1066" i="3"/>
  <c r="G1066" i="3"/>
  <c r="F1066" i="3"/>
  <c r="E1066" i="3"/>
  <c r="D1066" i="3"/>
  <c r="C1066" i="3"/>
  <c r="B1066" i="3"/>
  <c r="H1065" i="3"/>
  <c r="G1065" i="3"/>
  <c r="F1065" i="3"/>
  <c r="E1065" i="3"/>
  <c r="D1065" i="3"/>
  <c r="C1065" i="3"/>
  <c r="B1065" i="3"/>
  <c r="H1064" i="3"/>
  <c r="G1064" i="3"/>
  <c r="F1064" i="3"/>
  <c r="E1064" i="3"/>
  <c r="D1064" i="3"/>
  <c r="C1064" i="3"/>
  <c r="B1064" i="3"/>
  <c r="H1063" i="3"/>
  <c r="G1063" i="3"/>
  <c r="F1063" i="3"/>
  <c r="E1063" i="3"/>
  <c r="D1063" i="3"/>
  <c r="C1063" i="3"/>
  <c r="B1063" i="3"/>
  <c r="H1062" i="3"/>
  <c r="G1062" i="3"/>
  <c r="F1062" i="3"/>
  <c r="E1062" i="3"/>
  <c r="D1062" i="3"/>
  <c r="C1062" i="3"/>
  <c r="B1062" i="3"/>
  <c r="H1061" i="3"/>
  <c r="G1061" i="3"/>
  <c r="F1061" i="3"/>
  <c r="E1061" i="3"/>
  <c r="D1061" i="3"/>
  <c r="C1061" i="3"/>
  <c r="B1061" i="3"/>
  <c r="H1060" i="3"/>
  <c r="G1060" i="3"/>
  <c r="F1060" i="3"/>
  <c r="E1060" i="3"/>
  <c r="D1060" i="3"/>
  <c r="C1060" i="3"/>
  <c r="B1060" i="3"/>
  <c r="H1059" i="3"/>
  <c r="G1059" i="3"/>
  <c r="F1059" i="3"/>
  <c r="E1059" i="3"/>
  <c r="D1059" i="3"/>
  <c r="C1059" i="3"/>
  <c r="B1059" i="3"/>
  <c r="H1058" i="3"/>
  <c r="G1058" i="3"/>
  <c r="F1058" i="3"/>
  <c r="E1058" i="3"/>
  <c r="D1058" i="3"/>
  <c r="C1058" i="3"/>
  <c r="B1058" i="3"/>
  <c r="H1057" i="3"/>
  <c r="G1057" i="3"/>
  <c r="F1057" i="3"/>
  <c r="E1057" i="3"/>
  <c r="D1057" i="3"/>
  <c r="C1057" i="3"/>
  <c r="B1057" i="3"/>
  <c r="H1056" i="3"/>
  <c r="G1056" i="3"/>
  <c r="F1056" i="3"/>
  <c r="E1056" i="3"/>
  <c r="D1056" i="3"/>
  <c r="C1056" i="3"/>
  <c r="B1056" i="3"/>
  <c r="H1055" i="3"/>
  <c r="G1055" i="3"/>
  <c r="F1055" i="3"/>
  <c r="E1055" i="3"/>
  <c r="D1055" i="3"/>
  <c r="C1055" i="3"/>
  <c r="B1055" i="3"/>
  <c r="H1054" i="3"/>
  <c r="G1054" i="3"/>
  <c r="F1054" i="3"/>
  <c r="E1054" i="3"/>
  <c r="D1054" i="3"/>
  <c r="C1054" i="3"/>
  <c r="B1054" i="3"/>
  <c r="H1053" i="3"/>
  <c r="G1053" i="3"/>
  <c r="F1053" i="3"/>
  <c r="E1053" i="3"/>
  <c r="D1053" i="3"/>
  <c r="C1053" i="3"/>
  <c r="B1053" i="3"/>
  <c r="H1052" i="3"/>
  <c r="G1052" i="3"/>
  <c r="F1052" i="3"/>
  <c r="E1052" i="3"/>
  <c r="D1052" i="3"/>
  <c r="C1052" i="3"/>
  <c r="B1052" i="3"/>
  <c r="H1051" i="3"/>
  <c r="G1051" i="3"/>
  <c r="F1051" i="3"/>
  <c r="E1051" i="3"/>
  <c r="D1051" i="3"/>
  <c r="C1051" i="3"/>
  <c r="B1051" i="3"/>
  <c r="H1050" i="3"/>
  <c r="G1050" i="3"/>
  <c r="F1050" i="3"/>
  <c r="E1050" i="3"/>
  <c r="D1050" i="3"/>
  <c r="C1050" i="3"/>
  <c r="B1050" i="3"/>
  <c r="H1049" i="3"/>
  <c r="G1049" i="3"/>
  <c r="F1049" i="3"/>
  <c r="E1049" i="3"/>
  <c r="D1049" i="3"/>
  <c r="C1049" i="3"/>
  <c r="B1049" i="3"/>
  <c r="H1048" i="3"/>
  <c r="G1048" i="3"/>
  <c r="F1048" i="3"/>
  <c r="E1048" i="3"/>
  <c r="D1048" i="3"/>
  <c r="C1048" i="3"/>
  <c r="B1048" i="3"/>
  <c r="H1047" i="3"/>
  <c r="G1047" i="3"/>
  <c r="F1047" i="3"/>
  <c r="E1047" i="3"/>
  <c r="D1047" i="3"/>
  <c r="C1047" i="3"/>
  <c r="B1047" i="3"/>
  <c r="H1046" i="3"/>
  <c r="G1046" i="3"/>
  <c r="F1046" i="3"/>
  <c r="E1046" i="3"/>
  <c r="D1046" i="3"/>
  <c r="C1046" i="3"/>
  <c r="B1046" i="3"/>
  <c r="H1045" i="3"/>
  <c r="G1045" i="3"/>
  <c r="F1045" i="3"/>
  <c r="E1045" i="3"/>
  <c r="D1045" i="3"/>
  <c r="C1045" i="3"/>
  <c r="B1045" i="3"/>
  <c r="H1044" i="3"/>
  <c r="G1044" i="3"/>
  <c r="F1044" i="3"/>
  <c r="E1044" i="3"/>
  <c r="D1044" i="3"/>
  <c r="C1044" i="3"/>
  <c r="B1044" i="3"/>
  <c r="H1043" i="3"/>
  <c r="G1043" i="3"/>
  <c r="F1043" i="3"/>
  <c r="E1043" i="3"/>
  <c r="D1043" i="3"/>
  <c r="C1043" i="3"/>
  <c r="B1043" i="3"/>
  <c r="H1042" i="3"/>
  <c r="G1042" i="3"/>
  <c r="F1042" i="3"/>
  <c r="E1042" i="3"/>
  <c r="D1042" i="3"/>
  <c r="C1042" i="3"/>
  <c r="B1042" i="3"/>
  <c r="H1041" i="3"/>
  <c r="G1041" i="3"/>
  <c r="F1041" i="3"/>
  <c r="E1041" i="3"/>
  <c r="D1041" i="3"/>
  <c r="C1041" i="3"/>
  <c r="B1041" i="3"/>
  <c r="H1040" i="3"/>
  <c r="G1040" i="3"/>
  <c r="F1040" i="3"/>
  <c r="E1040" i="3"/>
  <c r="D1040" i="3"/>
  <c r="C1040" i="3"/>
  <c r="B1040" i="3"/>
  <c r="H1039" i="3"/>
  <c r="G1039" i="3"/>
  <c r="F1039" i="3"/>
  <c r="E1039" i="3"/>
  <c r="D1039" i="3"/>
  <c r="C1039" i="3"/>
  <c r="B1039" i="3"/>
  <c r="H1038" i="3"/>
  <c r="G1038" i="3"/>
  <c r="F1038" i="3"/>
  <c r="E1038" i="3"/>
  <c r="D1038" i="3"/>
  <c r="C1038" i="3"/>
  <c r="B1038" i="3"/>
  <c r="H1037" i="3"/>
  <c r="G1037" i="3"/>
  <c r="F1037" i="3"/>
  <c r="E1037" i="3"/>
  <c r="D1037" i="3"/>
  <c r="C1037" i="3"/>
  <c r="B1037" i="3"/>
  <c r="H1036" i="3"/>
  <c r="G1036" i="3"/>
  <c r="F1036" i="3"/>
  <c r="E1036" i="3"/>
  <c r="D1036" i="3"/>
  <c r="C1036" i="3"/>
  <c r="B1036" i="3"/>
  <c r="H1035" i="3"/>
  <c r="G1035" i="3"/>
  <c r="F1035" i="3"/>
  <c r="E1035" i="3"/>
  <c r="D1035" i="3"/>
  <c r="C1035" i="3"/>
  <c r="B1035" i="3"/>
  <c r="H1034" i="3"/>
  <c r="G1034" i="3"/>
  <c r="F1034" i="3"/>
  <c r="E1034" i="3"/>
  <c r="D1034" i="3"/>
  <c r="C1034" i="3"/>
  <c r="B1034" i="3"/>
  <c r="H1033" i="3"/>
  <c r="G1033" i="3"/>
  <c r="F1033" i="3"/>
  <c r="E1033" i="3"/>
  <c r="D1033" i="3"/>
  <c r="C1033" i="3"/>
  <c r="B1033" i="3"/>
  <c r="H1032" i="3"/>
  <c r="G1032" i="3"/>
  <c r="F1032" i="3"/>
  <c r="E1032" i="3"/>
  <c r="D1032" i="3"/>
  <c r="C1032" i="3"/>
  <c r="B1032" i="3"/>
  <c r="H1031" i="3"/>
  <c r="G1031" i="3"/>
  <c r="F1031" i="3"/>
  <c r="E1031" i="3"/>
  <c r="D1031" i="3"/>
  <c r="C1031" i="3"/>
  <c r="B1031" i="3"/>
  <c r="H1030" i="3"/>
  <c r="G1030" i="3"/>
  <c r="F1030" i="3"/>
  <c r="E1030" i="3"/>
  <c r="D1030" i="3"/>
  <c r="C1030" i="3"/>
  <c r="B1030" i="3"/>
  <c r="H1029" i="3"/>
  <c r="G1029" i="3"/>
  <c r="F1029" i="3"/>
  <c r="E1029" i="3"/>
  <c r="D1029" i="3"/>
  <c r="C1029" i="3"/>
  <c r="B1029" i="3"/>
  <c r="H1028" i="3"/>
  <c r="G1028" i="3"/>
  <c r="F1028" i="3"/>
  <c r="E1028" i="3"/>
  <c r="D1028" i="3"/>
  <c r="C1028" i="3"/>
  <c r="B1028" i="3"/>
  <c r="H1027" i="3"/>
  <c r="G1027" i="3"/>
  <c r="F1027" i="3"/>
  <c r="E1027" i="3"/>
  <c r="D1027" i="3"/>
  <c r="C1027" i="3"/>
  <c r="B1027" i="3"/>
  <c r="H1026" i="3"/>
  <c r="G1026" i="3"/>
  <c r="F1026" i="3"/>
  <c r="E1026" i="3"/>
  <c r="D1026" i="3"/>
  <c r="C1026" i="3"/>
  <c r="B1026" i="3"/>
  <c r="H1025" i="3"/>
  <c r="G1025" i="3"/>
  <c r="F1025" i="3"/>
  <c r="E1025" i="3"/>
  <c r="D1025" i="3"/>
  <c r="C1025" i="3"/>
  <c r="B1025" i="3"/>
  <c r="H1024" i="3"/>
  <c r="G1024" i="3"/>
  <c r="F1024" i="3"/>
  <c r="E1024" i="3"/>
  <c r="D1024" i="3"/>
  <c r="C1024" i="3"/>
  <c r="B1024" i="3"/>
  <c r="H1023" i="3"/>
  <c r="G1023" i="3"/>
  <c r="F1023" i="3"/>
  <c r="E1023" i="3"/>
  <c r="D1023" i="3"/>
  <c r="C1023" i="3"/>
  <c r="B1023" i="3"/>
  <c r="H1022" i="3"/>
  <c r="G1022" i="3"/>
  <c r="F1022" i="3"/>
  <c r="E1022" i="3"/>
  <c r="D1022" i="3"/>
  <c r="C1022" i="3"/>
  <c r="B1022" i="3"/>
  <c r="H1021" i="3"/>
  <c r="G1021" i="3"/>
  <c r="F1021" i="3"/>
  <c r="E1021" i="3"/>
  <c r="D1021" i="3"/>
  <c r="C1021" i="3"/>
  <c r="B1021" i="3"/>
  <c r="H1020" i="3"/>
  <c r="G1020" i="3"/>
  <c r="F1020" i="3"/>
  <c r="E1020" i="3"/>
  <c r="D1020" i="3"/>
  <c r="C1020" i="3"/>
  <c r="B1020" i="3"/>
  <c r="H1019" i="3"/>
  <c r="G1019" i="3"/>
  <c r="F1019" i="3"/>
  <c r="E1019" i="3"/>
  <c r="D1019" i="3"/>
  <c r="C1019" i="3"/>
  <c r="B1019" i="3"/>
  <c r="H1018" i="3"/>
  <c r="G1018" i="3"/>
  <c r="F1018" i="3"/>
  <c r="E1018" i="3"/>
  <c r="D1018" i="3"/>
  <c r="C1018" i="3"/>
  <c r="B1018" i="3"/>
  <c r="H1017" i="3"/>
  <c r="G1017" i="3"/>
  <c r="F1017" i="3"/>
  <c r="E1017" i="3"/>
  <c r="D1017" i="3"/>
  <c r="C1017" i="3"/>
  <c r="B1017" i="3"/>
  <c r="H1016" i="3"/>
  <c r="G1016" i="3"/>
  <c r="F1016" i="3"/>
  <c r="E1016" i="3"/>
  <c r="D1016" i="3"/>
  <c r="C1016" i="3"/>
  <c r="B1016" i="3"/>
  <c r="H1015" i="3"/>
  <c r="G1015" i="3"/>
  <c r="F1015" i="3"/>
  <c r="E1015" i="3"/>
  <c r="D1015" i="3"/>
  <c r="C1015" i="3"/>
  <c r="B1015" i="3"/>
  <c r="H1014" i="3"/>
  <c r="G1014" i="3"/>
  <c r="F1014" i="3"/>
  <c r="E1014" i="3"/>
  <c r="D1014" i="3"/>
  <c r="C1014" i="3"/>
  <c r="B1014" i="3"/>
  <c r="H1013" i="3"/>
  <c r="G1013" i="3"/>
  <c r="F1013" i="3"/>
  <c r="E1013" i="3"/>
  <c r="D1013" i="3"/>
  <c r="C1013" i="3"/>
  <c r="B1013" i="3"/>
  <c r="H1012" i="3"/>
  <c r="G1012" i="3"/>
  <c r="F1012" i="3"/>
  <c r="E1012" i="3"/>
  <c r="D1012" i="3"/>
  <c r="C1012" i="3"/>
  <c r="B1012" i="3"/>
  <c r="H1011" i="3"/>
  <c r="G1011" i="3"/>
  <c r="F1011" i="3"/>
  <c r="E1011" i="3"/>
  <c r="D1011" i="3"/>
  <c r="C1011" i="3"/>
  <c r="B1011" i="3"/>
  <c r="H1010" i="3"/>
  <c r="G1010" i="3"/>
  <c r="F1010" i="3"/>
  <c r="E1010" i="3"/>
  <c r="D1010" i="3"/>
  <c r="C1010" i="3"/>
  <c r="B1010" i="3"/>
  <c r="H1009" i="3"/>
  <c r="G1009" i="3"/>
  <c r="F1009" i="3"/>
  <c r="E1009" i="3"/>
  <c r="D1009" i="3"/>
  <c r="C1009" i="3"/>
  <c r="B1009" i="3"/>
  <c r="H1008" i="3"/>
  <c r="G1008" i="3"/>
  <c r="F1008" i="3"/>
  <c r="E1008" i="3"/>
  <c r="D1008" i="3"/>
  <c r="C1008" i="3"/>
  <c r="B1008" i="3"/>
  <c r="H1007" i="3"/>
  <c r="G1007" i="3"/>
  <c r="F1007" i="3"/>
  <c r="E1007" i="3"/>
  <c r="D1007" i="3"/>
  <c r="C1007" i="3"/>
  <c r="B1007" i="3"/>
  <c r="H1006" i="3"/>
  <c r="G1006" i="3"/>
  <c r="F1006" i="3"/>
  <c r="E1006" i="3"/>
  <c r="D1006" i="3"/>
  <c r="C1006" i="3"/>
  <c r="B1006" i="3"/>
  <c r="H1005" i="3"/>
  <c r="G1005" i="3"/>
  <c r="F1005" i="3"/>
  <c r="E1005" i="3"/>
  <c r="D1005" i="3"/>
  <c r="C1005" i="3"/>
  <c r="B1005" i="3"/>
  <c r="H1004" i="3"/>
  <c r="G1004" i="3"/>
  <c r="F1004" i="3"/>
  <c r="E1004" i="3"/>
  <c r="D1004" i="3"/>
  <c r="C1004" i="3"/>
  <c r="B1004" i="3"/>
  <c r="H1003" i="3"/>
  <c r="G1003" i="3"/>
  <c r="F1003" i="3"/>
  <c r="E1003" i="3"/>
  <c r="D1003" i="3"/>
  <c r="C1003" i="3"/>
  <c r="B1003" i="3"/>
  <c r="H1002" i="3"/>
  <c r="G1002" i="3"/>
  <c r="F1002" i="3"/>
  <c r="E1002" i="3"/>
  <c r="D1002" i="3"/>
  <c r="C1002" i="3"/>
  <c r="B1002" i="3"/>
  <c r="H1001" i="3"/>
  <c r="G1001" i="3"/>
  <c r="F1001" i="3"/>
  <c r="E1001" i="3"/>
  <c r="D1001" i="3"/>
  <c r="C1001" i="3"/>
  <c r="B1001" i="3"/>
  <c r="H1000" i="3"/>
  <c r="G1000" i="3"/>
  <c r="F1000" i="3"/>
  <c r="E1000" i="3"/>
  <c r="D1000" i="3"/>
  <c r="C1000" i="3"/>
  <c r="B1000" i="3"/>
  <c r="H999" i="3"/>
  <c r="G999" i="3"/>
  <c r="F999" i="3"/>
  <c r="E999" i="3"/>
  <c r="D999" i="3"/>
  <c r="C999" i="3"/>
  <c r="B999" i="3"/>
  <c r="H998" i="3"/>
  <c r="G998" i="3"/>
  <c r="F998" i="3"/>
  <c r="E998" i="3"/>
  <c r="D998" i="3"/>
  <c r="C998" i="3"/>
  <c r="B998" i="3"/>
  <c r="H997" i="3"/>
  <c r="G997" i="3"/>
  <c r="F997" i="3"/>
  <c r="E997" i="3"/>
  <c r="D997" i="3"/>
  <c r="C997" i="3"/>
  <c r="B997" i="3"/>
  <c r="H996" i="3"/>
  <c r="G996" i="3"/>
  <c r="F996" i="3"/>
  <c r="E996" i="3"/>
  <c r="D996" i="3"/>
  <c r="C996" i="3"/>
  <c r="B996" i="3"/>
  <c r="H995" i="3"/>
  <c r="G995" i="3"/>
  <c r="F995" i="3"/>
  <c r="E995" i="3"/>
  <c r="D995" i="3"/>
  <c r="C995" i="3"/>
  <c r="B995" i="3"/>
  <c r="H994" i="3"/>
  <c r="G994" i="3"/>
  <c r="F994" i="3"/>
  <c r="E994" i="3"/>
  <c r="D994" i="3"/>
  <c r="C994" i="3"/>
  <c r="B994" i="3"/>
  <c r="H993" i="3"/>
  <c r="G993" i="3"/>
  <c r="F993" i="3"/>
  <c r="E993" i="3"/>
  <c r="D993" i="3"/>
  <c r="C993" i="3"/>
  <c r="B993" i="3"/>
  <c r="H992" i="3"/>
  <c r="G992" i="3"/>
  <c r="F992" i="3"/>
  <c r="E992" i="3"/>
  <c r="D992" i="3"/>
  <c r="C992" i="3"/>
  <c r="B992" i="3"/>
  <c r="H991" i="3"/>
  <c r="G991" i="3"/>
  <c r="F991" i="3"/>
  <c r="E991" i="3"/>
  <c r="D991" i="3"/>
  <c r="C991" i="3"/>
  <c r="B991" i="3"/>
  <c r="H990" i="3"/>
  <c r="G990" i="3"/>
  <c r="F990" i="3"/>
  <c r="E990" i="3"/>
  <c r="D990" i="3"/>
  <c r="C990" i="3"/>
  <c r="B990" i="3"/>
  <c r="H989" i="3"/>
  <c r="G989" i="3"/>
  <c r="F989" i="3"/>
  <c r="E989" i="3"/>
  <c r="D989" i="3"/>
  <c r="C989" i="3"/>
  <c r="B989" i="3"/>
  <c r="H988" i="3"/>
  <c r="G988" i="3"/>
  <c r="F988" i="3"/>
  <c r="E988" i="3"/>
  <c r="D988" i="3"/>
  <c r="C988" i="3"/>
  <c r="B988" i="3"/>
  <c r="H987" i="3"/>
  <c r="G987" i="3"/>
  <c r="F987" i="3"/>
  <c r="E987" i="3"/>
  <c r="D987" i="3"/>
  <c r="C987" i="3"/>
  <c r="B987" i="3"/>
  <c r="H986" i="3"/>
  <c r="G986" i="3"/>
  <c r="F986" i="3"/>
  <c r="E986" i="3"/>
  <c r="D986" i="3"/>
  <c r="C986" i="3"/>
  <c r="B986" i="3"/>
  <c r="H985" i="3"/>
  <c r="G985" i="3"/>
  <c r="F985" i="3"/>
  <c r="E985" i="3"/>
  <c r="D985" i="3"/>
  <c r="C985" i="3"/>
  <c r="B985" i="3"/>
  <c r="H984" i="3"/>
  <c r="G984" i="3"/>
  <c r="F984" i="3"/>
  <c r="E984" i="3"/>
  <c r="D984" i="3"/>
  <c r="C984" i="3"/>
  <c r="B984" i="3"/>
  <c r="H983" i="3"/>
  <c r="G983" i="3"/>
  <c r="F983" i="3"/>
  <c r="E983" i="3"/>
  <c r="D983" i="3"/>
  <c r="C983" i="3"/>
  <c r="B983" i="3"/>
  <c r="H982" i="3"/>
  <c r="G982" i="3"/>
  <c r="F982" i="3"/>
  <c r="E982" i="3"/>
  <c r="D982" i="3"/>
  <c r="C982" i="3"/>
  <c r="B982" i="3"/>
  <c r="H981" i="3"/>
  <c r="G981" i="3"/>
  <c r="F981" i="3"/>
  <c r="E981" i="3"/>
  <c r="D981" i="3"/>
  <c r="C981" i="3"/>
  <c r="B981" i="3"/>
  <c r="H980" i="3"/>
  <c r="G980" i="3"/>
  <c r="F980" i="3"/>
  <c r="E980" i="3"/>
  <c r="D980" i="3"/>
  <c r="C980" i="3"/>
  <c r="B980" i="3"/>
  <c r="H979" i="3"/>
  <c r="G979" i="3"/>
  <c r="F979" i="3"/>
  <c r="E979" i="3"/>
  <c r="D979" i="3"/>
  <c r="C979" i="3"/>
  <c r="B979" i="3"/>
  <c r="H978" i="3"/>
  <c r="G978" i="3"/>
  <c r="F978" i="3"/>
  <c r="E978" i="3"/>
  <c r="D978" i="3"/>
  <c r="C978" i="3"/>
  <c r="B978" i="3"/>
  <c r="H977" i="3"/>
  <c r="G977" i="3"/>
  <c r="F977" i="3"/>
  <c r="E977" i="3"/>
  <c r="D977" i="3"/>
  <c r="C977" i="3"/>
  <c r="B977" i="3"/>
  <c r="H976" i="3"/>
  <c r="G976" i="3"/>
  <c r="F976" i="3"/>
  <c r="E976" i="3"/>
  <c r="D976" i="3"/>
  <c r="C976" i="3"/>
  <c r="B976" i="3"/>
  <c r="H975" i="3"/>
  <c r="G975" i="3"/>
  <c r="F975" i="3"/>
  <c r="E975" i="3"/>
  <c r="D975" i="3"/>
  <c r="C975" i="3"/>
  <c r="B975" i="3"/>
  <c r="H974" i="3"/>
  <c r="G974" i="3"/>
  <c r="F974" i="3"/>
  <c r="E974" i="3"/>
  <c r="D974" i="3"/>
  <c r="C974" i="3"/>
  <c r="B974" i="3"/>
  <c r="H973" i="3"/>
  <c r="G973" i="3"/>
  <c r="F973" i="3"/>
  <c r="E973" i="3"/>
  <c r="D973" i="3"/>
  <c r="C973" i="3"/>
  <c r="B973" i="3"/>
  <c r="H972" i="3"/>
  <c r="G972" i="3"/>
  <c r="F972" i="3"/>
  <c r="E972" i="3"/>
  <c r="D972" i="3"/>
  <c r="C972" i="3"/>
  <c r="B972" i="3"/>
  <c r="H971" i="3"/>
  <c r="G971" i="3"/>
  <c r="F971" i="3"/>
  <c r="E971" i="3"/>
  <c r="D971" i="3"/>
  <c r="C971" i="3"/>
  <c r="B971" i="3"/>
  <c r="H970" i="3"/>
  <c r="G970" i="3"/>
  <c r="F970" i="3"/>
  <c r="E970" i="3"/>
  <c r="D970" i="3"/>
  <c r="C970" i="3"/>
  <c r="B970" i="3"/>
  <c r="H969" i="3"/>
  <c r="G969" i="3"/>
  <c r="F969" i="3"/>
  <c r="E969" i="3"/>
  <c r="D969" i="3"/>
  <c r="C969" i="3"/>
  <c r="B969" i="3"/>
  <c r="H968" i="3"/>
  <c r="G968" i="3"/>
  <c r="F968" i="3"/>
  <c r="E968" i="3"/>
  <c r="D968" i="3"/>
  <c r="C968" i="3"/>
  <c r="B968" i="3"/>
  <c r="H967" i="3"/>
  <c r="G967" i="3"/>
  <c r="F967" i="3"/>
  <c r="E967" i="3"/>
  <c r="D967" i="3"/>
  <c r="C967" i="3"/>
  <c r="B967" i="3"/>
  <c r="H966" i="3"/>
  <c r="G966" i="3"/>
  <c r="F966" i="3"/>
  <c r="E966" i="3"/>
  <c r="D966" i="3"/>
  <c r="C966" i="3"/>
  <c r="B966" i="3"/>
  <c r="H965" i="3"/>
  <c r="G965" i="3"/>
  <c r="F965" i="3"/>
  <c r="E965" i="3"/>
  <c r="D965" i="3"/>
  <c r="C965" i="3"/>
  <c r="B965" i="3"/>
  <c r="H964" i="3"/>
  <c r="G964" i="3"/>
  <c r="F964" i="3"/>
  <c r="E964" i="3"/>
  <c r="D964" i="3"/>
  <c r="C964" i="3"/>
  <c r="B964" i="3"/>
  <c r="H963" i="3"/>
  <c r="G963" i="3"/>
  <c r="F963" i="3"/>
  <c r="E963" i="3"/>
  <c r="D963" i="3"/>
  <c r="C963" i="3"/>
  <c r="B963" i="3"/>
  <c r="H962" i="3"/>
  <c r="G962" i="3"/>
  <c r="F962" i="3"/>
  <c r="E962" i="3"/>
  <c r="D962" i="3"/>
  <c r="C962" i="3"/>
  <c r="B962" i="3"/>
  <c r="H961" i="3"/>
  <c r="G961" i="3"/>
  <c r="F961" i="3"/>
  <c r="E961" i="3"/>
  <c r="D961" i="3"/>
  <c r="C961" i="3"/>
  <c r="B961" i="3"/>
  <c r="H960" i="3"/>
  <c r="G960" i="3"/>
  <c r="F960" i="3"/>
  <c r="E960" i="3"/>
  <c r="D960" i="3"/>
  <c r="C960" i="3"/>
  <c r="B960" i="3"/>
  <c r="H959" i="3"/>
  <c r="G959" i="3"/>
  <c r="F959" i="3"/>
  <c r="E959" i="3"/>
  <c r="D959" i="3"/>
  <c r="C959" i="3"/>
  <c r="B959" i="3"/>
  <c r="H958" i="3"/>
  <c r="G958" i="3"/>
  <c r="F958" i="3"/>
  <c r="E958" i="3"/>
  <c r="D958" i="3"/>
  <c r="C958" i="3"/>
  <c r="B958" i="3"/>
  <c r="H957" i="3"/>
  <c r="G957" i="3"/>
  <c r="F957" i="3"/>
  <c r="E957" i="3"/>
  <c r="D957" i="3"/>
  <c r="C957" i="3"/>
  <c r="B957" i="3"/>
  <c r="H956" i="3"/>
  <c r="G956" i="3"/>
  <c r="F956" i="3"/>
  <c r="E956" i="3"/>
  <c r="D956" i="3"/>
  <c r="C956" i="3"/>
  <c r="B956" i="3"/>
  <c r="H955" i="3"/>
  <c r="G955" i="3"/>
  <c r="F955" i="3"/>
  <c r="E955" i="3"/>
  <c r="D955" i="3"/>
  <c r="C955" i="3"/>
  <c r="B955" i="3"/>
  <c r="H954" i="3"/>
  <c r="G954" i="3"/>
  <c r="F954" i="3"/>
  <c r="E954" i="3"/>
  <c r="D954" i="3"/>
  <c r="C954" i="3"/>
  <c r="B954" i="3"/>
  <c r="H953" i="3"/>
  <c r="G953" i="3"/>
  <c r="F953" i="3"/>
  <c r="E953" i="3"/>
  <c r="D953" i="3"/>
  <c r="C953" i="3"/>
  <c r="B953" i="3"/>
  <c r="H952" i="3"/>
  <c r="G952" i="3"/>
  <c r="F952" i="3"/>
  <c r="E952" i="3"/>
  <c r="D952" i="3"/>
  <c r="C952" i="3"/>
  <c r="B952" i="3"/>
  <c r="H951" i="3"/>
  <c r="G951" i="3"/>
  <c r="F951" i="3"/>
  <c r="E951" i="3"/>
  <c r="D951" i="3"/>
  <c r="C951" i="3"/>
  <c r="B951" i="3"/>
  <c r="H950" i="3"/>
  <c r="G950" i="3"/>
  <c r="F950" i="3"/>
  <c r="E950" i="3"/>
  <c r="D950" i="3"/>
  <c r="C950" i="3"/>
  <c r="B950" i="3"/>
  <c r="H949" i="3"/>
  <c r="G949" i="3"/>
  <c r="F949" i="3"/>
  <c r="E949" i="3"/>
  <c r="D949" i="3"/>
  <c r="C949" i="3"/>
  <c r="B949" i="3"/>
  <c r="H948" i="3"/>
  <c r="G948" i="3"/>
  <c r="F948" i="3"/>
  <c r="E948" i="3"/>
  <c r="D948" i="3"/>
  <c r="C948" i="3"/>
  <c r="B948" i="3"/>
  <c r="H947" i="3"/>
  <c r="G947" i="3"/>
  <c r="F947" i="3"/>
  <c r="E947" i="3"/>
  <c r="D947" i="3"/>
  <c r="C947" i="3"/>
  <c r="B947" i="3"/>
  <c r="H946" i="3"/>
  <c r="G946" i="3"/>
  <c r="F946" i="3"/>
  <c r="E946" i="3"/>
  <c r="D946" i="3"/>
  <c r="C946" i="3"/>
  <c r="B946" i="3"/>
  <c r="H945" i="3"/>
  <c r="G945" i="3"/>
  <c r="F945" i="3"/>
  <c r="E945" i="3"/>
  <c r="D945" i="3"/>
  <c r="C945" i="3"/>
  <c r="B945" i="3"/>
  <c r="H944" i="3"/>
  <c r="G944" i="3"/>
  <c r="F944" i="3"/>
  <c r="E944" i="3"/>
  <c r="D944" i="3"/>
  <c r="C944" i="3"/>
  <c r="B944" i="3"/>
  <c r="H943" i="3"/>
  <c r="G943" i="3"/>
  <c r="F943" i="3"/>
  <c r="E943" i="3"/>
  <c r="D943" i="3"/>
  <c r="C943" i="3"/>
  <c r="B943" i="3"/>
  <c r="H942" i="3"/>
  <c r="G942" i="3"/>
  <c r="F942" i="3"/>
  <c r="E942" i="3"/>
  <c r="D942" i="3"/>
  <c r="C942" i="3"/>
  <c r="B942" i="3"/>
  <c r="H941" i="3"/>
  <c r="G941" i="3"/>
  <c r="F941" i="3"/>
  <c r="E941" i="3"/>
  <c r="D941" i="3"/>
  <c r="C941" i="3"/>
  <c r="B941" i="3"/>
  <c r="H940" i="3"/>
  <c r="G940" i="3"/>
  <c r="F940" i="3"/>
  <c r="E940" i="3"/>
  <c r="D940" i="3"/>
  <c r="C940" i="3"/>
  <c r="B940" i="3"/>
  <c r="H939" i="3"/>
  <c r="G939" i="3"/>
  <c r="F939" i="3"/>
  <c r="E939" i="3"/>
  <c r="D939" i="3"/>
  <c r="C939" i="3"/>
  <c r="B939" i="3"/>
  <c r="H938" i="3"/>
  <c r="G938" i="3"/>
  <c r="F938" i="3"/>
  <c r="E938" i="3"/>
  <c r="D938" i="3"/>
  <c r="C938" i="3"/>
  <c r="B938" i="3"/>
  <c r="H937" i="3"/>
  <c r="G937" i="3"/>
  <c r="F937" i="3"/>
  <c r="E937" i="3"/>
  <c r="D937" i="3"/>
  <c r="C937" i="3"/>
  <c r="B937" i="3"/>
  <c r="H936" i="3"/>
  <c r="G936" i="3"/>
  <c r="F936" i="3"/>
  <c r="E936" i="3"/>
  <c r="D936" i="3"/>
  <c r="C936" i="3"/>
  <c r="B936" i="3"/>
  <c r="H935" i="3"/>
  <c r="G935" i="3"/>
  <c r="F935" i="3"/>
  <c r="E935" i="3"/>
  <c r="D935" i="3"/>
  <c r="C935" i="3"/>
  <c r="B935" i="3"/>
  <c r="H934" i="3"/>
  <c r="G934" i="3"/>
  <c r="F934" i="3"/>
  <c r="E934" i="3"/>
  <c r="D934" i="3"/>
  <c r="C934" i="3"/>
  <c r="B934" i="3"/>
  <c r="H933" i="3"/>
  <c r="G933" i="3"/>
  <c r="F933" i="3"/>
  <c r="E933" i="3"/>
  <c r="D933" i="3"/>
  <c r="C933" i="3"/>
  <c r="B933" i="3"/>
  <c r="H932" i="3"/>
  <c r="G932" i="3"/>
  <c r="F932" i="3"/>
  <c r="E932" i="3"/>
  <c r="D932" i="3"/>
  <c r="C932" i="3"/>
  <c r="B932" i="3"/>
  <c r="H931" i="3"/>
  <c r="G931" i="3"/>
  <c r="F931" i="3"/>
  <c r="E931" i="3"/>
  <c r="D931" i="3"/>
  <c r="C931" i="3"/>
  <c r="B931" i="3"/>
  <c r="H930" i="3"/>
  <c r="G930" i="3"/>
  <c r="F930" i="3"/>
  <c r="E930" i="3"/>
  <c r="D930" i="3"/>
  <c r="C930" i="3"/>
  <c r="B930" i="3"/>
  <c r="H929" i="3"/>
  <c r="G929" i="3"/>
  <c r="F929" i="3"/>
  <c r="E929" i="3"/>
  <c r="D929" i="3"/>
  <c r="C929" i="3"/>
  <c r="B929" i="3"/>
  <c r="H928" i="3"/>
  <c r="G928" i="3"/>
  <c r="F928" i="3"/>
  <c r="E928" i="3"/>
  <c r="D928" i="3"/>
  <c r="C928" i="3"/>
  <c r="B928" i="3"/>
  <c r="H927" i="3"/>
  <c r="G927" i="3"/>
  <c r="F927" i="3"/>
  <c r="E927" i="3"/>
  <c r="D927" i="3"/>
  <c r="C927" i="3"/>
  <c r="B927" i="3"/>
  <c r="H926" i="3"/>
  <c r="G926" i="3"/>
  <c r="F926" i="3"/>
  <c r="E926" i="3"/>
  <c r="D926" i="3"/>
  <c r="C926" i="3"/>
  <c r="B926" i="3"/>
  <c r="H925" i="3"/>
  <c r="G925" i="3"/>
  <c r="F925" i="3"/>
  <c r="E925" i="3"/>
  <c r="D925" i="3"/>
  <c r="C925" i="3"/>
  <c r="B925" i="3"/>
  <c r="H924" i="3"/>
  <c r="G924" i="3"/>
  <c r="F924" i="3"/>
  <c r="E924" i="3"/>
  <c r="D924" i="3"/>
  <c r="C924" i="3"/>
  <c r="B924" i="3"/>
  <c r="H923" i="3"/>
  <c r="G923" i="3"/>
  <c r="F923" i="3"/>
  <c r="E923" i="3"/>
  <c r="D923" i="3"/>
  <c r="C923" i="3"/>
  <c r="B923" i="3"/>
  <c r="H922" i="3"/>
  <c r="G922" i="3"/>
  <c r="F922" i="3"/>
  <c r="E922" i="3"/>
  <c r="D922" i="3"/>
  <c r="C922" i="3"/>
  <c r="B922" i="3"/>
  <c r="H921" i="3"/>
  <c r="G921" i="3"/>
  <c r="F921" i="3"/>
  <c r="E921" i="3"/>
  <c r="D921" i="3"/>
  <c r="C921" i="3"/>
  <c r="B921" i="3"/>
  <c r="H920" i="3"/>
  <c r="G920" i="3"/>
  <c r="F920" i="3"/>
  <c r="E920" i="3"/>
  <c r="D920" i="3"/>
  <c r="C920" i="3"/>
  <c r="B920" i="3"/>
  <c r="H919" i="3"/>
  <c r="G919" i="3"/>
  <c r="F919" i="3"/>
  <c r="E919" i="3"/>
  <c r="D919" i="3"/>
  <c r="C919" i="3"/>
  <c r="B919" i="3"/>
  <c r="H918" i="3"/>
  <c r="G918" i="3"/>
  <c r="F918" i="3"/>
  <c r="E918" i="3"/>
  <c r="D918" i="3"/>
  <c r="C918" i="3"/>
  <c r="B918" i="3"/>
  <c r="H917" i="3"/>
  <c r="G917" i="3"/>
  <c r="F917" i="3"/>
  <c r="E917" i="3"/>
  <c r="D917" i="3"/>
  <c r="C917" i="3"/>
  <c r="B917" i="3"/>
  <c r="H916" i="3"/>
  <c r="G916" i="3"/>
  <c r="F916" i="3"/>
  <c r="E916" i="3"/>
  <c r="D916" i="3"/>
  <c r="C916" i="3"/>
  <c r="B916" i="3"/>
  <c r="H915" i="3"/>
  <c r="G915" i="3"/>
  <c r="F915" i="3"/>
  <c r="E915" i="3"/>
  <c r="D915" i="3"/>
  <c r="C915" i="3"/>
  <c r="B915" i="3"/>
  <c r="H914" i="3"/>
  <c r="G914" i="3"/>
  <c r="F914" i="3"/>
  <c r="E914" i="3"/>
  <c r="D914" i="3"/>
  <c r="C914" i="3"/>
  <c r="B914" i="3"/>
  <c r="H913" i="3"/>
  <c r="G913" i="3"/>
  <c r="F913" i="3"/>
  <c r="E913" i="3"/>
  <c r="D913" i="3"/>
  <c r="C913" i="3"/>
  <c r="B913" i="3"/>
  <c r="H912" i="3"/>
  <c r="G912" i="3"/>
  <c r="F912" i="3"/>
  <c r="E912" i="3"/>
  <c r="D912" i="3"/>
  <c r="C912" i="3"/>
  <c r="B912" i="3"/>
  <c r="H911" i="3"/>
  <c r="G911" i="3"/>
  <c r="F911" i="3"/>
  <c r="E911" i="3"/>
  <c r="D911" i="3"/>
  <c r="C911" i="3"/>
  <c r="B911" i="3"/>
  <c r="H910" i="3"/>
  <c r="G910" i="3"/>
  <c r="F910" i="3"/>
  <c r="E910" i="3"/>
  <c r="D910" i="3"/>
  <c r="C910" i="3"/>
  <c r="B910" i="3"/>
  <c r="H909" i="3"/>
  <c r="G909" i="3"/>
  <c r="F909" i="3"/>
  <c r="E909" i="3"/>
  <c r="D909" i="3"/>
  <c r="C909" i="3"/>
  <c r="B909" i="3"/>
  <c r="H908" i="3"/>
  <c r="G908" i="3"/>
  <c r="F908" i="3"/>
  <c r="E908" i="3"/>
  <c r="D908" i="3"/>
  <c r="C908" i="3"/>
  <c r="B908" i="3"/>
  <c r="H907" i="3"/>
  <c r="G907" i="3"/>
  <c r="F907" i="3"/>
  <c r="E907" i="3"/>
  <c r="D907" i="3"/>
  <c r="C907" i="3"/>
  <c r="B907" i="3"/>
  <c r="H906" i="3"/>
  <c r="G906" i="3"/>
  <c r="F906" i="3"/>
  <c r="E906" i="3"/>
  <c r="D906" i="3"/>
  <c r="C906" i="3"/>
  <c r="B906" i="3"/>
  <c r="H905" i="3"/>
  <c r="G905" i="3"/>
  <c r="F905" i="3"/>
  <c r="E905" i="3"/>
  <c r="D905" i="3"/>
  <c r="C905" i="3"/>
  <c r="B905" i="3"/>
  <c r="H904" i="3"/>
  <c r="G904" i="3"/>
  <c r="F904" i="3"/>
  <c r="E904" i="3"/>
  <c r="D904" i="3"/>
  <c r="C904" i="3"/>
  <c r="B904" i="3"/>
  <c r="H903" i="3"/>
  <c r="G903" i="3"/>
  <c r="F903" i="3"/>
  <c r="E903" i="3"/>
  <c r="D903" i="3"/>
  <c r="C903" i="3"/>
  <c r="B903" i="3"/>
  <c r="H902" i="3"/>
  <c r="G902" i="3"/>
  <c r="F902" i="3"/>
  <c r="E902" i="3"/>
  <c r="D902" i="3"/>
  <c r="C902" i="3"/>
  <c r="B902" i="3"/>
  <c r="H901" i="3"/>
  <c r="G901" i="3"/>
  <c r="F901" i="3"/>
  <c r="E901" i="3"/>
  <c r="D901" i="3"/>
  <c r="C901" i="3"/>
  <c r="B901" i="3"/>
  <c r="H900" i="3"/>
  <c r="G900" i="3"/>
  <c r="F900" i="3"/>
  <c r="E900" i="3"/>
  <c r="D900" i="3"/>
  <c r="C900" i="3"/>
  <c r="B900" i="3"/>
  <c r="H899" i="3"/>
  <c r="G899" i="3"/>
  <c r="F899" i="3"/>
  <c r="E899" i="3"/>
  <c r="D899" i="3"/>
  <c r="C899" i="3"/>
  <c r="B899" i="3"/>
  <c r="H898" i="3"/>
  <c r="G898" i="3"/>
  <c r="F898" i="3"/>
  <c r="E898" i="3"/>
  <c r="D898" i="3"/>
  <c r="C898" i="3"/>
  <c r="B898" i="3"/>
  <c r="H897" i="3"/>
  <c r="G897" i="3"/>
  <c r="F897" i="3"/>
  <c r="E897" i="3"/>
  <c r="D897" i="3"/>
  <c r="C897" i="3"/>
  <c r="B897" i="3"/>
  <c r="H896" i="3"/>
  <c r="G896" i="3"/>
  <c r="F896" i="3"/>
  <c r="E896" i="3"/>
  <c r="D896" i="3"/>
  <c r="C896" i="3"/>
  <c r="B896" i="3"/>
  <c r="H895" i="3"/>
  <c r="G895" i="3"/>
  <c r="F895" i="3"/>
  <c r="E895" i="3"/>
  <c r="D895" i="3"/>
  <c r="C895" i="3"/>
  <c r="B895" i="3"/>
  <c r="H894" i="3"/>
  <c r="G894" i="3"/>
  <c r="F894" i="3"/>
  <c r="E894" i="3"/>
  <c r="D894" i="3"/>
  <c r="C894" i="3"/>
  <c r="B894" i="3"/>
  <c r="H893" i="3"/>
  <c r="G893" i="3"/>
  <c r="F893" i="3"/>
  <c r="E893" i="3"/>
  <c r="D893" i="3"/>
  <c r="C893" i="3"/>
  <c r="B893" i="3"/>
  <c r="H892" i="3"/>
  <c r="G892" i="3"/>
  <c r="F892" i="3"/>
  <c r="E892" i="3"/>
  <c r="D892" i="3"/>
  <c r="C892" i="3"/>
  <c r="B892" i="3"/>
  <c r="H891" i="3"/>
  <c r="G891" i="3"/>
  <c r="F891" i="3"/>
  <c r="E891" i="3"/>
  <c r="D891" i="3"/>
  <c r="C891" i="3"/>
  <c r="B891" i="3"/>
  <c r="H890" i="3"/>
  <c r="G890" i="3"/>
  <c r="F890" i="3"/>
  <c r="E890" i="3"/>
  <c r="D890" i="3"/>
  <c r="C890" i="3"/>
  <c r="B890" i="3"/>
  <c r="H889" i="3"/>
  <c r="G889" i="3"/>
  <c r="F889" i="3"/>
  <c r="E889" i="3"/>
  <c r="D889" i="3"/>
  <c r="C889" i="3"/>
  <c r="B889" i="3"/>
  <c r="H888" i="3"/>
  <c r="G888" i="3"/>
  <c r="F888" i="3"/>
  <c r="E888" i="3"/>
  <c r="D888" i="3"/>
  <c r="C888" i="3"/>
  <c r="B888" i="3"/>
  <c r="H887" i="3"/>
  <c r="G887" i="3"/>
  <c r="F887" i="3"/>
  <c r="E887" i="3"/>
  <c r="D887" i="3"/>
  <c r="C887" i="3"/>
  <c r="B887" i="3"/>
  <c r="H886" i="3"/>
  <c r="G886" i="3"/>
  <c r="F886" i="3"/>
  <c r="E886" i="3"/>
  <c r="D886" i="3"/>
  <c r="C886" i="3"/>
  <c r="B886" i="3"/>
  <c r="H885" i="3"/>
  <c r="G885" i="3"/>
  <c r="F885" i="3"/>
  <c r="E885" i="3"/>
  <c r="D885" i="3"/>
  <c r="C885" i="3"/>
  <c r="B885" i="3"/>
  <c r="H884" i="3"/>
  <c r="G884" i="3"/>
  <c r="F884" i="3"/>
  <c r="E884" i="3"/>
  <c r="D884" i="3"/>
  <c r="C884" i="3"/>
  <c r="B884" i="3"/>
  <c r="H883" i="3"/>
  <c r="G883" i="3"/>
  <c r="F883" i="3"/>
  <c r="E883" i="3"/>
  <c r="D883" i="3"/>
  <c r="C883" i="3"/>
  <c r="B883" i="3"/>
  <c r="H882" i="3"/>
  <c r="G882" i="3"/>
  <c r="F882" i="3"/>
  <c r="E882" i="3"/>
  <c r="D882" i="3"/>
  <c r="C882" i="3"/>
  <c r="B882" i="3"/>
  <c r="H881" i="3"/>
  <c r="G881" i="3"/>
  <c r="F881" i="3"/>
  <c r="E881" i="3"/>
  <c r="D881" i="3"/>
  <c r="C881" i="3"/>
  <c r="B881" i="3"/>
  <c r="H880" i="3"/>
  <c r="G880" i="3"/>
  <c r="F880" i="3"/>
  <c r="E880" i="3"/>
  <c r="D880" i="3"/>
  <c r="C880" i="3"/>
  <c r="B880" i="3"/>
  <c r="H879" i="3"/>
  <c r="G879" i="3"/>
  <c r="F879" i="3"/>
  <c r="E879" i="3"/>
  <c r="D879" i="3"/>
  <c r="C879" i="3"/>
  <c r="B879" i="3"/>
  <c r="H878" i="3"/>
  <c r="G878" i="3"/>
  <c r="F878" i="3"/>
  <c r="E878" i="3"/>
  <c r="D878" i="3"/>
  <c r="C878" i="3"/>
  <c r="B878" i="3"/>
  <c r="H877" i="3"/>
  <c r="G877" i="3"/>
  <c r="F877" i="3"/>
  <c r="E877" i="3"/>
  <c r="D877" i="3"/>
  <c r="C877" i="3"/>
  <c r="B877" i="3"/>
  <c r="H876" i="3"/>
  <c r="G876" i="3"/>
  <c r="F876" i="3"/>
  <c r="E876" i="3"/>
  <c r="D876" i="3"/>
  <c r="C876" i="3"/>
  <c r="B876" i="3"/>
  <c r="H875" i="3"/>
  <c r="G875" i="3"/>
  <c r="F875" i="3"/>
  <c r="E875" i="3"/>
  <c r="D875" i="3"/>
  <c r="C875" i="3"/>
  <c r="B875" i="3"/>
  <c r="H874" i="3"/>
  <c r="G874" i="3"/>
  <c r="F874" i="3"/>
  <c r="E874" i="3"/>
  <c r="D874" i="3"/>
  <c r="C874" i="3"/>
  <c r="B874" i="3"/>
  <c r="H873" i="3"/>
  <c r="G873" i="3"/>
  <c r="F873" i="3"/>
  <c r="E873" i="3"/>
  <c r="D873" i="3"/>
  <c r="C873" i="3"/>
  <c r="B873" i="3"/>
  <c r="H872" i="3"/>
  <c r="G872" i="3"/>
  <c r="F872" i="3"/>
  <c r="E872" i="3"/>
  <c r="D872" i="3"/>
  <c r="C872" i="3"/>
  <c r="B872" i="3"/>
  <c r="H871" i="3"/>
  <c r="G871" i="3"/>
  <c r="F871" i="3"/>
  <c r="E871" i="3"/>
  <c r="D871" i="3"/>
  <c r="C871" i="3"/>
  <c r="B871" i="3"/>
  <c r="H870" i="3"/>
  <c r="G870" i="3"/>
  <c r="F870" i="3"/>
  <c r="E870" i="3"/>
  <c r="D870" i="3"/>
  <c r="C870" i="3"/>
  <c r="B870" i="3"/>
  <c r="H869" i="3"/>
  <c r="G869" i="3"/>
  <c r="F869" i="3"/>
  <c r="E869" i="3"/>
  <c r="D869" i="3"/>
  <c r="C869" i="3"/>
  <c r="B869" i="3"/>
  <c r="H868" i="3"/>
  <c r="G868" i="3"/>
  <c r="F868" i="3"/>
  <c r="E868" i="3"/>
  <c r="D868" i="3"/>
  <c r="C868" i="3"/>
  <c r="B868" i="3"/>
  <c r="H867" i="3"/>
  <c r="G867" i="3"/>
  <c r="F867" i="3"/>
  <c r="E867" i="3"/>
  <c r="D867" i="3"/>
  <c r="C867" i="3"/>
  <c r="B867" i="3"/>
  <c r="H864" i="3"/>
  <c r="G864" i="3"/>
  <c r="F864" i="3"/>
  <c r="E864" i="3"/>
  <c r="D864" i="3"/>
  <c r="C864" i="3"/>
  <c r="B864" i="3"/>
  <c r="H863" i="3"/>
  <c r="G863" i="3"/>
  <c r="F863" i="3"/>
  <c r="E863" i="3"/>
  <c r="D863" i="3"/>
  <c r="C863" i="3"/>
  <c r="B863" i="3"/>
  <c r="H862" i="3"/>
  <c r="G862" i="3"/>
  <c r="F862" i="3"/>
  <c r="E862" i="3"/>
  <c r="D862" i="3"/>
  <c r="C862" i="3"/>
  <c r="B862" i="3"/>
  <c r="H861" i="3"/>
  <c r="G861" i="3"/>
  <c r="F861" i="3"/>
  <c r="E861" i="3"/>
  <c r="D861" i="3"/>
  <c r="C861" i="3"/>
  <c r="B861" i="3"/>
  <c r="H860" i="3"/>
  <c r="G860" i="3"/>
  <c r="F860" i="3"/>
  <c r="E860" i="3"/>
  <c r="D860" i="3"/>
  <c r="C860" i="3"/>
  <c r="B860" i="3"/>
  <c r="H859" i="3"/>
  <c r="G859" i="3"/>
  <c r="F859" i="3"/>
  <c r="E859" i="3"/>
  <c r="D859" i="3"/>
  <c r="C859" i="3"/>
  <c r="B859" i="3"/>
  <c r="H858" i="3"/>
  <c r="G858" i="3"/>
  <c r="F858" i="3"/>
  <c r="E858" i="3"/>
  <c r="D858" i="3"/>
  <c r="C858" i="3"/>
  <c r="B858" i="3"/>
  <c r="H857" i="3"/>
  <c r="G857" i="3"/>
  <c r="F857" i="3"/>
  <c r="E857" i="3"/>
  <c r="D857" i="3"/>
  <c r="C857" i="3"/>
  <c r="B857" i="3"/>
  <c r="H856" i="3"/>
  <c r="G856" i="3"/>
  <c r="F856" i="3"/>
  <c r="E856" i="3"/>
  <c r="D856" i="3"/>
  <c r="C856" i="3"/>
  <c r="B856" i="3"/>
  <c r="H855" i="3"/>
  <c r="G855" i="3"/>
  <c r="F855" i="3"/>
  <c r="E855" i="3"/>
  <c r="D855" i="3"/>
  <c r="C855" i="3"/>
  <c r="B855" i="3"/>
  <c r="H854" i="3"/>
  <c r="G854" i="3"/>
  <c r="F854" i="3"/>
  <c r="E854" i="3"/>
  <c r="D854" i="3"/>
  <c r="C854" i="3"/>
  <c r="B854" i="3"/>
  <c r="H853" i="3"/>
  <c r="G853" i="3"/>
  <c r="F853" i="3"/>
  <c r="E853" i="3"/>
  <c r="D853" i="3"/>
  <c r="C853" i="3"/>
  <c r="B853" i="3"/>
  <c r="H852" i="3"/>
  <c r="G852" i="3"/>
  <c r="F852" i="3"/>
  <c r="E852" i="3"/>
  <c r="D852" i="3"/>
  <c r="C852" i="3"/>
  <c r="B852" i="3"/>
  <c r="H851" i="3"/>
  <c r="G851" i="3"/>
  <c r="F851" i="3"/>
  <c r="E851" i="3"/>
  <c r="D851" i="3"/>
  <c r="C851" i="3"/>
  <c r="B851" i="3"/>
  <c r="H850" i="3"/>
  <c r="G850" i="3"/>
  <c r="F850" i="3"/>
  <c r="E850" i="3"/>
  <c r="D850" i="3"/>
  <c r="C850" i="3"/>
  <c r="B850" i="3"/>
  <c r="H849" i="3"/>
  <c r="G849" i="3"/>
  <c r="F849" i="3"/>
  <c r="E849" i="3"/>
  <c r="D849" i="3"/>
  <c r="C849" i="3"/>
  <c r="B849" i="3"/>
  <c r="H848" i="3"/>
  <c r="G848" i="3"/>
  <c r="F848" i="3"/>
  <c r="E848" i="3"/>
  <c r="D848" i="3"/>
  <c r="C848" i="3"/>
  <c r="B848" i="3"/>
  <c r="H847" i="3"/>
  <c r="G847" i="3"/>
  <c r="F847" i="3"/>
  <c r="E847" i="3"/>
  <c r="D847" i="3"/>
  <c r="C847" i="3"/>
  <c r="B847" i="3"/>
  <c r="H846" i="3"/>
  <c r="G846" i="3"/>
  <c r="F846" i="3"/>
  <c r="E846" i="3"/>
  <c r="D846" i="3"/>
  <c r="C846" i="3"/>
  <c r="B846" i="3"/>
  <c r="H845" i="3"/>
  <c r="G845" i="3"/>
  <c r="F845" i="3"/>
  <c r="E845" i="3"/>
  <c r="D845" i="3"/>
  <c r="C845" i="3"/>
  <c r="B845" i="3"/>
  <c r="H844" i="3"/>
  <c r="G844" i="3"/>
  <c r="F844" i="3"/>
  <c r="E844" i="3"/>
  <c r="D844" i="3"/>
  <c r="C844" i="3"/>
  <c r="B844" i="3"/>
  <c r="H843" i="3"/>
  <c r="G843" i="3"/>
  <c r="F843" i="3"/>
  <c r="E843" i="3"/>
  <c r="D843" i="3"/>
  <c r="C843" i="3"/>
  <c r="B843" i="3"/>
  <c r="H842" i="3"/>
  <c r="G842" i="3"/>
  <c r="F842" i="3"/>
  <c r="E842" i="3"/>
  <c r="D842" i="3"/>
  <c r="C842" i="3"/>
  <c r="B842" i="3"/>
  <c r="H841" i="3"/>
  <c r="G841" i="3"/>
  <c r="F841" i="3"/>
  <c r="E841" i="3"/>
  <c r="D841" i="3"/>
  <c r="C841" i="3"/>
  <c r="B841" i="3"/>
  <c r="H840" i="3"/>
  <c r="G840" i="3"/>
  <c r="F840" i="3"/>
  <c r="E840" i="3"/>
  <c r="D840" i="3"/>
  <c r="C840" i="3"/>
  <c r="B840" i="3"/>
  <c r="H839" i="3"/>
  <c r="G839" i="3"/>
  <c r="F839" i="3"/>
  <c r="E839" i="3"/>
  <c r="D839" i="3"/>
  <c r="C839" i="3"/>
  <c r="B839" i="3"/>
  <c r="H838" i="3"/>
  <c r="G838" i="3"/>
  <c r="F838" i="3"/>
  <c r="E838" i="3"/>
  <c r="D838" i="3"/>
  <c r="C838" i="3"/>
  <c r="B838" i="3"/>
  <c r="H837" i="3"/>
  <c r="G837" i="3"/>
  <c r="F837" i="3"/>
  <c r="E837" i="3"/>
  <c r="D837" i="3"/>
  <c r="C837" i="3"/>
  <c r="B837" i="3"/>
  <c r="H836" i="3"/>
  <c r="G836" i="3"/>
  <c r="F836" i="3"/>
  <c r="E836" i="3"/>
  <c r="D836" i="3"/>
  <c r="C836" i="3"/>
  <c r="B836" i="3"/>
  <c r="H835" i="3"/>
  <c r="G835" i="3"/>
  <c r="F835" i="3"/>
  <c r="E835" i="3"/>
  <c r="D835" i="3"/>
  <c r="C835" i="3"/>
  <c r="B835" i="3"/>
  <c r="H834" i="3"/>
  <c r="G834" i="3"/>
  <c r="F834" i="3"/>
  <c r="E834" i="3"/>
  <c r="D834" i="3"/>
  <c r="C834" i="3"/>
  <c r="B834" i="3"/>
  <c r="H833" i="3"/>
  <c r="G833" i="3"/>
  <c r="F833" i="3"/>
  <c r="E833" i="3"/>
  <c r="D833" i="3"/>
  <c r="C833" i="3"/>
  <c r="B833" i="3"/>
  <c r="H832" i="3"/>
  <c r="G832" i="3"/>
  <c r="F832" i="3"/>
  <c r="E832" i="3"/>
  <c r="D832" i="3"/>
  <c r="C832" i="3"/>
  <c r="B832" i="3"/>
  <c r="H831" i="3"/>
  <c r="G831" i="3"/>
  <c r="F831" i="3"/>
  <c r="E831" i="3"/>
  <c r="D831" i="3"/>
  <c r="C831" i="3"/>
  <c r="B831" i="3"/>
  <c r="H830" i="3"/>
  <c r="G830" i="3"/>
  <c r="F830" i="3"/>
  <c r="E830" i="3"/>
  <c r="D830" i="3"/>
  <c r="C830" i="3"/>
  <c r="B830" i="3"/>
  <c r="H829" i="3"/>
  <c r="G829" i="3"/>
  <c r="F829" i="3"/>
  <c r="E829" i="3"/>
  <c r="D829" i="3"/>
  <c r="C829" i="3"/>
  <c r="B829" i="3"/>
  <c r="H828" i="3"/>
  <c r="G828" i="3"/>
  <c r="F828" i="3"/>
  <c r="E828" i="3"/>
  <c r="D828" i="3"/>
  <c r="C828" i="3"/>
  <c r="B828" i="3"/>
  <c r="H827" i="3"/>
  <c r="G827" i="3"/>
  <c r="F827" i="3"/>
  <c r="E827" i="3"/>
  <c r="D827" i="3"/>
  <c r="C827" i="3"/>
  <c r="B827" i="3"/>
  <c r="H826" i="3"/>
  <c r="G826" i="3"/>
  <c r="F826" i="3"/>
  <c r="E826" i="3"/>
  <c r="D826" i="3"/>
  <c r="C826" i="3"/>
  <c r="B826" i="3"/>
  <c r="H825" i="3"/>
  <c r="G825" i="3"/>
  <c r="F825" i="3"/>
  <c r="E825" i="3"/>
  <c r="D825" i="3"/>
  <c r="C825" i="3"/>
  <c r="B825" i="3"/>
  <c r="H824" i="3"/>
  <c r="G824" i="3"/>
  <c r="F824" i="3"/>
  <c r="E824" i="3"/>
  <c r="D824" i="3"/>
  <c r="C824" i="3"/>
  <c r="B824" i="3"/>
  <c r="H823" i="3"/>
  <c r="G823" i="3"/>
  <c r="F823" i="3"/>
  <c r="E823" i="3"/>
  <c r="D823" i="3"/>
  <c r="C823" i="3"/>
  <c r="B823" i="3"/>
  <c r="H822" i="3"/>
  <c r="G822" i="3"/>
  <c r="F822" i="3"/>
  <c r="E822" i="3"/>
  <c r="D822" i="3"/>
  <c r="C822" i="3"/>
  <c r="B822" i="3"/>
  <c r="H821" i="3"/>
  <c r="G821" i="3"/>
  <c r="F821" i="3"/>
  <c r="E821" i="3"/>
  <c r="D821" i="3"/>
  <c r="C821" i="3"/>
  <c r="B821" i="3"/>
  <c r="H820" i="3"/>
  <c r="G820" i="3"/>
  <c r="F820" i="3"/>
  <c r="E820" i="3"/>
  <c r="D820" i="3"/>
  <c r="C820" i="3"/>
  <c r="B820" i="3"/>
  <c r="H819" i="3"/>
  <c r="G819" i="3"/>
  <c r="F819" i="3"/>
  <c r="E819" i="3"/>
  <c r="D819" i="3"/>
  <c r="C819" i="3"/>
  <c r="B819" i="3"/>
  <c r="H818" i="3"/>
  <c r="G818" i="3"/>
  <c r="F818" i="3"/>
  <c r="E818" i="3"/>
  <c r="D818" i="3"/>
  <c r="C818" i="3"/>
  <c r="B818" i="3"/>
  <c r="H817" i="3"/>
  <c r="G817" i="3"/>
  <c r="F817" i="3"/>
  <c r="E817" i="3"/>
  <c r="D817" i="3"/>
  <c r="C817" i="3"/>
  <c r="B817" i="3"/>
  <c r="H816" i="3"/>
  <c r="G816" i="3"/>
  <c r="F816" i="3"/>
  <c r="E816" i="3"/>
  <c r="D816" i="3"/>
  <c r="C816" i="3"/>
  <c r="B816" i="3"/>
  <c r="H815" i="3"/>
  <c r="G815" i="3"/>
  <c r="F815" i="3"/>
  <c r="E815" i="3"/>
  <c r="D815" i="3"/>
  <c r="C815" i="3"/>
  <c r="B815" i="3"/>
  <c r="H814" i="3"/>
  <c r="G814" i="3"/>
  <c r="F814" i="3"/>
  <c r="E814" i="3"/>
  <c r="D814" i="3"/>
  <c r="C814" i="3"/>
  <c r="B814" i="3"/>
  <c r="H813" i="3"/>
  <c r="G813" i="3"/>
  <c r="F813" i="3"/>
  <c r="E813" i="3"/>
  <c r="D813" i="3"/>
  <c r="C813" i="3"/>
  <c r="B813" i="3"/>
  <c r="H812" i="3"/>
  <c r="G812" i="3"/>
  <c r="F812" i="3"/>
  <c r="E812" i="3"/>
  <c r="D812" i="3"/>
  <c r="C812" i="3"/>
  <c r="B812" i="3"/>
  <c r="H811" i="3"/>
  <c r="G811" i="3"/>
  <c r="F811" i="3"/>
  <c r="E811" i="3"/>
  <c r="D811" i="3"/>
  <c r="C811" i="3"/>
  <c r="B811" i="3"/>
  <c r="H810" i="3"/>
  <c r="G810" i="3"/>
  <c r="F810" i="3"/>
  <c r="E810" i="3"/>
  <c r="D810" i="3"/>
  <c r="C810" i="3"/>
  <c r="B810" i="3"/>
  <c r="H809" i="3"/>
  <c r="G809" i="3"/>
  <c r="F809" i="3"/>
  <c r="E809" i="3"/>
  <c r="D809" i="3"/>
  <c r="C809" i="3"/>
  <c r="B809" i="3"/>
  <c r="H808" i="3"/>
  <c r="G808" i="3"/>
  <c r="F808" i="3"/>
  <c r="E808" i="3"/>
  <c r="D808" i="3"/>
  <c r="C808" i="3"/>
  <c r="B808" i="3"/>
  <c r="H807" i="3"/>
  <c r="G807" i="3"/>
  <c r="F807" i="3"/>
  <c r="E807" i="3"/>
  <c r="D807" i="3"/>
  <c r="C807" i="3"/>
  <c r="B807" i="3"/>
  <c r="H806" i="3"/>
  <c r="G806" i="3"/>
  <c r="F806" i="3"/>
  <c r="E806" i="3"/>
  <c r="D806" i="3"/>
  <c r="C806" i="3"/>
  <c r="B806" i="3"/>
  <c r="H805" i="3"/>
  <c r="G805" i="3"/>
  <c r="F805" i="3"/>
  <c r="E805" i="3"/>
  <c r="D805" i="3"/>
  <c r="C805" i="3"/>
  <c r="B805" i="3"/>
  <c r="H804" i="3"/>
  <c r="G804" i="3"/>
  <c r="F804" i="3"/>
  <c r="E804" i="3"/>
  <c r="D804" i="3"/>
  <c r="C804" i="3"/>
  <c r="B804" i="3"/>
  <c r="H803" i="3"/>
  <c r="G803" i="3"/>
  <c r="F803" i="3"/>
  <c r="E803" i="3"/>
  <c r="D803" i="3"/>
  <c r="C803" i="3"/>
  <c r="B803" i="3"/>
  <c r="H802" i="3"/>
  <c r="G802" i="3"/>
  <c r="F802" i="3"/>
  <c r="E802" i="3"/>
  <c r="D802" i="3"/>
  <c r="C802" i="3"/>
  <c r="B802" i="3"/>
  <c r="H801" i="3"/>
  <c r="G801" i="3"/>
  <c r="F801" i="3"/>
  <c r="E801" i="3"/>
  <c r="D801" i="3"/>
  <c r="C801" i="3"/>
  <c r="B801" i="3"/>
  <c r="H800" i="3"/>
  <c r="G800" i="3"/>
  <c r="F800" i="3"/>
  <c r="E800" i="3"/>
  <c r="D800" i="3"/>
  <c r="C800" i="3"/>
  <c r="B800" i="3"/>
  <c r="H799" i="3"/>
  <c r="G799" i="3"/>
  <c r="F799" i="3"/>
  <c r="E799" i="3"/>
  <c r="D799" i="3"/>
  <c r="C799" i="3"/>
  <c r="B799" i="3"/>
  <c r="H798" i="3"/>
  <c r="G798" i="3"/>
  <c r="F798" i="3"/>
  <c r="E798" i="3"/>
  <c r="D798" i="3"/>
  <c r="C798" i="3"/>
  <c r="B798" i="3"/>
  <c r="H797" i="3"/>
  <c r="G797" i="3"/>
  <c r="F797" i="3"/>
  <c r="E797" i="3"/>
  <c r="D797" i="3"/>
  <c r="C797" i="3"/>
  <c r="B797" i="3"/>
  <c r="H796" i="3"/>
  <c r="G796" i="3"/>
  <c r="F796" i="3"/>
  <c r="E796" i="3"/>
  <c r="D796" i="3"/>
  <c r="C796" i="3"/>
  <c r="B796" i="3"/>
  <c r="H795" i="3"/>
  <c r="G795" i="3"/>
  <c r="F795" i="3"/>
  <c r="E795" i="3"/>
  <c r="D795" i="3"/>
  <c r="C795" i="3"/>
  <c r="B795" i="3"/>
  <c r="H794" i="3"/>
  <c r="G794" i="3"/>
  <c r="F794" i="3"/>
  <c r="E794" i="3"/>
  <c r="D794" i="3"/>
  <c r="C794" i="3"/>
  <c r="B794" i="3"/>
  <c r="H793" i="3"/>
  <c r="G793" i="3"/>
  <c r="F793" i="3"/>
  <c r="E793" i="3"/>
  <c r="D793" i="3"/>
  <c r="C793" i="3"/>
  <c r="B793" i="3"/>
  <c r="H792" i="3"/>
  <c r="G792" i="3"/>
  <c r="F792" i="3"/>
  <c r="E792" i="3"/>
  <c r="D792" i="3"/>
  <c r="C792" i="3"/>
  <c r="B792" i="3"/>
  <c r="H791" i="3"/>
  <c r="G791" i="3"/>
  <c r="F791" i="3"/>
  <c r="E791" i="3"/>
  <c r="D791" i="3"/>
  <c r="C791" i="3"/>
  <c r="B791" i="3"/>
  <c r="H790" i="3"/>
  <c r="G790" i="3"/>
  <c r="F790" i="3"/>
  <c r="E790" i="3"/>
  <c r="D790" i="3"/>
  <c r="C790" i="3"/>
  <c r="B790" i="3"/>
  <c r="H789" i="3"/>
  <c r="G789" i="3"/>
  <c r="F789" i="3"/>
  <c r="E789" i="3"/>
  <c r="D789" i="3"/>
  <c r="C789" i="3"/>
  <c r="B789" i="3"/>
  <c r="H788" i="3"/>
  <c r="G788" i="3"/>
  <c r="F788" i="3"/>
  <c r="E788" i="3"/>
  <c r="D788" i="3"/>
  <c r="C788" i="3"/>
  <c r="B788" i="3"/>
  <c r="H787" i="3"/>
  <c r="G787" i="3"/>
  <c r="F787" i="3"/>
  <c r="E787" i="3"/>
  <c r="D787" i="3"/>
  <c r="C787" i="3"/>
  <c r="B787" i="3"/>
  <c r="H786" i="3"/>
  <c r="G786" i="3"/>
  <c r="F786" i="3"/>
  <c r="E786" i="3"/>
  <c r="D786" i="3"/>
  <c r="C786" i="3"/>
  <c r="B786" i="3"/>
  <c r="H785" i="3"/>
  <c r="G785" i="3"/>
  <c r="F785" i="3"/>
  <c r="E785" i="3"/>
  <c r="D785" i="3"/>
  <c r="C785" i="3"/>
  <c r="B785" i="3"/>
  <c r="H784" i="3"/>
  <c r="G784" i="3"/>
  <c r="F784" i="3"/>
  <c r="E784" i="3"/>
  <c r="D784" i="3"/>
  <c r="C784" i="3"/>
  <c r="B784" i="3"/>
  <c r="H783" i="3"/>
  <c r="G783" i="3"/>
  <c r="F783" i="3"/>
  <c r="E783" i="3"/>
  <c r="D783" i="3"/>
  <c r="C783" i="3"/>
  <c r="B783" i="3"/>
  <c r="H782" i="3"/>
  <c r="G782" i="3"/>
  <c r="F782" i="3"/>
  <c r="E782" i="3"/>
  <c r="D782" i="3"/>
  <c r="C782" i="3"/>
  <c r="B782" i="3"/>
  <c r="H781" i="3"/>
  <c r="G781" i="3"/>
  <c r="F781" i="3"/>
  <c r="E781" i="3"/>
  <c r="D781" i="3"/>
  <c r="C781" i="3"/>
  <c r="B781" i="3"/>
  <c r="H780" i="3"/>
  <c r="G780" i="3"/>
  <c r="F780" i="3"/>
  <c r="E780" i="3"/>
  <c r="D780" i="3"/>
  <c r="C780" i="3"/>
  <c r="B780" i="3"/>
  <c r="H779" i="3"/>
  <c r="G779" i="3"/>
  <c r="F779" i="3"/>
  <c r="E779" i="3"/>
  <c r="D779" i="3"/>
  <c r="C779" i="3"/>
  <c r="B779" i="3"/>
  <c r="H778" i="3"/>
  <c r="G778" i="3"/>
  <c r="F778" i="3"/>
  <c r="E778" i="3"/>
  <c r="D778" i="3"/>
  <c r="C778" i="3"/>
  <c r="B778" i="3"/>
  <c r="H777" i="3"/>
  <c r="G777" i="3"/>
  <c r="F777" i="3"/>
  <c r="E777" i="3"/>
  <c r="D777" i="3"/>
  <c r="C777" i="3"/>
  <c r="B777" i="3"/>
  <c r="H776" i="3"/>
  <c r="G776" i="3"/>
  <c r="F776" i="3"/>
  <c r="E776" i="3"/>
  <c r="D776" i="3"/>
  <c r="C776" i="3"/>
  <c r="B776" i="3"/>
  <c r="H775" i="3"/>
  <c r="G775" i="3"/>
  <c r="F775" i="3"/>
  <c r="E775" i="3"/>
  <c r="D775" i="3"/>
  <c r="C775" i="3"/>
  <c r="B775" i="3"/>
  <c r="H774" i="3"/>
  <c r="G774" i="3"/>
  <c r="F774" i="3"/>
  <c r="E774" i="3"/>
  <c r="D774" i="3"/>
  <c r="C774" i="3"/>
  <c r="B774" i="3"/>
  <c r="H773" i="3"/>
  <c r="G773" i="3"/>
  <c r="F773" i="3"/>
  <c r="E773" i="3"/>
  <c r="D773" i="3"/>
  <c r="C773" i="3"/>
  <c r="B773" i="3"/>
  <c r="H772" i="3"/>
  <c r="G772" i="3"/>
  <c r="F772" i="3"/>
  <c r="E772" i="3"/>
  <c r="D772" i="3"/>
  <c r="C772" i="3"/>
  <c r="B772" i="3"/>
  <c r="H771" i="3"/>
  <c r="G771" i="3"/>
  <c r="F771" i="3"/>
  <c r="E771" i="3"/>
  <c r="D771" i="3"/>
  <c r="C771" i="3"/>
  <c r="B771" i="3"/>
  <c r="H770" i="3"/>
  <c r="G770" i="3"/>
  <c r="F770" i="3"/>
  <c r="E770" i="3"/>
  <c r="D770" i="3"/>
  <c r="C770" i="3"/>
  <c r="B770" i="3"/>
  <c r="H769" i="3"/>
  <c r="G769" i="3"/>
  <c r="F769" i="3"/>
  <c r="E769" i="3"/>
  <c r="D769" i="3"/>
  <c r="C769" i="3"/>
  <c r="B769" i="3"/>
  <c r="H768" i="3"/>
  <c r="G768" i="3"/>
  <c r="F768" i="3"/>
  <c r="E768" i="3"/>
  <c r="D768" i="3"/>
  <c r="C768" i="3"/>
  <c r="B768" i="3"/>
  <c r="H767" i="3"/>
  <c r="G767" i="3"/>
  <c r="F767" i="3"/>
  <c r="E767" i="3"/>
  <c r="D767" i="3"/>
  <c r="C767" i="3"/>
  <c r="B767" i="3"/>
  <c r="H766" i="3"/>
  <c r="G766" i="3"/>
  <c r="F766" i="3"/>
  <c r="E766" i="3"/>
  <c r="D766" i="3"/>
  <c r="C766" i="3"/>
  <c r="B766" i="3"/>
  <c r="H765" i="3"/>
  <c r="G765" i="3"/>
  <c r="F765" i="3"/>
  <c r="E765" i="3"/>
  <c r="D765" i="3"/>
  <c r="C765" i="3"/>
  <c r="B765" i="3"/>
  <c r="H764" i="3"/>
  <c r="G764" i="3"/>
  <c r="F764" i="3"/>
  <c r="E764" i="3"/>
  <c r="D764" i="3"/>
  <c r="C764" i="3"/>
  <c r="B764" i="3"/>
  <c r="H763" i="3"/>
  <c r="G763" i="3"/>
  <c r="F763" i="3"/>
  <c r="E763" i="3"/>
  <c r="D763" i="3"/>
  <c r="C763" i="3"/>
  <c r="B763" i="3"/>
  <c r="H762" i="3"/>
  <c r="G762" i="3"/>
  <c r="F762" i="3"/>
  <c r="E762" i="3"/>
  <c r="D762" i="3"/>
  <c r="C762" i="3"/>
  <c r="B762" i="3"/>
  <c r="H761" i="3"/>
  <c r="G761" i="3"/>
  <c r="F761" i="3"/>
  <c r="E761" i="3"/>
  <c r="D761" i="3"/>
  <c r="C761" i="3"/>
  <c r="B761" i="3"/>
  <c r="H760" i="3"/>
  <c r="G760" i="3"/>
  <c r="F760" i="3"/>
  <c r="E760" i="3"/>
  <c r="D760" i="3"/>
  <c r="C760" i="3"/>
  <c r="B760" i="3"/>
  <c r="H759" i="3"/>
  <c r="G759" i="3"/>
  <c r="F759" i="3"/>
  <c r="E759" i="3"/>
  <c r="D759" i="3"/>
  <c r="C759" i="3"/>
  <c r="B759" i="3"/>
  <c r="H758" i="3"/>
  <c r="G758" i="3"/>
  <c r="F758" i="3"/>
  <c r="E758" i="3"/>
  <c r="D758" i="3"/>
  <c r="C758" i="3"/>
  <c r="B758" i="3"/>
  <c r="H757" i="3"/>
  <c r="G757" i="3"/>
  <c r="F757" i="3"/>
  <c r="E757" i="3"/>
  <c r="D757" i="3"/>
  <c r="C757" i="3"/>
  <c r="B757" i="3"/>
  <c r="H756" i="3"/>
  <c r="G756" i="3"/>
  <c r="F756" i="3"/>
  <c r="E756" i="3"/>
  <c r="D756" i="3"/>
  <c r="C756" i="3"/>
  <c r="B756" i="3"/>
  <c r="H755" i="3"/>
  <c r="G755" i="3"/>
  <c r="F755" i="3"/>
  <c r="E755" i="3"/>
  <c r="D755" i="3"/>
  <c r="C755" i="3"/>
  <c r="B755" i="3"/>
  <c r="H754" i="3"/>
  <c r="G754" i="3"/>
  <c r="F754" i="3"/>
  <c r="E754" i="3"/>
  <c r="D754" i="3"/>
  <c r="C754" i="3"/>
  <c r="B754" i="3"/>
  <c r="H753" i="3"/>
  <c r="G753" i="3"/>
  <c r="F753" i="3"/>
  <c r="E753" i="3"/>
  <c r="D753" i="3"/>
  <c r="C753" i="3"/>
  <c r="B753" i="3"/>
  <c r="H752" i="3"/>
  <c r="G752" i="3"/>
  <c r="F752" i="3"/>
  <c r="E752" i="3"/>
  <c r="D752" i="3"/>
  <c r="C752" i="3"/>
  <c r="B752" i="3"/>
  <c r="H751" i="3"/>
  <c r="G751" i="3"/>
  <c r="F751" i="3"/>
  <c r="E751" i="3"/>
  <c r="D751" i="3"/>
  <c r="C751" i="3"/>
  <c r="B751" i="3"/>
  <c r="H750" i="3"/>
  <c r="G750" i="3"/>
  <c r="F750" i="3"/>
  <c r="E750" i="3"/>
  <c r="D750" i="3"/>
  <c r="C750" i="3"/>
  <c r="B750" i="3"/>
  <c r="H749" i="3"/>
  <c r="G749" i="3"/>
  <c r="F749" i="3"/>
  <c r="E749" i="3"/>
  <c r="D749" i="3"/>
  <c r="C749" i="3"/>
  <c r="B749" i="3"/>
  <c r="H748" i="3"/>
  <c r="G748" i="3"/>
  <c r="F748" i="3"/>
  <c r="E748" i="3"/>
  <c r="D748" i="3"/>
  <c r="C748" i="3"/>
  <c r="B748" i="3"/>
  <c r="H747" i="3"/>
  <c r="G747" i="3"/>
  <c r="F747" i="3"/>
  <c r="E747" i="3"/>
  <c r="D747" i="3"/>
  <c r="C747" i="3"/>
  <c r="B747" i="3"/>
  <c r="H746" i="3"/>
  <c r="G746" i="3"/>
  <c r="F746" i="3"/>
  <c r="E746" i="3"/>
  <c r="D746" i="3"/>
  <c r="C746" i="3"/>
  <c r="B746" i="3"/>
  <c r="H745" i="3"/>
  <c r="G745" i="3"/>
  <c r="F745" i="3"/>
  <c r="E745" i="3"/>
  <c r="D745" i="3"/>
  <c r="C745" i="3"/>
  <c r="B745" i="3"/>
  <c r="H744" i="3"/>
  <c r="G744" i="3"/>
  <c r="F744" i="3"/>
  <c r="E744" i="3"/>
  <c r="D744" i="3"/>
  <c r="C744" i="3"/>
  <c r="B744" i="3"/>
  <c r="H743" i="3"/>
  <c r="G743" i="3"/>
  <c r="F743" i="3"/>
  <c r="E743" i="3"/>
  <c r="D743" i="3"/>
  <c r="C743" i="3"/>
  <c r="B743" i="3"/>
  <c r="H742" i="3"/>
  <c r="G742" i="3"/>
  <c r="F742" i="3"/>
  <c r="E742" i="3"/>
  <c r="D742" i="3"/>
  <c r="C742" i="3"/>
  <c r="B742" i="3"/>
  <c r="H741" i="3"/>
  <c r="G741" i="3"/>
  <c r="F741" i="3"/>
  <c r="E741" i="3"/>
  <c r="D741" i="3"/>
  <c r="C741" i="3"/>
  <c r="B741" i="3"/>
  <c r="H740" i="3"/>
  <c r="G740" i="3"/>
  <c r="F740" i="3"/>
  <c r="E740" i="3"/>
  <c r="D740" i="3"/>
  <c r="C740" i="3"/>
  <c r="B740" i="3"/>
  <c r="H739" i="3"/>
  <c r="G739" i="3"/>
  <c r="F739" i="3"/>
  <c r="E739" i="3"/>
  <c r="D739" i="3"/>
  <c r="C739" i="3"/>
  <c r="B739" i="3"/>
  <c r="H738" i="3"/>
  <c r="G738" i="3"/>
  <c r="F738" i="3"/>
  <c r="E738" i="3"/>
  <c r="D738" i="3"/>
  <c r="C738" i="3"/>
  <c r="B738" i="3"/>
  <c r="H737" i="3"/>
  <c r="G737" i="3"/>
  <c r="F737" i="3"/>
  <c r="E737" i="3"/>
  <c r="D737" i="3"/>
  <c r="C737" i="3"/>
  <c r="B737" i="3"/>
  <c r="H736" i="3"/>
  <c r="G736" i="3"/>
  <c r="F736" i="3"/>
  <c r="E736" i="3"/>
  <c r="D736" i="3"/>
  <c r="C736" i="3"/>
  <c r="B736" i="3"/>
  <c r="H735" i="3"/>
  <c r="G735" i="3"/>
  <c r="F735" i="3"/>
  <c r="E735" i="3"/>
  <c r="D735" i="3"/>
  <c r="C735" i="3"/>
  <c r="B735" i="3"/>
  <c r="H734" i="3"/>
  <c r="G734" i="3"/>
  <c r="F734" i="3"/>
  <c r="E734" i="3"/>
  <c r="D734" i="3"/>
  <c r="C734" i="3"/>
  <c r="B734" i="3"/>
  <c r="H733" i="3"/>
  <c r="G733" i="3"/>
  <c r="F733" i="3"/>
  <c r="E733" i="3"/>
  <c r="D733" i="3"/>
  <c r="C733" i="3"/>
  <c r="B733" i="3"/>
  <c r="H732" i="3"/>
  <c r="G732" i="3"/>
  <c r="F732" i="3"/>
  <c r="E732" i="3"/>
  <c r="D732" i="3"/>
  <c r="C732" i="3"/>
  <c r="B732" i="3"/>
  <c r="H731" i="3"/>
  <c r="G731" i="3"/>
  <c r="F731" i="3"/>
  <c r="E731" i="3"/>
  <c r="D731" i="3"/>
  <c r="C731" i="3"/>
  <c r="B731" i="3"/>
  <c r="H730" i="3"/>
  <c r="G730" i="3"/>
  <c r="F730" i="3"/>
  <c r="E730" i="3"/>
  <c r="D730" i="3"/>
  <c r="C730" i="3"/>
  <c r="B730" i="3"/>
  <c r="H729" i="3"/>
  <c r="G729" i="3"/>
  <c r="F729" i="3"/>
  <c r="E729" i="3"/>
  <c r="D729" i="3"/>
  <c r="C729" i="3"/>
  <c r="B729" i="3"/>
  <c r="H728" i="3"/>
  <c r="G728" i="3"/>
  <c r="F728" i="3"/>
  <c r="E728" i="3"/>
  <c r="D728" i="3"/>
  <c r="C728" i="3"/>
  <c r="B728" i="3"/>
  <c r="H727" i="3"/>
  <c r="G727" i="3"/>
  <c r="F727" i="3"/>
  <c r="E727" i="3"/>
  <c r="D727" i="3"/>
  <c r="C727" i="3"/>
  <c r="B727" i="3"/>
  <c r="H726" i="3"/>
  <c r="G726" i="3"/>
  <c r="F726" i="3"/>
  <c r="E726" i="3"/>
  <c r="D726" i="3"/>
  <c r="C726" i="3"/>
  <c r="B726" i="3"/>
  <c r="H725" i="3"/>
  <c r="G725" i="3"/>
  <c r="F725" i="3"/>
  <c r="E725" i="3"/>
  <c r="D725" i="3"/>
  <c r="C725" i="3"/>
  <c r="B725" i="3"/>
  <c r="H724" i="3"/>
  <c r="G724" i="3"/>
  <c r="F724" i="3"/>
  <c r="E724" i="3"/>
  <c r="D724" i="3"/>
  <c r="C724" i="3"/>
  <c r="B724" i="3"/>
  <c r="H723" i="3"/>
  <c r="G723" i="3"/>
  <c r="F723" i="3"/>
  <c r="E723" i="3"/>
  <c r="D723" i="3"/>
  <c r="C723" i="3"/>
  <c r="B723" i="3"/>
  <c r="H722" i="3"/>
  <c r="G722" i="3"/>
  <c r="F722" i="3"/>
  <c r="E722" i="3"/>
  <c r="D722" i="3"/>
  <c r="C722" i="3"/>
  <c r="B722" i="3"/>
  <c r="H721" i="3"/>
  <c r="G721" i="3"/>
  <c r="F721" i="3"/>
  <c r="E721" i="3"/>
  <c r="D721" i="3"/>
  <c r="C721" i="3"/>
  <c r="B721" i="3"/>
  <c r="H720" i="3"/>
  <c r="G720" i="3"/>
  <c r="F720" i="3"/>
  <c r="E720" i="3"/>
  <c r="D720" i="3"/>
  <c r="C720" i="3"/>
  <c r="B720" i="3"/>
  <c r="H719" i="3"/>
  <c r="G719" i="3"/>
  <c r="F719" i="3"/>
  <c r="E719" i="3"/>
  <c r="D719" i="3"/>
  <c r="C719" i="3"/>
  <c r="B719" i="3"/>
  <c r="H718" i="3"/>
  <c r="G718" i="3"/>
  <c r="F718" i="3"/>
  <c r="E718" i="3"/>
  <c r="D718" i="3"/>
  <c r="C718" i="3"/>
  <c r="B718" i="3"/>
  <c r="H717" i="3"/>
  <c r="G717" i="3"/>
  <c r="F717" i="3"/>
  <c r="E717" i="3"/>
  <c r="D717" i="3"/>
  <c r="C717" i="3"/>
  <c r="B717" i="3"/>
  <c r="H716" i="3"/>
  <c r="G716" i="3"/>
  <c r="F716" i="3"/>
  <c r="E716" i="3"/>
  <c r="D716" i="3"/>
  <c r="C716" i="3"/>
  <c r="B716" i="3"/>
  <c r="H715" i="3"/>
  <c r="G715" i="3"/>
  <c r="F715" i="3"/>
  <c r="E715" i="3"/>
  <c r="D715" i="3"/>
  <c r="C715" i="3"/>
  <c r="B715" i="3"/>
  <c r="H714" i="3"/>
  <c r="G714" i="3"/>
  <c r="F714" i="3"/>
  <c r="E714" i="3"/>
  <c r="D714" i="3"/>
  <c r="C714" i="3"/>
  <c r="B714" i="3"/>
  <c r="H713" i="3"/>
  <c r="G713" i="3"/>
  <c r="F713" i="3"/>
  <c r="E713" i="3"/>
  <c r="D713" i="3"/>
  <c r="C713" i="3"/>
  <c r="B713" i="3"/>
  <c r="H712" i="3"/>
  <c r="G712" i="3"/>
  <c r="F712" i="3"/>
  <c r="E712" i="3"/>
  <c r="D712" i="3"/>
  <c r="C712" i="3"/>
  <c r="B712" i="3"/>
  <c r="H711" i="3"/>
  <c r="G711" i="3"/>
  <c r="F711" i="3"/>
  <c r="E711" i="3"/>
  <c r="D711" i="3"/>
  <c r="C711" i="3"/>
  <c r="B711" i="3"/>
  <c r="H710" i="3"/>
  <c r="G710" i="3"/>
  <c r="F710" i="3"/>
  <c r="E710" i="3"/>
  <c r="D710" i="3"/>
  <c r="C710" i="3"/>
  <c r="B710" i="3"/>
  <c r="H709" i="3"/>
  <c r="G709" i="3"/>
  <c r="F709" i="3"/>
  <c r="E709" i="3"/>
  <c r="D709" i="3"/>
  <c r="C709" i="3"/>
  <c r="B709" i="3"/>
  <c r="H708" i="3"/>
  <c r="G708" i="3"/>
  <c r="F708" i="3"/>
  <c r="E708" i="3"/>
  <c r="D708" i="3"/>
  <c r="C708" i="3"/>
  <c r="B708" i="3"/>
  <c r="H707" i="3"/>
  <c r="G707" i="3"/>
  <c r="F707" i="3"/>
  <c r="E707" i="3"/>
  <c r="D707" i="3"/>
  <c r="C707" i="3"/>
  <c r="B707" i="3"/>
  <c r="H706" i="3"/>
  <c r="G706" i="3"/>
  <c r="F706" i="3"/>
  <c r="E706" i="3"/>
  <c r="D706" i="3"/>
  <c r="C706" i="3"/>
  <c r="B706" i="3"/>
  <c r="H705" i="3"/>
  <c r="G705" i="3"/>
  <c r="F705" i="3"/>
  <c r="E705" i="3"/>
  <c r="D705" i="3"/>
  <c r="C705" i="3"/>
  <c r="B705" i="3"/>
  <c r="H704" i="3"/>
  <c r="G704" i="3"/>
  <c r="F704" i="3"/>
  <c r="E704" i="3"/>
  <c r="D704" i="3"/>
  <c r="C704" i="3"/>
  <c r="B704" i="3"/>
  <c r="H703" i="3"/>
  <c r="G703" i="3"/>
  <c r="F703" i="3"/>
  <c r="E703" i="3"/>
  <c r="D703" i="3"/>
  <c r="C703" i="3"/>
  <c r="B703" i="3"/>
  <c r="H702" i="3"/>
  <c r="G702" i="3"/>
  <c r="F702" i="3"/>
  <c r="E702" i="3"/>
  <c r="D702" i="3"/>
  <c r="C702" i="3"/>
  <c r="B702" i="3"/>
  <c r="H701" i="3"/>
  <c r="G701" i="3"/>
  <c r="F701" i="3"/>
  <c r="E701" i="3"/>
  <c r="D701" i="3"/>
  <c r="C701" i="3"/>
  <c r="B701" i="3"/>
  <c r="H700" i="3"/>
  <c r="G700" i="3"/>
  <c r="F700" i="3"/>
  <c r="E700" i="3"/>
  <c r="D700" i="3"/>
  <c r="C700" i="3"/>
  <c r="B700" i="3"/>
  <c r="H699" i="3"/>
  <c r="G699" i="3"/>
  <c r="F699" i="3"/>
  <c r="E699" i="3"/>
  <c r="D699" i="3"/>
  <c r="C699" i="3"/>
  <c r="B699" i="3"/>
  <c r="H698" i="3"/>
  <c r="G698" i="3"/>
  <c r="F698" i="3"/>
  <c r="E698" i="3"/>
  <c r="D698" i="3"/>
  <c r="C698" i="3"/>
  <c r="B698" i="3"/>
  <c r="H697" i="3"/>
  <c r="G697" i="3"/>
  <c r="F697" i="3"/>
  <c r="E697" i="3"/>
  <c r="D697" i="3"/>
  <c r="C697" i="3"/>
  <c r="B697" i="3"/>
  <c r="H696" i="3"/>
  <c r="G696" i="3"/>
  <c r="F696" i="3"/>
  <c r="E696" i="3"/>
  <c r="D696" i="3"/>
  <c r="C696" i="3"/>
  <c r="B696" i="3"/>
  <c r="H695" i="3"/>
  <c r="G695" i="3"/>
  <c r="F695" i="3"/>
  <c r="E695" i="3"/>
  <c r="D695" i="3"/>
  <c r="C695" i="3"/>
  <c r="B695" i="3"/>
  <c r="H694" i="3"/>
  <c r="G694" i="3"/>
  <c r="F694" i="3"/>
  <c r="E694" i="3"/>
  <c r="D694" i="3"/>
  <c r="C694" i="3"/>
  <c r="B694" i="3"/>
  <c r="H693" i="3"/>
  <c r="G693" i="3"/>
  <c r="F693" i="3"/>
  <c r="E693" i="3"/>
  <c r="D693" i="3"/>
  <c r="C693" i="3"/>
  <c r="B693" i="3"/>
  <c r="H692" i="3"/>
  <c r="G692" i="3"/>
  <c r="F692" i="3"/>
  <c r="E692" i="3"/>
  <c r="D692" i="3"/>
  <c r="C692" i="3"/>
  <c r="B692" i="3"/>
  <c r="H691" i="3"/>
  <c r="G691" i="3"/>
  <c r="F691" i="3"/>
  <c r="E691" i="3"/>
  <c r="D691" i="3"/>
  <c r="C691" i="3"/>
  <c r="B691" i="3"/>
  <c r="H690" i="3"/>
  <c r="G690" i="3"/>
  <c r="F690" i="3"/>
  <c r="E690" i="3"/>
  <c r="D690" i="3"/>
  <c r="C690" i="3"/>
  <c r="B690" i="3"/>
  <c r="H689" i="3"/>
  <c r="G689" i="3"/>
  <c r="F689" i="3"/>
  <c r="E689" i="3"/>
  <c r="D689" i="3"/>
  <c r="C689" i="3"/>
  <c r="B689" i="3"/>
  <c r="H688" i="3"/>
  <c r="G688" i="3"/>
  <c r="F688" i="3"/>
  <c r="E688" i="3"/>
  <c r="D688" i="3"/>
  <c r="C688" i="3"/>
  <c r="B688" i="3"/>
  <c r="H687" i="3"/>
  <c r="G687" i="3"/>
  <c r="F687" i="3"/>
  <c r="E687" i="3"/>
  <c r="D687" i="3"/>
  <c r="C687" i="3"/>
  <c r="B687" i="3"/>
  <c r="H686" i="3"/>
  <c r="G686" i="3"/>
  <c r="F686" i="3"/>
  <c r="E686" i="3"/>
  <c r="D686" i="3"/>
  <c r="C686" i="3"/>
  <c r="B686" i="3"/>
  <c r="H685" i="3"/>
  <c r="G685" i="3"/>
  <c r="F685" i="3"/>
  <c r="E685" i="3"/>
  <c r="D685" i="3"/>
  <c r="C685" i="3"/>
  <c r="B685" i="3"/>
  <c r="H684" i="3"/>
  <c r="G684" i="3"/>
  <c r="F684" i="3"/>
  <c r="E684" i="3"/>
  <c r="D684" i="3"/>
  <c r="C684" i="3"/>
  <c r="B684" i="3"/>
  <c r="H683" i="3"/>
  <c r="G683" i="3"/>
  <c r="F683" i="3"/>
  <c r="E683" i="3"/>
  <c r="D683" i="3"/>
  <c r="C683" i="3"/>
  <c r="B683" i="3"/>
  <c r="H682" i="3"/>
  <c r="G682" i="3"/>
  <c r="F682" i="3"/>
  <c r="E682" i="3"/>
  <c r="D682" i="3"/>
  <c r="C682" i="3"/>
  <c r="B682" i="3"/>
  <c r="H681" i="3"/>
  <c r="G681" i="3"/>
  <c r="F681" i="3"/>
  <c r="E681" i="3"/>
  <c r="D681" i="3"/>
  <c r="C681" i="3"/>
  <c r="B681" i="3"/>
  <c r="H680" i="3"/>
  <c r="G680" i="3"/>
  <c r="F680" i="3"/>
  <c r="E680" i="3"/>
  <c r="D680" i="3"/>
  <c r="C680" i="3"/>
  <c r="B680" i="3"/>
  <c r="H679" i="3"/>
  <c r="G679" i="3"/>
  <c r="F679" i="3"/>
  <c r="E679" i="3"/>
  <c r="D679" i="3"/>
  <c r="C679" i="3"/>
  <c r="B679" i="3"/>
  <c r="H678" i="3"/>
  <c r="G678" i="3"/>
  <c r="F678" i="3"/>
  <c r="E678" i="3"/>
  <c r="D678" i="3"/>
  <c r="C678" i="3"/>
  <c r="B678" i="3"/>
  <c r="H677" i="3"/>
  <c r="G677" i="3"/>
  <c r="F677" i="3"/>
  <c r="E677" i="3"/>
  <c r="D677" i="3"/>
  <c r="C677" i="3"/>
  <c r="B677" i="3"/>
  <c r="H676" i="3"/>
  <c r="G676" i="3"/>
  <c r="F676" i="3"/>
  <c r="E676" i="3"/>
  <c r="D676" i="3"/>
  <c r="C676" i="3"/>
  <c r="B676" i="3"/>
  <c r="H675" i="3"/>
  <c r="G675" i="3"/>
  <c r="F675" i="3"/>
  <c r="E675" i="3"/>
  <c r="D675" i="3"/>
  <c r="C675" i="3"/>
  <c r="B675" i="3"/>
  <c r="H674" i="3"/>
  <c r="G674" i="3"/>
  <c r="F674" i="3"/>
  <c r="E674" i="3"/>
  <c r="D674" i="3"/>
  <c r="C674" i="3"/>
  <c r="B674" i="3"/>
  <c r="H673" i="3"/>
  <c r="G673" i="3"/>
  <c r="F673" i="3"/>
  <c r="E673" i="3"/>
  <c r="D673" i="3"/>
  <c r="C673" i="3"/>
  <c r="B673" i="3"/>
  <c r="H672" i="3"/>
  <c r="G672" i="3"/>
  <c r="F672" i="3"/>
  <c r="E672" i="3"/>
  <c r="D672" i="3"/>
  <c r="C672" i="3"/>
  <c r="B672" i="3"/>
  <c r="H671" i="3"/>
  <c r="G671" i="3"/>
  <c r="F671" i="3"/>
  <c r="E671" i="3"/>
  <c r="D671" i="3"/>
  <c r="C671" i="3"/>
  <c r="B671" i="3"/>
  <c r="H670" i="3"/>
  <c r="G670" i="3"/>
  <c r="F670" i="3"/>
  <c r="E670" i="3"/>
  <c r="D670" i="3"/>
  <c r="C670" i="3"/>
  <c r="B670" i="3"/>
  <c r="H669" i="3"/>
  <c r="G669" i="3"/>
  <c r="F669" i="3"/>
  <c r="E669" i="3"/>
  <c r="D669" i="3"/>
  <c r="C669" i="3"/>
  <c r="B669" i="3"/>
  <c r="H668" i="3"/>
  <c r="G668" i="3"/>
  <c r="F668" i="3"/>
  <c r="E668" i="3"/>
  <c r="D668" i="3"/>
  <c r="C668" i="3"/>
  <c r="B668" i="3"/>
  <c r="H667" i="3"/>
  <c r="G667" i="3"/>
  <c r="F667" i="3"/>
  <c r="E667" i="3"/>
  <c r="D667" i="3"/>
  <c r="C667" i="3"/>
  <c r="B667" i="3"/>
  <c r="H666" i="3"/>
  <c r="G666" i="3"/>
  <c r="F666" i="3"/>
  <c r="E666" i="3"/>
  <c r="D666" i="3"/>
  <c r="C666" i="3"/>
  <c r="B666" i="3"/>
  <c r="H665" i="3"/>
  <c r="G665" i="3"/>
  <c r="F665" i="3"/>
  <c r="E665" i="3"/>
  <c r="D665" i="3"/>
  <c r="C665" i="3"/>
  <c r="B665" i="3"/>
  <c r="H664" i="3"/>
  <c r="G664" i="3"/>
  <c r="F664" i="3"/>
  <c r="E664" i="3"/>
  <c r="D664" i="3"/>
  <c r="C664" i="3"/>
  <c r="B664" i="3"/>
  <c r="H663" i="3"/>
  <c r="G663" i="3"/>
  <c r="F663" i="3"/>
  <c r="E663" i="3"/>
  <c r="D663" i="3"/>
  <c r="C663" i="3"/>
  <c r="B663" i="3"/>
  <c r="H662" i="3"/>
  <c r="G662" i="3"/>
  <c r="F662" i="3"/>
  <c r="E662" i="3"/>
  <c r="D662" i="3"/>
  <c r="C662" i="3"/>
  <c r="B662" i="3"/>
  <c r="H661" i="3"/>
  <c r="G661" i="3"/>
  <c r="F661" i="3"/>
  <c r="E661" i="3"/>
  <c r="D661" i="3"/>
  <c r="C661" i="3"/>
  <c r="B661" i="3"/>
  <c r="H660" i="3"/>
  <c r="G660" i="3"/>
  <c r="F660" i="3"/>
  <c r="E660" i="3"/>
  <c r="D660" i="3"/>
  <c r="C660" i="3"/>
  <c r="B660" i="3"/>
  <c r="H659" i="3"/>
  <c r="G659" i="3"/>
  <c r="F659" i="3"/>
  <c r="E659" i="3"/>
  <c r="D659" i="3"/>
  <c r="C659" i="3"/>
  <c r="B659" i="3"/>
  <c r="H658" i="3"/>
  <c r="G658" i="3"/>
  <c r="F658" i="3"/>
  <c r="E658" i="3"/>
  <c r="D658" i="3"/>
  <c r="C658" i="3"/>
  <c r="B658" i="3"/>
  <c r="H657" i="3"/>
  <c r="G657" i="3"/>
  <c r="F657" i="3"/>
  <c r="E657" i="3"/>
  <c r="D657" i="3"/>
  <c r="C657" i="3"/>
  <c r="B657" i="3"/>
  <c r="H656" i="3"/>
  <c r="G656" i="3"/>
  <c r="F656" i="3"/>
  <c r="E656" i="3"/>
  <c r="D656" i="3"/>
  <c r="C656" i="3"/>
  <c r="B656" i="3"/>
  <c r="H655" i="3"/>
  <c r="G655" i="3"/>
  <c r="F655" i="3"/>
  <c r="E655" i="3"/>
  <c r="D655" i="3"/>
  <c r="C655" i="3"/>
  <c r="B655" i="3"/>
  <c r="H654" i="3"/>
  <c r="G654" i="3"/>
  <c r="F654" i="3"/>
  <c r="E654" i="3"/>
  <c r="D654" i="3"/>
  <c r="C654" i="3"/>
  <c r="B654" i="3"/>
  <c r="H653" i="3"/>
  <c r="G653" i="3"/>
  <c r="F653" i="3"/>
  <c r="E653" i="3"/>
  <c r="D653" i="3"/>
  <c r="C653" i="3"/>
  <c r="B653" i="3"/>
  <c r="H652" i="3"/>
  <c r="G652" i="3"/>
  <c r="F652" i="3"/>
  <c r="E652" i="3"/>
  <c r="D652" i="3"/>
  <c r="C652" i="3"/>
  <c r="B652" i="3"/>
  <c r="H651" i="3"/>
  <c r="G651" i="3"/>
  <c r="F651" i="3"/>
  <c r="E651" i="3"/>
  <c r="D651" i="3"/>
  <c r="C651" i="3"/>
  <c r="B651" i="3"/>
  <c r="H650" i="3"/>
  <c r="G650" i="3"/>
  <c r="F650" i="3"/>
  <c r="E650" i="3"/>
  <c r="D650" i="3"/>
  <c r="C650" i="3"/>
  <c r="B650" i="3"/>
  <c r="H649" i="3"/>
  <c r="G649" i="3"/>
  <c r="F649" i="3"/>
  <c r="E649" i="3"/>
  <c r="D649" i="3"/>
  <c r="C649" i="3"/>
  <c r="B649" i="3"/>
  <c r="H648" i="3"/>
  <c r="G648" i="3"/>
  <c r="F648" i="3"/>
  <c r="E648" i="3"/>
  <c r="D648" i="3"/>
  <c r="C648" i="3"/>
  <c r="B648" i="3"/>
  <c r="H647" i="3"/>
  <c r="G647" i="3"/>
  <c r="F647" i="3"/>
  <c r="E647" i="3"/>
  <c r="D647" i="3"/>
  <c r="C647" i="3"/>
  <c r="B647" i="3"/>
  <c r="H646" i="3"/>
  <c r="G646" i="3"/>
  <c r="F646" i="3"/>
  <c r="E646" i="3"/>
  <c r="D646" i="3"/>
  <c r="C646" i="3"/>
  <c r="B646" i="3"/>
  <c r="H645" i="3"/>
  <c r="G645" i="3"/>
  <c r="F645" i="3"/>
  <c r="E645" i="3"/>
  <c r="D645" i="3"/>
  <c r="C645" i="3"/>
  <c r="B645" i="3"/>
  <c r="H644" i="3"/>
  <c r="G644" i="3"/>
  <c r="F644" i="3"/>
  <c r="E644" i="3"/>
  <c r="D644" i="3"/>
  <c r="C644" i="3"/>
  <c r="B644" i="3"/>
  <c r="H643" i="3"/>
  <c r="G643" i="3"/>
  <c r="F643" i="3"/>
  <c r="E643" i="3"/>
  <c r="D643" i="3"/>
  <c r="C643" i="3"/>
  <c r="B643" i="3"/>
  <c r="H642" i="3"/>
  <c r="G642" i="3"/>
  <c r="F642" i="3"/>
  <c r="E642" i="3"/>
  <c r="D642" i="3"/>
  <c r="C642" i="3"/>
  <c r="B642" i="3"/>
  <c r="H641" i="3"/>
  <c r="G641" i="3"/>
  <c r="F641" i="3"/>
  <c r="E641" i="3"/>
  <c r="D641" i="3"/>
  <c r="C641" i="3"/>
  <c r="B641" i="3"/>
  <c r="H640" i="3"/>
  <c r="G640" i="3"/>
  <c r="F640" i="3"/>
  <c r="E640" i="3"/>
  <c r="D640" i="3"/>
  <c r="C640" i="3"/>
  <c r="B640" i="3"/>
  <c r="H639" i="3"/>
  <c r="G639" i="3"/>
  <c r="F639" i="3"/>
  <c r="E639" i="3"/>
  <c r="D639" i="3"/>
  <c r="C639" i="3"/>
  <c r="B639" i="3"/>
  <c r="H638" i="3"/>
  <c r="G638" i="3"/>
  <c r="F638" i="3"/>
  <c r="E638" i="3"/>
  <c r="D638" i="3"/>
  <c r="C638" i="3"/>
  <c r="B638" i="3"/>
  <c r="H637" i="3"/>
  <c r="G637" i="3"/>
  <c r="F637" i="3"/>
  <c r="E637" i="3"/>
  <c r="D637" i="3"/>
  <c r="C637" i="3"/>
  <c r="B637" i="3"/>
  <c r="H636" i="3"/>
  <c r="G636" i="3"/>
  <c r="F636" i="3"/>
  <c r="E636" i="3"/>
  <c r="D636" i="3"/>
  <c r="C636" i="3"/>
  <c r="B636" i="3"/>
  <c r="H635" i="3"/>
  <c r="G635" i="3"/>
  <c r="F635" i="3"/>
  <c r="E635" i="3"/>
  <c r="D635" i="3"/>
  <c r="C635" i="3"/>
  <c r="B635" i="3"/>
  <c r="H634" i="3"/>
  <c r="G634" i="3"/>
  <c r="F634" i="3"/>
  <c r="E634" i="3"/>
  <c r="D634" i="3"/>
  <c r="C634" i="3"/>
  <c r="B634" i="3"/>
  <c r="H633" i="3"/>
  <c r="G633" i="3"/>
  <c r="F633" i="3"/>
  <c r="E633" i="3"/>
  <c r="D633" i="3"/>
  <c r="C633" i="3"/>
  <c r="B633" i="3"/>
  <c r="H632" i="3"/>
  <c r="G632" i="3"/>
  <c r="F632" i="3"/>
  <c r="E632" i="3"/>
  <c r="D632" i="3"/>
  <c r="C632" i="3"/>
  <c r="B632" i="3"/>
  <c r="H631" i="3"/>
  <c r="G631" i="3"/>
  <c r="F631" i="3"/>
  <c r="E631" i="3"/>
  <c r="D631" i="3"/>
  <c r="C631" i="3"/>
  <c r="B631" i="3"/>
  <c r="H630" i="3"/>
  <c r="G630" i="3"/>
  <c r="F630" i="3"/>
  <c r="E630" i="3"/>
  <c r="D630" i="3"/>
  <c r="C630" i="3"/>
  <c r="B630" i="3"/>
  <c r="H629" i="3"/>
  <c r="G629" i="3"/>
  <c r="F629" i="3"/>
  <c r="E629" i="3"/>
  <c r="D629" i="3"/>
  <c r="C629" i="3"/>
  <c r="B629" i="3"/>
  <c r="H628" i="3"/>
  <c r="G628" i="3"/>
  <c r="F628" i="3"/>
  <c r="E628" i="3"/>
  <c r="D628" i="3"/>
  <c r="C628" i="3"/>
  <c r="B628" i="3"/>
  <c r="H627" i="3"/>
  <c r="G627" i="3"/>
  <c r="F627" i="3"/>
  <c r="E627" i="3"/>
  <c r="D627" i="3"/>
  <c r="C627" i="3"/>
  <c r="B627" i="3"/>
  <c r="H626" i="3"/>
  <c r="G626" i="3"/>
  <c r="F626" i="3"/>
  <c r="E626" i="3"/>
  <c r="D626" i="3"/>
  <c r="C626" i="3"/>
  <c r="B626" i="3"/>
  <c r="H625" i="3"/>
  <c r="G625" i="3"/>
  <c r="F625" i="3"/>
  <c r="E625" i="3"/>
  <c r="D625" i="3"/>
  <c r="C625" i="3"/>
  <c r="B625" i="3"/>
  <c r="H624" i="3"/>
  <c r="G624" i="3"/>
  <c r="F624" i="3"/>
  <c r="E624" i="3"/>
  <c r="D624" i="3"/>
  <c r="C624" i="3"/>
  <c r="B624" i="3"/>
  <c r="H623" i="3"/>
  <c r="G623" i="3"/>
  <c r="F623" i="3"/>
  <c r="E623" i="3"/>
  <c r="D623" i="3"/>
  <c r="C623" i="3"/>
  <c r="B623" i="3"/>
  <c r="H622" i="3"/>
  <c r="G622" i="3"/>
  <c r="F622" i="3"/>
  <c r="E622" i="3"/>
  <c r="D622" i="3"/>
  <c r="C622" i="3"/>
  <c r="B622" i="3"/>
  <c r="H621" i="3"/>
  <c r="G621" i="3"/>
  <c r="F621" i="3"/>
  <c r="E621" i="3"/>
  <c r="D621" i="3"/>
  <c r="C621" i="3"/>
  <c r="B621" i="3"/>
  <c r="H620" i="3"/>
  <c r="G620" i="3"/>
  <c r="F620" i="3"/>
  <c r="E620" i="3"/>
  <c r="D620" i="3"/>
  <c r="C620" i="3"/>
  <c r="B620" i="3"/>
  <c r="H619" i="3"/>
  <c r="G619" i="3"/>
  <c r="F619" i="3"/>
  <c r="E619" i="3"/>
  <c r="D619" i="3"/>
  <c r="C619" i="3"/>
  <c r="B619" i="3"/>
  <c r="H618" i="3"/>
  <c r="G618" i="3"/>
  <c r="F618" i="3"/>
  <c r="E618" i="3"/>
  <c r="D618" i="3"/>
  <c r="C618" i="3"/>
  <c r="B618" i="3"/>
  <c r="H617" i="3"/>
  <c r="G617" i="3"/>
  <c r="F617" i="3"/>
  <c r="E617" i="3"/>
  <c r="D617" i="3"/>
  <c r="C617" i="3"/>
  <c r="B617" i="3"/>
  <c r="H616" i="3"/>
  <c r="G616" i="3"/>
  <c r="F616" i="3"/>
  <c r="E616" i="3"/>
  <c r="D616" i="3"/>
  <c r="C616" i="3"/>
  <c r="B616" i="3"/>
  <c r="H615" i="3"/>
  <c r="G615" i="3"/>
  <c r="F615" i="3"/>
  <c r="E615" i="3"/>
  <c r="D615" i="3"/>
  <c r="C615" i="3"/>
  <c r="B615" i="3"/>
  <c r="H614" i="3"/>
  <c r="G614" i="3"/>
  <c r="F614" i="3"/>
  <c r="E614" i="3"/>
  <c r="D614" i="3"/>
  <c r="C614" i="3"/>
  <c r="B614" i="3"/>
  <c r="H613" i="3"/>
  <c r="G613" i="3"/>
  <c r="F613" i="3"/>
  <c r="E613" i="3"/>
  <c r="D613" i="3"/>
  <c r="C613" i="3"/>
  <c r="B613" i="3"/>
  <c r="H612" i="3"/>
  <c r="G612" i="3"/>
  <c r="F612" i="3"/>
  <c r="E612" i="3"/>
  <c r="D612" i="3"/>
  <c r="C612" i="3"/>
  <c r="B612" i="3"/>
  <c r="H611" i="3"/>
  <c r="G611" i="3"/>
  <c r="F611" i="3"/>
  <c r="E611" i="3"/>
  <c r="D611" i="3"/>
  <c r="C611" i="3"/>
  <c r="B611" i="3"/>
  <c r="H610" i="3"/>
  <c r="G610" i="3"/>
  <c r="F610" i="3"/>
  <c r="E610" i="3"/>
  <c r="D610" i="3"/>
  <c r="C610" i="3"/>
  <c r="B610" i="3"/>
  <c r="H609" i="3"/>
  <c r="G609" i="3"/>
  <c r="F609" i="3"/>
  <c r="E609" i="3"/>
  <c r="D609" i="3"/>
  <c r="C609" i="3"/>
  <c r="B609" i="3"/>
  <c r="H608" i="3"/>
  <c r="G608" i="3"/>
  <c r="F608" i="3"/>
  <c r="E608" i="3"/>
  <c r="D608" i="3"/>
  <c r="C608" i="3"/>
  <c r="B608" i="3"/>
  <c r="H607" i="3"/>
  <c r="G607" i="3"/>
  <c r="F607" i="3"/>
  <c r="E607" i="3"/>
  <c r="D607" i="3"/>
  <c r="C607" i="3"/>
  <c r="B607" i="3"/>
  <c r="H606" i="3"/>
  <c r="G606" i="3"/>
  <c r="F606" i="3"/>
  <c r="E606" i="3"/>
  <c r="D606" i="3"/>
  <c r="C606" i="3"/>
  <c r="B606" i="3"/>
  <c r="H605" i="3"/>
  <c r="G605" i="3"/>
  <c r="F605" i="3"/>
  <c r="E605" i="3"/>
  <c r="D605" i="3"/>
  <c r="C605" i="3"/>
  <c r="B605" i="3"/>
  <c r="H604" i="3"/>
  <c r="G604" i="3"/>
  <c r="F604" i="3"/>
  <c r="E604" i="3"/>
  <c r="D604" i="3"/>
  <c r="C604" i="3"/>
  <c r="B604" i="3"/>
  <c r="H603" i="3"/>
  <c r="G603" i="3"/>
  <c r="F603" i="3"/>
  <c r="E603" i="3"/>
  <c r="D603" i="3"/>
  <c r="C603" i="3"/>
  <c r="B603" i="3"/>
  <c r="H602" i="3"/>
  <c r="G602" i="3"/>
  <c r="F602" i="3"/>
  <c r="E602" i="3"/>
  <c r="D602" i="3"/>
  <c r="C602" i="3"/>
  <c r="B602" i="3"/>
  <c r="H601" i="3"/>
  <c r="G601" i="3"/>
  <c r="F601" i="3"/>
  <c r="E601" i="3"/>
  <c r="D601" i="3"/>
  <c r="C601" i="3"/>
  <c r="B601" i="3"/>
  <c r="H600" i="3"/>
  <c r="G600" i="3"/>
  <c r="F600" i="3"/>
  <c r="E600" i="3"/>
  <c r="D600" i="3"/>
  <c r="C600" i="3"/>
  <c r="B600" i="3"/>
  <c r="H599" i="3"/>
  <c r="G599" i="3"/>
  <c r="F599" i="3"/>
  <c r="E599" i="3"/>
  <c r="D599" i="3"/>
  <c r="C599" i="3"/>
  <c r="B599" i="3"/>
  <c r="H598" i="3"/>
  <c r="G598" i="3"/>
  <c r="F598" i="3"/>
  <c r="E598" i="3"/>
  <c r="D598" i="3"/>
  <c r="C598" i="3"/>
  <c r="B598" i="3"/>
  <c r="H597" i="3"/>
  <c r="G597" i="3"/>
  <c r="F597" i="3"/>
  <c r="E597" i="3"/>
  <c r="D597" i="3"/>
  <c r="C597" i="3"/>
  <c r="B597" i="3"/>
  <c r="H596" i="3"/>
  <c r="G596" i="3"/>
  <c r="F596" i="3"/>
  <c r="E596" i="3"/>
  <c r="D596" i="3"/>
  <c r="C596" i="3"/>
  <c r="B596" i="3"/>
  <c r="H595" i="3"/>
  <c r="G595" i="3"/>
  <c r="F595" i="3"/>
  <c r="E595" i="3"/>
  <c r="D595" i="3"/>
  <c r="C595" i="3"/>
  <c r="B595" i="3"/>
  <c r="H594" i="3"/>
  <c r="G594" i="3"/>
  <c r="F594" i="3"/>
  <c r="E594" i="3"/>
  <c r="D594" i="3"/>
  <c r="C594" i="3"/>
  <c r="B594" i="3"/>
  <c r="H593" i="3"/>
  <c r="G593" i="3"/>
  <c r="F593" i="3"/>
  <c r="E593" i="3"/>
  <c r="D593" i="3"/>
  <c r="C593" i="3"/>
  <c r="B593" i="3"/>
  <c r="H592" i="3"/>
  <c r="G592" i="3"/>
  <c r="F592" i="3"/>
  <c r="E592" i="3"/>
  <c r="D592" i="3"/>
  <c r="C592" i="3"/>
  <c r="B592" i="3"/>
  <c r="H591" i="3"/>
  <c r="G591" i="3"/>
  <c r="F591" i="3"/>
  <c r="E591" i="3"/>
  <c r="D591" i="3"/>
  <c r="C591" i="3"/>
  <c r="B591" i="3"/>
  <c r="H590" i="3"/>
  <c r="G590" i="3"/>
  <c r="F590" i="3"/>
  <c r="E590" i="3"/>
  <c r="D590" i="3"/>
  <c r="C590" i="3"/>
  <c r="B590" i="3"/>
  <c r="H589" i="3"/>
  <c r="G589" i="3"/>
  <c r="F589" i="3"/>
  <c r="E589" i="3"/>
  <c r="D589" i="3"/>
  <c r="C589" i="3"/>
  <c r="B589" i="3"/>
  <c r="H588" i="3"/>
  <c r="G588" i="3"/>
  <c r="F588" i="3"/>
  <c r="E588" i="3"/>
  <c r="D588" i="3"/>
  <c r="C588" i="3"/>
  <c r="B588" i="3"/>
  <c r="H587" i="3"/>
  <c r="G587" i="3"/>
  <c r="F587" i="3"/>
  <c r="E587" i="3"/>
  <c r="D587" i="3"/>
  <c r="C587" i="3"/>
  <c r="B587" i="3"/>
  <c r="H586" i="3"/>
  <c r="G586" i="3"/>
  <c r="F586" i="3"/>
  <c r="E586" i="3"/>
  <c r="D586" i="3"/>
  <c r="C586" i="3"/>
  <c r="B586" i="3"/>
  <c r="H585" i="3"/>
  <c r="G585" i="3"/>
  <c r="F585" i="3"/>
  <c r="E585" i="3"/>
  <c r="D585" i="3"/>
  <c r="C585" i="3"/>
  <c r="B585" i="3"/>
  <c r="H584" i="3"/>
  <c r="G584" i="3"/>
  <c r="F584" i="3"/>
  <c r="E584" i="3"/>
  <c r="D584" i="3"/>
  <c r="C584" i="3"/>
  <c r="B584" i="3"/>
  <c r="H583" i="3"/>
  <c r="G583" i="3"/>
  <c r="F583" i="3"/>
  <c r="E583" i="3"/>
  <c r="D583" i="3"/>
  <c r="C583" i="3"/>
  <c r="B583" i="3"/>
  <c r="H582" i="3"/>
  <c r="G582" i="3"/>
  <c r="F582" i="3"/>
  <c r="E582" i="3"/>
  <c r="D582" i="3"/>
  <c r="C582" i="3"/>
  <c r="B582" i="3"/>
  <c r="H581" i="3"/>
  <c r="G581" i="3"/>
  <c r="F581" i="3"/>
  <c r="E581" i="3"/>
  <c r="D581" i="3"/>
  <c r="C581" i="3"/>
  <c r="B581" i="3"/>
  <c r="H580" i="3"/>
  <c r="G580" i="3"/>
  <c r="F580" i="3"/>
  <c r="E580" i="3"/>
  <c r="D580" i="3"/>
  <c r="C580" i="3"/>
  <c r="B580" i="3"/>
  <c r="H579" i="3"/>
  <c r="G579" i="3"/>
  <c r="F579" i="3"/>
  <c r="E579" i="3"/>
  <c r="D579" i="3"/>
  <c r="C579" i="3"/>
  <c r="B579" i="3"/>
  <c r="H578" i="3"/>
  <c r="G578" i="3"/>
  <c r="F578" i="3"/>
  <c r="E578" i="3"/>
  <c r="D578" i="3"/>
  <c r="C578" i="3"/>
  <c r="B578" i="3"/>
  <c r="H577" i="3"/>
  <c r="G577" i="3"/>
  <c r="F577" i="3"/>
  <c r="E577" i="3"/>
  <c r="D577" i="3"/>
  <c r="C577" i="3"/>
  <c r="B577" i="3"/>
  <c r="H576" i="3"/>
  <c r="G576" i="3"/>
  <c r="F576" i="3"/>
  <c r="E576" i="3"/>
  <c r="D576" i="3"/>
  <c r="C576" i="3"/>
  <c r="B576" i="3"/>
  <c r="H575" i="3"/>
  <c r="G575" i="3"/>
  <c r="F575" i="3"/>
  <c r="E575" i="3"/>
  <c r="D575" i="3"/>
  <c r="C575" i="3"/>
  <c r="B575" i="3"/>
  <c r="H574" i="3"/>
  <c r="G574" i="3"/>
  <c r="F574" i="3"/>
  <c r="E574" i="3"/>
  <c r="D574" i="3"/>
  <c r="C574" i="3"/>
  <c r="B574" i="3"/>
  <c r="H573" i="3"/>
  <c r="G573" i="3"/>
  <c r="F573" i="3"/>
  <c r="E573" i="3"/>
  <c r="D573" i="3"/>
  <c r="C573" i="3"/>
  <c r="B573" i="3"/>
  <c r="H572" i="3"/>
  <c r="G572" i="3"/>
  <c r="F572" i="3"/>
  <c r="E572" i="3"/>
  <c r="D572" i="3"/>
  <c r="C572" i="3"/>
  <c r="B572" i="3"/>
  <c r="H571" i="3"/>
  <c r="G571" i="3"/>
  <c r="F571" i="3"/>
  <c r="E571" i="3"/>
  <c r="D571" i="3"/>
  <c r="C571" i="3"/>
  <c r="B571" i="3"/>
  <c r="H570" i="3"/>
  <c r="G570" i="3"/>
  <c r="F570" i="3"/>
  <c r="E570" i="3"/>
  <c r="D570" i="3"/>
  <c r="C570" i="3"/>
  <c r="B570" i="3"/>
  <c r="H569" i="3"/>
  <c r="G569" i="3"/>
  <c r="F569" i="3"/>
  <c r="E569" i="3"/>
  <c r="D569" i="3"/>
  <c r="C569" i="3"/>
  <c r="B569" i="3"/>
  <c r="H568" i="3"/>
  <c r="G568" i="3"/>
  <c r="F568" i="3"/>
  <c r="E568" i="3"/>
  <c r="D568" i="3"/>
  <c r="C568" i="3"/>
  <c r="B568" i="3"/>
  <c r="H567" i="3"/>
  <c r="G567" i="3"/>
  <c r="F567" i="3"/>
  <c r="E567" i="3"/>
  <c r="D567" i="3"/>
  <c r="C567" i="3"/>
  <c r="B567" i="3"/>
  <c r="H566" i="3"/>
  <c r="G566" i="3"/>
  <c r="F566" i="3"/>
  <c r="E566" i="3"/>
  <c r="D566" i="3"/>
  <c r="C566" i="3"/>
  <c r="B566" i="3"/>
  <c r="H565" i="3"/>
  <c r="G565" i="3"/>
  <c r="F565" i="3"/>
  <c r="E565" i="3"/>
  <c r="D565" i="3"/>
  <c r="C565" i="3"/>
  <c r="B565" i="3"/>
  <c r="H564" i="3"/>
  <c r="G564" i="3"/>
  <c r="F564" i="3"/>
  <c r="E564" i="3"/>
  <c r="D564" i="3"/>
  <c r="C564" i="3"/>
  <c r="B564" i="3"/>
  <c r="H563" i="3"/>
  <c r="G563" i="3"/>
  <c r="F563" i="3"/>
  <c r="E563" i="3"/>
  <c r="D563" i="3"/>
  <c r="C563" i="3"/>
  <c r="B563" i="3"/>
  <c r="H562" i="3"/>
  <c r="G562" i="3"/>
  <c r="F562" i="3"/>
  <c r="E562" i="3"/>
  <c r="D562" i="3"/>
  <c r="C562" i="3"/>
  <c r="B562" i="3"/>
  <c r="H561" i="3"/>
  <c r="G561" i="3"/>
  <c r="F561" i="3"/>
  <c r="E561" i="3"/>
  <c r="D561" i="3"/>
  <c r="C561" i="3"/>
  <c r="B561" i="3"/>
  <c r="H560" i="3"/>
  <c r="G560" i="3"/>
  <c r="F560" i="3"/>
  <c r="E560" i="3"/>
  <c r="D560" i="3"/>
  <c r="C560" i="3"/>
  <c r="B560" i="3"/>
  <c r="H559" i="3"/>
  <c r="G559" i="3"/>
  <c r="F559" i="3"/>
  <c r="E559" i="3"/>
  <c r="D559" i="3"/>
  <c r="C559" i="3"/>
  <c r="B559" i="3"/>
  <c r="H558" i="3"/>
  <c r="G558" i="3"/>
  <c r="F558" i="3"/>
  <c r="E558" i="3"/>
  <c r="D558" i="3"/>
  <c r="C558" i="3"/>
  <c r="B558" i="3"/>
  <c r="H557" i="3"/>
  <c r="G557" i="3"/>
  <c r="F557" i="3"/>
  <c r="E557" i="3"/>
  <c r="D557" i="3"/>
  <c r="C557" i="3"/>
  <c r="B557" i="3"/>
  <c r="H556" i="3"/>
  <c r="G556" i="3"/>
  <c r="F556" i="3"/>
  <c r="E556" i="3"/>
  <c r="D556" i="3"/>
  <c r="C556" i="3"/>
  <c r="B556" i="3"/>
  <c r="H555" i="3"/>
  <c r="G555" i="3"/>
  <c r="F555" i="3"/>
  <c r="E555" i="3"/>
  <c r="D555" i="3"/>
  <c r="C555" i="3"/>
  <c r="B555" i="3"/>
  <c r="H554" i="3"/>
  <c r="G554" i="3"/>
  <c r="F554" i="3"/>
  <c r="E554" i="3"/>
  <c r="D554" i="3"/>
  <c r="C554" i="3"/>
  <c r="B554" i="3"/>
  <c r="H553" i="3"/>
  <c r="G553" i="3"/>
  <c r="F553" i="3"/>
  <c r="E553" i="3"/>
  <c r="D553" i="3"/>
  <c r="C553" i="3"/>
  <c r="B553" i="3"/>
  <c r="H552" i="3"/>
  <c r="G552" i="3"/>
  <c r="F552" i="3"/>
  <c r="E552" i="3"/>
  <c r="D552" i="3"/>
  <c r="C552" i="3"/>
  <c r="B552" i="3"/>
  <c r="H551" i="3"/>
  <c r="G551" i="3"/>
  <c r="F551" i="3"/>
  <c r="E551" i="3"/>
  <c r="D551" i="3"/>
  <c r="C551" i="3"/>
  <c r="B551" i="3"/>
  <c r="H550" i="3"/>
  <c r="G550" i="3"/>
  <c r="F550" i="3"/>
  <c r="E550" i="3"/>
  <c r="D550" i="3"/>
  <c r="C550" i="3"/>
  <c r="B550" i="3"/>
  <c r="H549" i="3"/>
  <c r="G549" i="3"/>
  <c r="F549" i="3"/>
  <c r="E549" i="3"/>
  <c r="D549" i="3"/>
  <c r="C549" i="3"/>
  <c r="B549" i="3"/>
  <c r="H548" i="3"/>
  <c r="G548" i="3"/>
  <c r="F548" i="3"/>
  <c r="E548" i="3"/>
  <c r="D548" i="3"/>
  <c r="C548" i="3"/>
  <c r="B548" i="3"/>
  <c r="H547" i="3"/>
  <c r="G547" i="3"/>
  <c r="F547" i="3"/>
  <c r="E547" i="3"/>
  <c r="D547" i="3"/>
  <c r="C547" i="3"/>
  <c r="B547" i="3"/>
  <c r="H546" i="3"/>
  <c r="G546" i="3"/>
  <c r="F546" i="3"/>
  <c r="E546" i="3"/>
  <c r="D546" i="3"/>
  <c r="C546" i="3"/>
  <c r="B546" i="3"/>
  <c r="H545" i="3"/>
  <c r="G545" i="3"/>
  <c r="F545" i="3"/>
  <c r="E545" i="3"/>
  <c r="D545" i="3"/>
  <c r="C545" i="3"/>
  <c r="B545" i="3"/>
  <c r="H544" i="3"/>
  <c r="G544" i="3"/>
  <c r="F544" i="3"/>
  <c r="E544" i="3"/>
  <c r="D544" i="3"/>
  <c r="C544" i="3"/>
  <c r="B544" i="3"/>
  <c r="H543" i="3"/>
  <c r="G543" i="3"/>
  <c r="F543" i="3"/>
  <c r="E543" i="3"/>
  <c r="D543" i="3"/>
  <c r="C543" i="3"/>
  <c r="B543" i="3"/>
  <c r="H542" i="3"/>
  <c r="G542" i="3"/>
  <c r="F542" i="3"/>
  <c r="E542" i="3"/>
  <c r="D542" i="3"/>
  <c r="C542" i="3"/>
  <c r="B542" i="3"/>
  <c r="H541" i="3"/>
  <c r="G541" i="3"/>
  <c r="F541" i="3"/>
  <c r="E541" i="3"/>
  <c r="D541" i="3"/>
  <c r="C541" i="3"/>
  <c r="B541" i="3"/>
  <c r="H540" i="3"/>
  <c r="G540" i="3"/>
  <c r="F540" i="3"/>
  <c r="E540" i="3"/>
  <c r="D540" i="3"/>
  <c r="C540" i="3"/>
  <c r="B540" i="3"/>
  <c r="H539" i="3"/>
  <c r="G539" i="3"/>
  <c r="F539" i="3"/>
  <c r="E539" i="3"/>
  <c r="D539" i="3"/>
  <c r="C539" i="3"/>
  <c r="B539" i="3"/>
  <c r="H538" i="3"/>
  <c r="G538" i="3"/>
  <c r="F538" i="3"/>
  <c r="E538" i="3"/>
  <c r="D538" i="3"/>
  <c r="C538" i="3"/>
  <c r="B538" i="3"/>
  <c r="H537" i="3"/>
  <c r="G537" i="3"/>
  <c r="F537" i="3"/>
  <c r="E537" i="3"/>
  <c r="D537" i="3"/>
  <c r="C537" i="3"/>
  <c r="B537" i="3"/>
  <c r="H536" i="3"/>
  <c r="G536" i="3"/>
  <c r="F536" i="3"/>
  <c r="E536" i="3"/>
  <c r="D536" i="3"/>
  <c r="C536" i="3"/>
  <c r="B536" i="3"/>
  <c r="H535" i="3"/>
  <c r="G535" i="3"/>
  <c r="F535" i="3"/>
  <c r="E535" i="3"/>
  <c r="D535" i="3"/>
  <c r="C535" i="3"/>
  <c r="B535" i="3"/>
  <c r="H534" i="3"/>
  <c r="G534" i="3"/>
  <c r="F534" i="3"/>
  <c r="E534" i="3"/>
  <c r="D534" i="3"/>
  <c r="C534" i="3"/>
  <c r="B534" i="3"/>
  <c r="H533" i="3"/>
  <c r="G533" i="3"/>
  <c r="F533" i="3"/>
  <c r="E533" i="3"/>
  <c r="D533" i="3"/>
  <c r="C533" i="3"/>
  <c r="B533" i="3"/>
  <c r="H532" i="3"/>
  <c r="G532" i="3"/>
  <c r="F532" i="3"/>
  <c r="E532" i="3"/>
  <c r="D532" i="3"/>
  <c r="C532" i="3"/>
  <c r="B532" i="3"/>
  <c r="H531" i="3"/>
  <c r="G531" i="3"/>
  <c r="F531" i="3"/>
  <c r="E531" i="3"/>
  <c r="D531" i="3"/>
  <c r="C531" i="3"/>
  <c r="B531" i="3"/>
  <c r="H530" i="3"/>
  <c r="G530" i="3"/>
  <c r="F530" i="3"/>
  <c r="E530" i="3"/>
  <c r="D530" i="3"/>
  <c r="C530" i="3"/>
  <c r="B530" i="3"/>
  <c r="H529" i="3"/>
  <c r="G529" i="3"/>
  <c r="F529" i="3"/>
  <c r="E529" i="3"/>
  <c r="D529" i="3"/>
  <c r="C529" i="3"/>
  <c r="B529" i="3"/>
  <c r="H528" i="3"/>
  <c r="G528" i="3"/>
  <c r="F528" i="3"/>
  <c r="E528" i="3"/>
  <c r="D528" i="3"/>
  <c r="C528" i="3"/>
  <c r="B528" i="3"/>
  <c r="H527" i="3"/>
  <c r="G527" i="3"/>
  <c r="F527" i="3"/>
  <c r="E527" i="3"/>
  <c r="D527" i="3"/>
  <c r="C527" i="3"/>
  <c r="B527" i="3"/>
  <c r="H526" i="3"/>
  <c r="G526" i="3"/>
  <c r="F526" i="3"/>
  <c r="E526" i="3"/>
  <c r="D526" i="3"/>
  <c r="C526" i="3"/>
  <c r="B526" i="3"/>
  <c r="H525" i="3"/>
  <c r="G525" i="3"/>
  <c r="F525" i="3"/>
  <c r="E525" i="3"/>
  <c r="D525" i="3"/>
  <c r="C525" i="3"/>
  <c r="B525" i="3"/>
  <c r="H524" i="3"/>
  <c r="G524" i="3"/>
  <c r="F524" i="3"/>
  <c r="E524" i="3"/>
  <c r="D524" i="3"/>
  <c r="C524" i="3"/>
  <c r="B524" i="3"/>
  <c r="H523" i="3"/>
  <c r="G523" i="3"/>
  <c r="F523" i="3"/>
  <c r="E523" i="3"/>
  <c r="D523" i="3"/>
  <c r="C523" i="3"/>
  <c r="B523" i="3"/>
  <c r="H522" i="3"/>
  <c r="G522" i="3"/>
  <c r="F522" i="3"/>
  <c r="E522" i="3"/>
  <c r="D522" i="3"/>
  <c r="C522" i="3"/>
  <c r="B522" i="3"/>
  <c r="H521" i="3"/>
  <c r="G521" i="3"/>
  <c r="F521" i="3"/>
  <c r="E521" i="3"/>
  <c r="D521" i="3"/>
  <c r="C521" i="3"/>
  <c r="B521" i="3"/>
  <c r="H520" i="3"/>
  <c r="G520" i="3"/>
  <c r="F520" i="3"/>
  <c r="E520" i="3"/>
  <c r="D520" i="3"/>
  <c r="C520" i="3"/>
  <c r="B520" i="3"/>
  <c r="H519" i="3"/>
  <c r="G519" i="3"/>
  <c r="F519" i="3"/>
  <c r="E519" i="3"/>
  <c r="D519" i="3"/>
  <c r="C519" i="3"/>
  <c r="B519" i="3"/>
  <c r="H518" i="3"/>
  <c r="G518" i="3"/>
  <c r="F518" i="3"/>
  <c r="E518" i="3"/>
  <c r="D518" i="3"/>
  <c r="C518" i="3"/>
  <c r="B518" i="3"/>
  <c r="H517" i="3"/>
  <c r="G517" i="3"/>
  <c r="F517" i="3"/>
  <c r="E517" i="3"/>
  <c r="D517" i="3"/>
  <c r="C517" i="3"/>
  <c r="B517" i="3"/>
  <c r="H516" i="3"/>
  <c r="G516" i="3"/>
  <c r="F516" i="3"/>
  <c r="E516" i="3"/>
  <c r="D516" i="3"/>
  <c r="C516" i="3"/>
  <c r="B516" i="3"/>
  <c r="H515" i="3"/>
  <c r="G515" i="3"/>
  <c r="F515" i="3"/>
  <c r="E515" i="3"/>
  <c r="D515" i="3"/>
  <c r="C515" i="3"/>
  <c r="B515" i="3"/>
  <c r="H514" i="3"/>
  <c r="G514" i="3"/>
  <c r="F514" i="3"/>
  <c r="E514" i="3"/>
  <c r="D514" i="3"/>
  <c r="C514" i="3"/>
  <c r="B514" i="3"/>
  <c r="H513" i="3"/>
  <c r="G513" i="3"/>
  <c r="F513" i="3"/>
  <c r="E513" i="3"/>
  <c r="D513" i="3"/>
  <c r="C513" i="3"/>
  <c r="B513" i="3"/>
  <c r="H512" i="3"/>
  <c r="G512" i="3"/>
  <c r="F512" i="3"/>
  <c r="E512" i="3"/>
  <c r="D512" i="3"/>
  <c r="C512" i="3"/>
  <c r="B512" i="3"/>
  <c r="H511" i="3"/>
  <c r="G511" i="3"/>
  <c r="F511" i="3"/>
  <c r="E511" i="3"/>
  <c r="D511" i="3"/>
  <c r="C511" i="3"/>
  <c r="B511" i="3"/>
  <c r="H510" i="3"/>
  <c r="G510" i="3"/>
  <c r="F510" i="3"/>
  <c r="E510" i="3"/>
  <c r="D510" i="3"/>
  <c r="C510" i="3"/>
  <c r="B510" i="3"/>
  <c r="H509" i="3"/>
  <c r="G509" i="3"/>
  <c r="F509" i="3"/>
  <c r="E509" i="3"/>
  <c r="D509" i="3"/>
  <c r="C509" i="3"/>
  <c r="B509" i="3"/>
  <c r="H508" i="3"/>
  <c r="G508" i="3"/>
  <c r="F508" i="3"/>
  <c r="E508" i="3"/>
  <c r="D508" i="3"/>
  <c r="C508" i="3"/>
  <c r="B508" i="3"/>
  <c r="H507" i="3"/>
  <c r="G507" i="3"/>
  <c r="F507" i="3"/>
  <c r="E507" i="3"/>
  <c r="D507" i="3"/>
  <c r="C507" i="3"/>
  <c r="B507" i="3"/>
  <c r="H506" i="3"/>
  <c r="G506" i="3"/>
  <c r="F506" i="3"/>
  <c r="E506" i="3"/>
  <c r="D506" i="3"/>
  <c r="C506" i="3"/>
  <c r="B506" i="3"/>
  <c r="H505" i="3"/>
  <c r="G505" i="3"/>
  <c r="F505" i="3"/>
  <c r="E505" i="3"/>
  <c r="D505" i="3"/>
  <c r="C505" i="3"/>
  <c r="B505" i="3"/>
  <c r="H504" i="3"/>
  <c r="G504" i="3"/>
  <c r="F504" i="3"/>
  <c r="E504" i="3"/>
  <c r="D504" i="3"/>
  <c r="C504" i="3"/>
  <c r="B504" i="3"/>
  <c r="H503" i="3"/>
  <c r="G503" i="3"/>
  <c r="F503" i="3"/>
  <c r="E503" i="3"/>
  <c r="D503" i="3"/>
  <c r="C503" i="3"/>
  <c r="B503" i="3"/>
  <c r="H502" i="3"/>
  <c r="G502" i="3"/>
  <c r="F502" i="3"/>
  <c r="E502" i="3"/>
  <c r="D502" i="3"/>
  <c r="C502" i="3"/>
  <c r="B502" i="3"/>
  <c r="H501" i="3"/>
  <c r="G501" i="3"/>
  <c r="F501" i="3"/>
  <c r="E501" i="3"/>
  <c r="D501" i="3"/>
  <c r="C501" i="3"/>
  <c r="B501" i="3"/>
  <c r="H500" i="3"/>
  <c r="G500" i="3"/>
  <c r="F500" i="3"/>
  <c r="E500" i="3"/>
  <c r="D500" i="3"/>
  <c r="C500" i="3"/>
  <c r="B500" i="3"/>
  <c r="H499" i="3"/>
  <c r="G499" i="3"/>
  <c r="F499" i="3"/>
  <c r="E499" i="3"/>
  <c r="D499" i="3"/>
  <c r="C499" i="3"/>
  <c r="B499" i="3"/>
  <c r="H498" i="3"/>
  <c r="G498" i="3"/>
  <c r="F498" i="3"/>
  <c r="E498" i="3"/>
  <c r="D498" i="3"/>
  <c r="C498" i="3"/>
  <c r="B498" i="3"/>
  <c r="H497" i="3"/>
  <c r="G497" i="3"/>
  <c r="F497" i="3"/>
  <c r="E497" i="3"/>
  <c r="D497" i="3"/>
  <c r="C497" i="3"/>
  <c r="B497" i="3"/>
  <c r="H496" i="3"/>
  <c r="G496" i="3"/>
  <c r="F496" i="3"/>
  <c r="E496" i="3"/>
  <c r="D496" i="3"/>
  <c r="C496" i="3"/>
  <c r="B496" i="3"/>
  <c r="H495" i="3"/>
  <c r="G495" i="3"/>
  <c r="F495" i="3"/>
  <c r="E495" i="3"/>
  <c r="D495" i="3"/>
  <c r="C495" i="3"/>
  <c r="B495" i="3"/>
  <c r="H494" i="3"/>
  <c r="G494" i="3"/>
  <c r="F494" i="3"/>
  <c r="E494" i="3"/>
  <c r="D494" i="3"/>
  <c r="C494" i="3"/>
  <c r="B494" i="3"/>
  <c r="H493" i="3"/>
  <c r="G493" i="3"/>
  <c r="F493" i="3"/>
  <c r="E493" i="3"/>
  <c r="D493" i="3"/>
  <c r="C493" i="3"/>
  <c r="B493" i="3"/>
  <c r="H492" i="3"/>
  <c r="G492" i="3"/>
  <c r="F492" i="3"/>
  <c r="E492" i="3"/>
  <c r="D492" i="3"/>
  <c r="C492" i="3"/>
  <c r="B492" i="3"/>
  <c r="H491" i="3"/>
  <c r="G491" i="3"/>
  <c r="F491" i="3"/>
  <c r="E491" i="3"/>
  <c r="D491" i="3"/>
  <c r="C491" i="3"/>
  <c r="B491" i="3"/>
  <c r="H490" i="3"/>
  <c r="G490" i="3"/>
  <c r="F490" i="3"/>
  <c r="E490" i="3"/>
  <c r="D490" i="3"/>
  <c r="C490" i="3"/>
  <c r="B490" i="3"/>
  <c r="H489" i="3"/>
  <c r="G489" i="3"/>
  <c r="F489" i="3"/>
  <c r="E489" i="3"/>
  <c r="D489" i="3"/>
  <c r="C489" i="3"/>
  <c r="B489" i="3"/>
  <c r="H488" i="3"/>
  <c r="G488" i="3"/>
  <c r="F488" i="3"/>
  <c r="E488" i="3"/>
  <c r="D488" i="3"/>
  <c r="C488" i="3"/>
  <c r="B488" i="3"/>
  <c r="H487" i="3"/>
  <c r="G487" i="3"/>
  <c r="F487" i="3"/>
  <c r="E487" i="3"/>
  <c r="D487" i="3"/>
  <c r="C487" i="3"/>
  <c r="B487" i="3"/>
  <c r="H486" i="3"/>
  <c r="G486" i="3"/>
  <c r="F486" i="3"/>
  <c r="E486" i="3"/>
  <c r="D486" i="3"/>
  <c r="C486" i="3"/>
  <c r="B486" i="3"/>
  <c r="H485" i="3"/>
  <c r="G485" i="3"/>
  <c r="F485" i="3"/>
  <c r="E485" i="3"/>
  <c r="D485" i="3"/>
  <c r="C485" i="3"/>
  <c r="B485" i="3"/>
  <c r="H484" i="3"/>
  <c r="G484" i="3"/>
  <c r="F484" i="3"/>
  <c r="E484" i="3"/>
  <c r="D484" i="3"/>
  <c r="C484" i="3"/>
  <c r="B484" i="3"/>
  <c r="H483" i="3"/>
  <c r="G483" i="3"/>
  <c r="F483" i="3"/>
  <c r="E483" i="3"/>
  <c r="D483" i="3"/>
  <c r="C483" i="3"/>
  <c r="B483" i="3"/>
  <c r="H482" i="3"/>
  <c r="G482" i="3"/>
  <c r="F482" i="3"/>
  <c r="E482" i="3"/>
  <c r="D482" i="3"/>
  <c r="C482" i="3"/>
  <c r="B482" i="3"/>
  <c r="H481" i="3"/>
  <c r="G481" i="3"/>
  <c r="F481" i="3"/>
  <c r="E481" i="3"/>
  <c r="D481" i="3"/>
  <c r="C481" i="3"/>
  <c r="B481" i="3"/>
  <c r="H480" i="3"/>
  <c r="G480" i="3"/>
  <c r="F480" i="3"/>
  <c r="E480" i="3"/>
  <c r="D480" i="3"/>
  <c r="C480" i="3"/>
  <c r="B480" i="3"/>
  <c r="H479" i="3"/>
  <c r="G479" i="3"/>
  <c r="F479" i="3"/>
  <c r="E479" i="3"/>
  <c r="D479" i="3"/>
  <c r="C479" i="3"/>
  <c r="B479" i="3"/>
  <c r="H478" i="3"/>
  <c r="G478" i="3"/>
  <c r="F478" i="3"/>
  <c r="E478" i="3"/>
  <c r="D478" i="3"/>
  <c r="C478" i="3"/>
  <c r="B478" i="3"/>
  <c r="H477" i="3"/>
  <c r="G477" i="3"/>
  <c r="F477" i="3"/>
  <c r="E477" i="3"/>
  <c r="D477" i="3"/>
  <c r="C477" i="3"/>
  <c r="B477" i="3"/>
  <c r="H476" i="3"/>
  <c r="G476" i="3"/>
  <c r="F476" i="3"/>
  <c r="E476" i="3"/>
  <c r="D476" i="3"/>
  <c r="C476" i="3"/>
  <c r="B476" i="3"/>
  <c r="H475" i="3"/>
  <c r="G475" i="3"/>
  <c r="F475" i="3"/>
  <c r="E475" i="3"/>
  <c r="D475" i="3"/>
  <c r="C475" i="3"/>
  <c r="B475" i="3"/>
  <c r="H474" i="3"/>
  <c r="G474" i="3"/>
  <c r="F474" i="3"/>
  <c r="E474" i="3"/>
  <c r="D474" i="3"/>
  <c r="C474" i="3"/>
  <c r="B474" i="3"/>
  <c r="H473" i="3"/>
  <c r="G473" i="3"/>
  <c r="F473" i="3"/>
  <c r="E473" i="3"/>
  <c r="D473" i="3"/>
  <c r="C473" i="3"/>
  <c r="B473" i="3"/>
  <c r="H472" i="3"/>
  <c r="G472" i="3"/>
  <c r="F472" i="3"/>
  <c r="E472" i="3"/>
  <c r="D472" i="3"/>
  <c r="C472" i="3"/>
  <c r="B472" i="3"/>
  <c r="H471" i="3"/>
  <c r="G471" i="3"/>
  <c r="F471" i="3"/>
  <c r="E471" i="3"/>
  <c r="D471" i="3"/>
  <c r="C471" i="3"/>
  <c r="B471" i="3"/>
  <c r="H470" i="3"/>
  <c r="G470" i="3"/>
  <c r="F470" i="3"/>
  <c r="E470" i="3"/>
  <c r="D470" i="3"/>
  <c r="C470" i="3"/>
  <c r="B470" i="3"/>
  <c r="H469" i="3"/>
  <c r="G469" i="3"/>
  <c r="F469" i="3"/>
  <c r="E469" i="3"/>
  <c r="D469" i="3"/>
  <c r="C469" i="3"/>
  <c r="B469" i="3"/>
  <c r="H468" i="3"/>
  <c r="G468" i="3"/>
  <c r="F468" i="3"/>
  <c r="E468" i="3"/>
  <c r="D468" i="3"/>
  <c r="C468" i="3"/>
  <c r="B468" i="3"/>
  <c r="H467" i="3"/>
  <c r="G467" i="3"/>
  <c r="F467" i="3"/>
  <c r="E467" i="3"/>
  <c r="D467" i="3"/>
  <c r="C467" i="3"/>
  <c r="B467" i="3"/>
  <c r="H466" i="3"/>
  <c r="G466" i="3"/>
  <c r="F466" i="3"/>
  <c r="E466" i="3"/>
  <c r="D466" i="3"/>
  <c r="C466" i="3"/>
  <c r="B466" i="3"/>
  <c r="H465" i="3"/>
  <c r="G465" i="3"/>
  <c r="F465" i="3"/>
  <c r="E465" i="3"/>
  <c r="D465" i="3"/>
  <c r="C465" i="3"/>
  <c r="B465" i="3"/>
  <c r="H464" i="3"/>
  <c r="G464" i="3"/>
  <c r="F464" i="3"/>
  <c r="E464" i="3"/>
  <c r="D464" i="3"/>
  <c r="C464" i="3"/>
  <c r="B464" i="3"/>
  <c r="H463" i="3"/>
  <c r="G463" i="3"/>
  <c r="F463" i="3"/>
  <c r="E463" i="3"/>
  <c r="D463" i="3"/>
  <c r="C463" i="3"/>
  <c r="B463" i="3"/>
  <c r="H462" i="3"/>
  <c r="G462" i="3"/>
  <c r="F462" i="3"/>
  <c r="E462" i="3"/>
  <c r="D462" i="3"/>
  <c r="C462" i="3"/>
  <c r="B462" i="3"/>
  <c r="H461" i="3"/>
  <c r="G461" i="3"/>
  <c r="F461" i="3"/>
  <c r="E461" i="3"/>
  <c r="D461" i="3"/>
  <c r="C461" i="3"/>
  <c r="B461" i="3"/>
  <c r="H460" i="3"/>
  <c r="G460" i="3"/>
  <c r="F460" i="3"/>
  <c r="E460" i="3"/>
  <c r="D460" i="3"/>
  <c r="C460" i="3"/>
  <c r="B460" i="3"/>
  <c r="H459" i="3"/>
  <c r="G459" i="3"/>
  <c r="F459" i="3"/>
  <c r="E459" i="3"/>
  <c r="D459" i="3"/>
  <c r="C459" i="3"/>
  <c r="B459" i="3"/>
  <c r="H458" i="3"/>
  <c r="G458" i="3"/>
  <c r="F458" i="3"/>
  <c r="E458" i="3"/>
  <c r="D458" i="3"/>
  <c r="C458" i="3"/>
  <c r="B458" i="3"/>
  <c r="H457" i="3"/>
  <c r="G457" i="3"/>
  <c r="F457" i="3"/>
  <c r="E457" i="3"/>
  <c r="D457" i="3"/>
  <c r="C457" i="3"/>
  <c r="B457" i="3"/>
  <c r="H456" i="3"/>
  <c r="G456" i="3"/>
  <c r="F456" i="3"/>
  <c r="E456" i="3"/>
  <c r="D456" i="3"/>
  <c r="C456" i="3"/>
  <c r="B456" i="3"/>
  <c r="H455" i="3"/>
  <c r="G455" i="3"/>
  <c r="F455" i="3"/>
  <c r="E455" i="3"/>
  <c r="D455" i="3"/>
  <c r="C455" i="3"/>
  <c r="B455" i="3"/>
  <c r="H454" i="3"/>
  <c r="G454" i="3"/>
  <c r="F454" i="3"/>
  <c r="E454" i="3"/>
  <c r="D454" i="3"/>
  <c r="C454" i="3"/>
  <c r="B454" i="3"/>
  <c r="H453" i="3"/>
  <c r="G453" i="3"/>
  <c r="F453" i="3"/>
  <c r="E453" i="3"/>
  <c r="D453" i="3"/>
  <c r="C453" i="3"/>
  <c r="B453" i="3"/>
  <c r="H452" i="3"/>
  <c r="G452" i="3"/>
  <c r="F452" i="3"/>
  <c r="E452" i="3"/>
  <c r="D452" i="3"/>
  <c r="C452" i="3"/>
  <c r="B452" i="3"/>
  <c r="H451" i="3"/>
  <c r="G451" i="3"/>
  <c r="F451" i="3"/>
  <c r="E451" i="3"/>
  <c r="D451" i="3"/>
  <c r="C451" i="3"/>
  <c r="B451" i="3"/>
  <c r="H450" i="3"/>
  <c r="G450" i="3"/>
  <c r="F450" i="3"/>
  <c r="E450" i="3"/>
  <c r="D450" i="3"/>
  <c r="C450" i="3"/>
  <c r="B450" i="3"/>
  <c r="H449" i="3"/>
  <c r="G449" i="3"/>
  <c r="F449" i="3"/>
  <c r="E449" i="3"/>
  <c r="D449" i="3"/>
  <c r="C449" i="3"/>
  <c r="B449" i="3"/>
  <c r="H448" i="3"/>
  <c r="G448" i="3"/>
  <c r="F448" i="3"/>
  <c r="E448" i="3"/>
  <c r="D448" i="3"/>
  <c r="C448" i="3"/>
  <c r="B448" i="3"/>
  <c r="H447" i="3"/>
  <c r="G447" i="3"/>
  <c r="F447" i="3"/>
  <c r="E447" i="3"/>
  <c r="D447" i="3"/>
  <c r="C447" i="3"/>
  <c r="B447" i="3"/>
  <c r="H446" i="3"/>
  <c r="G446" i="3"/>
  <c r="F446" i="3"/>
  <c r="E446" i="3"/>
  <c r="D446" i="3"/>
  <c r="C446" i="3"/>
  <c r="B446" i="3"/>
  <c r="H445" i="3"/>
  <c r="G445" i="3"/>
  <c r="F445" i="3"/>
  <c r="E445" i="3"/>
  <c r="D445" i="3"/>
  <c r="C445" i="3"/>
  <c r="B445" i="3"/>
  <c r="H444" i="3"/>
  <c r="G444" i="3"/>
  <c r="F444" i="3"/>
  <c r="E444" i="3"/>
  <c r="D444" i="3"/>
  <c r="C444" i="3"/>
  <c r="B444" i="3"/>
  <c r="H443" i="3"/>
  <c r="G443" i="3"/>
  <c r="F443" i="3"/>
  <c r="E443" i="3"/>
  <c r="D443" i="3"/>
  <c r="C443" i="3"/>
  <c r="B443" i="3"/>
  <c r="H442" i="3"/>
  <c r="G442" i="3"/>
  <c r="F442" i="3"/>
  <c r="E442" i="3"/>
  <c r="D442" i="3"/>
  <c r="C442" i="3"/>
  <c r="B442" i="3"/>
  <c r="H441" i="3"/>
  <c r="G441" i="3"/>
  <c r="F441" i="3"/>
  <c r="E441" i="3"/>
  <c r="D441" i="3"/>
  <c r="C441" i="3"/>
  <c r="B441" i="3"/>
  <c r="H440" i="3"/>
  <c r="G440" i="3"/>
  <c r="F440" i="3"/>
  <c r="E440" i="3"/>
  <c r="D440" i="3"/>
  <c r="C440" i="3"/>
  <c r="B440" i="3"/>
  <c r="H439" i="3"/>
  <c r="G439" i="3"/>
  <c r="F439" i="3"/>
  <c r="E439" i="3"/>
  <c r="D439" i="3"/>
  <c r="C439" i="3"/>
  <c r="B439" i="3"/>
  <c r="H438" i="3"/>
  <c r="G438" i="3"/>
  <c r="F438" i="3"/>
  <c r="E438" i="3"/>
  <c r="D438" i="3"/>
  <c r="C438" i="3"/>
  <c r="B438" i="3"/>
  <c r="H437" i="3"/>
  <c r="G437" i="3"/>
  <c r="F437" i="3"/>
  <c r="E437" i="3"/>
  <c r="D437" i="3"/>
  <c r="C437" i="3"/>
  <c r="B437" i="3"/>
  <c r="H436" i="3"/>
  <c r="G436" i="3"/>
  <c r="F436" i="3"/>
  <c r="E436" i="3"/>
  <c r="D436" i="3"/>
  <c r="C436" i="3"/>
  <c r="B436" i="3"/>
  <c r="H435" i="3"/>
  <c r="G435" i="3"/>
  <c r="F435" i="3"/>
  <c r="E435" i="3"/>
  <c r="D435" i="3"/>
  <c r="C435" i="3"/>
  <c r="B435" i="3"/>
  <c r="H434" i="3"/>
  <c r="G434" i="3"/>
  <c r="F434" i="3"/>
  <c r="E434" i="3"/>
  <c r="D434" i="3"/>
  <c r="C434" i="3"/>
  <c r="B434" i="3"/>
  <c r="H433" i="3"/>
  <c r="G433" i="3"/>
  <c r="F433" i="3"/>
  <c r="E433" i="3"/>
  <c r="D433" i="3"/>
  <c r="C433" i="3"/>
  <c r="B433" i="3"/>
  <c r="H432" i="3"/>
  <c r="G432" i="3"/>
  <c r="F432" i="3"/>
  <c r="E432" i="3"/>
  <c r="D432" i="3"/>
  <c r="C432" i="3"/>
  <c r="B432" i="3"/>
  <c r="H431" i="3"/>
  <c r="G431" i="3"/>
  <c r="F431" i="3"/>
  <c r="E431" i="3"/>
  <c r="D431" i="3"/>
  <c r="C431" i="3"/>
  <c r="B431" i="3"/>
  <c r="H430" i="3"/>
  <c r="G430" i="3"/>
  <c r="F430" i="3"/>
  <c r="E430" i="3"/>
  <c r="D430" i="3"/>
  <c r="C430" i="3"/>
  <c r="B430" i="3"/>
  <c r="H429" i="3"/>
  <c r="G429" i="3"/>
  <c r="F429" i="3"/>
  <c r="E429" i="3"/>
  <c r="D429" i="3"/>
  <c r="C429" i="3"/>
  <c r="B429" i="3"/>
  <c r="H428" i="3"/>
  <c r="G428" i="3"/>
  <c r="F428" i="3"/>
  <c r="E428" i="3"/>
  <c r="D428" i="3"/>
  <c r="C428" i="3"/>
  <c r="B428" i="3"/>
  <c r="H427" i="3"/>
  <c r="G427" i="3"/>
  <c r="F427" i="3"/>
  <c r="E427" i="3"/>
  <c r="D427" i="3"/>
  <c r="C427" i="3"/>
  <c r="B427" i="3"/>
  <c r="H426" i="3"/>
  <c r="G426" i="3"/>
  <c r="F426" i="3"/>
  <c r="E426" i="3"/>
  <c r="D426" i="3"/>
  <c r="C426" i="3"/>
  <c r="B426" i="3"/>
  <c r="H425" i="3"/>
  <c r="G425" i="3"/>
  <c r="F425" i="3"/>
  <c r="E425" i="3"/>
  <c r="D425" i="3"/>
  <c r="C425" i="3"/>
  <c r="B425" i="3"/>
  <c r="H424" i="3"/>
  <c r="G424" i="3"/>
  <c r="F424" i="3"/>
  <c r="E424" i="3"/>
  <c r="D424" i="3"/>
  <c r="C424" i="3"/>
  <c r="B424" i="3"/>
  <c r="H423" i="3"/>
  <c r="G423" i="3"/>
  <c r="F423" i="3"/>
  <c r="E423" i="3"/>
  <c r="D423" i="3"/>
  <c r="C423" i="3"/>
  <c r="B423" i="3"/>
  <c r="H422" i="3"/>
  <c r="G422" i="3"/>
  <c r="F422" i="3"/>
  <c r="E422" i="3"/>
  <c r="D422" i="3"/>
  <c r="C422" i="3"/>
  <c r="B422" i="3"/>
  <c r="H421" i="3"/>
  <c r="G421" i="3"/>
  <c r="F421" i="3"/>
  <c r="E421" i="3"/>
  <c r="D421" i="3"/>
  <c r="C421" i="3"/>
  <c r="B421" i="3"/>
  <c r="H420" i="3"/>
  <c r="G420" i="3"/>
  <c r="F420" i="3"/>
  <c r="E420" i="3"/>
  <c r="D420" i="3"/>
  <c r="C420" i="3"/>
  <c r="B420" i="3"/>
  <c r="H419" i="3"/>
  <c r="G419" i="3"/>
  <c r="F419" i="3"/>
  <c r="E419" i="3"/>
  <c r="D419" i="3"/>
  <c r="C419" i="3"/>
  <c r="B419" i="3"/>
  <c r="H418" i="3"/>
  <c r="G418" i="3"/>
  <c r="F418" i="3"/>
  <c r="E418" i="3"/>
  <c r="D418" i="3"/>
  <c r="C418" i="3"/>
  <c r="B418" i="3"/>
  <c r="H417" i="3"/>
  <c r="G417" i="3"/>
  <c r="F417" i="3"/>
  <c r="E417" i="3"/>
  <c r="D417" i="3"/>
  <c r="C417" i="3"/>
  <c r="B417" i="3"/>
  <c r="H416" i="3"/>
  <c r="G416" i="3"/>
  <c r="F416" i="3"/>
  <c r="E416" i="3"/>
  <c r="D416" i="3"/>
  <c r="C416" i="3"/>
  <c r="B416" i="3"/>
  <c r="H415" i="3"/>
  <c r="G415" i="3"/>
  <c r="F415" i="3"/>
  <c r="E415" i="3"/>
  <c r="D415" i="3"/>
  <c r="C415" i="3"/>
  <c r="B415" i="3"/>
  <c r="H414" i="3"/>
  <c r="G414" i="3"/>
  <c r="F414" i="3"/>
  <c r="E414" i="3"/>
  <c r="D414" i="3"/>
  <c r="C414" i="3"/>
  <c r="B414" i="3"/>
  <c r="H413" i="3"/>
  <c r="G413" i="3"/>
  <c r="F413" i="3"/>
  <c r="E413" i="3"/>
  <c r="D413" i="3"/>
  <c r="C413" i="3"/>
  <c r="B413" i="3"/>
  <c r="H412" i="3"/>
  <c r="G412" i="3"/>
  <c r="F412" i="3"/>
  <c r="E412" i="3"/>
  <c r="D412" i="3"/>
  <c r="C412" i="3"/>
  <c r="B412" i="3"/>
  <c r="H411" i="3"/>
  <c r="G411" i="3"/>
  <c r="F411" i="3"/>
  <c r="E411" i="3"/>
  <c r="D411" i="3"/>
  <c r="C411" i="3"/>
  <c r="B411" i="3"/>
  <c r="H410" i="3"/>
  <c r="G410" i="3"/>
  <c r="F410" i="3"/>
  <c r="E410" i="3"/>
  <c r="D410" i="3"/>
  <c r="C410" i="3"/>
  <c r="B410" i="3"/>
  <c r="H409" i="3"/>
  <c r="G409" i="3"/>
  <c r="F409" i="3"/>
  <c r="E409" i="3"/>
  <c r="D409" i="3"/>
  <c r="C409" i="3"/>
  <c r="B409" i="3"/>
  <c r="H408" i="3"/>
  <c r="G408" i="3"/>
  <c r="F408" i="3"/>
  <c r="E408" i="3"/>
  <c r="D408" i="3"/>
  <c r="C408" i="3"/>
  <c r="B408" i="3"/>
  <c r="H407" i="3"/>
  <c r="G407" i="3"/>
  <c r="F407" i="3"/>
  <c r="E407" i="3"/>
  <c r="D407" i="3"/>
  <c r="C407" i="3"/>
  <c r="B407" i="3"/>
  <c r="H406" i="3"/>
  <c r="G406" i="3"/>
  <c r="F406" i="3"/>
  <c r="E406" i="3"/>
  <c r="D406" i="3"/>
  <c r="C406" i="3"/>
  <c r="B406" i="3"/>
  <c r="H405" i="3"/>
  <c r="G405" i="3"/>
  <c r="F405" i="3"/>
  <c r="E405" i="3"/>
  <c r="D405" i="3"/>
  <c r="C405" i="3"/>
  <c r="B405" i="3"/>
  <c r="H404" i="3"/>
  <c r="G404" i="3"/>
  <c r="F404" i="3"/>
  <c r="E404" i="3"/>
  <c r="D404" i="3"/>
  <c r="C404" i="3"/>
  <c r="B404" i="3"/>
  <c r="H403" i="3"/>
  <c r="G403" i="3"/>
  <c r="F403" i="3"/>
  <c r="E403" i="3"/>
  <c r="D403" i="3"/>
  <c r="C403" i="3"/>
  <c r="B403" i="3"/>
  <c r="H402" i="3"/>
  <c r="G402" i="3"/>
  <c r="F402" i="3"/>
  <c r="E402" i="3"/>
  <c r="D402" i="3"/>
  <c r="C402" i="3"/>
  <c r="B402" i="3"/>
  <c r="H401" i="3"/>
  <c r="G401" i="3"/>
  <c r="F401" i="3"/>
  <c r="E401" i="3"/>
  <c r="D401" i="3"/>
  <c r="C401" i="3"/>
  <c r="B401" i="3"/>
  <c r="H400" i="3"/>
  <c r="G400" i="3"/>
  <c r="F400" i="3"/>
  <c r="E400" i="3"/>
  <c r="D400" i="3"/>
  <c r="C400" i="3"/>
  <c r="B400" i="3"/>
  <c r="H399" i="3"/>
  <c r="G399" i="3"/>
  <c r="F399" i="3"/>
  <c r="E399" i="3"/>
  <c r="D399" i="3"/>
  <c r="C399" i="3"/>
  <c r="B399" i="3"/>
  <c r="H398" i="3"/>
  <c r="G398" i="3"/>
  <c r="F398" i="3"/>
  <c r="E398" i="3"/>
  <c r="D398" i="3"/>
  <c r="C398" i="3"/>
  <c r="B398" i="3"/>
  <c r="H397" i="3"/>
  <c r="G397" i="3"/>
  <c r="F397" i="3"/>
  <c r="E397" i="3"/>
  <c r="D397" i="3"/>
  <c r="C397" i="3"/>
  <c r="B397" i="3"/>
  <c r="H396" i="3"/>
  <c r="G396" i="3"/>
  <c r="F396" i="3"/>
  <c r="E396" i="3"/>
  <c r="D396" i="3"/>
  <c r="C396" i="3"/>
  <c r="B396" i="3"/>
  <c r="H395" i="3"/>
  <c r="G395" i="3"/>
  <c r="F395" i="3"/>
  <c r="E395" i="3"/>
  <c r="D395" i="3"/>
  <c r="C395" i="3"/>
  <c r="B395" i="3"/>
  <c r="H394" i="3"/>
  <c r="G394" i="3"/>
  <c r="F394" i="3"/>
  <c r="E394" i="3"/>
  <c r="D394" i="3"/>
  <c r="C394" i="3"/>
  <c r="B394" i="3"/>
  <c r="H393" i="3"/>
  <c r="G393" i="3"/>
  <c r="F393" i="3"/>
  <c r="E393" i="3"/>
  <c r="D393" i="3"/>
  <c r="C393" i="3"/>
  <c r="B393" i="3"/>
  <c r="H392" i="3"/>
  <c r="G392" i="3"/>
  <c r="F392" i="3"/>
  <c r="E392" i="3"/>
  <c r="D392" i="3"/>
  <c r="C392" i="3"/>
  <c r="B392" i="3"/>
  <c r="H391" i="3"/>
  <c r="G391" i="3"/>
  <c r="F391" i="3"/>
  <c r="E391" i="3"/>
  <c r="D391" i="3"/>
  <c r="C391" i="3"/>
  <c r="B391" i="3"/>
  <c r="H390" i="3"/>
  <c r="G390" i="3"/>
  <c r="F390" i="3"/>
  <c r="E390" i="3"/>
  <c r="D390" i="3"/>
  <c r="C390" i="3"/>
  <c r="B390" i="3"/>
  <c r="H389" i="3"/>
  <c r="G389" i="3"/>
  <c r="F389" i="3"/>
  <c r="E389" i="3"/>
  <c r="D389" i="3"/>
  <c r="C389" i="3"/>
  <c r="B389" i="3"/>
  <c r="H388" i="3"/>
  <c r="G388" i="3"/>
  <c r="F388" i="3"/>
  <c r="E388" i="3"/>
  <c r="D388" i="3"/>
  <c r="C388" i="3"/>
  <c r="B388" i="3"/>
  <c r="H387" i="3"/>
  <c r="G387" i="3"/>
  <c r="F387" i="3"/>
  <c r="E387" i="3"/>
  <c r="D387" i="3"/>
  <c r="C387" i="3"/>
  <c r="B387" i="3"/>
  <c r="H386" i="3"/>
  <c r="G386" i="3"/>
  <c r="F386" i="3"/>
  <c r="E386" i="3"/>
  <c r="D386" i="3"/>
  <c r="C386" i="3"/>
  <c r="B386" i="3"/>
  <c r="H385" i="3"/>
  <c r="G385" i="3"/>
  <c r="F385" i="3"/>
  <c r="E385" i="3"/>
  <c r="D385" i="3"/>
  <c r="C385" i="3"/>
  <c r="B385" i="3"/>
  <c r="H384" i="3"/>
  <c r="G384" i="3"/>
  <c r="F384" i="3"/>
  <c r="E384" i="3"/>
  <c r="D384" i="3"/>
  <c r="C384" i="3"/>
  <c r="B384" i="3"/>
  <c r="H383" i="3"/>
  <c r="G383" i="3"/>
  <c r="F383" i="3"/>
  <c r="E383" i="3"/>
  <c r="D383" i="3"/>
  <c r="C383" i="3"/>
  <c r="B383" i="3"/>
  <c r="H382" i="3"/>
  <c r="G382" i="3"/>
  <c r="F382" i="3"/>
  <c r="E382" i="3"/>
  <c r="D382" i="3"/>
  <c r="C382" i="3"/>
  <c r="B382" i="3"/>
  <c r="H381" i="3"/>
  <c r="G381" i="3"/>
  <c r="F381" i="3"/>
  <c r="E381" i="3"/>
  <c r="D381" i="3"/>
  <c r="C381" i="3"/>
  <c r="B381" i="3"/>
  <c r="H380" i="3"/>
  <c r="G380" i="3"/>
  <c r="F380" i="3"/>
  <c r="E380" i="3"/>
  <c r="D380" i="3"/>
  <c r="C380" i="3"/>
  <c r="B380" i="3"/>
  <c r="H379" i="3"/>
  <c r="G379" i="3"/>
  <c r="F379" i="3"/>
  <c r="E379" i="3"/>
  <c r="D379" i="3"/>
  <c r="C379" i="3"/>
  <c r="B379" i="3"/>
  <c r="H378" i="3"/>
  <c r="G378" i="3"/>
  <c r="F378" i="3"/>
  <c r="E378" i="3"/>
  <c r="D378" i="3"/>
  <c r="C378" i="3"/>
  <c r="B378" i="3"/>
  <c r="H377" i="3"/>
  <c r="G377" i="3"/>
  <c r="F377" i="3"/>
  <c r="E377" i="3"/>
  <c r="D377" i="3"/>
  <c r="C377" i="3"/>
  <c r="B377" i="3"/>
  <c r="H376" i="3"/>
  <c r="G376" i="3"/>
  <c r="F376" i="3"/>
  <c r="E376" i="3"/>
  <c r="D376" i="3"/>
  <c r="C376" i="3"/>
  <c r="B376" i="3"/>
  <c r="H375" i="3"/>
  <c r="G375" i="3"/>
  <c r="F375" i="3"/>
  <c r="E375" i="3"/>
  <c r="D375" i="3"/>
  <c r="C375" i="3"/>
  <c r="B375" i="3"/>
  <c r="H374" i="3"/>
  <c r="G374" i="3"/>
  <c r="F374" i="3"/>
  <c r="E374" i="3"/>
  <c r="D374" i="3"/>
  <c r="C374" i="3"/>
  <c r="B374" i="3"/>
  <c r="H373" i="3"/>
  <c r="G373" i="3"/>
  <c r="F373" i="3"/>
  <c r="E373" i="3"/>
  <c r="D373" i="3"/>
  <c r="C373" i="3"/>
  <c r="B373" i="3"/>
  <c r="H372" i="3"/>
  <c r="G372" i="3"/>
  <c r="F372" i="3"/>
  <c r="E372" i="3"/>
  <c r="D372" i="3"/>
  <c r="C372" i="3"/>
  <c r="B372" i="3"/>
  <c r="H371" i="3"/>
  <c r="G371" i="3"/>
  <c r="F371" i="3"/>
  <c r="E371" i="3"/>
  <c r="D371" i="3"/>
  <c r="C371" i="3"/>
  <c r="B371" i="3"/>
  <c r="H370" i="3"/>
  <c r="G370" i="3"/>
  <c r="F370" i="3"/>
  <c r="E370" i="3"/>
  <c r="D370" i="3"/>
  <c r="C370" i="3"/>
  <c r="B370" i="3"/>
  <c r="H369" i="3"/>
  <c r="G369" i="3"/>
  <c r="F369" i="3"/>
  <c r="E369" i="3"/>
  <c r="D369" i="3"/>
  <c r="C369" i="3"/>
  <c r="B369" i="3"/>
  <c r="H368" i="3"/>
  <c r="G368" i="3"/>
  <c r="F368" i="3"/>
  <c r="E368" i="3"/>
  <c r="D368" i="3"/>
  <c r="C368" i="3"/>
  <c r="B368" i="3"/>
  <c r="H367" i="3"/>
  <c r="G367" i="3"/>
  <c r="F367" i="3"/>
  <c r="E367" i="3"/>
  <c r="D367" i="3"/>
  <c r="C367" i="3"/>
  <c r="B367" i="3"/>
  <c r="H366" i="3"/>
  <c r="G366" i="3"/>
  <c r="F366" i="3"/>
  <c r="E366" i="3"/>
  <c r="D366" i="3"/>
  <c r="C366" i="3"/>
  <c r="B366" i="3"/>
  <c r="H365" i="3"/>
  <c r="G365" i="3"/>
  <c r="F365" i="3"/>
  <c r="E365" i="3"/>
  <c r="D365" i="3"/>
  <c r="C365" i="3"/>
  <c r="B365" i="3"/>
  <c r="H364" i="3"/>
  <c r="G364" i="3"/>
  <c r="F364" i="3"/>
  <c r="E364" i="3"/>
  <c r="D364" i="3"/>
  <c r="C364" i="3"/>
  <c r="B364" i="3"/>
  <c r="H363" i="3"/>
  <c r="G363" i="3"/>
  <c r="F363" i="3"/>
  <c r="E363" i="3"/>
  <c r="D363" i="3"/>
  <c r="C363" i="3"/>
  <c r="B363" i="3"/>
  <c r="H362" i="3"/>
  <c r="G362" i="3"/>
  <c r="F362" i="3"/>
  <c r="E362" i="3"/>
  <c r="D362" i="3"/>
  <c r="C362" i="3"/>
  <c r="B362" i="3"/>
  <c r="H361" i="3"/>
  <c r="G361" i="3"/>
  <c r="F361" i="3"/>
  <c r="E361" i="3"/>
  <c r="D361" i="3"/>
  <c r="C361" i="3"/>
  <c r="B361" i="3"/>
  <c r="H360" i="3"/>
  <c r="G360" i="3"/>
  <c r="F360" i="3"/>
  <c r="E360" i="3"/>
  <c r="D360" i="3"/>
  <c r="C360" i="3"/>
  <c r="B360" i="3"/>
  <c r="H359" i="3"/>
  <c r="G359" i="3"/>
  <c r="F359" i="3"/>
  <c r="E359" i="3"/>
  <c r="D359" i="3"/>
  <c r="C359" i="3"/>
  <c r="B359" i="3"/>
  <c r="H358" i="3"/>
  <c r="G358" i="3"/>
  <c r="F358" i="3"/>
  <c r="E358" i="3"/>
  <c r="D358" i="3"/>
  <c r="C358" i="3"/>
  <c r="B358" i="3"/>
  <c r="H357" i="3"/>
  <c r="G357" i="3"/>
  <c r="F357" i="3"/>
  <c r="E357" i="3"/>
  <c r="D357" i="3"/>
  <c r="C357" i="3"/>
  <c r="B357" i="3"/>
  <c r="H356" i="3"/>
  <c r="G356" i="3"/>
  <c r="F356" i="3"/>
  <c r="E356" i="3"/>
  <c r="D356" i="3"/>
  <c r="C356" i="3"/>
  <c r="B356" i="3"/>
  <c r="H355" i="3"/>
  <c r="G355" i="3"/>
  <c r="F355" i="3"/>
  <c r="E355" i="3"/>
  <c r="D355" i="3"/>
  <c r="C355" i="3"/>
  <c r="B355" i="3"/>
  <c r="H354" i="3"/>
  <c r="G354" i="3"/>
  <c r="F354" i="3"/>
  <c r="E354" i="3"/>
  <c r="D354" i="3"/>
  <c r="C354" i="3"/>
  <c r="B354" i="3"/>
  <c r="H353" i="3"/>
  <c r="G353" i="3"/>
  <c r="F353" i="3"/>
  <c r="E353" i="3"/>
  <c r="D353" i="3"/>
  <c r="C353" i="3"/>
  <c r="B353" i="3"/>
  <c r="H352" i="3"/>
  <c r="G352" i="3"/>
  <c r="F352" i="3"/>
  <c r="E352" i="3"/>
  <c r="D352" i="3"/>
  <c r="C352" i="3"/>
  <c r="B352" i="3"/>
  <c r="H351" i="3"/>
  <c r="G351" i="3"/>
  <c r="F351" i="3"/>
  <c r="E351" i="3"/>
  <c r="D351" i="3"/>
  <c r="C351" i="3"/>
  <c r="B351" i="3"/>
  <c r="H350" i="3"/>
  <c r="G350" i="3"/>
  <c r="F350" i="3"/>
  <c r="E350" i="3"/>
  <c r="D350" i="3"/>
  <c r="C350" i="3"/>
  <c r="B350" i="3"/>
  <c r="H349" i="3"/>
  <c r="G349" i="3"/>
  <c r="F349" i="3"/>
  <c r="E349" i="3"/>
  <c r="D349" i="3"/>
  <c r="C349" i="3"/>
  <c r="B349" i="3"/>
  <c r="H348" i="3"/>
  <c r="G348" i="3"/>
  <c r="F348" i="3"/>
  <c r="E348" i="3"/>
  <c r="D348" i="3"/>
  <c r="C348" i="3"/>
  <c r="B348" i="3"/>
  <c r="H347" i="3"/>
  <c r="G347" i="3"/>
  <c r="F347" i="3"/>
  <c r="E347" i="3"/>
  <c r="D347" i="3"/>
  <c r="C347" i="3"/>
  <c r="B347" i="3"/>
  <c r="H346" i="3"/>
  <c r="G346" i="3"/>
  <c r="F346" i="3"/>
  <c r="E346" i="3"/>
  <c r="D346" i="3"/>
  <c r="C346" i="3"/>
  <c r="B346" i="3"/>
  <c r="H345" i="3"/>
  <c r="G345" i="3"/>
  <c r="F345" i="3"/>
  <c r="E345" i="3"/>
  <c r="D345" i="3"/>
  <c r="C345" i="3"/>
  <c r="B345" i="3"/>
  <c r="H344" i="3"/>
  <c r="G344" i="3"/>
  <c r="F344" i="3"/>
  <c r="E344" i="3"/>
  <c r="D344" i="3"/>
  <c r="C344" i="3"/>
  <c r="B344" i="3"/>
  <c r="H343" i="3"/>
  <c r="G343" i="3"/>
  <c r="F343" i="3"/>
  <c r="E343" i="3"/>
  <c r="D343" i="3"/>
  <c r="C343" i="3"/>
  <c r="B343" i="3"/>
  <c r="H342" i="3"/>
  <c r="G342" i="3"/>
  <c r="F342" i="3"/>
  <c r="E342" i="3"/>
  <c r="D342" i="3"/>
  <c r="C342" i="3"/>
  <c r="B342" i="3"/>
  <c r="H341" i="3"/>
  <c r="G341" i="3"/>
  <c r="F341" i="3"/>
  <c r="E341" i="3"/>
  <c r="D341" i="3"/>
  <c r="C341" i="3"/>
  <c r="B341" i="3"/>
  <c r="H340" i="3"/>
  <c r="G340" i="3"/>
  <c r="F340" i="3"/>
  <c r="E340" i="3"/>
  <c r="D340" i="3"/>
  <c r="C340" i="3"/>
  <c r="B340" i="3"/>
  <c r="H339" i="3"/>
  <c r="G339" i="3"/>
  <c r="F339" i="3"/>
  <c r="E339" i="3"/>
  <c r="D339" i="3"/>
  <c r="C339" i="3"/>
  <c r="B339" i="3"/>
  <c r="H338" i="3"/>
  <c r="G338" i="3"/>
  <c r="F338" i="3"/>
  <c r="E338" i="3"/>
  <c r="D338" i="3"/>
  <c r="C338" i="3"/>
  <c r="B338" i="3"/>
  <c r="H337" i="3"/>
  <c r="G337" i="3"/>
  <c r="F337" i="3"/>
  <c r="E337" i="3"/>
  <c r="D337" i="3"/>
  <c r="C337" i="3"/>
  <c r="B337" i="3"/>
  <c r="H336" i="3"/>
  <c r="G336" i="3"/>
  <c r="F336" i="3"/>
  <c r="E336" i="3"/>
  <c r="D336" i="3"/>
  <c r="C336" i="3"/>
  <c r="B336" i="3"/>
  <c r="H335" i="3"/>
  <c r="G335" i="3"/>
  <c r="F335" i="3"/>
  <c r="E335" i="3"/>
  <c r="D335" i="3"/>
  <c r="C335" i="3"/>
  <c r="B335" i="3"/>
  <c r="H334" i="3"/>
  <c r="G334" i="3"/>
  <c r="F334" i="3"/>
  <c r="E334" i="3"/>
  <c r="D334" i="3"/>
  <c r="C334" i="3"/>
  <c r="B334" i="3"/>
  <c r="H333" i="3"/>
  <c r="G333" i="3"/>
  <c r="F333" i="3"/>
  <c r="E333" i="3"/>
  <c r="D333" i="3"/>
  <c r="C333" i="3"/>
  <c r="B333" i="3"/>
  <c r="H332" i="3"/>
  <c r="G332" i="3"/>
  <c r="F332" i="3"/>
  <c r="E332" i="3"/>
  <c r="D332" i="3"/>
  <c r="C332" i="3"/>
  <c r="B332" i="3"/>
  <c r="H331" i="3"/>
  <c r="G331" i="3"/>
  <c r="F331" i="3"/>
  <c r="E331" i="3"/>
  <c r="D331" i="3"/>
  <c r="C331" i="3"/>
  <c r="B331" i="3"/>
  <c r="H330" i="3"/>
  <c r="G330" i="3"/>
  <c r="F330" i="3"/>
  <c r="E330" i="3"/>
  <c r="D330" i="3"/>
  <c r="C330" i="3"/>
  <c r="B330" i="3"/>
  <c r="H329" i="3"/>
  <c r="G329" i="3"/>
  <c r="F329" i="3"/>
  <c r="E329" i="3"/>
  <c r="D329" i="3"/>
  <c r="C329" i="3"/>
  <c r="B329" i="3"/>
  <c r="H328" i="3"/>
  <c r="G328" i="3"/>
  <c r="F328" i="3"/>
  <c r="E328" i="3"/>
  <c r="D328" i="3"/>
  <c r="C328" i="3"/>
  <c r="B328" i="3"/>
  <c r="H327" i="3"/>
  <c r="G327" i="3"/>
  <c r="F327" i="3"/>
  <c r="E327" i="3"/>
  <c r="D327" i="3"/>
  <c r="C327" i="3"/>
  <c r="B327" i="3"/>
  <c r="H326" i="3"/>
  <c r="G326" i="3"/>
  <c r="F326" i="3"/>
  <c r="E326" i="3"/>
  <c r="D326" i="3"/>
  <c r="C326" i="3"/>
  <c r="B326" i="3"/>
  <c r="H325" i="3"/>
  <c r="G325" i="3"/>
  <c r="F325" i="3"/>
  <c r="E325" i="3"/>
  <c r="D325" i="3"/>
  <c r="C325" i="3"/>
  <c r="B325" i="3"/>
  <c r="H324" i="3"/>
  <c r="G324" i="3"/>
  <c r="F324" i="3"/>
  <c r="E324" i="3"/>
  <c r="D324" i="3"/>
  <c r="C324" i="3"/>
  <c r="B324" i="3"/>
  <c r="H323" i="3"/>
  <c r="G323" i="3"/>
  <c r="F323" i="3"/>
  <c r="E323" i="3"/>
  <c r="D323" i="3"/>
  <c r="C323" i="3"/>
  <c r="B323" i="3"/>
  <c r="H322" i="3"/>
  <c r="G322" i="3"/>
  <c r="F322" i="3"/>
  <c r="E322" i="3"/>
  <c r="D322" i="3"/>
  <c r="C322" i="3"/>
  <c r="B322" i="3"/>
  <c r="H321" i="3"/>
  <c r="G321" i="3"/>
  <c r="F321" i="3"/>
  <c r="E321" i="3"/>
  <c r="D321" i="3"/>
  <c r="C321" i="3"/>
  <c r="B321" i="3"/>
  <c r="H320" i="3"/>
  <c r="G320" i="3"/>
  <c r="F320" i="3"/>
  <c r="E320" i="3"/>
  <c r="D320" i="3"/>
  <c r="C320" i="3"/>
  <c r="B320" i="3"/>
  <c r="H319" i="3"/>
  <c r="G319" i="3"/>
  <c r="F319" i="3"/>
  <c r="E319" i="3"/>
  <c r="D319" i="3"/>
  <c r="C319" i="3"/>
  <c r="B319" i="3"/>
  <c r="H318" i="3"/>
  <c r="G318" i="3"/>
  <c r="F318" i="3"/>
  <c r="E318" i="3"/>
  <c r="D318" i="3"/>
  <c r="C318" i="3"/>
  <c r="B318" i="3"/>
  <c r="H317" i="3"/>
  <c r="G317" i="3"/>
  <c r="F317" i="3"/>
  <c r="E317" i="3"/>
  <c r="D317" i="3"/>
  <c r="C317" i="3"/>
  <c r="B317" i="3"/>
  <c r="H316" i="3"/>
  <c r="G316" i="3"/>
  <c r="F316" i="3"/>
  <c r="E316" i="3"/>
  <c r="D316" i="3"/>
  <c r="C316" i="3"/>
  <c r="B316" i="3"/>
  <c r="H315" i="3"/>
  <c r="G315" i="3"/>
  <c r="F315" i="3"/>
  <c r="E315" i="3"/>
  <c r="D315" i="3"/>
  <c r="C315" i="3"/>
  <c r="B315" i="3"/>
  <c r="H314" i="3"/>
  <c r="G314" i="3"/>
  <c r="F314" i="3"/>
  <c r="E314" i="3"/>
  <c r="D314" i="3"/>
  <c r="C314" i="3"/>
  <c r="B314" i="3"/>
  <c r="H313" i="3"/>
  <c r="G313" i="3"/>
  <c r="F313" i="3"/>
  <c r="E313" i="3"/>
  <c r="D313" i="3"/>
  <c r="C313" i="3"/>
  <c r="B313" i="3"/>
  <c r="H312" i="3"/>
  <c r="G312" i="3"/>
  <c r="F312" i="3"/>
  <c r="E312" i="3"/>
  <c r="D312" i="3"/>
  <c r="C312" i="3"/>
  <c r="B312" i="3"/>
  <c r="H311" i="3"/>
  <c r="G311" i="3"/>
  <c r="F311" i="3"/>
  <c r="E311" i="3"/>
  <c r="D311" i="3"/>
  <c r="C311" i="3"/>
  <c r="B311" i="3"/>
  <c r="H310" i="3"/>
  <c r="G310" i="3"/>
  <c r="F310" i="3"/>
  <c r="E310" i="3"/>
  <c r="D310" i="3"/>
  <c r="C310" i="3"/>
  <c r="B310" i="3"/>
  <c r="H309" i="3"/>
  <c r="G309" i="3"/>
  <c r="F309" i="3"/>
  <c r="E309" i="3"/>
  <c r="D309" i="3"/>
  <c r="C309" i="3"/>
  <c r="B309" i="3"/>
  <c r="H308" i="3"/>
  <c r="G308" i="3"/>
  <c r="F308" i="3"/>
  <c r="E308" i="3"/>
  <c r="D308" i="3"/>
  <c r="C308" i="3"/>
  <c r="B308" i="3"/>
  <c r="H307" i="3"/>
  <c r="G307" i="3"/>
  <c r="F307" i="3"/>
  <c r="E307" i="3"/>
  <c r="D307" i="3"/>
  <c r="C307" i="3"/>
  <c r="B307" i="3"/>
  <c r="H306" i="3"/>
  <c r="G306" i="3"/>
  <c r="F306" i="3"/>
  <c r="E306" i="3"/>
  <c r="D306" i="3"/>
  <c r="C306" i="3"/>
  <c r="B306" i="3"/>
  <c r="H305" i="3"/>
  <c r="G305" i="3"/>
  <c r="F305" i="3"/>
  <c r="E305" i="3"/>
  <c r="D305" i="3"/>
  <c r="C305" i="3"/>
  <c r="B305" i="3"/>
  <c r="H304" i="3"/>
  <c r="G304" i="3"/>
  <c r="F304" i="3"/>
  <c r="E304" i="3"/>
  <c r="D304" i="3"/>
  <c r="C304" i="3"/>
  <c r="B304" i="3"/>
  <c r="H303" i="3"/>
  <c r="G303" i="3"/>
  <c r="F303" i="3"/>
  <c r="E303" i="3"/>
  <c r="D303" i="3"/>
  <c r="C303" i="3"/>
  <c r="B303" i="3"/>
  <c r="H302" i="3"/>
  <c r="G302" i="3"/>
  <c r="F302" i="3"/>
  <c r="E302" i="3"/>
  <c r="D302" i="3"/>
  <c r="C302" i="3"/>
  <c r="B302" i="3"/>
  <c r="H301" i="3"/>
  <c r="G301" i="3"/>
  <c r="F301" i="3"/>
  <c r="E301" i="3"/>
  <c r="D301" i="3"/>
  <c r="C301" i="3"/>
  <c r="B301" i="3"/>
  <c r="H300" i="3"/>
  <c r="G300" i="3"/>
  <c r="F300" i="3"/>
  <c r="E300" i="3"/>
  <c r="D300" i="3"/>
  <c r="C300" i="3"/>
  <c r="B300" i="3"/>
  <c r="H299" i="3"/>
  <c r="G299" i="3"/>
  <c r="F299" i="3"/>
  <c r="E299" i="3"/>
  <c r="D299" i="3"/>
  <c r="C299" i="3"/>
  <c r="B299" i="3"/>
  <c r="H298" i="3"/>
  <c r="G298" i="3"/>
  <c r="F298" i="3"/>
  <c r="E298" i="3"/>
  <c r="D298" i="3"/>
  <c r="C298" i="3"/>
  <c r="B298" i="3"/>
  <c r="H297" i="3"/>
  <c r="G297" i="3"/>
  <c r="F297" i="3"/>
  <c r="E297" i="3"/>
  <c r="D297" i="3"/>
  <c r="C297" i="3"/>
  <c r="B297" i="3"/>
  <c r="H296" i="3"/>
  <c r="G296" i="3"/>
  <c r="F296" i="3"/>
  <c r="E296" i="3"/>
  <c r="D296" i="3"/>
  <c r="C296" i="3"/>
  <c r="B296" i="3"/>
  <c r="H295" i="3"/>
  <c r="G295" i="3"/>
  <c r="F295" i="3"/>
  <c r="E295" i="3"/>
  <c r="D295" i="3"/>
  <c r="C295" i="3"/>
  <c r="B295" i="3"/>
  <c r="H294" i="3"/>
  <c r="G294" i="3"/>
  <c r="F294" i="3"/>
  <c r="E294" i="3"/>
  <c r="D294" i="3"/>
  <c r="C294" i="3"/>
  <c r="B294" i="3"/>
  <c r="H293" i="3"/>
  <c r="G293" i="3"/>
  <c r="F293" i="3"/>
  <c r="E293" i="3"/>
  <c r="D293" i="3"/>
  <c r="C293" i="3"/>
  <c r="B293" i="3"/>
  <c r="H292" i="3"/>
  <c r="G292" i="3"/>
  <c r="F292" i="3"/>
  <c r="E292" i="3"/>
  <c r="D292" i="3"/>
  <c r="C292" i="3"/>
  <c r="B292" i="3"/>
  <c r="H291" i="3"/>
  <c r="G291" i="3"/>
  <c r="F291" i="3"/>
  <c r="E291" i="3"/>
  <c r="D291" i="3"/>
  <c r="C291" i="3"/>
  <c r="B291" i="3"/>
  <c r="H290" i="3"/>
  <c r="G290" i="3"/>
  <c r="F290" i="3"/>
  <c r="E290" i="3"/>
  <c r="D290" i="3"/>
  <c r="C290" i="3"/>
  <c r="B290" i="3"/>
  <c r="H289" i="3"/>
  <c r="G289" i="3"/>
  <c r="F289" i="3"/>
  <c r="E289" i="3"/>
  <c r="D289" i="3"/>
  <c r="C289" i="3"/>
  <c r="B289" i="3"/>
  <c r="H288" i="3"/>
  <c r="G288" i="3"/>
  <c r="F288" i="3"/>
  <c r="E288" i="3"/>
  <c r="D288" i="3"/>
  <c r="C288" i="3"/>
  <c r="B288" i="3"/>
  <c r="H287" i="3"/>
  <c r="G287" i="3"/>
  <c r="F287" i="3"/>
  <c r="E287" i="3"/>
  <c r="D287" i="3"/>
  <c r="C287" i="3"/>
  <c r="B287" i="3"/>
  <c r="H286" i="3"/>
  <c r="G286" i="3"/>
  <c r="F286" i="3"/>
  <c r="E286" i="3"/>
  <c r="D286" i="3"/>
  <c r="C286" i="3"/>
  <c r="B286" i="3"/>
  <c r="H285" i="3"/>
  <c r="G285" i="3"/>
  <c r="F285" i="3"/>
  <c r="E285" i="3"/>
  <c r="D285" i="3"/>
  <c r="C285" i="3"/>
  <c r="B285" i="3"/>
  <c r="H284" i="3"/>
  <c r="G284" i="3"/>
  <c r="F284" i="3"/>
  <c r="E284" i="3"/>
  <c r="D284" i="3"/>
  <c r="C284" i="3"/>
  <c r="B284" i="3"/>
  <c r="H283" i="3"/>
  <c r="G283" i="3"/>
  <c r="F283" i="3"/>
  <c r="E283" i="3"/>
  <c r="D283" i="3"/>
  <c r="C283" i="3"/>
  <c r="B283" i="3"/>
  <c r="H282" i="3"/>
  <c r="G282" i="3"/>
  <c r="F282" i="3"/>
  <c r="E282" i="3"/>
  <c r="D282" i="3"/>
  <c r="C282" i="3"/>
  <c r="B282" i="3"/>
  <c r="H281" i="3"/>
  <c r="G281" i="3"/>
  <c r="F281" i="3"/>
  <c r="E281" i="3"/>
  <c r="D281" i="3"/>
  <c r="C281" i="3"/>
  <c r="B281" i="3"/>
  <c r="H280" i="3"/>
  <c r="G280" i="3"/>
  <c r="F280" i="3"/>
  <c r="E280" i="3"/>
  <c r="D280" i="3"/>
  <c r="C280" i="3"/>
  <c r="B280" i="3"/>
  <c r="H279" i="3"/>
  <c r="G279" i="3"/>
  <c r="F279" i="3"/>
  <c r="E279" i="3"/>
  <c r="D279" i="3"/>
  <c r="C279" i="3"/>
  <c r="B279" i="3"/>
  <c r="H278" i="3"/>
  <c r="G278" i="3"/>
  <c r="F278" i="3"/>
  <c r="E278" i="3"/>
  <c r="D278" i="3"/>
  <c r="C278" i="3"/>
  <c r="B278" i="3"/>
  <c r="H277" i="3"/>
  <c r="G277" i="3"/>
  <c r="F277" i="3"/>
  <c r="E277" i="3"/>
  <c r="D277" i="3"/>
  <c r="C277" i="3"/>
  <c r="B277" i="3"/>
  <c r="H276" i="3"/>
  <c r="G276" i="3"/>
  <c r="F276" i="3"/>
  <c r="E276" i="3"/>
  <c r="D276" i="3"/>
  <c r="C276" i="3"/>
  <c r="B276" i="3"/>
  <c r="H275" i="3"/>
  <c r="G275" i="3"/>
  <c r="F275" i="3"/>
  <c r="E275" i="3"/>
  <c r="D275" i="3"/>
  <c r="C275" i="3"/>
  <c r="B275" i="3"/>
  <c r="H274" i="3"/>
  <c r="G274" i="3"/>
  <c r="F274" i="3"/>
  <c r="E274" i="3"/>
  <c r="D274" i="3"/>
  <c r="C274" i="3"/>
  <c r="B274" i="3"/>
  <c r="H273" i="3"/>
  <c r="G273" i="3"/>
  <c r="F273" i="3"/>
  <c r="E273" i="3"/>
  <c r="D273" i="3"/>
  <c r="C273" i="3"/>
  <c r="B273" i="3"/>
  <c r="H272" i="3"/>
  <c r="G272" i="3"/>
  <c r="F272" i="3"/>
  <c r="E272" i="3"/>
  <c r="D272" i="3"/>
  <c r="C272" i="3"/>
  <c r="B272" i="3"/>
  <c r="H271" i="3"/>
  <c r="G271" i="3"/>
  <c r="F271" i="3"/>
  <c r="E271" i="3"/>
  <c r="D271" i="3"/>
  <c r="C271" i="3"/>
  <c r="B271" i="3"/>
  <c r="H270" i="3"/>
  <c r="G270" i="3"/>
  <c r="F270" i="3"/>
  <c r="E270" i="3"/>
  <c r="D270" i="3"/>
  <c r="C270" i="3"/>
  <c r="B270" i="3"/>
  <c r="H269" i="3"/>
  <c r="G269" i="3"/>
  <c r="F269" i="3"/>
  <c r="E269" i="3"/>
  <c r="D269" i="3"/>
  <c r="C269" i="3"/>
  <c r="B269" i="3"/>
  <c r="H268" i="3"/>
  <c r="G268" i="3"/>
  <c r="F268" i="3"/>
  <c r="E268" i="3"/>
  <c r="D268" i="3"/>
  <c r="C268" i="3"/>
  <c r="B268" i="3"/>
  <c r="H267" i="3"/>
  <c r="G267" i="3"/>
  <c r="F267" i="3"/>
  <c r="E267" i="3"/>
  <c r="D267" i="3"/>
  <c r="C267" i="3"/>
  <c r="B267" i="3"/>
  <c r="H266" i="3"/>
  <c r="G266" i="3"/>
  <c r="F266" i="3"/>
  <c r="E266" i="3"/>
  <c r="D266" i="3"/>
  <c r="C266" i="3"/>
  <c r="B266" i="3"/>
  <c r="H265" i="3"/>
  <c r="G265" i="3"/>
  <c r="F265" i="3"/>
  <c r="E265" i="3"/>
  <c r="D265" i="3"/>
  <c r="C265" i="3"/>
  <c r="B265" i="3"/>
  <c r="H264" i="3"/>
  <c r="G264" i="3"/>
  <c r="F264" i="3"/>
  <c r="E264" i="3"/>
  <c r="D264" i="3"/>
  <c r="C264" i="3"/>
  <c r="B264" i="3"/>
  <c r="H263" i="3"/>
  <c r="G263" i="3"/>
  <c r="F263" i="3"/>
  <c r="E263" i="3"/>
  <c r="D263" i="3"/>
  <c r="C263" i="3"/>
  <c r="B263" i="3"/>
  <c r="H262" i="3"/>
  <c r="G262" i="3"/>
  <c r="F262" i="3"/>
  <c r="E262" i="3"/>
  <c r="D262" i="3"/>
  <c r="C262" i="3"/>
  <c r="B262" i="3"/>
  <c r="H261" i="3"/>
  <c r="G261" i="3"/>
  <c r="F261" i="3"/>
  <c r="E261" i="3"/>
  <c r="D261" i="3"/>
  <c r="C261" i="3"/>
  <c r="B261" i="3"/>
  <c r="H260" i="3"/>
  <c r="G260" i="3"/>
  <c r="F260" i="3"/>
  <c r="E260" i="3"/>
  <c r="D260" i="3"/>
  <c r="C260" i="3"/>
  <c r="B260" i="3"/>
  <c r="H259" i="3"/>
  <c r="G259" i="3"/>
  <c r="F259" i="3"/>
  <c r="E259" i="3"/>
  <c r="D259" i="3"/>
  <c r="C259" i="3"/>
  <c r="B259" i="3"/>
  <c r="H258" i="3"/>
  <c r="G258" i="3"/>
  <c r="F258" i="3"/>
  <c r="E258" i="3"/>
  <c r="D258" i="3"/>
  <c r="C258" i="3"/>
  <c r="B258" i="3"/>
  <c r="H257" i="3"/>
  <c r="G257" i="3"/>
  <c r="F257" i="3"/>
  <c r="E257" i="3"/>
  <c r="D257" i="3"/>
  <c r="C257" i="3"/>
  <c r="B257" i="3"/>
  <c r="H256" i="3"/>
  <c r="G256" i="3"/>
  <c r="F256" i="3"/>
  <c r="E256" i="3"/>
  <c r="D256" i="3"/>
  <c r="C256" i="3"/>
  <c r="B256" i="3"/>
  <c r="H255" i="3"/>
  <c r="G255" i="3"/>
  <c r="F255" i="3"/>
  <c r="E255" i="3"/>
  <c r="D255" i="3"/>
  <c r="C255" i="3"/>
  <c r="B255" i="3"/>
  <c r="H254" i="3"/>
  <c r="G254" i="3"/>
  <c r="F254" i="3"/>
  <c r="E254" i="3"/>
  <c r="D254" i="3"/>
  <c r="C254" i="3"/>
  <c r="B254" i="3"/>
  <c r="H253" i="3"/>
  <c r="G253" i="3"/>
  <c r="F253" i="3"/>
  <c r="E253" i="3"/>
  <c r="D253" i="3"/>
  <c r="C253" i="3"/>
  <c r="B253" i="3"/>
  <c r="H252" i="3"/>
  <c r="G252" i="3"/>
  <c r="F252" i="3"/>
  <c r="E252" i="3"/>
  <c r="D252" i="3"/>
  <c r="C252" i="3"/>
  <c r="B252" i="3"/>
  <c r="H251" i="3"/>
  <c r="G251" i="3"/>
  <c r="F251" i="3"/>
  <c r="E251" i="3"/>
  <c r="D251" i="3"/>
  <c r="C251" i="3"/>
  <c r="B251" i="3"/>
  <c r="H250" i="3"/>
  <c r="G250" i="3"/>
  <c r="F250" i="3"/>
  <c r="E250" i="3"/>
  <c r="D250" i="3"/>
  <c r="C250" i="3"/>
  <c r="B250" i="3"/>
  <c r="H249" i="3"/>
  <c r="G249" i="3"/>
  <c r="F249" i="3"/>
  <c r="E249" i="3"/>
  <c r="D249" i="3"/>
  <c r="C249" i="3"/>
  <c r="B249" i="3"/>
  <c r="H248" i="3"/>
  <c r="G248" i="3"/>
  <c r="F248" i="3"/>
  <c r="E248" i="3"/>
  <c r="D248" i="3"/>
  <c r="C248" i="3"/>
  <c r="B248" i="3"/>
  <c r="H247" i="3"/>
  <c r="G247" i="3"/>
  <c r="F247" i="3"/>
  <c r="E247" i="3"/>
  <c r="D247" i="3"/>
  <c r="C247" i="3"/>
  <c r="B247" i="3"/>
  <c r="H246" i="3"/>
  <c r="G246" i="3"/>
  <c r="F246" i="3"/>
  <c r="E246" i="3"/>
  <c r="D246" i="3"/>
  <c r="C246" i="3"/>
  <c r="B246" i="3"/>
  <c r="H245" i="3"/>
  <c r="G245" i="3"/>
  <c r="F245" i="3"/>
  <c r="E245" i="3"/>
  <c r="D245" i="3"/>
  <c r="C245" i="3"/>
  <c r="B245" i="3"/>
  <c r="H244" i="3"/>
  <c r="G244" i="3"/>
  <c r="F244" i="3"/>
  <c r="E244" i="3"/>
  <c r="D244" i="3"/>
  <c r="C244" i="3"/>
  <c r="B244" i="3"/>
  <c r="H243" i="3"/>
  <c r="G243" i="3"/>
  <c r="F243" i="3"/>
  <c r="E243" i="3"/>
  <c r="D243" i="3"/>
  <c r="C243" i="3"/>
  <c r="B243" i="3"/>
  <c r="H242" i="3"/>
  <c r="G242" i="3"/>
  <c r="F242" i="3"/>
  <c r="E242" i="3"/>
  <c r="D242" i="3"/>
  <c r="C242" i="3"/>
  <c r="B242" i="3"/>
  <c r="H241" i="3"/>
  <c r="G241" i="3"/>
  <c r="F241" i="3"/>
  <c r="E241" i="3"/>
  <c r="D241" i="3"/>
  <c r="C241" i="3"/>
  <c r="B241" i="3"/>
  <c r="H240" i="3"/>
  <c r="G240" i="3"/>
  <c r="F240" i="3"/>
  <c r="E240" i="3"/>
  <c r="D240" i="3"/>
  <c r="C240" i="3"/>
  <c r="B240" i="3"/>
  <c r="H239" i="3"/>
  <c r="G239" i="3"/>
  <c r="F239" i="3"/>
  <c r="E239" i="3"/>
  <c r="D239" i="3"/>
  <c r="C239" i="3"/>
  <c r="B239" i="3"/>
  <c r="H238" i="3"/>
  <c r="G238" i="3"/>
  <c r="F238" i="3"/>
  <c r="E238" i="3"/>
  <c r="D238" i="3"/>
  <c r="C238" i="3"/>
  <c r="B238" i="3"/>
  <c r="H237" i="3"/>
  <c r="G237" i="3"/>
  <c r="F237" i="3"/>
  <c r="E237" i="3"/>
  <c r="D237" i="3"/>
  <c r="C237" i="3"/>
  <c r="B237" i="3"/>
  <c r="H236" i="3"/>
  <c r="G236" i="3"/>
  <c r="F236" i="3"/>
  <c r="E236" i="3"/>
  <c r="D236" i="3"/>
  <c r="C236" i="3"/>
  <c r="B236" i="3"/>
  <c r="H235" i="3"/>
  <c r="G235" i="3"/>
  <c r="F235" i="3"/>
  <c r="E235" i="3"/>
  <c r="D235" i="3"/>
  <c r="C235" i="3"/>
  <c r="B235" i="3"/>
  <c r="H234" i="3"/>
  <c r="G234" i="3"/>
  <c r="F234" i="3"/>
  <c r="E234" i="3"/>
  <c r="D234" i="3"/>
  <c r="C234" i="3"/>
  <c r="B234" i="3"/>
  <c r="H233" i="3"/>
  <c r="G233" i="3"/>
  <c r="F233" i="3"/>
  <c r="E233" i="3"/>
  <c r="D233" i="3"/>
  <c r="C233" i="3"/>
  <c r="B233" i="3"/>
  <c r="H232" i="3"/>
  <c r="G232" i="3"/>
  <c r="F232" i="3"/>
  <c r="E232" i="3"/>
  <c r="D232" i="3"/>
  <c r="C232" i="3"/>
  <c r="B232" i="3"/>
  <c r="H231" i="3"/>
  <c r="G231" i="3"/>
  <c r="F231" i="3"/>
  <c r="E231" i="3"/>
  <c r="D231" i="3"/>
  <c r="C231" i="3"/>
  <c r="B231" i="3"/>
  <c r="H230" i="3"/>
  <c r="G230" i="3"/>
  <c r="F230" i="3"/>
  <c r="E230" i="3"/>
  <c r="D230" i="3"/>
  <c r="C230" i="3"/>
  <c r="B230" i="3"/>
  <c r="H229" i="3"/>
  <c r="G229" i="3"/>
  <c r="F229" i="3"/>
  <c r="E229" i="3"/>
  <c r="D229" i="3"/>
  <c r="C229" i="3"/>
  <c r="B229" i="3"/>
  <c r="H228" i="3"/>
  <c r="G228" i="3"/>
  <c r="F228" i="3"/>
  <c r="E228" i="3"/>
  <c r="D228" i="3"/>
  <c r="C228" i="3"/>
  <c r="B228" i="3"/>
  <c r="H227" i="3"/>
  <c r="G227" i="3"/>
  <c r="F227" i="3"/>
  <c r="E227" i="3"/>
  <c r="D227" i="3"/>
  <c r="C227" i="3"/>
  <c r="B227" i="3"/>
  <c r="H226" i="3"/>
  <c r="G226" i="3"/>
  <c r="F226" i="3"/>
  <c r="E226" i="3"/>
  <c r="D226" i="3"/>
  <c r="C226" i="3"/>
  <c r="B226" i="3"/>
  <c r="H225" i="3"/>
  <c r="G225" i="3"/>
  <c r="F225" i="3"/>
  <c r="E225" i="3"/>
  <c r="D225" i="3"/>
  <c r="C225" i="3"/>
  <c r="B225" i="3"/>
  <c r="H224" i="3"/>
  <c r="G224" i="3"/>
  <c r="F224" i="3"/>
  <c r="E224" i="3"/>
  <c r="D224" i="3"/>
  <c r="C224" i="3"/>
  <c r="B224" i="3"/>
  <c r="H223" i="3"/>
  <c r="G223" i="3"/>
  <c r="F223" i="3"/>
  <c r="E223" i="3"/>
  <c r="D223" i="3"/>
  <c r="C223" i="3"/>
  <c r="B223" i="3"/>
  <c r="H222" i="3"/>
  <c r="G222" i="3"/>
  <c r="F222" i="3"/>
  <c r="E222" i="3"/>
  <c r="D222" i="3"/>
  <c r="C222" i="3"/>
  <c r="B222" i="3"/>
  <c r="H221" i="3"/>
  <c r="G221" i="3"/>
  <c r="F221" i="3"/>
  <c r="E221" i="3"/>
  <c r="D221" i="3"/>
  <c r="C221" i="3"/>
  <c r="B221" i="3"/>
  <c r="H220" i="3"/>
  <c r="G220" i="3"/>
  <c r="F220" i="3"/>
  <c r="E220" i="3"/>
  <c r="D220" i="3"/>
  <c r="C220" i="3"/>
  <c r="B220" i="3"/>
  <c r="H219" i="3"/>
  <c r="G219" i="3"/>
  <c r="F219" i="3"/>
  <c r="E219" i="3"/>
  <c r="D219" i="3"/>
  <c r="C219" i="3"/>
  <c r="B219" i="3"/>
  <c r="H218" i="3"/>
  <c r="G218" i="3"/>
  <c r="F218" i="3"/>
  <c r="E218" i="3"/>
  <c r="D218" i="3"/>
  <c r="C218" i="3"/>
  <c r="B218" i="3"/>
  <c r="H217" i="3"/>
  <c r="G217" i="3"/>
  <c r="F217" i="3"/>
  <c r="E217" i="3"/>
  <c r="D217" i="3"/>
  <c r="C217" i="3"/>
  <c r="B217" i="3"/>
  <c r="H216" i="3"/>
  <c r="G216" i="3"/>
  <c r="F216" i="3"/>
  <c r="E216" i="3"/>
  <c r="D216" i="3"/>
  <c r="C216" i="3"/>
  <c r="B216" i="3"/>
  <c r="H215" i="3"/>
  <c r="G215" i="3"/>
  <c r="F215" i="3"/>
  <c r="E215" i="3"/>
  <c r="D215" i="3"/>
  <c r="C215" i="3"/>
  <c r="B215" i="3"/>
  <c r="H214" i="3"/>
  <c r="G214" i="3"/>
  <c r="F214" i="3"/>
  <c r="E214" i="3"/>
  <c r="D214" i="3"/>
  <c r="C214" i="3"/>
  <c r="B214" i="3"/>
  <c r="H213" i="3"/>
  <c r="G213" i="3"/>
  <c r="F213" i="3"/>
  <c r="E213" i="3"/>
  <c r="D213" i="3"/>
  <c r="C213" i="3"/>
  <c r="B213" i="3"/>
  <c r="H212" i="3"/>
  <c r="G212" i="3"/>
  <c r="F212" i="3"/>
  <c r="E212" i="3"/>
  <c r="D212" i="3"/>
  <c r="C212" i="3"/>
  <c r="B212" i="3"/>
  <c r="H211" i="3"/>
  <c r="G211" i="3"/>
  <c r="F211" i="3"/>
  <c r="E211" i="3"/>
  <c r="D211" i="3"/>
  <c r="C211" i="3"/>
  <c r="B211" i="3"/>
  <c r="H210" i="3"/>
  <c r="G210" i="3"/>
  <c r="F210" i="3"/>
  <c r="E210" i="3"/>
  <c r="D210" i="3"/>
  <c r="C210" i="3"/>
  <c r="B210" i="3"/>
  <c r="H209" i="3"/>
  <c r="G209" i="3"/>
  <c r="F209" i="3"/>
  <c r="E209" i="3"/>
  <c r="D209" i="3"/>
  <c r="C209" i="3"/>
  <c r="B209" i="3"/>
  <c r="H208" i="3"/>
  <c r="G208" i="3"/>
  <c r="F208" i="3"/>
  <c r="E208" i="3"/>
  <c r="D208" i="3"/>
  <c r="C208" i="3"/>
  <c r="B208" i="3"/>
  <c r="H207" i="3"/>
  <c r="G207" i="3"/>
  <c r="F207" i="3"/>
  <c r="E207" i="3"/>
  <c r="D207" i="3"/>
  <c r="C207" i="3"/>
  <c r="B207" i="3"/>
  <c r="H206" i="3"/>
  <c r="G206" i="3"/>
  <c r="F206" i="3"/>
  <c r="E206" i="3"/>
  <c r="D206" i="3"/>
  <c r="C206" i="3"/>
  <c r="B206" i="3"/>
  <c r="H205" i="3"/>
  <c r="G205" i="3"/>
  <c r="F205" i="3"/>
  <c r="E205" i="3"/>
  <c r="D205" i="3"/>
  <c r="C205" i="3"/>
  <c r="B205" i="3"/>
  <c r="H204" i="3"/>
  <c r="G204" i="3"/>
  <c r="F204" i="3"/>
  <c r="E204" i="3"/>
  <c r="D204" i="3"/>
  <c r="C204" i="3"/>
  <c r="B204" i="3"/>
  <c r="H203" i="3"/>
  <c r="G203" i="3"/>
  <c r="F203" i="3"/>
  <c r="E203" i="3"/>
  <c r="D203" i="3"/>
  <c r="C203" i="3"/>
  <c r="B203" i="3"/>
  <c r="H202" i="3"/>
  <c r="G202" i="3"/>
  <c r="F202" i="3"/>
  <c r="E202" i="3"/>
  <c r="D202" i="3"/>
  <c r="C202" i="3"/>
  <c r="B202" i="3"/>
  <c r="H201" i="3"/>
  <c r="G201" i="3"/>
  <c r="F201" i="3"/>
  <c r="E201" i="3"/>
  <c r="D201" i="3"/>
  <c r="C201" i="3"/>
  <c r="B201" i="3"/>
  <c r="H200" i="3"/>
  <c r="G200" i="3"/>
  <c r="F200" i="3"/>
  <c r="E200" i="3"/>
  <c r="D200" i="3"/>
  <c r="C200" i="3"/>
  <c r="B200" i="3"/>
  <c r="H199" i="3"/>
  <c r="G199" i="3"/>
  <c r="F199" i="3"/>
  <c r="E199" i="3"/>
  <c r="D199" i="3"/>
  <c r="C199" i="3"/>
  <c r="B199" i="3"/>
  <c r="H198" i="3"/>
  <c r="G198" i="3"/>
  <c r="F198" i="3"/>
  <c r="E198" i="3"/>
  <c r="D198" i="3"/>
  <c r="C198" i="3"/>
  <c r="B198" i="3"/>
  <c r="H197" i="3"/>
  <c r="G197" i="3"/>
  <c r="F197" i="3"/>
  <c r="E197" i="3"/>
  <c r="D197" i="3"/>
  <c r="C197" i="3"/>
  <c r="B197" i="3"/>
  <c r="H196" i="3"/>
  <c r="G196" i="3"/>
  <c r="F196" i="3"/>
  <c r="E196" i="3"/>
  <c r="D196" i="3"/>
  <c r="C196" i="3"/>
  <c r="B196" i="3"/>
  <c r="H195" i="3"/>
  <c r="G195" i="3"/>
  <c r="F195" i="3"/>
  <c r="E195" i="3"/>
  <c r="D195" i="3"/>
  <c r="C195" i="3"/>
  <c r="B195" i="3"/>
  <c r="H194" i="3"/>
  <c r="G194" i="3"/>
  <c r="F194" i="3"/>
  <c r="E194" i="3"/>
  <c r="D194" i="3"/>
  <c r="C194" i="3"/>
  <c r="B194" i="3"/>
  <c r="H193" i="3"/>
  <c r="G193" i="3"/>
  <c r="F193" i="3"/>
  <c r="E193" i="3"/>
  <c r="D193" i="3"/>
  <c r="C193" i="3"/>
  <c r="B193" i="3"/>
  <c r="H192" i="3"/>
  <c r="G192" i="3"/>
  <c r="F192" i="3"/>
  <c r="E192" i="3"/>
  <c r="D192" i="3"/>
  <c r="C192" i="3"/>
  <c r="B192" i="3"/>
  <c r="H191" i="3"/>
  <c r="G191" i="3"/>
  <c r="F191" i="3"/>
  <c r="E191" i="3"/>
  <c r="D191" i="3"/>
  <c r="C191" i="3"/>
  <c r="B191" i="3"/>
  <c r="H190" i="3"/>
  <c r="G190" i="3"/>
  <c r="F190" i="3"/>
  <c r="E190" i="3"/>
  <c r="D190" i="3"/>
  <c r="C190" i="3"/>
  <c r="B190" i="3"/>
  <c r="H189" i="3"/>
  <c r="G189" i="3"/>
  <c r="F189" i="3"/>
  <c r="E189" i="3"/>
  <c r="D189" i="3"/>
  <c r="C189" i="3"/>
  <c r="B189" i="3"/>
  <c r="H188" i="3"/>
  <c r="G188" i="3"/>
  <c r="F188" i="3"/>
  <c r="E188" i="3"/>
  <c r="D188" i="3"/>
  <c r="C188" i="3"/>
  <c r="B188" i="3"/>
  <c r="H187" i="3"/>
  <c r="G187" i="3"/>
  <c r="F187" i="3"/>
  <c r="E187" i="3"/>
  <c r="D187" i="3"/>
  <c r="C187" i="3"/>
  <c r="B187" i="3"/>
  <c r="H186" i="3"/>
  <c r="G186" i="3"/>
  <c r="F186" i="3"/>
  <c r="E186" i="3"/>
  <c r="D186" i="3"/>
  <c r="C186" i="3"/>
  <c r="B186" i="3"/>
  <c r="H185" i="3"/>
  <c r="G185" i="3"/>
  <c r="F185" i="3"/>
  <c r="E185" i="3"/>
  <c r="D185" i="3"/>
  <c r="C185" i="3"/>
  <c r="B185" i="3"/>
  <c r="H184" i="3"/>
  <c r="G184" i="3"/>
  <c r="F184" i="3"/>
  <c r="E184" i="3"/>
  <c r="D184" i="3"/>
  <c r="C184" i="3"/>
  <c r="B184" i="3"/>
  <c r="H183" i="3"/>
  <c r="G183" i="3"/>
  <c r="F183" i="3"/>
  <c r="E183" i="3"/>
  <c r="D183" i="3"/>
  <c r="C183" i="3"/>
  <c r="B183" i="3"/>
  <c r="H182" i="3"/>
  <c r="G182" i="3"/>
  <c r="F182" i="3"/>
  <c r="E182" i="3"/>
  <c r="D182" i="3"/>
  <c r="C182" i="3"/>
  <c r="B182" i="3"/>
  <c r="H181" i="3"/>
  <c r="G181" i="3"/>
  <c r="F181" i="3"/>
  <c r="E181" i="3"/>
  <c r="D181" i="3"/>
  <c r="C181" i="3"/>
  <c r="B181" i="3"/>
  <c r="H180" i="3"/>
  <c r="G180" i="3"/>
  <c r="F180" i="3"/>
  <c r="E180" i="3"/>
  <c r="D180" i="3"/>
  <c r="C180" i="3"/>
  <c r="B180" i="3"/>
  <c r="H179" i="3"/>
  <c r="G179" i="3"/>
  <c r="F179" i="3"/>
  <c r="E179" i="3"/>
  <c r="D179" i="3"/>
  <c r="C179" i="3"/>
  <c r="B179" i="3"/>
  <c r="H178" i="3"/>
  <c r="G178" i="3"/>
  <c r="F178" i="3"/>
  <c r="E178" i="3"/>
  <c r="D178" i="3"/>
  <c r="C178" i="3"/>
  <c r="B178" i="3"/>
  <c r="H177" i="3"/>
  <c r="G177" i="3"/>
  <c r="F177" i="3"/>
  <c r="E177" i="3"/>
  <c r="D177" i="3"/>
  <c r="C177" i="3"/>
  <c r="B177" i="3"/>
  <c r="H176" i="3"/>
  <c r="G176" i="3"/>
  <c r="F176" i="3"/>
  <c r="E176" i="3"/>
  <c r="D176" i="3"/>
  <c r="C176" i="3"/>
  <c r="B176" i="3"/>
  <c r="H175" i="3"/>
  <c r="G175" i="3"/>
  <c r="F175" i="3"/>
  <c r="E175" i="3"/>
  <c r="D175" i="3"/>
  <c r="C175" i="3"/>
  <c r="B175" i="3"/>
  <c r="H174" i="3"/>
  <c r="G174" i="3"/>
  <c r="F174" i="3"/>
  <c r="E174" i="3"/>
  <c r="D174" i="3"/>
  <c r="C174" i="3"/>
  <c r="B174" i="3"/>
  <c r="H173" i="3"/>
  <c r="G173" i="3"/>
  <c r="F173" i="3"/>
  <c r="E173" i="3"/>
  <c r="D173" i="3"/>
  <c r="C173" i="3"/>
  <c r="B173" i="3"/>
  <c r="H172" i="3"/>
  <c r="G172" i="3"/>
  <c r="F172" i="3"/>
  <c r="E172" i="3"/>
  <c r="D172" i="3"/>
  <c r="C172" i="3"/>
  <c r="B172" i="3"/>
  <c r="H171" i="3"/>
  <c r="G171" i="3"/>
  <c r="F171" i="3"/>
  <c r="E171" i="3"/>
  <c r="D171" i="3"/>
  <c r="C171" i="3"/>
  <c r="B171" i="3"/>
  <c r="H170" i="3"/>
  <c r="G170" i="3"/>
  <c r="F170" i="3"/>
  <c r="E170" i="3"/>
  <c r="D170" i="3"/>
  <c r="C170" i="3"/>
  <c r="B170" i="3"/>
  <c r="H169" i="3"/>
  <c r="G169" i="3"/>
  <c r="F169" i="3"/>
  <c r="E169" i="3"/>
  <c r="D169" i="3"/>
  <c r="C169" i="3"/>
  <c r="B169" i="3"/>
  <c r="H168" i="3"/>
  <c r="G168" i="3"/>
  <c r="F168" i="3"/>
  <c r="E168" i="3"/>
  <c r="D168" i="3"/>
  <c r="C168" i="3"/>
  <c r="B168" i="3"/>
  <c r="H167" i="3"/>
  <c r="G167" i="3"/>
  <c r="F167" i="3"/>
  <c r="E167" i="3"/>
  <c r="D167" i="3"/>
  <c r="C167" i="3"/>
  <c r="B167" i="3"/>
  <c r="H166" i="3"/>
  <c r="G166" i="3"/>
  <c r="F166" i="3"/>
  <c r="E166" i="3"/>
  <c r="D166" i="3"/>
  <c r="C166" i="3"/>
  <c r="B166" i="3"/>
  <c r="H165" i="3"/>
  <c r="G165" i="3"/>
  <c r="F165" i="3"/>
  <c r="E165" i="3"/>
  <c r="D165" i="3"/>
  <c r="C165" i="3"/>
  <c r="B165" i="3"/>
  <c r="H164" i="3"/>
  <c r="G164" i="3"/>
  <c r="F164" i="3"/>
  <c r="E164" i="3"/>
  <c r="D164" i="3"/>
  <c r="C164" i="3"/>
  <c r="B164" i="3"/>
  <c r="H163" i="3"/>
  <c r="G163" i="3"/>
  <c r="F163" i="3"/>
  <c r="E163" i="3"/>
  <c r="D163" i="3"/>
  <c r="C163" i="3"/>
  <c r="B163" i="3"/>
  <c r="H162" i="3"/>
  <c r="G162" i="3"/>
  <c r="F162" i="3"/>
  <c r="E162" i="3"/>
  <c r="D162" i="3"/>
  <c r="C162" i="3"/>
  <c r="B162" i="3"/>
  <c r="H161" i="3"/>
  <c r="G161" i="3"/>
  <c r="F161" i="3"/>
  <c r="E161" i="3"/>
  <c r="D161" i="3"/>
  <c r="C161" i="3"/>
  <c r="B161" i="3"/>
  <c r="H160" i="3"/>
  <c r="G160" i="3"/>
  <c r="F160" i="3"/>
  <c r="E160" i="3"/>
  <c r="D160" i="3"/>
  <c r="C160" i="3"/>
  <c r="B160" i="3"/>
  <c r="H159" i="3"/>
  <c r="G159" i="3"/>
  <c r="F159" i="3"/>
  <c r="E159" i="3"/>
  <c r="D159" i="3"/>
  <c r="C159" i="3"/>
  <c r="B159" i="3"/>
  <c r="H158" i="3"/>
  <c r="G158" i="3"/>
  <c r="F158" i="3"/>
  <c r="E158" i="3"/>
  <c r="D158" i="3"/>
  <c r="C158" i="3"/>
  <c r="B158" i="3"/>
  <c r="H157" i="3"/>
  <c r="G157" i="3"/>
  <c r="F157" i="3"/>
  <c r="E157" i="3"/>
  <c r="D157" i="3"/>
  <c r="C157" i="3"/>
  <c r="B157" i="3"/>
  <c r="H156" i="3"/>
  <c r="G156" i="3"/>
  <c r="F156" i="3"/>
  <c r="E156" i="3"/>
  <c r="D156" i="3"/>
  <c r="C156" i="3"/>
  <c r="B156" i="3"/>
  <c r="H155" i="3"/>
  <c r="G155" i="3"/>
  <c r="F155" i="3"/>
  <c r="E155" i="3"/>
  <c r="D155" i="3"/>
  <c r="C155" i="3"/>
  <c r="B155" i="3"/>
  <c r="H154" i="3"/>
  <c r="G154" i="3"/>
  <c r="F154" i="3"/>
  <c r="E154" i="3"/>
  <c r="D154" i="3"/>
  <c r="C154" i="3"/>
  <c r="B154" i="3"/>
  <c r="H153" i="3"/>
  <c r="G153" i="3"/>
  <c r="F153" i="3"/>
  <c r="E153" i="3"/>
  <c r="D153" i="3"/>
  <c r="C153" i="3"/>
  <c r="B153" i="3"/>
  <c r="H152" i="3"/>
  <c r="G152" i="3"/>
  <c r="F152" i="3"/>
  <c r="E152" i="3"/>
  <c r="D152" i="3"/>
  <c r="C152" i="3"/>
  <c r="B152" i="3"/>
  <c r="H151" i="3"/>
  <c r="G151" i="3"/>
  <c r="F151" i="3"/>
  <c r="E151" i="3"/>
  <c r="D151" i="3"/>
  <c r="C151" i="3"/>
  <c r="B151" i="3"/>
  <c r="H150" i="3"/>
  <c r="G150" i="3"/>
  <c r="F150" i="3"/>
  <c r="E150" i="3"/>
  <c r="D150" i="3"/>
  <c r="C150" i="3"/>
  <c r="B150" i="3"/>
  <c r="H149" i="3"/>
  <c r="G149" i="3"/>
  <c r="F149" i="3"/>
  <c r="E149" i="3"/>
  <c r="D149" i="3"/>
  <c r="C149" i="3"/>
  <c r="B149" i="3"/>
  <c r="H148" i="3"/>
  <c r="G148" i="3"/>
  <c r="F148" i="3"/>
  <c r="E148" i="3"/>
  <c r="D148" i="3"/>
  <c r="C148" i="3"/>
  <c r="B148" i="3"/>
  <c r="H147" i="3"/>
  <c r="G147" i="3"/>
  <c r="F147" i="3"/>
  <c r="E147" i="3"/>
  <c r="D147" i="3"/>
  <c r="C147" i="3"/>
  <c r="B147" i="3"/>
  <c r="H146" i="3"/>
  <c r="G146" i="3"/>
  <c r="F146" i="3"/>
  <c r="E146" i="3"/>
  <c r="D146" i="3"/>
  <c r="C146" i="3"/>
  <c r="B146" i="3"/>
  <c r="H145" i="3"/>
  <c r="G145" i="3"/>
  <c r="F145" i="3"/>
  <c r="E145" i="3"/>
  <c r="D145" i="3"/>
  <c r="C145" i="3"/>
  <c r="B145" i="3"/>
  <c r="H144" i="3"/>
  <c r="G144" i="3"/>
  <c r="F144" i="3"/>
  <c r="E144" i="3"/>
  <c r="D144" i="3"/>
  <c r="C144" i="3"/>
  <c r="B144" i="3"/>
  <c r="H143" i="3"/>
  <c r="G143" i="3"/>
  <c r="F143" i="3"/>
  <c r="E143" i="3"/>
  <c r="D143" i="3"/>
  <c r="C143" i="3"/>
  <c r="B143" i="3"/>
  <c r="H142" i="3"/>
  <c r="G142" i="3"/>
  <c r="F142" i="3"/>
  <c r="E142" i="3"/>
  <c r="D142" i="3"/>
  <c r="C142" i="3"/>
  <c r="B142" i="3"/>
  <c r="H141" i="3"/>
  <c r="G141" i="3"/>
  <c r="F141" i="3"/>
  <c r="E141" i="3"/>
  <c r="D141" i="3"/>
  <c r="C141" i="3"/>
  <c r="B141" i="3"/>
  <c r="H140" i="3"/>
  <c r="G140" i="3"/>
  <c r="F140" i="3"/>
  <c r="E140" i="3"/>
  <c r="D140" i="3"/>
  <c r="C140" i="3"/>
  <c r="B140" i="3"/>
  <c r="H139" i="3"/>
  <c r="G139" i="3"/>
  <c r="F139" i="3"/>
  <c r="E139" i="3"/>
  <c r="D139" i="3"/>
  <c r="C139" i="3"/>
  <c r="B139" i="3"/>
  <c r="H138" i="3"/>
  <c r="G138" i="3"/>
  <c r="F138" i="3"/>
  <c r="E138" i="3"/>
  <c r="D138" i="3"/>
  <c r="C138" i="3"/>
  <c r="B138" i="3"/>
  <c r="H137" i="3"/>
  <c r="G137" i="3"/>
  <c r="F137" i="3"/>
  <c r="E137" i="3"/>
  <c r="D137" i="3"/>
  <c r="C137" i="3"/>
  <c r="B137" i="3"/>
  <c r="H136" i="3"/>
  <c r="G136" i="3"/>
  <c r="F136" i="3"/>
  <c r="E136" i="3"/>
  <c r="D136" i="3"/>
  <c r="C136" i="3"/>
  <c r="B136" i="3"/>
  <c r="H135" i="3"/>
  <c r="G135" i="3"/>
  <c r="F135" i="3"/>
  <c r="E135" i="3"/>
  <c r="D135" i="3"/>
  <c r="C135" i="3"/>
  <c r="B135" i="3"/>
  <c r="H134" i="3"/>
  <c r="G134" i="3"/>
  <c r="F134" i="3"/>
  <c r="E134" i="3"/>
  <c r="D134" i="3"/>
  <c r="C134" i="3"/>
  <c r="B134" i="3"/>
  <c r="H133" i="3"/>
  <c r="G133" i="3"/>
  <c r="F133" i="3"/>
  <c r="E133" i="3"/>
  <c r="D133" i="3"/>
  <c r="C133" i="3"/>
  <c r="B133" i="3"/>
  <c r="H132" i="3"/>
  <c r="G132" i="3"/>
  <c r="F132" i="3"/>
  <c r="E132" i="3"/>
  <c r="D132" i="3"/>
  <c r="C132" i="3"/>
  <c r="B132" i="3"/>
  <c r="H131" i="3"/>
  <c r="G131" i="3"/>
  <c r="F131" i="3"/>
  <c r="E131" i="3"/>
  <c r="D131" i="3"/>
  <c r="C131" i="3"/>
  <c r="B131" i="3"/>
  <c r="H130" i="3"/>
  <c r="G130" i="3"/>
  <c r="F130" i="3"/>
  <c r="E130" i="3"/>
  <c r="D130" i="3"/>
  <c r="C130" i="3"/>
  <c r="B130" i="3"/>
  <c r="H129" i="3"/>
  <c r="G129" i="3"/>
  <c r="F129" i="3"/>
  <c r="E129" i="3"/>
  <c r="D129" i="3"/>
  <c r="C129" i="3"/>
  <c r="B129" i="3"/>
  <c r="H128" i="3"/>
  <c r="G128" i="3"/>
  <c r="F128" i="3"/>
  <c r="E128" i="3"/>
  <c r="D128" i="3"/>
  <c r="C128" i="3"/>
  <c r="B128" i="3"/>
  <c r="H127" i="3"/>
  <c r="G127" i="3"/>
  <c r="F127" i="3"/>
  <c r="E127" i="3"/>
  <c r="D127" i="3"/>
  <c r="C127" i="3"/>
  <c r="B127" i="3"/>
  <c r="H126" i="3"/>
  <c r="G126" i="3"/>
  <c r="F126" i="3"/>
  <c r="E126" i="3"/>
  <c r="D126" i="3"/>
  <c r="C126" i="3"/>
  <c r="B126" i="3"/>
  <c r="H125" i="3"/>
  <c r="G125" i="3"/>
  <c r="F125" i="3"/>
  <c r="E125" i="3"/>
  <c r="D125" i="3"/>
  <c r="C125" i="3"/>
  <c r="B125" i="3"/>
  <c r="H124" i="3"/>
  <c r="G124" i="3"/>
  <c r="F124" i="3"/>
  <c r="E124" i="3"/>
  <c r="D124" i="3"/>
  <c r="C124" i="3"/>
  <c r="B124" i="3"/>
  <c r="H123" i="3"/>
  <c r="G123" i="3"/>
  <c r="F123" i="3"/>
  <c r="E123" i="3"/>
  <c r="D123" i="3"/>
  <c r="C123" i="3"/>
  <c r="B123" i="3"/>
  <c r="H122" i="3"/>
  <c r="G122" i="3"/>
  <c r="F122" i="3"/>
  <c r="E122" i="3"/>
  <c r="D122" i="3"/>
  <c r="C122" i="3"/>
  <c r="B122" i="3"/>
  <c r="H121" i="3"/>
  <c r="G121" i="3"/>
  <c r="F121" i="3"/>
  <c r="E121" i="3"/>
  <c r="D121" i="3"/>
  <c r="C121" i="3"/>
  <c r="B121" i="3"/>
  <c r="H120" i="3"/>
  <c r="G120" i="3"/>
  <c r="F120" i="3"/>
  <c r="E120" i="3"/>
  <c r="D120" i="3"/>
  <c r="C120" i="3"/>
  <c r="B120" i="3"/>
  <c r="H119" i="3"/>
  <c r="G119" i="3"/>
  <c r="F119" i="3"/>
  <c r="E119" i="3"/>
  <c r="D119" i="3"/>
  <c r="C119" i="3"/>
  <c r="B119" i="3"/>
  <c r="H118" i="3"/>
  <c r="G118" i="3"/>
  <c r="F118" i="3"/>
  <c r="E118" i="3"/>
  <c r="D118" i="3"/>
  <c r="C118" i="3"/>
  <c r="B118" i="3"/>
  <c r="H117" i="3"/>
  <c r="G117" i="3"/>
  <c r="F117" i="3"/>
  <c r="E117" i="3"/>
  <c r="D117" i="3"/>
  <c r="C117" i="3"/>
  <c r="B117" i="3"/>
  <c r="H116" i="3"/>
  <c r="G116" i="3"/>
  <c r="F116" i="3"/>
  <c r="E116" i="3"/>
  <c r="D116" i="3"/>
  <c r="C116" i="3"/>
  <c r="B116" i="3"/>
  <c r="H115" i="3"/>
  <c r="G115" i="3"/>
  <c r="F115" i="3"/>
  <c r="E115" i="3"/>
  <c r="D115" i="3"/>
  <c r="C115" i="3"/>
  <c r="B115" i="3"/>
  <c r="H114" i="3"/>
  <c r="G114" i="3"/>
  <c r="F114" i="3"/>
  <c r="E114" i="3"/>
  <c r="D114" i="3"/>
  <c r="C114" i="3"/>
  <c r="B114" i="3"/>
  <c r="H113" i="3"/>
  <c r="G113" i="3"/>
  <c r="F113" i="3"/>
  <c r="E113" i="3"/>
  <c r="D113" i="3"/>
  <c r="C113" i="3"/>
  <c r="B113" i="3"/>
  <c r="H112" i="3"/>
  <c r="G112" i="3"/>
  <c r="F112" i="3"/>
  <c r="E112" i="3"/>
  <c r="D112" i="3"/>
  <c r="C112" i="3"/>
  <c r="B112" i="3"/>
  <c r="H111" i="3"/>
  <c r="G111" i="3"/>
  <c r="F111" i="3"/>
  <c r="E111" i="3"/>
  <c r="D111" i="3"/>
  <c r="C111" i="3"/>
  <c r="B111" i="3"/>
  <c r="H110" i="3"/>
  <c r="G110" i="3"/>
  <c r="F110" i="3"/>
  <c r="E110" i="3"/>
  <c r="D110" i="3"/>
  <c r="C110" i="3"/>
  <c r="B110" i="3"/>
  <c r="H109" i="3"/>
  <c r="G109" i="3"/>
  <c r="F109" i="3"/>
  <c r="E109" i="3"/>
  <c r="D109" i="3"/>
  <c r="C109" i="3"/>
  <c r="B109" i="3"/>
  <c r="H108" i="3"/>
  <c r="G108" i="3"/>
  <c r="F108" i="3"/>
  <c r="E108" i="3"/>
  <c r="D108" i="3"/>
  <c r="C108" i="3"/>
  <c r="B108" i="3"/>
  <c r="H107" i="3"/>
  <c r="G107" i="3"/>
  <c r="F107" i="3"/>
  <c r="E107" i="3"/>
  <c r="D107" i="3"/>
  <c r="C107" i="3"/>
  <c r="B107" i="3"/>
  <c r="H106" i="3"/>
  <c r="G106" i="3"/>
  <c r="F106" i="3"/>
  <c r="E106" i="3"/>
  <c r="D106" i="3"/>
  <c r="C106" i="3"/>
  <c r="B106" i="3"/>
  <c r="H105" i="3"/>
  <c r="G105" i="3"/>
  <c r="F105" i="3"/>
  <c r="E105" i="3"/>
  <c r="D105" i="3"/>
  <c r="C105" i="3"/>
  <c r="B105" i="3"/>
  <c r="H104" i="3"/>
  <c r="G104" i="3"/>
  <c r="F104" i="3"/>
  <c r="E104" i="3"/>
  <c r="D104" i="3"/>
  <c r="C104" i="3"/>
  <c r="B104" i="3"/>
  <c r="H103" i="3"/>
  <c r="G103" i="3"/>
  <c r="F103" i="3"/>
  <c r="E103" i="3"/>
  <c r="D103" i="3"/>
  <c r="C103" i="3"/>
  <c r="B103" i="3"/>
  <c r="H102" i="3"/>
  <c r="G102" i="3"/>
  <c r="F102" i="3"/>
  <c r="E102" i="3"/>
  <c r="D102" i="3"/>
  <c r="C102" i="3"/>
  <c r="B102" i="3"/>
  <c r="H101" i="3"/>
  <c r="G101" i="3"/>
  <c r="F101" i="3"/>
  <c r="E101" i="3"/>
  <c r="D101" i="3"/>
  <c r="C101" i="3"/>
  <c r="B101" i="3"/>
  <c r="H100" i="3"/>
  <c r="G100" i="3"/>
  <c r="F100" i="3"/>
  <c r="E100" i="3"/>
  <c r="D100" i="3"/>
  <c r="C100" i="3"/>
  <c r="B100" i="3"/>
  <c r="H99" i="3"/>
  <c r="G99" i="3"/>
  <c r="F99" i="3"/>
  <c r="E99" i="3"/>
  <c r="D99" i="3"/>
  <c r="C99" i="3"/>
  <c r="B99" i="3"/>
  <c r="H98" i="3"/>
  <c r="G98" i="3"/>
  <c r="F98" i="3"/>
  <c r="E98" i="3"/>
  <c r="D98" i="3"/>
  <c r="C98" i="3"/>
  <c r="B98" i="3"/>
  <c r="H97" i="3"/>
  <c r="G97" i="3"/>
  <c r="F97" i="3"/>
  <c r="E97" i="3"/>
  <c r="D97" i="3"/>
  <c r="C97" i="3"/>
  <c r="B97" i="3"/>
  <c r="H96" i="3"/>
  <c r="G96" i="3"/>
  <c r="F96" i="3"/>
  <c r="E96" i="3"/>
  <c r="D96" i="3"/>
  <c r="C96" i="3"/>
  <c r="B96" i="3"/>
  <c r="H95" i="3"/>
  <c r="G95" i="3"/>
  <c r="F95" i="3"/>
  <c r="E95" i="3"/>
  <c r="D95" i="3"/>
  <c r="C95" i="3"/>
  <c r="B95" i="3"/>
  <c r="H94" i="3"/>
  <c r="G94" i="3"/>
  <c r="F94" i="3"/>
  <c r="E94" i="3"/>
  <c r="D94" i="3"/>
  <c r="C94" i="3"/>
  <c r="B94" i="3"/>
  <c r="H93" i="3"/>
  <c r="G93" i="3"/>
  <c r="F93" i="3"/>
  <c r="E93" i="3"/>
  <c r="D93" i="3"/>
  <c r="C93" i="3"/>
  <c r="B93" i="3"/>
  <c r="H92" i="3"/>
  <c r="G92" i="3"/>
  <c r="F92" i="3"/>
  <c r="E92" i="3"/>
  <c r="D92" i="3"/>
  <c r="C92" i="3"/>
  <c r="B92" i="3"/>
  <c r="H91" i="3"/>
  <c r="G91" i="3"/>
  <c r="F91" i="3"/>
  <c r="E91" i="3"/>
  <c r="D91" i="3"/>
  <c r="C91" i="3"/>
  <c r="B91" i="3"/>
  <c r="H90" i="3"/>
  <c r="G90" i="3"/>
  <c r="F90" i="3"/>
  <c r="E90" i="3"/>
  <c r="D90" i="3"/>
  <c r="C90" i="3"/>
  <c r="B90" i="3"/>
  <c r="H89" i="3"/>
  <c r="G89" i="3"/>
  <c r="F89" i="3"/>
  <c r="E89" i="3"/>
  <c r="D89" i="3"/>
  <c r="C89" i="3"/>
  <c r="B89" i="3"/>
  <c r="H88" i="3"/>
  <c r="G88" i="3"/>
  <c r="F88" i="3"/>
  <c r="E88" i="3"/>
  <c r="D88" i="3"/>
  <c r="C88" i="3"/>
  <c r="B88" i="3"/>
  <c r="H87" i="3"/>
  <c r="G87" i="3"/>
  <c r="F87" i="3"/>
  <c r="E87" i="3"/>
  <c r="D87" i="3"/>
  <c r="C87" i="3"/>
  <c r="B87" i="3"/>
  <c r="H86" i="3"/>
  <c r="G86" i="3"/>
  <c r="F86" i="3"/>
  <c r="E86" i="3"/>
  <c r="D86" i="3"/>
  <c r="C86" i="3"/>
  <c r="B86" i="3"/>
  <c r="H85" i="3"/>
  <c r="G85" i="3"/>
  <c r="F85" i="3"/>
  <c r="E85" i="3"/>
  <c r="D85" i="3"/>
  <c r="C85" i="3"/>
  <c r="B85" i="3"/>
  <c r="H84" i="3"/>
  <c r="G84" i="3"/>
  <c r="F84" i="3"/>
  <c r="E84" i="3"/>
  <c r="D84" i="3"/>
  <c r="C84" i="3"/>
  <c r="B84" i="3"/>
  <c r="H83" i="3"/>
  <c r="G83" i="3"/>
  <c r="F83" i="3"/>
  <c r="E83" i="3"/>
  <c r="D83" i="3"/>
  <c r="C83" i="3"/>
  <c r="B83" i="3"/>
  <c r="H82" i="3"/>
  <c r="G82" i="3"/>
  <c r="F82" i="3"/>
  <c r="E82" i="3"/>
  <c r="D82" i="3"/>
  <c r="C82" i="3"/>
  <c r="B82" i="3"/>
  <c r="H81" i="3"/>
  <c r="G81" i="3"/>
  <c r="F81" i="3"/>
  <c r="E81" i="3"/>
  <c r="D81" i="3"/>
  <c r="C81" i="3"/>
  <c r="B81" i="3"/>
  <c r="H80" i="3"/>
  <c r="G80" i="3"/>
  <c r="F80" i="3"/>
  <c r="E80" i="3"/>
  <c r="D80" i="3"/>
  <c r="C80" i="3"/>
  <c r="B80" i="3"/>
  <c r="H79" i="3"/>
  <c r="G79" i="3"/>
  <c r="F79" i="3"/>
  <c r="E79" i="3"/>
  <c r="D79" i="3"/>
  <c r="C79" i="3"/>
  <c r="B79" i="3"/>
  <c r="H78" i="3"/>
  <c r="G78" i="3"/>
  <c r="F78" i="3"/>
  <c r="E78" i="3"/>
  <c r="D78" i="3"/>
  <c r="C78" i="3"/>
  <c r="B78" i="3"/>
  <c r="H77" i="3"/>
  <c r="G77" i="3"/>
  <c r="F77" i="3"/>
  <c r="E77" i="3"/>
  <c r="D77" i="3"/>
  <c r="C77" i="3"/>
  <c r="B77" i="3"/>
  <c r="H76" i="3"/>
  <c r="G76" i="3"/>
  <c r="F76" i="3"/>
  <c r="E76" i="3"/>
  <c r="D76" i="3"/>
  <c r="C76" i="3"/>
  <c r="B76" i="3"/>
  <c r="H75" i="3"/>
  <c r="G75" i="3"/>
  <c r="F75" i="3"/>
  <c r="E75" i="3"/>
  <c r="D75" i="3"/>
  <c r="C75" i="3"/>
  <c r="B75" i="3"/>
  <c r="H74" i="3"/>
  <c r="G74" i="3"/>
  <c r="F74" i="3"/>
  <c r="E74" i="3"/>
  <c r="D74" i="3"/>
  <c r="C74" i="3"/>
  <c r="B74" i="3"/>
  <c r="H73" i="3"/>
  <c r="G73" i="3"/>
  <c r="F73" i="3"/>
  <c r="E73" i="3"/>
  <c r="D73" i="3"/>
  <c r="C73" i="3"/>
  <c r="B73" i="3"/>
  <c r="H72" i="3"/>
  <c r="G72" i="3"/>
  <c r="F72" i="3"/>
  <c r="E72" i="3"/>
  <c r="D72" i="3"/>
  <c r="C72" i="3"/>
  <c r="B72" i="3"/>
  <c r="H71" i="3"/>
  <c r="G71" i="3"/>
  <c r="F71" i="3"/>
  <c r="E71" i="3"/>
  <c r="D71" i="3"/>
  <c r="C71" i="3"/>
  <c r="B71" i="3"/>
  <c r="H70" i="3"/>
  <c r="G70" i="3"/>
  <c r="F70" i="3"/>
  <c r="E70" i="3"/>
  <c r="D70" i="3"/>
  <c r="C70" i="3"/>
  <c r="B70" i="3"/>
  <c r="H69" i="3"/>
  <c r="G69" i="3"/>
  <c r="F69" i="3"/>
  <c r="E69" i="3"/>
  <c r="D69" i="3"/>
  <c r="C69" i="3"/>
  <c r="B69" i="3"/>
  <c r="H68" i="3"/>
  <c r="G68" i="3"/>
  <c r="F68" i="3"/>
  <c r="E68" i="3"/>
  <c r="D68" i="3"/>
  <c r="C68" i="3"/>
  <c r="B68" i="3"/>
  <c r="H67" i="3"/>
  <c r="G67" i="3"/>
  <c r="F67" i="3"/>
  <c r="E67" i="3"/>
  <c r="D67" i="3"/>
  <c r="C67" i="3"/>
  <c r="B67" i="3"/>
  <c r="H66" i="3"/>
  <c r="G66" i="3"/>
  <c r="F66" i="3"/>
  <c r="E66" i="3"/>
  <c r="D66" i="3"/>
  <c r="C66" i="3"/>
  <c r="B66" i="3"/>
  <c r="H65" i="3"/>
  <c r="G65" i="3"/>
  <c r="F65" i="3"/>
  <c r="E65" i="3"/>
  <c r="D65" i="3"/>
  <c r="C65" i="3"/>
  <c r="B65" i="3"/>
  <c r="H64" i="3"/>
  <c r="G64" i="3"/>
  <c r="F64" i="3"/>
  <c r="E64" i="3"/>
  <c r="D64" i="3"/>
  <c r="C64" i="3"/>
  <c r="B64" i="3"/>
  <c r="H63" i="3"/>
  <c r="G63" i="3"/>
  <c r="F63" i="3"/>
  <c r="E63" i="3"/>
  <c r="D63" i="3"/>
  <c r="C63" i="3"/>
  <c r="B63" i="3"/>
  <c r="H62" i="3"/>
  <c r="G62" i="3"/>
  <c r="F62" i="3"/>
  <c r="E62" i="3"/>
  <c r="D62" i="3"/>
  <c r="C62" i="3"/>
  <c r="B62" i="3"/>
  <c r="H61" i="3"/>
  <c r="G61" i="3"/>
  <c r="F61" i="3"/>
  <c r="E61" i="3"/>
  <c r="D61" i="3"/>
  <c r="C61" i="3"/>
  <c r="B61" i="3"/>
  <c r="H60" i="3"/>
  <c r="G60" i="3"/>
  <c r="F60" i="3"/>
  <c r="E60" i="3"/>
  <c r="D60" i="3"/>
  <c r="C60" i="3"/>
  <c r="B60" i="3"/>
  <c r="H59" i="3"/>
  <c r="G59" i="3"/>
  <c r="F59" i="3"/>
  <c r="E59" i="3"/>
  <c r="D59" i="3"/>
  <c r="C59" i="3"/>
  <c r="B59" i="3"/>
  <c r="H58" i="3"/>
  <c r="G58" i="3"/>
  <c r="F58" i="3"/>
  <c r="E58" i="3"/>
  <c r="D58" i="3"/>
  <c r="C58" i="3"/>
  <c r="B58" i="3"/>
  <c r="H57" i="3"/>
  <c r="G57" i="3"/>
  <c r="F57" i="3"/>
  <c r="E57" i="3"/>
  <c r="D57" i="3"/>
  <c r="C57" i="3"/>
  <c r="B57" i="3"/>
  <c r="H56" i="3"/>
  <c r="G56" i="3"/>
  <c r="F56" i="3"/>
  <c r="E56" i="3"/>
  <c r="D56" i="3"/>
  <c r="C56" i="3"/>
  <c r="B56" i="3"/>
  <c r="H55" i="3"/>
  <c r="G55" i="3"/>
  <c r="F55" i="3"/>
  <c r="E55" i="3"/>
  <c r="D55" i="3"/>
  <c r="C55" i="3"/>
  <c r="B55" i="3"/>
  <c r="H54" i="3"/>
  <c r="G54" i="3"/>
  <c r="F54" i="3"/>
  <c r="E54" i="3"/>
  <c r="D54" i="3"/>
  <c r="C54" i="3"/>
  <c r="B54" i="3"/>
  <c r="H53" i="3"/>
  <c r="G53" i="3"/>
  <c r="F53" i="3"/>
  <c r="E53" i="3"/>
  <c r="D53" i="3"/>
  <c r="C53" i="3"/>
  <c r="B53" i="3"/>
  <c r="H52" i="3"/>
  <c r="G52" i="3"/>
  <c r="F52" i="3"/>
  <c r="E52" i="3"/>
  <c r="D52" i="3"/>
  <c r="C52" i="3"/>
  <c r="B52" i="3"/>
  <c r="H51" i="3"/>
  <c r="G51" i="3"/>
  <c r="F51" i="3"/>
  <c r="E51" i="3"/>
  <c r="D51" i="3"/>
  <c r="C51" i="3"/>
  <c r="B51" i="3"/>
  <c r="H50" i="3"/>
  <c r="G50" i="3"/>
  <c r="F50" i="3"/>
  <c r="E50" i="3"/>
  <c r="D50" i="3"/>
  <c r="C50" i="3"/>
  <c r="B50" i="3"/>
  <c r="H49" i="3"/>
  <c r="G49" i="3"/>
  <c r="F49" i="3"/>
  <c r="E49" i="3"/>
  <c r="D49" i="3"/>
  <c r="C49" i="3"/>
  <c r="B49" i="3"/>
  <c r="H48" i="3"/>
  <c r="G48" i="3"/>
  <c r="F48" i="3"/>
  <c r="E48" i="3"/>
  <c r="D48" i="3"/>
  <c r="C48" i="3"/>
  <c r="B48" i="3"/>
  <c r="H47" i="3"/>
  <c r="G47" i="3"/>
  <c r="F47" i="3"/>
  <c r="E47" i="3"/>
  <c r="D47" i="3"/>
  <c r="C47" i="3"/>
  <c r="B47" i="3"/>
  <c r="H46" i="3"/>
  <c r="G46" i="3"/>
  <c r="F46" i="3"/>
  <c r="E46" i="3"/>
  <c r="D46" i="3"/>
  <c r="C46" i="3"/>
  <c r="B46" i="3"/>
  <c r="H45" i="3"/>
  <c r="G45" i="3"/>
  <c r="F45" i="3"/>
  <c r="E45" i="3"/>
  <c r="D45" i="3"/>
  <c r="C45" i="3"/>
  <c r="B45" i="3"/>
  <c r="H44" i="3"/>
  <c r="G44" i="3"/>
  <c r="F44" i="3"/>
  <c r="E44" i="3"/>
  <c r="D44" i="3"/>
  <c r="C44" i="3"/>
  <c r="B44" i="3"/>
  <c r="H43" i="3"/>
  <c r="G43" i="3"/>
  <c r="F43" i="3"/>
  <c r="E43" i="3"/>
  <c r="D43" i="3"/>
  <c r="C43" i="3"/>
  <c r="B43" i="3"/>
  <c r="H42" i="3"/>
  <c r="G42" i="3"/>
  <c r="F42" i="3"/>
  <c r="E42" i="3"/>
  <c r="D42" i="3"/>
  <c r="C42" i="3"/>
  <c r="B42" i="3"/>
  <c r="H41" i="3"/>
  <c r="G41" i="3"/>
  <c r="F41" i="3"/>
  <c r="E41" i="3"/>
  <c r="D41" i="3"/>
  <c r="C41" i="3"/>
  <c r="B41" i="3"/>
  <c r="H40" i="3"/>
  <c r="G40" i="3"/>
  <c r="F40" i="3"/>
  <c r="E40" i="3"/>
  <c r="D40" i="3"/>
  <c r="C40" i="3"/>
  <c r="B40" i="3"/>
  <c r="H39" i="3"/>
  <c r="G39" i="3"/>
  <c r="F39" i="3"/>
  <c r="E39" i="3"/>
  <c r="D39" i="3"/>
  <c r="C39" i="3"/>
  <c r="B39" i="3"/>
  <c r="H38" i="3"/>
  <c r="G38" i="3"/>
  <c r="F38" i="3"/>
  <c r="E38" i="3"/>
  <c r="D38" i="3"/>
  <c r="C38" i="3"/>
  <c r="B38" i="3"/>
  <c r="H37" i="3"/>
  <c r="G37" i="3"/>
  <c r="F37" i="3"/>
  <c r="E37" i="3"/>
  <c r="D37" i="3"/>
  <c r="C37" i="3"/>
  <c r="B37" i="3"/>
  <c r="H36" i="3"/>
  <c r="G36" i="3"/>
  <c r="F36" i="3"/>
  <c r="E36" i="3"/>
  <c r="D36" i="3"/>
  <c r="C36" i="3"/>
  <c r="B36" i="3"/>
  <c r="H35" i="3"/>
  <c r="G35" i="3"/>
  <c r="F35" i="3"/>
  <c r="E35" i="3"/>
  <c r="D35" i="3"/>
  <c r="C35" i="3"/>
  <c r="B35" i="3"/>
  <c r="H34" i="3"/>
  <c r="G34" i="3"/>
  <c r="F34" i="3"/>
  <c r="E34" i="3"/>
  <c r="D34" i="3"/>
  <c r="C34" i="3"/>
  <c r="B34" i="3"/>
  <c r="H33" i="3"/>
  <c r="G33" i="3"/>
  <c r="F33" i="3"/>
  <c r="E33" i="3"/>
  <c r="D33" i="3"/>
  <c r="C33" i="3"/>
  <c r="B33" i="3"/>
  <c r="H32" i="3"/>
  <c r="G32" i="3"/>
  <c r="F32" i="3"/>
  <c r="E32" i="3"/>
  <c r="D32" i="3"/>
  <c r="C32" i="3"/>
  <c r="B32" i="3"/>
  <c r="H31" i="3"/>
  <c r="G31" i="3"/>
  <c r="F31" i="3"/>
  <c r="E31" i="3"/>
  <c r="D31" i="3"/>
  <c r="C31" i="3"/>
  <c r="B31" i="3"/>
  <c r="H30" i="3"/>
  <c r="G30" i="3"/>
  <c r="F30" i="3"/>
  <c r="E30" i="3"/>
  <c r="D30" i="3"/>
  <c r="C30" i="3"/>
  <c r="B30" i="3"/>
  <c r="H29" i="3"/>
  <c r="G29" i="3"/>
  <c r="F29" i="3"/>
  <c r="E29" i="3"/>
  <c r="D29" i="3"/>
  <c r="C29" i="3"/>
  <c r="B29" i="3"/>
  <c r="H28" i="3"/>
  <c r="G28" i="3"/>
  <c r="F28" i="3"/>
  <c r="E28" i="3"/>
  <c r="D28" i="3"/>
  <c r="C28" i="3"/>
  <c r="B28" i="3"/>
  <c r="H27" i="3"/>
  <c r="G27" i="3"/>
  <c r="F27" i="3"/>
  <c r="E27" i="3"/>
  <c r="D27" i="3"/>
  <c r="C27" i="3"/>
  <c r="B27" i="3"/>
  <c r="H26" i="3"/>
  <c r="G26" i="3"/>
  <c r="F26" i="3"/>
  <c r="E26" i="3"/>
  <c r="D26" i="3"/>
  <c r="C26" i="3"/>
  <c r="B26" i="3"/>
  <c r="H25" i="3"/>
  <c r="G25" i="3"/>
  <c r="F25" i="3"/>
  <c r="E25" i="3"/>
  <c r="D25" i="3"/>
  <c r="C25" i="3"/>
  <c r="B25" i="3"/>
  <c r="H24" i="3"/>
  <c r="G24" i="3"/>
  <c r="F24" i="3"/>
  <c r="E24" i="3"/>
  <c r="D24" i="3"/>
  <c r="C24" i="3"/>
  <c r="B24" i="3"/>
  <c r="H23" i="3"/>
  <c r="G23" i="3"/>
  <c r="F23" i="3"/>
  <c r="E23" i="3"/>
  <c r="D23" i="3"/>
  <c r="C23" i="3"/>
  <c r="B23" i="3"/>
  <c r="H22" i="3"/>
  <c r="G22" i="3"/>
  <c r="F22" i="3"/>
  <c r="E22" i="3"/>
  <c r="D22" i="3"/>
  <c r="C22" i="3"/>
  <c r="B22" i="3"/>
  <c r="H21" i="3"/>
  <c r="G21" i="3"/>
  <c r="F21" i="3"/>
  <c r="E21" i="3"/>
  <c r="D21" i="3"/>
  <c r="C21" i="3"/>
  <c r="B21" i="3"/>
  <c r="H20" i="3"/>
  <c r="G20" i="3"/>
  <c r="F20" i="3"/>
  <c r="E20" i="3"/>
  <c r="D20" i="3"/>
  <c r="C20" i="3"/>
  <c r="B20" i="3"/>
  <c r="H19" i="3"/>
  <c r="G19" i="3"/>
  <c r="F19" i="3"/>
  <c r="E19" i="3"/>
  <c r="D19" i="3"/>
  <c r="C19" i="3"/>
  <c r="B19" i="3"/>
  <c r="H18" i="3"/>
  <c r="G18" i="3"/>
  <c r="F18" i="3"/>
  <c r="E18" i="3"/>
  <c r="D18" i="3"/>
  <c r="C18" i="3"/>
  <c r="B18" i="3"/>
  <c r="H17" i="3"/>
  <c r="G17" i="3"/>
  <c r="F17" i="3"/>
  <c r="E17" i="3"/>
  <c r="D17" i="3"/>
  <c r="C17" i="3"/>
  <c r="B17" i="3"/>
  <c r="H16" i="3"/>
  <c r="G16" i="3"/>
  <c r="F16" i="3"/>
  <c r="E16" i="3"/>
  <c r="D16" i="3"/>
  <c r="C16" i="3"/>
  <c r="B16" i="3"/>
  <c r="H15" i="3"/>
  <c r="G15" i="3"/>
  <c r="F15" i="3"/>
  <c r="E15" i="3"/>
  <c r="D15" i="3"/>
  <c r="C15" i="3"/>
  <c r="B15" i="3"/>
  <c r="H14" i="3"/>
  <c r="G14" i="3"/>
  <c r="F14" i="3"/>
  <c r="E14" i="3"/>
  <c r="D14" i="3"/>
  <c r="C14" i="3"/>
  <c r="B14" i="3"/>
  <c r="H13" i="3"/>
  <c r="G13" i="3"/>
  <c r="F13" i="3"/>
  <c r="E13" i="3"/>
  <c r="D13" i="3"/>
  <c r="C13" i="3"/>
  <c r="B13" i="3"/>
  <c r="H12" i="3"/>
  <c r="G12" i="3"/>
  <c r="F12" i="3"/>
  <c r="E12" i="3"/>
  <c r="D12" i="3"/>
  <c r="C12" i="3"/>
  <c r="B12" i="3"/>
  <c r="H11" i="3"/>
  <c r="G11" i="3"/>
  <c r="F11" i="3"/>
  <c r="E11" i="3"/>
  <c r="D11" i="3"/>
  <c r="C11" i="3"/>
  <c r="B11" i="3"/>
  <c r="H10" i="3"/>
  <c r="G10" i="3"/>
  <c r="F10" i="3"/>
  <c r="E10" i="3"/>
  <c r="D10" i="3"/>
  <c r="C10" i="3"/>
  <c r="B10" i="3"/>
  <c r="H9" i="3"/>
  <c r="G9" i="3"/>
  <c r="F9" i="3"/>
  <c r="E9" i="3"/>
  <c r="D9" i="3"/>
  <c r="C9" i="3"/>
  <c r="B9" i="3"/>
  <c r="H8" i="3"/>
  <c r="G8" i="3"/>
  <c r="F8" i="3"/>
  <c r="E8" i="3"/>
  <c r="D8" i="3"/>
  <c r="C8" i="3"/>
  <c r="B8" i="3"/>
  <c r="H7" i="3"/>
  <c r="G7" i="3"/>
  <c r="F7" i="3"/>
  <c r="E7" i="3"/>
  <c r="D7" i="3"/>
  <c r="C7" i="3"/>
  <c r="B7" i="3"/>
  <c r="H6" i="3"/>
  <c r="G6" i="3"/>
  <c r="F6" i="3"/>
  <c r="E6" i="3"/>
  <c r="D6" i="3"/>
  <c r="C6" i="3"/>
  <c r="B6" i="3"/>
  <c r="H5" i="3"/>
  <c r="G5" i="3"/>
  <c r="F5" i="3"/>
  <c r="E5" i="3"/>
  <c r="D5" i="3"/>
  <c r="C5" i="3"/>
  <c r="B5" i="3"/>
  <c r="H4" i="3"/>
  <c r="G4" i="3"/>
  <c r="F4" i="3"/>
  <c r="E4" i="3"/>
  <c r="D4" i="3"/>
  <c r="C4" i="3"/>
  <c r="B4" i="3"/>
  <c r="H3" i="3"/>
  <c r="G3" i="3"/>
  <c r="F3" i="3"/>
  <c r="E3" i="3"/>
  <c r="D3" i="3"/>
  <c r="C3" i="3"/>
  <c r="B3" i="3"/>
  <c r="H960" i="19"/>
  <c r="G960" i="19"/>
  <c r="F960" i="19"/>
  <c r="E960" i="19"/>
  <c r="D960" i="19"/>
  <c r="C960" i="19"/>
  <c r="B960" i="19"/>
  <c r="H959" i="19"/>
  <c r="G959" i="19"/>
  <c r="F959" i="19"/>
  <c r="E959" i="19"/>
  <c r="D959" i="19"/>
  <c r="C959" i="19"/>
  <c r="B959" i="19"/>
  <c r="H958" i="19"/>
  <c r="G958" i="19"/>
  <c r="F958" i="19"/>
  <c r="E958" i="19"/>
  <c r="D958" i="19"/>
  <c r="C958" i="19"/>
  <c r="B958" i="19"/>
  <c r="H957" i="19"/>
  <c r="G957" i="19"/>
  <c r="F957" i="19"/>
  <c r="E957" i="19"/>
  <c r="D957" i="19"/>
  <c r="C957" i="19"/>
  <c r="B957" i="19"/>
  <c r="H956" i="19"/>
  <c r="G956" i="19"/>
  <c r="F956" i="19"/>
  <c r="E956" i="19"/>
  <c r="D956" i="19"/>
  <c r="C956" i="19"/>
  <c r="B956" i="19"/>
  <c r="H955" i="19"/>
  <c r="G955" i="19"/>
  <c r="F955" i="19"/>
  <c r="E955" i="19"/>
  <c r="D955" i="19"/>
  <c r="C955" i="19"/>
  <c r="B955" i="19"/>
  <c r="H954" i="19"/>
  <c r="G954" i="19"/>
  <c r="F954" i="19"/>
  <c r="E954" i="19"/>
  <c r="D954" i="19"/>
  <c r="C954" i="19"/>
  <c r="B954" i="19"/>
  <c r="H953" i="19"/>
  <c r="G953" i="19"/>
  <c r="F953" i="19"/>
  <c r="E953" i="19"/>
  <c r="D953" i="19"/>
  <c r="C953" i="19"/>
  <c r="B953" i="19"/>
  <c r="H952" i="19"/>
  <c r="G952" i="19"/>
  <c r="F952" i="19"/>
  <c r="E952" i="19"/>
  <c r="D952" i="19"/>
  <c r="C952" i="19"/>
  <c r="B952" i="19"/>
  <c r="H951" i="19"/>
  <c r="G951" i="19"/>
  <c r="F951" i="19"/>
  <c r="E951" i="19"/>
  <c r="D951" i="19"/>
  <c r="C951" i="19"/>
  <c r="B951" i="19"/>
  <c r="H950" i="19"/>
  <c r="G950" i="19"/>
  <c r="F950" i="19"/>
  <c r="E950" i="19"/>
  <c r="D950" i="19"/>
  <c r="C950" i="19"/>
  <c r="B950" i="19"/>
  <c r="H949" i="19"/>
  <c r="G949" i="19"/>
  <c r="F949" i="19"/>
  <c r="E949" i="19"/>
  <c r="D949" i="19"/>
  <c r="C949" i="19"/>
  <c r="B949" i="19"/>
  <c r="H948" i="19"/>
  <c r="G948" i="19"/>
  <c r="F948" i="19"/>
  <c r="E948" i="19"/>
  <c r="D948" i="19"/>
  <c r="C948" i="19"/>
  <c r="B948" i="19"/>
  <c r="H947" i="19"/>
  <c r="G947" i="19"/>
  <c r="F947" i="19"/>
  <c r="E947" i="19"/>
  <c r="D947" i="19"/>
  <c r="C947" i="19"/>
  <c r="B947" i="19"/>
  <c r="H946" i="19"/>
  <c r="G946" i="19"/>
  <c r="F946" i="19"/>
  <c r="E946" i="19"/>
  <c r="D946" i="19"/>
  <c r="C946" i="19"/>
  <c r="B946" i="19"/>
  <c r="H945" i="19"/>
  <c r="G945" i="19"/>
  <c r="F945" i="19"/>
  <c r="E945" i="19"/>
  <c r="D945" i="19"/>
  <c r="C945" i="19"/>
  <c r="B945" i="19"/>
  <c r="H944" i="19"/>
  <c r="G944" i="19"/>
  <c r="F944" i="19"/>
  <c r="E944" i="19"/>
  <c r="D944" i="19"/>
  <c r="C944" i="19"/>
  <c r="B944" i="19"/>
  <c r="H943" i="19"/>
  <c r="G943" i="19"/>
  <c r="F943" i="19"/>
  <c r="E943" i="19"/>
  <c r="D943" i="19"/>
  <c r="C943" i="19"/>
  <c r="B943" i="19"/>
  <c r="H942" i="19"/>
  <c r="G942" i="19"/>
  <c r="F942" i="19"/>
  <c r="E942" i="19"/>
  <c r="D942" i="19"/>
  <c r="C942" i="19"/>
  <c r="B942" i="19"/>
  <c r="H941" i="19"/>
  <c r="G941" i="19"/>
  <c r="F941" i="19"/>
  <c r="E941" i="19"/>
  <c r="D941" i="19"/>
  <c r="C941" i="19"/>
  <c r="B941" i="19"/>
  <c r="H940" i="19"/>
  <c r="G940" i="19"/>
  <c r="F940" i="19"/>
  <c r="E940" i="19"/>
  <c r="D940" i="19"/>
  <c r="C940" i="19"/>
  <c r="B940" i="19"/>
  <c r="H939" i="19"/>
  <c r="G939" i="19"/>
  <c r="F939" i="19"/>
  <c r="E939" i="19"/>
  <c r="D939" i="19"/>
  <c r="C939" i="19"/>
  <c r="B939" i="19"/>
  <c r="H938" i="19"/>
  <c r="G938" i="19"/>
  <c r="F938" i="19"/>
  <c r="E938" i="19"/>
  <c r="D938" i="19"/>
  <c r="C938" i="19"/>
  <c r="B938" i="19"/>
  <c r="H937" i="19"/>
  <c r="G937" i="19"/>
  <c r="F937" i="19"/>
  <c r="E937" i="19"/>
  <c r="D937" i="19"/>
  <c r="C937" i="19"/>
  <c r="B937" i="19"/>
  <c r="H936" i="19"/>
  <c r="G936" i="19"/>
  <c r="F936" i="19"/>
  <c r="E936" i="19"/>
  <c r="D936" i="19"/>
  <c r="C936" i="19"/>
  <c r="B936" i="19"/>
  <c r="H935" i="19"/>
  <c r="G935" i="19"/>
  <c r="F935" i="19"/>
  <c r="E935" i="19"/>
  <c r="D935" i="19"/>
  <c r="C935" i="19"/>
  <c r="B935" i="19"/>
  <c r="H934" i="19"/>
  <c r="G934" i="19"/>
  <c r="F934" i="19"/>
  <c r="E934" i="19"/>
  <c r="D934" i="19"/>
  <c r="C934" i="19"/>
  <c r="B934" i="19"/>
  <c r="H933" i="19"/>
  <c r="G933" i="19"/>
  <c r="F933" i="19"/>
  <c r="E933" i="19"/>
  <c r="D933" i="19"/>
  <c r="C933" i="19"/>
  <c r="B933" i="19"/>
  <c r="H932" i="19"/>
  <c r="G932" i="19"/>
  <c r="F932" i="19"/>
  <c r="E932" i="19"/>
  <c r="D932" i="19"/>
  <c r="C932" i="19"/>
  <c r="B932" i="19"/>
  <c r="H931" i="19"/>
  <c r="G931" i="19"/>
  <c r="F931" i="19"/>
  <c r="E931" i="19"/>
  <c r="D931" i="19"/>
  <c r="C931" i="19"/>
  <c r="B931" i="19"/>
  <c r="H930" i="19"/>
  <c r="G930" i="19"/>
  <c r="F930" i="19"/>
  <c r="E930" i="19"/>
  <c r="D930" i="19"/>
  <c r="C930" i="19"/>
  <c r="B930" i="19"/>
  <c r="H929" i="19"/>
  <c r="G929" i="19"/>
  <c r="F929" i="19"/>
  <c r="E929" i="19"/>
  <c r="D929" i="19"/>
  <c r="C929" i="19"/>
  <c r="B929" i="19"/>
  <c r="H928" i="19"/>
  <c r="G928" i="19"/>
  <c r="F928" i="19"/>
  <c r="E928" i="19"/>
  <c r="D928" i="19"/>
  <c r="C928" i="19"/>
  <c r="B928" i="19"/>
  <c r="H927" i="19"/>
  <c r="G927" i="19"/>
  <c r="F927" i="19"/>
  <c r="E927" i="19"/>
  <c r="D927" i="19"/>
  <c r="C927" i="19"/>
  <c r="B927" i="19"/>
  <c r="H926" i="19"/>
  <c r="G926" i="19"/>
  <c r="F926" i="19"/>
  <c r="E926" i="19"/>
  <c r="D926" i="19"/>
  <c r="C926" i="19"/>
  <c r="B926" i="19"/>
  <c r="H925" i="19"/>
  <c r="G925" i="19"/>
  <c r="F925" i="19"/>
  <c r="E925" i="19"/>
  <c r="D925" i="19"/>
  <c r="C925" i="19"/>
  <c r="B925" i="19"/>
  <c r="H924" i="19"/>
  <c r="G924" i="19"/>
  <c r="F924" i="19"/>
  <c r="E924" i="19"/>
  <c r="D924" i="19"/>
  <c r="C924" i="19"/>
  <c r="B924" i="19"/>
  <c r="H923" i="19"/>
  <c r="G923" i="19"/>
  <c r="F923" i="19"/>
  <c r="E923" i="19"/>
  <c r="D923" i="19"/>
  <c r="C923" i="19"/>
  <c r="B923" i="19"/>
  <c r="H922" i="19"/>
  <c r="G922" i="19"/>
  <c r="F922" i="19"/>
  <c r="E922" i="19"/>
  <c r="D922" i="19"/>
  <c r="C922" i="19"/>
  <c r="B922" i="19"/>
  <c r="H921" i="19"/>
  <c r="G921" i="19"/>
  <c r="F921" i="19"/>
  <c r="E921" i="19"/>
  <c r="D921" i="19"/>
  <c r="C921" i="19"/>
  <c r="B921" i="19"/>
  <c r="H920" i="19"/>
  <c r="G920" i="19"/>
  <c r="F920" i="19"/>
  <c r="E920" i="19"/>
  <c r="D920" i="19"/>
  <c r="C920" i="19"/>
  <c r="B920" i="19"/>
  <c r="H919" i="19"/>
  <c r="G919" i="19"/>
  <c r="F919" i="19"/>
  <c r="E919" i="19"/>
  <c r="D919" i="19"/>
  <c r="C919" i="19"/>
  <c r="B919" i="19"/>
  <c r="H918" i="19"/>
  <c r="G918" i="19"/>
  <c r="F918" i="19"/>
  <c r="E918" i="19"/>
  <c r="D918" i="19"/>
  <c r="C918" i="19"/>
  <c r="B918" i="19"/>
  <c r="H917" i="19"/>
  <c r="G917" i="19"/>
  <c r="F917" i="19"/>
  <c r="E917" i="19"/>
  <c r="D917" i="19"/>
  <c r="C917" i="19"/>
  <c r="B917" i="19"/>
  <c r="H916" i="19"/>
  <c r="G916" i="19"/>
  <c r="F916" i="19"/>
  <c r="E916" i="19"/>
  <c r="D916" i="19"/>
  <c r="C916" i="19"/>
  <c r="B916" i="19"/>
  <c r="H915" i="19"/>
  <c r="G915" i="19"/>
  <c r="F915" i="19"/>
  <c r="E915" i="19"/>
  <c r="D915" i="19"/>
  <c r="C915" i="19"/>
  <c r="B915" i="19"/>
  <c r="H914" i="19"/>
  <c r="G914" i="19"/>
  <c r="F914" i="19"/>
  <c r="E914" i="19"/>
  <c r="D914" i="19"/>
  <c r="C914" i="19"/>
  <c r="B914" i="19"/>
  <c r="H913" i="19"/>
  <c r="G913" i="19"/>
  <c r="F913" i="19"/>
  <c r="E913" i="19"/>
  <c r="D913" i="19"/>
  <c r="C913" i="19"/>
  <c r="B913" i="19"/>
  <c r="H912" i="19"/>
  <c r="G912" i="19"/>
  <c r="F912" i="19"/>
  <c r="E912" i="19"/>
  <c r="D912" i="19"/>
  <c r="C912" i="19"/>
  <c r="B912" i="19"/>
  <c r="H911" i="19"/>
  <c r="G911" i="19"/>
  <c r="F911" i="19"/>
  <c r="E911" i="19"/>
  <c r="D911" i="19"/>
  <c r="C911" i="19"/>
  <c r="B911" i="19"/>
  <c r="H910" i="19"/>
  <c r="G910" i="19"/>
  <c r="F910" i="19"/>
  <c r="E910" i="19"/>
  <c r="D910" i="19"/>
  <c r="C910" i="19"/>
  <c r="B910" i="19"/>
  <c r="H909" i="19"/>
  <c r="G909" i="19"/>
  <c r="F909" i="19"/>
  <c r="E909" i="19"/>
  <c r="D909" i="19"/>
  <c r="C909" i="19"/>
  <c r="B909" i="19"/>
  <c r="H908" i="19"/>
  <c r="G908" i="19"/>
  <c r="F908" i="19"/>
  <c r="E908" i="19"/>
  <c r="D908" i="19"/>
  <c r="C908" i="19"/>
  <c r="B908" i="19"/>
  <c r="H907" i="19"/>
  <c r="G907" i="19"/>
  <c r="F907" i="19"/>
  <c r="E907" i="19"/>
  <c r="D907" i="19"/>
  <c r="C907" i="19"/>
  <c r="B907" i="19"/>
  <c r="H906" i="19"/>
  <c r="G906" i="19"/>
  <c r="F906" i="19"/>
  <c r="E906" i="19"/>
  <c r="D906" i="19"/>
  <c r="C906" i="19"/>
  <c r="B906" i="19"/>
  <c r="H905" i="19"/>
  <c r="G905" i="19"/>
  <c r="F905" i="19"/>
  <c r="E905" i="19"/>
  <c r="D905" i="19"/>
  <c r="C905" i="19"/>
  <c r="B905" i="19"/>
  <c r="H904" i="19"/>
  <c r="G904" i="19"/>
  <c r="F904" i="19"/>
  <c r="E904" i="19"/>
  <c r="D904" i="19"/>
  <c r="C904" i="19"/>
  <c r="B904" i="19"/>
  <c r="H903" i="19"/>
  <c r="G903" i="19"/>
  <c r="F903" i="19"/>
  <c r="E903" i="19"/>
  <c r="D903" i="19"/>
  <c r="C903" i="19"/>
  <c r="B903" i="19"/>
  <c r="H902" i="19"/>
  <c r="G902" i="19"/>
  <c r="F902" i="19"/>
  <c r="E902" i="19"/>
  <c r="D902" i="19"/>
  <c r="C902" i="19"/>
  <c r="B902" i="19"/>
  <c r="H901" i="19"/>
  <c r="G901" i="19"/>
  <c r="F901" i="19"/>
  <c r="E901" i="19"/>
  <c r="D901" i="19"/>
  <c r="C901" i="19"/>
  <c r="B901" i="19"/>
  <c r="H900" i="19"/>
  <c r="G900" i="19"/>
  <c r="F900" i="19"/>
  <c r="E900" i="19"/>
  <c r="D900" i="19"/>
  <c r="C900" i="19"/>
  <c r="B900" i="19"/>
  <c r="H899" i="19"/>
  <c r="G899" i="19"/>
  <c r="F899" i="19"/>
  <c r="E899" i="19"/>
  <c r="D899" i="19"/>
  <c r="C899" i="19"/>
  <c r="B899" i="19"/>
  <c r="H898" i="19"/>
  <c r="G898" i="19"/>
  <c r="F898" i="19"/>
  <c r="E898" i="19"/>
  <c r="D898" i="19"/>
  <c r="C898" i="19"/>
  <c r="B898" i="19"/>
  <c r="H897" i="19"/>
  <c r="G897" i="19"/>
  <c r="F897" i="19"/>
  <c r="E897" i="19"/>
  <c r="D897" i="19"/>
  <c r="C897" i="19"/>
  <c r="B897" i="19"/>
  <c r="H896" i="19"/>
  <c r="G896" i="19"/>
  <c r="F896" i="19"/>
  <c r="E896" i="19"/>
  <c r="D896" i="19"/>
  <c r="C896" i="19"/>
  <c r="B896" i="19"/>
  <c r="H895" i="19"/>
  <c r="G895" i="19"/>
  <c r="F895" i="19"/>
  <c r="E895" i="19"/>
  <c r="D895" i="19"/>
  <c r="C895" i="19"/>
  <c r="B895" i="19"/>
  <c r="H894" i="19"/>
  <c r="G894" i="19"/>
  <c r="F894" i="19"/>
  <c r="E894" i="19"/>
  <c r="D894" i="19"/>
  <c r="C894" i="19"/>
  <c r="B894" i="19"/>
  <c r="H893" i="19"/>
  <c r="G893" i="19"/>
  <c r="F893" i="19"/>
  <c r="E893" i="19"/>
  <c r="D893" i="19"/>
  <c r="C893" i="19"/>
  <c r="B893" i="19"/>
  <c r="H892" i="19"/>
  <c r="G892" i="19"/>
  <c r="F892" i="19"/>
  <c r="E892" i="19"/>
  <c r="D892" i="19"/>
  <c r="C892" i="19"/>
  <c r="B892" i="19"/>
  <c r="H891" i="19"/>
  <c r="G891" i="19"/>
  <c r="F891" i="19"/>
  <c r="E891" i="19"/>
  <c r="D891" i="19"/>
  <c r="C891" i="19"/>
  <c r="B891" i="19"/>
  <c r="H890" i="19"/>
  <c r="G890" i="19"/>
  <c r="F890" i="19"/>
  <c r="E890" i="19"/>
  <c r="D890" i="19"/>
  <c r="C890" i="19"/>
  <c r="B890" i="19"/>
  <c r="H889" i="19"/>
  <c r="G889" i="19"/>
  <c r="F889" i="19"/>
  <c r="E889" i="19"/>
  <c r="D889" i="19"/>
  <c r="C889" i="19"/>
  <c r="B889" i="19"/>
  <c r="H888" i="19"/>
  <c r="G888" i="19"/>
  <c r="F888" i="19"/>
  <c r="E888" i="19"/>
  <c r="D888" i="19"/>
  <c r="C888" i="19"/>
  <c r="B888" i="19"/>
  <c r="H887" i="19"/>
  <c r="G887" i="19"/>
  <c r="F887" i="19"/>
  <c r="E887" i="19"/>
  <c r="D887" i="19"/>
  <c r="C887" i="19"/>
  <c r="B887" i="19"/>
  <c r="H886" i="19"/>
  <c r="G886" i="19"/>
  <c r="F886" i="19"/>
  <c r="E886" i="19"/>
  <c r="D886" i="19"/>
  <c r="C886" i="19"/>
  <c r="B886" i="19"/>
  <c r="H885" i="19"/>
  <c r="G885" i="19"/>
  <c r="F885" i="19"/>
  <c r="E885" i="19"/>
  <c r="D885" i="19"/>
  <c r="C885" i="19"/>
  <c r="B885" i="19"/>
  <c r="H884" i="19"/>
  <c r="G884" i="19"/>
  <c r="F884" i="19"/>
  <c r="E884" i="19"/>
  <c r="D884" i="19"/>
  <c r="C884" i="19"/>
  <c r="B884" i="19"/>
  <c r="H881" i="19"/>
  <c r="G881" i="19"/>
  <c r="F881" i="19"/>
  <c r="E881" i="19"/>
  <c r="D881" i="19"/>
  <c r="C881" i="19"/>
  <c r="B881" i="19"/>
  <c r="H880" i="19"/>
  <c r="G880" i="19"/>
  <c r="F880" i="19"/>
  <c r="E880" i="19"/>
  <c r="D880" i="19"/>
  <c r="C880" i="19"/>
  <c r="B880" i="19"/>
  <c r="H879" i="19"/>
  <c r="G879" i="19"/>
  <c r="F879" i="19"/>
  <c r="E879" i="19"/>
  <c r="D879" i="19"/>
  <c r="C879" i="19"/>
  <c r="B879" i="19"/>
  <c r="H878" i="19"/>
  <c r="G878" i="19"/>
  <c r="F878" i="19"/>
  <c r="E878" i="19"/>
  <c r="D878" i="19"/>
  <c r="C878" i="19"/>
  <c r="B878" i="19"/>
  <c r="H877" i="19"/>
  <c r="G877" i="19"/>
  <c r="F877" i="19"/>
  <c r="E877" i="19"/>
  <c r="D877" i="19"/>
  <c r="C877" i="19"/>
  <c r="B877" i="19"/>
  <c r="H876" i="19"/>
  <c r="G876" i="19"/>
  <c r="F876" i="19"/>
  <c r="E876" i="19"/>
  <c r="D876" i="19"/>
  <c r="C876" i="19"/>
  <c r="B876" i="19"/>
  <c r="H875" i="19"/>
  <c r="G875" i="19"/>
  <c r="F875" i="19"/>
  <c r="E875" i="19"/>
  <c r="D875" i="19"/>
  <c r="C875" i="19"/>
  <c r="B875" i="19"/>
  <c r="H874" i="19"/>
  <c r="G874" i="19"/>
  <c r="F874" i="19"/>
  <c r="E874" i="19"/>
  <c r="D874" i="19"/>
  <c r="C874" i="19"/>
  <c r="B874" i="19"/>
  <c r="H873" i="19"/>
  <c r="G873" i="19"/>
  <c r="F873" i="19"/>
  <c r="E873" i="19"/>
  <c r="D873" i="19"/>
  <c r="C873" i="19"/>
  <c r="B873" i="19"/>
  <c r="H872" i="19"/>
  <c r="G872" i="19"/>
  <c r="F872" i="19"/>
  <c r="E872" i="19"/>
  <c r="D872" i="19"/>
  <c r="C872" i="19"/>
  <c r="B872" i="19"/>
  <c r="H871" i="19"/>
  <c r="G871" i="19"/>
  <c r="F871" i="19"/>
  <c r="E871" i="19"/>
  <c r="D871" i="19"/>
  <c r="C871" i="19"/>
  <c r="B871" i="19"/>
  <c r="H863" i="19"/>
  <c r="G863" i="19"/>
  <c r="F863" i="19"/>
  <c r="E863" i="19"/>
  <c r="D863" i="19"/>
  <c r="C863" i="19"/>
  <c r="B863" i="19"/>
  <c r="H862" i="19"/>
  <c r="G862" i="19"/>
  <c r="F862" i="19"/>
  <c r="E862" i="19"/>
  <c r="D862" i="19"/>
  <c r="C862" i="19"/>
  <c r="B862" i="19"/>
  <c r="H861" i="19"/>
  <c r="G861" i="19"/>
  <c r="F861" i="19"/>
  <c r="E861" i="19"/>
  <c r="D861" i="19"/>
  <c r="C861" i="19"/>
  <c r="B861" i="19"/>
  <c r="H860" i="19"/>
  <c r="G860" i="19"/>
  <c r="F860" i="19"/>
  <c r="E860" i="19"/>
  <c r="D860" i="19"/>
  <c r="C860" i="19"/>
  <c r="B860" i="19"/>
  <c r="H859" i="19"/>
  <c r="G859" i="19"/>
  <c r="F859" i="19"/>
  <c r="E859" i="19"/>
  <c r="D859" i="19"/>
  <c r="C859" i="19"/>
  <c r="B859" i="19"/>
  <c r="H858" i="19"/>
  <c r="G858" i="19"/>
  <c r="F858" i="19"/>
  <c r="E858" i="19"/>
  <c r="D858" i="19"/>
  <c r="C858" i="19"/>
  <c r="B858" i="19"/>
  <c r="H857" i="19"/>
  <c r="G857" i="19"/>
  <c r="F857" i="19"/>
  <c r="E857" i="19"/>
  <c r="D857" i="19"/>
  <c r="C857" i="19"/>
  <c r="B857" i="19"/>
  <c r="H856" i="19"/>
  <c r="G856" i="19"/>
  <c r="F856" i="19"/>
  <c r="E856" i="19"/>
  <c r="D856" i="19"/>
  <c r="C856" i="19"/>
  <c r="B856" i="19"/>
  <c r="H855" i="19"/>
  <c r="G855" i="19"/>
  <c r="F855" i="19"/>
  <c r="E855" i="19"/>
  <c r="D855" i="19"/>
  <c r="C855" i="19"/>
  <c r="B855" i="19"/>
  <c r="H854" i="19"/>
  <c r="G854" i="19"/>
  <c r="F854" i="19"/>
  <c r="E854" i="19"/>
  <c r="D854" i="19"/>
  <c r="C854" i="19"/>
  <c r="B854" i="19"/>
  <c r="H853" i="19"/>
  <c r="G853" i="19"/>
  <c r="F853" i="19"/>
  <c r="E853" i="19"/>
  <c r="D853" i="19"/>
  <c r="C853" i="19"/>
  <c r="B853" i="19"/>
  <c r="H852" i="19"/>
  <c r="G852" i="19"/>
  <c r="F852" i="19"/>
  <c r="E852" i="19"/>
  <c r="D852" i="19"/>
  <c r="C852" i="19"/>
  <c r="B852" i="19"/>
  <c r="H851" i="19"/>
  <c r="G851" i="19"/>
  <c r="F851" i="19"/>
  <c r="E851" i="19"/>
  <c r="D851" i="19"/>
  <c r="C851" i="19"/>
  <c r="B851" i="19"/>
  <c r="H850" i="19"/>
  <c r="G850" i="19"/>
  <c r="F850" i="19"/>
  <c r="E850" i="19"/>
  <c r="D850" i="19"/>
  <c r="C850" i="19"/>
  <c r="B850" i="19"/>
  <c r="H849" i="19"/>
  <c r="G849" i="19"/>
  <c r="F849" i="19"/>
  <c r="E849" i="19"/>
  <c r="D849" i="19"/>
  <c r="C849" i="19"/>
  <c r="B849" i="19"/>
  <c r="H848" i="19"/>
  <c r="G848" i="19"/>
  <c r="F848" i="19"/>
  <c r="E848" i="19"/>
  <c r="D848" i="19"/>
  <c r="C848" i="19"/>
  <c r="B848" i="19"/>
  <c r="H847" i="19"/>
  <c r="G847" i="19"/>
  <c r="F847" i="19"/>
  <c r="E847" i="19"/>
  <c r="D847" i="19"/>
  <c r="C847" i="19"/>
  <c r="B847" i="19"/>
  <c r="H846" i="19"/>
  <c r="G846" i="19"/>
  <c r="F846" i="19"/>
  <c r="E846" i="19"/>
  <c r="D846" i="19"/>
  <c r="C846" i="19"/>
  <c r="B846" i="19"/>
  <c r="H845" i="19"/>
  <c r="G845" i="19"/>
  <c r="F845" i="19"/>
  <c r="E845" i="19"/>
  <c r="D845" i="19"/>
  <c r="C845" i="19"/>
  <c r="B845" i="19"/>
  <c r="H844" i="19"/>
  <c r="G844" i="19"/>
  <c r="F844" i="19"/>
  <c r="E844" i="19"/>
  <c r="D844" i="19"/>
  <c r="C844" i="19"/>
  <c r="B844" i="19"/>
  <c r="H843" i="19"/>
  <c r="G843" i="19"/>
  <c r="F843" i="19"/>
  <c r="E843" i="19"/>
  <c r="D843" i="19"/>
  <c r="C843" i="19"/>
  <c r="B843" i="19"/>
  <c r="H842" i="19"/>
  <c r="G842" i="19"/>
  <c r="F842" i="19"/>
  <c r="E842" i="19"/>
  <c r="D842" i="19"/>
  <c r="C842" i="19"/>
  <c r="B842" i="19"/>
  <c r="H841" i="19"/>
  <c r="G841" i="19"/>
  <c r="F841" i="19"/>
  <c r="E841" i="19"/>
  <c r="D841" i="19"/>
  <c r="C841" i="19"/>
  <c r="B841" i="19"/>
  <c r="H840" i="19"/>
  <c r="G840" i="19"/>
  <c r="F840" i="19"/>
  <c r="E840" i="19"/>
  <c r="D840" i="19"/>
  <c r="C840" i="19"/>
  <c r="B840" i="19"/>
  <c r="H839" i="19"/>
  <c r="G839" i="19"/>
  <c r="F839" i="19"/>
  <c r="E839" i="19"/>
  <c r="D839" i="19"/>
  <c r="C839" i="19"/>
  <c r="B839" i="19"/>
  <c r="H838" i="19"/>
  <c r="G838" i="19"/>
  <c r="F838" i="19"/>
  <c r="E838" i="19"/>
  <c r="D838" i="19"/>
  <c r="C838" i="19"/>
  <c r="B838" i="19"/>
  <c r="H837" i="19"/>
  <c r="G837" i="19"/>
  <c r="F837" i="19"/>
  <c r="E837" i="19"/>
  <c r="D837" i="19"/>
  <c r="C837" i="19"/>
  <c r="B837" i="19"/>
  <c r="H836" i="19"/>
  <c r="G836" i="19"/>
  <c r="F836" i="19"/>
  <c r="E836" i="19"/>
  <c r="D836" i="19"/>
  <c r="C836" i="19"/>
  <c r="B836" i="19"/>
  <c r="H835" i="19"/>
  <c r="G835" i="19"/>
  <c r="F835" i="19"/>
  <c r="E835" i="19"/>
  <c r="D835" i="19"/>
  <c r="C835" i="19"/>
  <c r="B835" i="19"/>
  <c r="H834" i="19"/>
  <c r="G834" i="19"/>
  <c r="F834" i="19"/>
  <c r="E834" i="19"/>
  <c r="D834" i="19"/>
  <c r="C834" i="19"/>
  <c r="B834" i="19"/>
  <c r="H833" i="19"/>
  <c r="G833" i="19"/>
  <c r="F833" i="19"/>
  <c r="E833" i="19"/>
  <c r="D833" i="19"/>
  <c r="C833" i="19"/>
  <c r="B833" i="19"/>
  <c r="H832" i="19"/>
  <c r="G832" i="19"/>
  <c r="F832" i="19"/>
  <c r="E832" i="19"/>
  <c r="D832" i="19"/>
  <c r="C832" i="19"/>
  <c r="B832" i="19"/>
  <c r="H831" i="19"/>
  <c r="G831" i="19"/>
  <c r="F831" i="19"/>
  <c r="E831" i="19"/>
  <c r="D831" i="19"/>
  <c r="C831" i="19"/>
  <c r="B831" i="19"/>
  <c r="H830" i="19"/>
  <c r="G830" i="19"/>
  <c r="F830" i="19"/>
  <c r="E830" i="19"/>
  <c r="D830" i="19"/>
  <c r="C830" i="19"/>
  <c r="B830" i="19"/>
  <c r="H829" i="19"/>
  <c r="G829" i="19"/>
  <c r="F829" i="19"/>
  <c r="E829" i="19"/>
  <c r="D829" i="19"/>
  <c r="C829" i="19"/>
  <c r="B829" i="19"/>
  <c r="H828" i="19"/>
  <c r="G828" i="19"/>
  <c r="F828" i="19"/>
  <c r="E828" i="19"/>
  <c r="D828" i="19"/>
  <c r="C828" i="19"/>
  <c r="B828" i="19"/>
  <c r="H827" i="19"/>
  <c r="G827" i="19"/>
  <c r="F827" i="19"/>
  <c r="E827" i="19"/>
  <c r="D827" i="19"/>
  <c r="C827" i="19"/>
  <c r="B827" i="19"/>
  <c r="H826" i="19"/>
  <c r="G826" i="19"/>
  <c r="F826" i="19"/>
  <c r="E826" i="19"/>
  <c r="D826" i="19"/>
  <c r="C826" i="19"/>
  <c r="B826" i="19"/>
  <c r="H825" i="19"/>
  <c r="G825" i="19"/>
  <c r="F825" i="19"/>
  <c r="E825" i="19"/>
  <c r="D825" i="19"/>
  <c r="C825" i="19"/>
  <c r="B825" i="19"/>
  <c r="H824" i="19"/>
  <c r="G824" i="19"/>
  <c r="F824" i="19"/>
  <c r="E824" i="19"/>
  <c r="D824" i="19"/>
  <c r="C824" i="19"/>
  <c r="B824" i="19"/>
  <c r="H823" i="19"/>
  <c r="G823" i="19"/>
  <c r="F823" i="19"/>
  <c r="E823" i="19"/>
  <c r="D823" i="19"/>
  <c r="C823" i="19"/>
  <c r="B823" i="19"/>
  <c r="H822" i="19"/>
  <c r="G822" i="19"/>
  <c r="F822" i="19"/>
  <c r="E822" i="19"/>
  <c r="D822" i="19"/>
  <c r="C822" i="19"/>
  <c r="B822" i="19"/>
  <c r="H821" i="19"/>
  <c r="G821" i="19"/>
  <c r="F821" i="19"/>
  <c r="E821" i="19"/>
  <c r="D821" i="19"/>
  <c r="C821" i="19"/>
  <c r="B821" i="19"/>
  <c r="H820" i="19"/>
  <c r="G820" i="19"/>
  <c r="F820" i="19"/>
  <c r="E820" i="19"/>
  <c r="D820" i="19"/>
  <c r="C820" i="19"/>
  <c r="B820" i="19"/>
  <c r="H819" i="19"/>
  <c r="G819" i="19"/>
  <c r="F819" i="19"/>
  <c r="E819" i="19"/>
  <c r="D819" i="19"/>
  <c r="C819" i="19"/>
  <c r="B819" i="19"/>
  <c r="H818" i="19"/>
  <c r="G818" i="19"/>
  <c r="F818" i="19"/>
  <c r="E818" i="19"/>
  <c r="D818" i="19"/>
  <c r="C818" i="19"/>
  <c r="B818" i="19"/>
  <c r="H817" i="19"/>
  <c r="G817" i="19"/>
  <c r="F817" i="19"/>
  <c r="E817" i="19"/>
  <c r="D817" i="19"/>
  <c r="C817" i="19"/>
  <c r="B817" i="19"/>
  <c r="H816" i="19"/>
  <c r="G816" i="19"/>
  <c r="F816" i="19"/>
  <c r="E816" i="19"/>
  <c r="D816" i="19"/>
  <c r="C816" i="19"/>
  <c r="B816" i="19"/>
  <c r="H815" i="19"/>
  <c r="G815" i="19"/>
  <c r="F815" i="19"/>
  <c r="E815" i="19"/>
  <c r="D815" i="19"/>
  <c r="C815" i="19"/>
  <c r="B815" i="19"/>
  <c r="H814" i="19"/>
  <c r="G814" i="19"/>
  <c r="F814" i="19"/>
  <c r="E814" i="19"/>
  <c r="D814" i="19"/>
  <c r="C814" i="19"/>
  <c r="B814" i="19"/>
  <c r="H813" i="19"/>
  <c r="G813" i="19"/>
  <c r="F813" i="19"/>
  <c r="E813" i="19"/>
  <c r="D813" i="19"/>
  <c r="C813" i="19"/>
  <c r="B813" i="19"/>
  <c r="H812" i="19"/>
  <c r="G812" i="19"/>
  <c r="F812" i="19"/>
  <c r="E812" i="19"/>
  <c r="D812" i="19"/>
  <c r="C812" i="19"/>
  <c r="B812" i="19"/>
  <c r="H811" i="19"/>
  <c r="G811" i="19"/>
  <c r="F811" i="19"/>
  <c r="E811" i="19"/>
  <c r="D811" i="19"/>
  <c r="C811" i="19"/>
  <c r="B811" i="19"/>
  <c r="H810" i="19"/>
  <c r="G810" i="19"/>
  <c r="F810" i="19"/>
  <c r="E810" i="19"/>
  <c r="D810" i="19"/>
  <c r="C810" i="19"/>
  <c r="B810" i="19"/>
  <c r="H809" i="19"/>
  <c r="G809" i="19"/>
  <c r="F809" i="19"/>
  <c r="E809" i="19"/>
  <c r="D809" i="19"/>
  <c r="C809" i="19"/>
  <c r="B809" i="19"/>
  <c r="H808" i="19"/>
  <c r="G808" i="19"/>
  <c r="F808" i="19"/>
  <c r="E808" i="19"/>
  <c r="D808" i="19"/>
  <c r="C808" i="19"/>
  <c r="B808" i="19"/>
  <c r="H807" i="19"/>
  <c r="G807" i="19"/>
  <c r="F807" i="19"/>
  <c r="E807" i="19"/>
  <c r="D807" i="19"/>
  <c r="C807" i="19"/>
  <c r="B807" i="19"/>
  <c r="H806" i="19"/>
  <c r="G806" i="19"/>
  <c r="F806" i="19"/>
  <c r="E806" i="19"/>
  <c r="D806" i="19"/>
  <c r="C806" i="19"/>
  <c r="B806" i="19"/>
  <c r="H805" i="19"/>
  <c r="G805" i="19"/>
  <c r="F805" i="19"/>
  <c r="E805" i="19"/>
  <c r="D805" i="19"/>
  <c r="C805" i="19"/>
  <c r="B805" i="19"/>
  <c r="H804" i="19"/>
  <c r="G804" i="19"/>
  <c r="F804" i="19"/>
  <c r="E804" i="19"/>
  <c r="D804" i="19"/>
  <c r="C804" i="19"/>
  <c r="B804" i="19"/>
  <c r="H803" i="19"/>
  <c r="G803" i="19"/>
  <c r="F803" i="19"/>
  <c r="E803" i="19"/>
  <c r="D803" i="19"/>
  <c r="C803" i="19"/>
  <c r="B803" i="19"/>
  <c r="H802" i="19"/>
  <c r="G802" i="19"/>
  <c r="F802" i="19"/>
  <c r="E802" i="19"/>
  <c r="D802" i="19"/>
  <c r="C802" i="19"/>
  <c r="B802" i="19"/>
  <c r="H801" i="19"/>
  <c r="G801" i="19"/>
  <c r="F801" i="19"/>
  <c r="E801" i="19"/>
  <c r="D801" i="19"/>
  <c r="C801" i="19"/>
  <c r="B801" i="19"/>
  <c r="H800" i="19"/>
  <c r="G800" i="19"/>
  <c r="F800" i="19"/>
  <c r="E800" i="19"/>
  <c r="D800" i="19"/>
  <c r="C800" i="19"/>
  <c r="B800" i="19"/>
  <c r="H799" i="19"/>
  <c r="G799" i="19"/>
  <c r="F799" i="19"/>
  <c r="E799" i="19"/>
  <c r="D799" i="19"/>
  <c r="C799" i="19"/>
  <c r="B799" i="19"/>
  <c r="H798" i="19"/>
  <c r="G798" i="19"/>
  <c r="F798" i="19"/>
  <c r="E798" i="19"/>
  <c r="D798" i="19"/>
  <c r="C798" i="19"/>
  <c r="B798" i="19"/>
  <c r="H797" i="19"/>
  <c r="G797" i="19"/>
  <c r="F797" i="19"/>
  <c r="E797" i="19"/>
  <c r="D797" i="19"/>
  <c r="C797" i="19"/>
  <c r="B797" i="19"/>
  <c r="H796" i="19"/>
  <c r="G796" i="19"/>
  <c r="F796" i="19"/>
  <c r="E796" i="19"/>
  <c r="D796" i="19"/>
  <c r="C796" i="19"/>
  <c r="B796" i="19"/>
  <c r="H795" i="19"/>
  <c r="G795" i="19"/>
  <c r="F795" i="19"/>
  <c r="E795" i="19"/>
  <c r="D795" i="19"/>
  <c r="C795" i="19"/>
  <c r="B795" i="19"/>
  <c r="H794" i="19"/>
  <c r="G794" i="19"/>
  <c r="F794" i="19"/>
  <c r="E794" i="19"/>
  <c r="D794" i="19"/>
  <c r="C794" i="19"/>
  <c r="B794" i="19"/>
  <c r="H793" i="19"/>
  <c r="G793" i="19"/>
  <c r="F793" i="19"/>
  <c r="E793" i="19"/>
  <c r="D793" i="19"/>
  <c r="C793" i="19"/>
  <c r="B793" i="19"/>
  <c r="H792" i="19"/>
  <c r="G792" i="19"/>
  <c r="F792" i="19"/>
  <c r="E792" i="19"/>
  <c r="D792" i="19"/>
  <c r="C792" i="19"/>
  <c r="B792" i="19"/>
  <c r="H791" i="19"/>
  <c r="G791" i="19"/>
  <c r="F791" i="19"/>
  <c r="E791" i="19"/>
  <c r="D791" i="19"/>
  <c r="C791" i="19"/>
  <c r="B791" i="19"/>
  <c r="H790" i="19"/>
  <c r="G790" i="19"/>
  <c r="F790" i="19"/>
  <c r="E790" i="19"/>
  <c r="D790" i="19"/>
  <c r="C790" i="19"/>
  <c r="B790" i="19"/>
  <c r="H789" i="19"/>
  <c r="G789" i="19"/>
  <c r="F789" i="19"/>
  <c r="E789" i="19"/>
  <c r="D789" i="19"/>
  <c r="C789" i="19"/>
  <c r="B789" i="19"/>
  <c r="H788" i="19"/>
  <c r="G788" i="19"/>
  <c r="F788" i="19"/>
  <c r="E788" i="19"/>
  <c r="D788" i="19"/>
  <c r="C788" i="19"/>
  <c r="B788" i="19"/>
  <c r="H787" i="19"/>
  <c r="G787" i="19"/>
  <c r="F787" i="19"/>
  <c r="E787" i="19"/>
  <c r="D787" i="19"/>
  <c r="C787" i="19"/>
  <c r="B787" i="19"/>
  <c r="H786" i="19"/>
  <c r="G786" i="19"/>
  <c r="F786" i="19"/>
  <c r="E786" i="19"/>
  <c r="D786" i="19"/>
  <c r="C786" i="19"/>
  <c r="B786" i="19"/>
  <c r="H785" i="19"/>
  <c r="G785" i="19"/>
  <c r="F785" i="19"/>
  <c r="E785" i="19"/>
  <c r="D785" i="19"/>
  <c r="C785" i="19"/>
  <c r="B785" i="19"/>
  <c r="H784" i="19"/>
  <c r="G784" i="19"/>
  <c r="F784" i="19"/>
  <c r="E784" i="19"/>
  <c r="D784" i="19"/>
  <c r="C784" i="19"/>
  <c r="B784" i="19"/>
  <c r="H783" i="19"/>
  <c r="G783" i="19"/>
  <c r="F783" i="19"/>
  <c r="E783" i="19"/>
  <c r="D783" i="19"/>
  <c r="C783" i="19"/>
  <c r="B783" i="19"/>
  <c r="H782" i="19"/>
  <c r="G782" i="19"/>
  <c r="F782" i="19"/>
  <c r="E782" i="19"/>
  <c r="D782" i="19"/>
  <c r="C782" i="19"/>
  <c r="B782" i="19"/>
  <c r="H781" i="19"/>
  <c r="G781" i="19"/>
  <c r="F781" i="19"/>
  <c r="E781" i="19"/>
  <c r="D781" i="19"/>
  <c r="C781" i="19"/>
  <c r="B781" i="19"/>
  <c r="H780" i="19"/>
  <c r="G780" i="19"/>
  <c r="F780" i="19"/>
  <c r="E780" i="19"/>
  <c r="D780" i="19"/>
  <c r="C780" i="19"/>
  <c r="B780" i="19"/>
  <c r="H779" i="19"/>
  <c r="G779" i="19"/>
  <c r="F779" i="19"/>
  <c r="E779" i="19"/>
  <c r="D779" i="19"/>
  <c r="C779" i="19"/>
  <c r="B779" i="19"/>
  <c r="H778" i="19"/>
  <c r="G778" i="19"/>
  <c r="F778" i="19"/>
  <c r="E778" i="19"/>
  <c r="D778" i="19"/>
  <c r="C778" i="19"/>
  <c r="B778" i="19"/>
  <c r="H777" i="19"/>
  <c r="G777" i="19"/>
  <c r="F777" i="19"/>
  <c r="E777" i="19"/>
  <c r="D777" i="19"/>
  <c r="C777" i="19"/>
  <c r="B777" i="19"/>
  <c r="H776" i="19"/>
  <c r="G776" i="19"/>
  <c r="F776" i="19"/>
  <c r="E776" i="19"/>
  <c r="D776" i="19"/>
  <c r="C776" i="19"/>
  <c r="B776" i="19"/>
  <c r="H775" i="19"/>
  <c r="G775" i="19"/>
  <c r="F775" i="19"/>
  <c r="E775" i="19"/>
  <c r="D775" i="19"/>
  <c r="C775" i="19"/>
  <c r="B775" i="19"/>
  <c r="H774" i="19"/>
  <c r="G774" i="19"/>
  <c r="F774" i="19"/>
  <c r="E774" i="19"/>
  <c r="D774" i="19"/>
  <c r="C774" i="19"/>
  <c r="B774" i="19"/>
  <c r="H773" i="19"/>
  <c r="G773" i="19"/>
  <c r="F773" i="19"/>
  <c r="E773" i="19"/>
  <c r="D773" i="19"/>
  <c r="C773" i="19"/>
  <c r="B773" i="19"/>
  <c r="H772" i="19"/>
  <c r="G772" i="19"/>
  <c r="F772" i="19"/>
  <c r="E772" i="19"/>
  <c r="D772" i="19"/>
  <c r="C772" i="19"/>
  <c r="B772" i="19"/>
  <c r="H771" i="19"/>
  <c r="G771" i="19"/>
  <c r="F771" i="19"/>
  <c r="E771" i="19"/>
  <c r="D771" i="19"/>
  <c r="C771" i="19"/>
  <c r="B771" i="19"/>
  <c r="H770" i="19"/>
  <c r="G770" i="19"/>
  <c r="F770" i="19"/>
  <c r="E770" i="19"/>
  <c r="D770" i="19"/>
  <c r="C770" i="19"/>
  <c r="B770" i="19"/>
  <c r="H769" i="19"/>
  <c r="G769" i="19"/>
  <c r="F769" i="19"/>
  <c r="E769" i="19"/>
  <c r="D769" i="19"/>
  <c r="C769" i="19"/>
  <c r="B769" i="19"/>
  <c r="H764" i="19"/>
  <c r="G764" i="19"/>
  <c r="F764" i="19"/>
  <c r="E764" i="19"/>
  <c r="D764" i="19"/>
  <c r="C764" i="19"/>
  <c r="B764" i="19"/>
  <c r="H763" i="19"/>
  <c r="G763" i="19"/>
  <c r="F763" i="19"/>
  <c r="E763" i="19"/>
  <c r="D763" i="19"/>
  <c r="C763" i="19"/>
  <c r="B763" i="19"/>
  <c r="H762" i="19"/>
  <c r="G762" i="19"/>
  <c r="F762" i="19"/>
  <c r="E762" i="19"/>
  <c r="D762" i="19"/>
  <c r="C762" i="19"/>
  <c r="B762" i="19"/>
  <c r="H761" i="19"/>
  <c r="G761" i="19"/>
  <c r="F761" i="19"/>
  <c r="E761" i="19"/>
  <c r="D761" i="19"/>
  <c r="C761" i="19"/>
  <c r="B761" i="19"/>
  <c r="H760" i="19"/>
  <c r="G760" i="19"/>
  <c r="F760" i="19"/>
  <c r="E760" i="19"/>
  <c r="D760" i="19"/>
  <c r="C760" i="19"/>
  <c r="B760" i="19"/>
  <c r="H759" i="19"/>
  <c r="G759" i="19"/>
  <c r="F759" i="19"/>
  <c r="E759" i="19"/>
  <c r="D759" i="19"/>
  <c r="C759" i="19"/>
  <c r="B759" i="19"/>
  <c r="H758" i="19"/>
  <c r="G758" i="19"/>
  <c r="F758" i="19"/>
  <c r="E758" i="19"/>
  <c r="D758" i="19"/>
  <c r="C758" i="19"/>
  <c r="B758" i="19"/>
  <c r="H757" i="19"/>
  <c r="G757" i="19"/>
  <c r="F757" i="19"/>
  <c r="E757" i="19"/>
  <c r="D757" i="19"/>
  <c r="C757" i="19"/>
  <c r="B757" i="19"/>
  <c r="H756" i="19"/>
  <c r="G756" i="19"/>
  <c r="F756" i="19"/>
  <c r="E756" i="19"/>
  <c r="D756" i="19"/>
  <c r="C756" i="19"/>
  <c r="B756" i="19"/>
  <c r="H755" i="19"/>
  <c r="G755" i="19"/>
  <c r="F755" i="19"/>
  <c r="E755" i="19"/>
  <c r="D755" i="19"/>
  <c r="C755" i="19"/>
  <c r="B755" i="19"/>
  <c r="H754" i="19"/>
  <c r="G754" i="19"/>
  <c r="F754" i="19"/>
  <c r="E754" i="19"/>
  <c r="D754" i="19"/>
  <c r="C754" i="19"/>
  <c r="B754" i="19"/>
  <c r="H753" i="19"/>
  <c r="G753" i="19"/>
  <c r="F753" i="19"/>
  <c r="E753" i="19"/>
  <c r="D753" i="19"/>
  <c r="C753" i="19"/>
  <c r="B753" i="19"/>
  <c r="H752" i="19"/>
  <c r="G752" i="19"/>
  <c r="F752" i="19"/>
  <c r="E752" i="19"/>
  <c r="D752" i="19"/>
  <c r="C752" i="19"/>
  <c r="B752" i="19"/>
  <c r="H751" i="19"/>
  <c r="G751" i="19"/>
  <c r="F751" i="19"/>
  <c r="E751" i="19"/>
  <c r="D751" i="19"/>
  <c r="C751" i="19"/>
  <c r="B751" i="19"/>
  <c r="H750" i="19"/>
  <c r="G750" i="19"/>
  <c r="F750" i="19"/>
  <c r="E750" i="19"/>
  <c r="D750" i="19"/>
  <c r="C750" i="19"/>
  <c r="B750" i="19"/>
  <c r="H749" i="19"/>
  <c r="G749" i="19"/>
  <c r="F749" i="19"/>
  <c r="E749" i="19"/>
  <c r="D749" i="19"/>
  <c r="C749" i="19"/>
  <c r="B749" i="19"/>
  <c r="H748" i="19"/>
  <c r="G748" i="19"/>
  <c r="F748" i="19"/>
  <c r="E748" i="19"/>
  <c r="D748" i="19"/>
  <c r="C748" i="19"/>
  <c r="B748" i="19"/>
  <c r="H747" i="19"/>
  <c r="G747" i="19"/>
  <c r="F747" i="19"/>
  <c r="E747" i="19"/>
  <c r="D747" i="19"/>
  <c r="C747" i="19"/>
  <c r="B747" i="19"/>
  <c r="H746" i="19"/>
  <c r="G746" i="19"/>
  <c r="F746" i="19"/>
  <c r="E746" i="19"/>
  <c r="D746" i="19"/>
  <c r="C746" i="19"/>
  <c r="B746" i="19"/>
  <c r="H745" i="19"/>
  <c r="G745" i="19"/>
  <c r="F745" i="19"/>
  <c r="E745" i="19"/>
  <c r="D745" i="19"/>
  <c r="C745" i="19"/>
  <c r="B745" i="19"/>
  <c r="H744" i="19"/>
  <c r="G744" i="19"/>
  <c r="F744" i="19"/>
  <c r="E744" i="19"/>
  <c r="D744" i="19"/>
  <c r="C744" i="19"/>
  <c r="B744" i="19"/>
  <c r="H743" i="19"/>
  <c r="G743" i="19"/>
  <c r="F743" i="19"/>
  <c r="E743" i="19"/>
  <c r="D743" i="19"/>
  <c r="C743" i="19"/>
  <c r="B743" i="19"/>
  <c r="H742" i="19"/>
  <c r="G742" i="19"/>
  <c r="F742" i="19"/>
  <c r="E742" i="19"/>
  <c r="D742" i="19"/>
  <c r="C742" i="19"/>
  <c r="B742" i="19"/>
  <c r="H741" i="19"/>
  <c r="G741" i="19"/>
  <c r="F741" i="19"/>
  <c r="E741" i="19"/>
  <c r="D741" i="19"/>
  <c r="C741" i="19"/>
  <c r="B741" i="19"/>
  <c r="H740" i="19"/>
  <c r="G740" i="19"/>
  <c r="F740" i="19"/>
  <c r="E740" i="19"/>
  <c r="D740" i="19"/>
  <c r="C740" i="19"/>
  <c r="B740" i="19"/>
  <c r="H739" i="19"/>
  <c r="G739" i="19"/>
  <c r="F739" i="19"/>
  <c r="E739" i="19"/>
  <c r="D739" i="19"/>
  <c r="C739" i="19"/>
  <c r="B739" i="19"/>
  <c r="H736" i="19"/>
  <c r="G736" i="19"/>
  <c r="F736" i="19"/>
  <c r="E736" i="19"/>
  <c r="D736" i="19"/>
  <c r="C736" i="19"/>
  <c r="B736" i="19"/>
  <c r="H735" i="19"/>
  <c r="G735" i="19"/>
  <c r="F735" i="19"/>
  <c r="E735" i="19"/>
  <c r="D735" i="19"/>
  <c r="C735" i="19"/>
  <c r="B735" i="19"/>
  <c r="H734" i="19"/>
  <c r="G734" i="19"/>
  <c r="F734" i="19"/>
  <c r="E734" i="19"/>
  <c r="D734" i="19"/>
  <c r="C734" i="19"/>
  <c r="B734" i="19"/>
  <c r="H733" i="19"/>
  <c r="G733" i="19"/>
  <c r="F733" i="19"/>
  <c r="E733" i="19"/>
  <c r="D733" i="19"/>
  <c r="C733" i="19"/>
  <c r="B733" i="19"/>
  <c r="H732" i="19"/>
  <c r="G732" i="19"/>
  <c r="F732" i="19"/>
  <c r="E732" i="19"/>
  <c r="D732" i="19"/>
  <c r="C732" i="19"/>
  <c r="B732" i="19"/>
  <c r="H731" i="19"/>
  <c r="G731" i="19"/>
  <c r="F731" i="19"/>
  <c r="E731" i="19"/>
  <c r="D731" i="19"/>
  <c r="C731" i="19"/>
  <c r="B731" i="19"/>
  <c r="H730" i="19"/>
  <c r="G730" i="19"/>
  <c r="F730" i="19"/>
  <c r="E730" i="19"/>
  <c r="D730" i="19"/>
  <c r="C730" i="19"/>
  <c r="B730" i="19"/>
  <c r="H729" i="19"/>
  <c r="G729" i="19"/>
  <c r="F729" i="19"/>
  <c r="E729" i="19"/>
  <c r="D729" i="19"/>
  <c r="C729" i="19"/>
  <c r="B729" i="19"/>
  <c r="H728" i="19"/>
  <c r="G728" i="19"/>
  <c r="F728" i="19"/>
  <c r="E728" i="19"/>
  <c r="D728" i="19"/>
  <c r="C728" i="19"/>
  <c r="B728" i="19"/>
  <c r="H727" i="19"/>
  <c r="G727" i="19"/>
  <c r="F727" i="19"/>
  <c r="E727" i="19"/>
  <c r="D727" i="19"/>
  <c r="C727" i="19"/>
  <c r="B727" i="19"/>
  <c r="H726" i="19"/>
  <c r="G726" i="19"/>
  <c r="F726" i="19"/>
  <c r="E726" i="19"/>
  <c r="D726" i="19"/>
  <c r="C726" i="19"/>
  <c r="B726" i="19"/>
  <c r="H725" i="19"/>
  <c r="G725" i="19"/>
  <c r="F725" i="19"/>
  <c r="E725" i="19"/>
  <c r="D725" i="19"/>
  <c r="C725" i="19"/>
  <c r="B725" i="19"/>
  <c r="H724" i="19"/>
  <c r="G724" i="19"/>
  <c r="F724" i="19"/>
  <c r="E724" i="19"/>
  <c r="D724" i="19"/>
  <c r="C724" i="19"/>
  <c r="B724" i="19"/>
  <c r="H723" i="19"/>
  <c r="G723" i="19"/>
  <c r="F723" i="19"/>
  <c r="E723" i="19"/>
  <c r="D723" i="19"/>
  <c r="C723" i="19"/>
  <c r="B723" i="19"/>
  <c r="H722" i="19"/>
  <c r="G722" i="19"/>
  <c r="F722" i="19"/>
  <c r="E722" i="19"/>
  <c r="D722" i="19"/>
  <c r="C722" i="19"/>
  <c r="B722" i="19"/>
  <c r="H721" i="19"/>
  <c r="G721" i="19"/>
  <c r="F721" i="19"/>
  <c r="E721" i="19"/>
  <c r="D721" i="19"/>
  <c r="C721" i="19"/>
  <c r="B721" i="19"/>
  <c r="H720" i="19"/>
  <c r="G720" i="19"/>
  <c r="F720" i="19"/>
  <c r="E720" i="19"/>
  <c r="D720" i="19"/>
  <c r="C720" i="19"/>
  <c r="B720" i="19"/>
  <c r="H719" i="19"/>
  <c r="G719" i="19"/>
  <c r="F719" i="19"/>
  <c r="E719" i="19"/>
  <c r="D719" i="19"/>
  <c r="C719" i="19"/>
  <c r="B719" i="19"/>
  <c r="H718" i="19"/>
  <c r="G718" i="19"/>
  <c r="F718" i="19"/>
  <c r="E718" i="19"/>
  <c r="D718" i="19"/>
  <c r="C718" i="19"/>
  <c r="B718" i="19"/>
  <c r="H717" i="19"/>
  <c r="G717" i="19"/>
  <c r="F717" i="19"/>
  <c r="E717" i="19"/>
  <c r="D717" i="19"/>
  <c r="C717" i="19"/>
  <c r="B717" i="19"/>
  <c r="H716" i="19"/>
  <c r="G716" i="19"/>
  <c r="F716" i="19"/>
  <c r="E716" i="19"/>
  <c r="D716" i="19"/>
  <c r="C716" i="19"/>
  <c r="B716" i="19"/>
  <c r="H715" i="19"/>
  <c r="G715" i="19"/>
  <c r="F715" i="19"/>
  <c r="E715" i="19"/>
  <c r="D715" i="19"/>
  <c r="C715" i="19"/>
  <c r="B715" i="19"/>
  <c r="H714" i="19"/>
  <c r="G714" i="19"/>
  <c r="F714" i="19"/>
  <c r="E714" i="19"/>
  <c r="D714" i="19"/>
  <c r="C714" i="19"/>
  <c r="B714" i="19"/>
  <c r="H713" i="19"/>
  <c r="G713" i="19"/>
  <c r="F713" i="19"/>
  <c r="E713" i="19"/>
  <c r="D713" i="19"/>
  <c r="C713" i="19"/>
  <c r="B713" i="19"/>
  <c r="H712" i="19"/>
  <c r="G712" i="19"/>
  <c r="F712" i="19"/>
  <c r="E712" i="19"/>
  <c r="D712" i="19"/>
  <c r="C712" i="19"/>
  <c r="B712" i="19"/>
  <c r="H711" i="19"/>
  <c r="G711" i="19"/>
  <c r="F711" i="19"/>
  <c r="E711" i="19"/>
  <c r="D711" i="19"/>
  <c r="C711" i="19"/>
  <c r="B711" i="19"/>
  <c r="H710" i="19"/>
  <c r="G710" i="19"/>
  <c r="F710" i="19"/>
  <c r="E710" i="19"/>
  <c r="D710" i="19"/>
  <c r="C710" i="19"/>
  <c r="B710" i="19"/>
  <c r="H709" i="19"/>
  <c r="G709" i="19"/>
  <c r="F709" i="19"/>
  <c r="E709" i="19"/>
  <c r="D709" i="19"/>
  <c r="C709" i="19"/>
  <c r="B709" i="19"/>
  <c r="H708" i="19"/>
  <c r="G708" i="19"/>
  <c r="F708" i="19"/>
  <c r="E708" i="19"/>
  <c r="D708" i="19"/>
  <c r="C708" i="19"/>
  <c r="B708" i="19"/>
  <c r="H707" i="19"/>
  <c r="G707" i="19"/>
  <c r="F707" i="19"/>
  <c r="E707" i="19"/>
  <c r="D707" i="19"/>
  <c r="C707" i="19"/>
  <c r="B707" i="19"/>
  <c r="H706" i="19"/>
  <c r="G706" i="19"/>
  <c r="F706" i="19"/>
  <c r="E706" i="19"/>
  <c r="D706" i="19"/>
  <c r="C706" i="19"/>
  <c r="B706" i="19"/>
  <c r="H705" i="19"/>
  <c r="G705" i="19"/>
  <c r="F705" i="19"/>
  <c r="E705" i="19"/>
  <c r="D705" i="19"/>
  <c r="C705" i="19"/>
  <c r="B705" i="19"/>
  <c r="H704" i="19"/>
  <c r="G704" i="19"/>
  <c r="F704" i="19"/>
  <c r="E704" i="19"/>
  <c r="D704" i="19"/>
  <c r="C704" i="19"/>
  <c r="B704" i="19"/>
  <c r="H703" i="19"/>
  <c r="G703" i="19"/>
  <c r="F703" i="19"/>
  <c r="E703" i="19"/>
  <c r="D703" i="19"/>
  <c r="C703" i="19"/>
  <c r="B703" i="19"/>
  <c r="H702" i="19"/>
  <c r="G702" i="19"/>
  <c r="F702" i="19"/>
  <c r="E702" i="19"/>
  <c r="D702" i="19"/>
  <c r="C702" i="19"/>
  <c r="B702" i="19"/>
  <c r="H701" i="19"/>
  <c r="G701" i="19"/>
  <c r="F701" i="19"/>
  <c r="E701" i="19"/>
  <c r="D701" i="19"/>
  <c r="C701" i="19"/>
  <c r="B701" i="19"/>
  <c r="H700" i="19"/>
  <c r="G700" i="19"/>
  <c r="F700" i="19"/>
  <c r="E700" i="19"/>
  <c r="D700" i="19"/>
  <c r="C700" i="19"/>
  <c r="B700" i="19"/>
  <c r="H699" i="19"/>
  <c r="G699" i="19"/>
  <c r="F699" i="19"/>
  <c r="E699" i="19"/>
  <c r="D699" i="19"/>
  <c r="C699" i="19"/>
  <c r="B699" i="19"/>
  <c r="H698" i="19"/>
  <c r="G698" i="19"/>
  <c r="F698" i="19"/>
  <c r="E698" i="19"/>
  <c r="D698" i="19"/>
  <c r="C698" i="19"/>
  <c r="B698" i="19"/>
  <c r="H697" i="19"/>
  <c r="G697" i="19"/>
  <c r="F697" i="19"/>
  <c r="E697" i="19"/>
  <c r="D697" i="19"/>
  <c r="C697" i="19"/>
  <c r="B697" i="19"/>
  <c r="H696" i="19"/>
  <c r="G696" i="19"/>
  <c r="F696" i="19"/>
  <c r="E696" i="19"/>
  <c r="D696" i="19"/>
  <c r="C696" i="19"/>
  <c r="B696" i="19"/>
  <c r="H695" i="19"/>
  <c r="G695" i="19"/>
  <c r="F695" i="19"/>
  <c r="E695" i="19"/>
  <c r="D695" i="19"/>
  <c r="C695" i="19"/>
  <c r="B695" i="19"/>
  <c r="H694" i="19"/>
  <c r="G694" i="19"/>
  <c r="F694" i="19"/>
  <c r="E694" i="19"/>
  <c r="D694" i="19"/>
  <c r="C694" i="19"/>
  <c r="B694" i="19"/>
  <c r="H693" i="19"/>
  <c r="G693" i="19"/>
  <c r="F693" i="19"/>
  <c r="E693" i="19"/>
  <c r="D693" i="19"/>
  <c r="C693" i="19"/>
  <c r="B693" i="19"/>
  <c r="H692" i="19"/>
  <c r="G692" i="19"/>
  <c r="F692" i="19"/>
  <c r="E692" i="19"/>
  <c r="D692" i="19"/>
  <c r="C692" i="19"/>
  <c r="B692" i="19"/>
  <c r="H691" i="19"/>
  <c r="G691" i="19"/>
  <c r="F691" i="19"/>
  <c r="E691" i="19"/>
  <c r="D691" i="19"/>
  <c r="C691" i="19"/>
  <c r="B691" i="19"/>
  <c r="H690" i="19"/>
  <c r="G690" i="19"/>
  <c r="F690" i="19"/>
  <c r="E690" i="19"/>
  <c r="D690" i="19"/>
  <c r="C690" i="19"/>
  <c r="B690" i="19"/>
  <c r="H689" i="19"/>
  <c r="G689" i="19"/>
  <c r="F689" i="19"/>
  <c r="E689" i="19"/>
  <c r="D689" i="19"/>
  <c r="C689" i="19"/>
  <c r="B689" i="19"/>
  <c r="H688" i="19"/>
  <c r="G688" i="19"/>
  <c r="F688" i="19"/>
  <c r="E688" i="19"/>
  <c r="D688" i="19"/>
  <c r="C688" i="19"/>
  <c r="B688" i="19"/>
  <c r="H687" i="19"/>
  <c r="G687" i="19"/>
  <c r="F687" i="19"/>
  <c r="E687" i="19"/>
  <c r="D687" i="19"/>
  <c r="C687" i="19"/>
  <c r="B687" i="19"/>
  <c r="H686" i="19"/>
  <c r="G686" i="19"/>
  <c r="F686" i="19"/>
  <c r="E686" i="19"/>
  <c r="D686" i="19"/>
  <c r="C686" i="19"/>
  <c r="B686" i="19"/>
  <c r="H685" i="19"/>
  <c r="G685" i="19"/>
  <c r="F685" i="19"/>
  <c r="E685" i="19"/>
  <c r="D685" i="19"/>
  <c r="C685" i="19"/>
  <c r="B685" i="19"/>
  <c r="H684" i="19"/>
  <c r="G684" i="19"/>
  <c r="F684" i="19"/>
  <c r="E684" i="19"/>
  <c r="D684" i="19"/>
  <c r="C684" i="19"/>
  <c r="B684" i="19"/>
  <c r="H683" i="19"/>
  <c r="G683" i="19"/>
  <c r="F683" i="19"/>
  <c r="E683" i="19"/>
  <c r="D683" i="19"/>
  <c r="C683" i="19"/>
  <c r="B683" i="19"/>
  <c r="H682" i="19"/>
  <c r="G682" i="19"/>
  <c r="F682" i="19"/>
  <c r="E682" i="19"/>
  <c r="D682" i="19"/>
  <c r="C682" i="19"/>
  <c r="B682" i="19"/>
  <c r="H681" i="19"/>
  <c r="G681" i="19"/>
  <c r="F681" i="19"/>
  <c r="E681" i="19"/>
  <c r="D681" i="19"/>
  <c r="C681" i="19"/>
  <c r="B681" i="19"/>
  <c r="H680" i="19"/>
  <c r="G680" i="19"/>
  <c r="F680" i="19"/>
  <c r="E680" i="19"/>
  <c r="D680" i="19"/>
  <c r="C680" i="19"/>
  <c r="B680" i="19"/>
  <c r="H679" i="19"/>
  <c r="G679" i="19"/>
  <c r="F679" i="19"/>
  <c r="E679" i="19"/>
  <c r="D679" i="19"/>
  <c r="C679" i="19"/>
  <c r="B679" i="19"/>
  <c r="H678" i="19"/>
  <c r="G678" i="19"/>
  <c r="F678" i="19"/>
  <c r="E678" i="19"/>
  <c r="D678" i="19"/>
  <c r="C678" i="19"/>
  <c r="B678" i="19"/>
  <c r="H677" i="19"/>
  <c r="G677" i="19"/>
  <c r="F677" i="19"/>
  <c r="E677" i="19"/>
  <c r="D677" i="19"/>
  <c r="C677" i="19"/>
  <c r="B677" i="19"/>
  <c r="H676" i="19"/>
  <c r="G676" i="19"/>
  <c r="F676" i="19"/>
  <c r="E676" i="19"/>
  <c r="D676" i="19"/>
  <c r="C676" i="19"/>
  <c r="B676" i="19"/>
  <c r="H675" i="19"/>
  <c r="G675" i="19"/>
  <c r="F675" i="19"/>
  <c r="E675" i="19"/>
  <c r="D675" i="19"/>
  <c r="C675" i="19"/>
  <c r="B675" i="19"/>
  <c r="H674" i="19"/>
  <c r="G674" i="19"/>
  <c r="F674" i="19"/>
  <c r="E674" i="19"/>
  <c r="D674" i="19"/>
  <c r="C674" i="19"/>
  <c r="B674" i="19"/>
  <c r="H673" i="19"/>
  <c r="G673" i="19"/>
  <c r="F673" i="19"/>
  <c r="E673" i="19"/>
  <c r="D673" i="19"/>
  <c r="C673" i="19"/>
  <c r="B673" i="19"/>
  <c r="H672" i="19"/>
  <c r="G672" i="19"/>
  <c r="F672" i="19"/>
  <c r="E672" i="19"/>
  <c r="D672" i="19"/>
  <c r="C672" i="19"/>
  <c r="B672" i="19"/>
  <c r="H671" i="19"/>
  <c r="G671" i="19"/>
  <c r="F671" i="19"/>
  <c r="E671" i="19"/>
  <c r="D671" i="19"/>
  <c r="C671" i="19"/>
  <c r="B671" i="19"/>
  <c r="H670" i="19"/>
  <c r="G670" i="19"/>
  <c r="F670" i="19"/>
  <c r="E670" i="19"/>
  <c r="D670" i="19"/>
  <c r="C670" i="19"/>
  <c r="B670" i="19"/>
  <c r="H669" i="19"/>
  <c r="G669" i="19"/>
  <c r="F669" i="19"/>
  <c r="E669" i="19"/>
  <c r="D669" i="19"/>
  <c r="C669" i="19"/>
  <c r="B669" i="19"/>
  <c r="H663" i="19"/>
  <c r="G663" i="19"/>
  <c r="F663" i="19"/>
  <c r="E663" i="19"/>
  <c r="D663" i="19"/>
  <c r="C663" i="19"/>
  <c r="B663" i="19"/>
  <c r="H662" i="19"/>
  <c r="G662" i="19"/>
  <c r="F662" i="19"/>
  <c r="E662" i="19"/>
  <c r="D662" i="19"/>
  <c r="C662" i="19"/>
  <c r="B662" i="19"/>
  <c r="H661" i="19"/>
  <c r="G661" i="19"/>
  <c r="F661" i="19"/>
  <c r="E661" i="19"/>
  <c r="D661" i="19"/>
  <c r="C661" i="19"/>
  <c r="B661" i="19"/>
  <c r="H660" i="19"/>
  <c r="G660" i="19"/>
  <c r="F660" i="19"/>
  <c r="E660" i="19"/>
  <c r="D660" i="19"/>
  <c r="C660" i="19"/>
  <c r="B660" i="19"/>
  <c r="H659" i="19"/>
  <c r="G659" i="19"/>
  <c r="F659" i="19"/>
  <c r="E659" i="19"/>
  <c r="D659" i="19"/>
  <c r="C659" i="19"/>
  <c r="B659" i="19"/>
  <c r="H658" i="19"/>
  <c r="G658" i="19"/>
  <c r="F658" i="19"/>
  <c r="E658" i="19"/>
  <c r="D658" i="19"/>
  <c r="C658" i="19"/>
  <c r="B658" i="19"/>
  <c r="H657" i="19"/>
  <c r="G657" i="19"/>
  <c r="F657" i="19"/>
  <c r="E657" i="19"/>
  <c r="D657" i="19"/>
  <c r="C657" i="19"/>
  <c r="B657" i="19"/>
  <c r="H656" i="19"/>
  <c r="G656" i="19"/>
  <c r="F656" i="19"/>
  <c r="E656" i="19"/>
  <c r="D656" i="19"/>
  <c r="C656" i="19"/>
  <c r="B656" i="19"/>
  <c r="H655" i="19"/>
  <c r="G655" i="19"/>
  <c r="F655" i="19"/>
  <c r="E655" i="19"/>
  <c r="D655" i="19"/>
  <c r="C655" i="19"/>
  <c r="B655" i="19"/>
  <c r="H654" i="19"/>
  <c r="G654" i="19"/>
  <c r="F654" i="19"/>
  <c r="E654" i="19"/>
  <c r="D654" i="19"/>
  <c r="C654" i="19"/>
  <c r="B654" i="19"/>
  <c r="H653" i="19"/>
  <c r="G653" i="19"/>
  <c r="F653" i="19"/>
  <c r="E653" i="19"/>
  <c r="D653" i="19"/>
  <c r="C653" i="19"/>
  <c r="B653" i="19"/>
  <c r="H652" i="19"/>
  <c r="G652" i="19"/>
  <c r="F652" i="19"/>
  <c r="E652" i="19"/>
  <c r="D652" i="19"/>
  <c r="C652" i="19"/>
  <c r="B652" i="19"/>
  <c r="H651" i="19"/>
  <c r="G651" i="19"/>
  <c r="F651" i="19"/>
  <c r="E651" i="19"/>
  <c r="D651" i="19"/>
  <c r="C651" i="19"/>
  <c r="B651" i="19"/>
  <c r="H650" i="19"/>
  <c r="G650" i="19"/>
  <c r="F650" i="19"/>
  <c r="E650" i="19"/>
  <c r="D650" i="19"/>
  <c r="C650" i="19"/>
  <c r="B650" i="19"/>
  <c r="H649" i="19"/>
  <c r="G649" i="19"/>
  <c r="F649" i="19"/>
  <c r="E649" i="19"/>
  <c r="D649" i="19"/>
  <c r="C649" i="19"/>
  <c r="B649" i="19"/>
  <c r="H648" i="19"/>
  <c r="G648" i="19"/>
  <c r="F648" i="19"/>
  <c r="E648" i="19"/>
  <c r="D648" i="19"/>
  <c r="C648" i="19"/>
  <c r="B648" i="19"/>
  <c r="H647" i="19"/>
  <c r="G647" i="19"/>
  <c r="F647" i="19"/>
  <c r="E647" i="19"/>
  <c r="D647" i="19"/>
  <c r="C647" i="19"/>
  <c r="B647" i="19"/>
  <c r="H646" i="19"/>
  <c r="G646" i="19"/>
  <c r="F646" i="19"/>
  <c r="E646" i="19"/>
  <c r="D646" i="19"/>
  <c r="C646" i="19"/>
  <c r="B646" i="19"/>
  <c r="H645" i="19"/>
  <c r="G645" i="19"/>
  <c r="F645" i="19"/>
  <c r="E645" i="19"/>
  <c r="D645" i="19"/>
  <c r="C645" i="19"/>
  <c r="B645" i="19"/>
  <c r="H644" i="19"/>
  <c r="G644" i="19"/>
  <c r="F644" i="19"/>
  <c r="E644" i="19"/>
  <c r="D644" i="19"/>
  <c r="C644" i="19"/>
  <c r="B644" i="19"/>
  <c r="H643" i="19"/>
  <c r="G643" i="19"/>
  <c r="F643" i="19"/>
  <c r="E643" i="19"/>
  <c r="D643" i="19"/>
  <c r="C643" i="19"/>
  <c r="B643" i="19"/>
  <c r="H642" i="19"/>
  <c r="G642" i="19"/>
  <c r="F642" i="19"/>
  <c r="E642" i="19"/>
  <c r="D642" i="19"/>
  <c r="C642" i="19"/>
  <c r="B642" i="19"/>
  <c r="H641" i="19"/>
  <c r="G641" i="19"/>
  <c r="F641" i="19"/>
  <c r="E641" i="19"/>
  <c r="D641" i="19"/>
  <c r="C641" i="19"/>
  <c r="B641" i="19"/>
  <c r="H640" i="19"/>
  <c r="G640" i="19"/>
  <c r="F640" i="19"/>
  <c r="E640" i="19"/>
  <c r="D640" i="19"/>
  <c r="C640" i="19"/>
  <c r="B640" i="19"/>
  <c r="H639" i="19"/>
  <c r="G639" i="19"/>
  <c r="F639" i="19"/>
  <c r="E639" i="19"/>
  <c r="D639" i="19"/>
  <c r="C639" i="19"/>
  <c r="B639" i="19"/>
  <c r="H638" i="19"/>
  <c r="G638" i="19"/>
  <c r="F638" i="19"/>
  <c r="E638" i="19"/>
  <c r="D638" i="19"/>
  <c r="C638" i="19"/>
  <c r="B638" i="19"/>
  <c r="H637" i="19"/>
  <c r="G637" i="19"/>
  <c r="F637" i="19"/>
  <c r="E637" i="19"/>
  <c r="D637" i="19"/>
  <c r="C637" i="19"/>
  <c r="B637" i="19"/>
  <c r="H636" i="19"/>
  <c r="G636" i="19"/>
  <c r="F636" i="19"/>
  <c r="E636" i="19"/>
  <c r="D636" i="19"/>
  <c r="C636" i="19"/>
  <c r="B636" i="19"/>
  <c r="H635" i="19"/>
  <c r="G635" i="19"/>
  <c r="F635" i="19"/>
  <c r="E635" i="19"/>
  <c r="D635" i="19"/>
  <c r="C635" i="19"/>
  <c r="B635" i="19"/>
  <c r="H634" i="19"/>
  <c r="G634" i="19"/>
  <c r="F634" i="19"/>
  <c r="E634" i="19"/>
  <c r="D634" i="19"/>
  <c r="C634" i="19"/>
  <c r="B634" i="19"/>
  <c r="H633" i="19"/>
  <c r="G633" i="19"/>
  <c r="F633" i="19"/>
  <c r="E633" i="19"/>
  <c r="D633" i="19"/>
  <c r="C633" i="19"/>
  <c r="B633" i="19"/>
  <c r="H632" i="19"/>
  <c r="G632" i="19"/>
  <c r="F632" i="19"/>
  <c r="E632" i="19"/>
  <c r="D632" i="19"/>
  <c r="C632" i="19"/>
  <c r="B632" i="19"/>
  <c r="H631" i="19"/>
  <c r="G631" i="19"/>
  <c r="F631" i="19"/>
  <c r="E631" i="19"/>
  <c r="D631" i="19"/>
  <c r="C631" i="19"/>
  <c r="B631" i="19"/>
  <c r="H630" i="19"/>
  <c r="G630" i="19"/>
  <c r="F630" i="19"/>
  <c r="E630" i="19"/>
  <c r="D630" i="19"/>
  <c r="C630" i="19"/>
  <c r="B630" i="19"/>
  <c r="H629" i="19"/>
  <c r="G629" i="19"/>
  <c r="F629" i="19"/>
  <c r="E629" i="19"/>
  <c r="D629" i="19"/>
  <c r="C629" i="19"/>
  <c r="B629" i="19"/>
  <c r="H628" i="19"/>
  <c r="G628" i="19"/>
  <c r="F628" i="19"/>
  <c r="E628" i="19"/>
  <c r="D628" i="19"/>
  <c r="C628" i="19"/>
  <c r="B628" i="19"/>
  <c r="H627" i="19"/>
  <c r="G627" i="19"/>
  <c r="F627" i="19"/>
  <c r="E627" i="19"/>
  <c r="D627" i="19"/>
  <c r="C627" i="19"/>
  <c r="B627" i="19"/>
  <c r="H626" i="19"/>
  <c r="G626" i="19"/>
  <c r="F626" i="19"/>
  <c r="E626" i="19"/>
  <c r="D626" i="19"/>
  <c r="C626" i="19"/>
  <c r="B626" i="19"/>
  <c r="H625" i="19"/>
  <c r="G625" i="19"/>
  <c r="F625" i="19"/>
  <c r="E625" i="19"/>
  <c r="D625" i="19"/>
  <c r="C625" i="19"/>
  <c r="B625" i="19"/>
  <c r="H624" i="19"/>
  <c r="G624" i="19"/>
  <c r="F624" i="19"/>
  <c r="E624" i="19"/>
  <c r="D624" i="19"/>
  <c r="C624" i="19"/>
  <c r="B624" i="19"/>
  <c r="H623" i="19"/>
  <c r="G623" i="19"/>
  <c r="F623" i="19"/>
  <c r="E623" i="19"/>
  <c r="D623" i="19"/>
  <c r="C623" i="19"/>
  <c r="B623" i="19"/>
  <c r="H622" i="19"/>
  <c r="G622" i="19"/>
  <c r="F622" i="19"/>
  <c r="E622" i="19"/>
  <c r="D622" i="19"/>
  <c r="C622" i="19"/>
  <c r="B622" i="19"/>
  <c r="H621" i="19"/>
  <c r="G621" i="19"/>
  <c r="F621" i="19"/>
  <c r="E621" i="19"/>
  <c r="D621" i="19"/>
  <c r="C621" i="19"/>
  <c r="B621" i="19"/>
  <c r="H620" i="19"/>
  <c r="G620" i="19"/>
  <c r="F620" i="19"/>
  <c r="E620" i="19"/>
  <c r="D620" i="19"/>
  <c r="C620" i="19"/>
  <c r="B620" i="19"/>
  <c r="H619" i="19"/>
  <c r="G619" i="19"/>
  <c r="F619" i="19"/>
  <c r="E619" i="19"/>
  <c r="D619" i="19"/>
  <c r="C619" i="19"/>
  <c r="B619" i="19"/>
  <c r="H618" i="19"/>
  <c r="G618" i="19"/>
  <c r="F618" i="19"/>
  <c r="E618" i="19"/>
  <c r="D618" i="19"/>
  <c r="C618" i="19"/>
  <c r="B618" i="19"/>
  <c r="H617" i="19"/>
  <c r="G617" i="19"/>
  <c r="F617" i="19"/>
  <c r="E617" i="19"/>
  <c r="D617" i="19"/>
  <c r="C617" i="19"/>
  <c r="B617" i="19"/>
  <c r="H616" i="19"/>
  <c r="G616" i="19"/>
  <c r="F616" i="19"/>
  <c r="E616" i="19"/>
  <c r="D616" i="19"/>
  <c r="C616" i="19"/>
  <c r="B616" i="19"/>
  <c r="H615" i="19"/>
  <c r="G615" i="19"/>
  <c r="F615" i="19"/>
  <c r="E615" i="19"/>
  <c r="D615" i="19"/>
  <c r="C615" i="19"/>
  <c r="B615" i="19"/>
  <c r="H614" i="19"/>
  <c r="G614" i="19"/>
  <c r="F614" i="19"/>
  <c r="E614" i="19"/>
  <c r="D614" i="19"/>
  <c r="C614" i="19"/>
  <c r="B614" i="19"/>
  <c r="H613" i="19"/>
  <c r="G613" i="19"/>
  <c r="F613" i="19"/>
  <c r="E613" i="19"/>
  <c r="D613" i="19"/>
  <c r="C613" i="19"/>
  <c r="B613" i="19"/>
  <c r="H612" i="19"/>
  <c r="G612" i="19"/>
  <c r="F612" i="19"/>
  <c r="E612" i="19"/>
  <c r="D612" i="19"/>
  <c r="C612" i="19"/>
  <c r="B612" i="19"/>
  <c r="H611" i="19"/>
  <c r="G611" i="19"/>
  <c r="F611" i="19"/>
  <c r="E611" i="19"/>
  <c r="D611" i="19"/>
  <c r="C611" i="19"/>
  <c r="B611" i="19"/>
  <c r="H610" i="19"/>
  <c r="G610" i="19"/>
  <c r="F610" i="19"/>
  <c r="E610" i="19"/>
  <c r="D610" i="19"/>
  <c r="C610" i="19"/>
  <c r="B610" i="19"/>
  <c r="H609" i="19"/>
  <c r="G609" i="19"/>
  <c r="F609" i="19"/>
  <c r="E609" i="19"/>
  <c r="D609" i="19"/>
  <c r="C609" i="19"/>
  <c r="B609" i="19"/>
  <c r="H608" i="19"/>
  <c r="G608" i="19"/>
  <c r="F608" i="19"/>
  <c r="E608" i="19"/>
  <c r="D608" i="19"/>
  <c r="C608" i="19"/>
  <c r="B608" i="19"/>
  <c r="H607" i="19"/>
  <c r="G607" i="19"/>
  <c r="F607" i="19"/>
  <c r="E607" i="19"/>
  <c r="D607" i="19"/>
  <c r="C607" i="19"/>
  <c r="B607" i="19"/>
  <c r="H606" i="19"/>
  <c r="G606" i="19"/>
  <c r="F606" i="19"/>
  <c r="E606" i="19"/>
  <c r="D606" i="19"/>
  <c r="C606" i="19"/>
  <c r="B606" i="19"/>
  <c r="H605" i="19"/>
  <c r="G605" i="19"/>
  <c r="F605" i="19"/>
  <c r="E605" i="19"/>
  <c r="D605" i="19"/>
  <c r="C605" i="19"/>
  <c r="B605" i="19"/>
  <c r="H604" i="19"/>
  <c r="G604" i="19"/>
  <c r="F604" i="19"/>
  <c r="E604" i="19"/>
  <c r="D604" i="19"/>
  <c r="C604" i="19"/>
  <c r="B604" i="19"/>
  <c r="H603" i="19"/>
  <c r="G603" i="19"/>
  <c r="F603" i="19"/>
  <c r="E603" i="19"/>
  <c r="D603" i="19"/>
  <c r="C603" i="19"/>
  <c r="B603" i="19"/>
  <c r="H602" i="19"/>
  <c r="G602" i="19"/>
  <c r="F602" i="19"/>
  <c r="E602" i="19"/>
  <c r="D602" i="19"/>
  <c r="C602" i="19"/>
  <c r="B602" i="19"/>
  <c r="H601" i="19"/>
  <c r="G601" i="19"/>
  <c r="F601" i="19"/>
  <c r="E601" i="19"/>
  <c r="D601" i="19"/>
  <c r="C601" i="19"/>
  <c r="B601" i="19"/>
  <c r="H600" i="19"/>
  <c r="G600" i="19"/>
  <c r="F600" i="19"/>
  <c r="E600" i="19"/>
  <c r="D600" i="19"/>
  <c r="C600" i="19"/>
  <c r="B600" i="19"/>
  <c r="H599" i="19"/>
  <c r="G599" i="19"/>
  <c r="F599" i="19"/>
  <c r="E599" i="19"/>
  <c r="D599" i="19"/>
  <c r="C599" i="19"/>
  <c r="B599" i="19"/>
  <c r="H598" i="19"/>
  <c r="G598" i="19"/>
  <c r="F598" i="19"/>
  <c r="E598" i="19"/>
  <c r="D598" i="19"/>
  <c r="C598" i="19"/>
  <c r="B598" i="19"/>
  <c r="H597" i="19"/>
  <c r="G597" i="19"/>
  <c r="F597" i="19"/>
  <c r="E597" i="19"/>
  <c r="D597" i="19"/>
  <c r="C597" i="19"/>
  <c r="B597" i="19"/>
  <c r="H596" i="19"/>
  <c r="G596" i="19"/>
  <c r="F596" i="19"/>
  <c r="E596" i="19"/>
  <c r="D596" i="19"/>
  <c r="C596" i="19"/>
  <c r="B596" i="19"/>
  <c r="H595" i="19"/>
  <c r="G595" i="19"/>
  <c r="F595" i="19"/>
  <c r="E595" i="19"/>
  <c r="D595" i="19"/>
  <c r="C595" i="19"/>
  <c r="B595" i="19"/>
  <c r="H594" i="19"/>
  <c r="G594" i="19"/>
  <c r="F594" i="19"/>
  <c r="E594" i="19"/>
  <c r="D594" i="19"/>
  <c r="C594" i="19"/>
  <c r="B594" i="19"/>
  <c r="H593" i="19"/>
  <c r="G593" i="19"/>
  <c r="F593" i="19"/>
  <c r="E593" i="19"/>
  <c r="D593" i="19"/>
  <c r="C593" i="19"/>
  <c r="B593" i="19"/>
  <c r="H592" i="19"/>
  <c r="G592" i="19"/>
  <c r="F592" i="19"/>
  <c r="E592" i="19"/>
  <c r="D592" i="19"/>
  <c r="C592" i="19"/>
  <c r="B592" i="19"/>
  <c r="H591" i="19"/>
  <c r="G591" i="19"/>
  <c r="F591" i="19"/>
  <c r="E591" i="19"/>
  <c r="D591" i="19"/>
  <c r="C591" i="19"/>
  <c r="B591" i="19"/>
  <c r="H590" i="19"/>
  <c r="G590" i="19"/>
  <c r="F590" i="19"/>
  <c r="E590" i="19"/>
  <c r="D590" i="19"/>
  <c r="C590" i="19"/>
  <c r="B590" i="19"/>
  <c r="H589" i="19"/>
  <c r="G589" i="19"/>
  <c r="F589" i="19"/>
  <c r="E589" i="19"/>
  <c r="D589" i="19"/>
  <c r="C589" i="19"/>
  <c r="B589" i="19"/>
  <c r="H588" i="19"/>
  <c r="G588" i="19"/>
  <c r="F588" i="19"/>
  <c r="E588" i="19"/>
  <c r="D588" i="19"/>
  <c r="C588" i="19"/>
  <c r="B588" i="19"/>
  <c r="H587" i="19"/>
  <c r="G587" i="19"/>
  <c r="F587" i="19"/>
  <c r="E587" i="19"/>
  <c r="D587" i="19"/>
  <c r="C587" i="19"/>
  <c r="B587" i="19"/>
  <c r="H586" i="19"/>
  <c r="G586" i="19"/>
  <c r="F586" i="19"/>
  <c r="E586" i="19"/>
  <c r="D586" i="19"/>
  <c r="C586" i="19"/>
  <c r="B586" i="19"/>
  <c r="H585" i="19"/>
  <c r="G585" i="19"/>
  <c r="F585" i="19"/>
  <c r="E585" i="19"/>
  <c r="D585" i="19"/>
  <c r="C585" i="19"/>
  <c r="B585" i="19"/>
  <c r="H584" i="19"/>
  <c r="G584" i="19"/>
  <c r="F584" i="19"/>
  <c r="E584" i="19"/>
  <c r="D584" i="19"/>
  <c r="C584" i="19"/>
  <c r="B584" i="19"/>
  <c r="H583" i="19"/>
  <c r="G583" i="19"/>
  <c r="F583" i="19"/>
  <c r="E583" i="19"/>
  <c r="D583" i="19"/>
  <c r="C583" i="19"/>
  <c r="B583" i="19"/>
  <c r="H582" i="19"/>
  <c r="G582" i="19"/>
  <c r="F582" i="19"/>
  <c r="E582" i="19"/>
  <c r="D582" i="19"/>
  <c r="C582" i="19"/>
  <c r="B582" i="19"/>
  <c r="H581" i="19"/>
  <c r="G581" i="19"/>
  <c r="F581" i="19"/>
  <c r="E581" i="19"/>
  <c r="D581" i="19"/>
  <c r="C581" i="19"/>
  <c r="B581" i="19"/>
  <c r="H580" i="19"/>
  <c r="G580" i="19"/>
  <c r="F580" i="19"/>
  <c r="E580" i="19"/>
  <c r="D580" i="19"/>
  <c r="C580" i="19"/>
  <c r="B580" i="19"/>
  <c r="H579" i="19"/>
  <c r="G579" i="19"/>
  <c r="F579" i="19"/>
  <c r="E579" i="19"/>
  <c r="D579" i="19"/>
  <c r="C579" i="19"/>
  <c r="B579" i="19"/>
  <c r="H578" i="19"/>
  <c r="G578" i="19"/>
  <c r="F578" i="19"/>
  <c r="E578" i="19"/>
  <c r="D578" i="19"/>
  <c r="C578" i="19"/>
  <c r="B578" i="19"/>
  <c r="H577" i="19"/>
  <c r="G577" i="19"/>
  <c r="F577" i="19"/>
  <c r="E577" i="19"/>
  <c r="D577" i="19"/>
  <c r="C577" i="19"/>
  <c r="B577" i="19"/>
  <c r="H576" i="19"/>
  <c r="G576" i="19"/>
  <c r="F576" i="19"/>
  <c r="E576" i="19"/>
  <c r="D576" i="19"/>
  <c r="C576" i="19"/>
  <c r="B576" i="19"/>
  <c r="H575" i="19"/>
  <c r="G575" i="19"/>
  <c r="F575" i="19"/>
  <c r="E575" i="19"/>
  <c r="D575" i="19"/>
  <c r="C575" i="19"/>
  <c r="B575" i="19"/>
  <c r="H574" i="19"/>
  <c r="G574" i="19"/>
  <c r="F574" i="19"/>
  <c r="E574" i="19"/>
  <c r="D574" i="19"/>
  <c r="C574" i="19"/>
  <c r="B574" i="19"/>
  <c r="H573" i="19"/>
  <c r="G573" i="19"/>
  <c r="F573" i="19"/>
  <c r="E573" i="19"/>
  <c r="D573" i="19"/>
  <c r="C573" i="19"/>
  <c r="B573" i="19"/>
  <c r="H572" i="19"/>
  <c r="G572" i="19"/>
  <c r="F572" i="19"/>
  <c r="E572" i="19"/>
  <c r="D572" i="19"/>
  <c r="C572" i="19"/>
  <c r="B572" i="19"/>
  <c r="H571" i="19"/>
  <c r="G571" i="19"/>
  <c r="F571" i="19"/>
  <c r="E571" i="19"/>
  <c r="D571" i="19"/>
  <c r="C571" i="19"/>
  <c r="B571" i="19"/>
  <c r="H570" i="19"/>
  <c r="G570" i="19"/>
  <c r="F570" i="19"/>
  <c r="E570" i="19"/>
  <c r="D570" i="19"/>
  <c r="C570" i="19"/>
  <c r="B570" i="19"/>
  <c r="H569" i="19"/>
  <c r="G569" i="19"/>
  <c r="F569" i="19"/>
  <c r="E569" i="19"/>
  <c r="D569" i="19"/>
  <c r="C569" i="19"/>
  <c r="B569" i="19"/>
  <c r="H568" i="19"/>
  <c r="G568" i="19"/>
  <c r="F568" i="19"/>
  <c r="E568" i="19"/>
  <c r="D568" i="19"/>
  <c r="C568" i="19"/>
  <c r="B568" i="19"/>
  <c r="H565" i="19"/>
  <c r="G565" i="19"/>
  <c r="F565" i="19"/>
  <c r="E565" i="19"/>
  <c r="D565" i="19"/>
  <c r="C565" i="19"/>
  <c r="B565" i="19"/>
  <c r="H564" i="19"/>
  <c r="G564" i="19"/>
  <c r="F564" i="19"/>
  <c r="E564" i="19"/>
  <c r="D564" i="19"/>
  <c r="C564" i="19"/>
  <c r="B564" i="19"/>
  <c r="H563" i="19"/>
  <c r="G563" i="19"/>
  <c r="F563" i="19"/>
  <c r="E563" i="19"/>
  <c r="D563" i="19"/>
  <c r="C563" i="19"/>
  <c r="B563" i="19"/>
  <c r="H562" i="19"/>
  <c r="G562" i="19"/>
  <c r="F562" i="19"/>
  <c r="E562" i="19"/>
  <c r="D562" i="19"/>
  <c r="C562" i="19"/>
  <c r="B562" i="19"/>
  <c r="H561" i="19"/>
  <c r="G561" i="19"/>
  <c r="F561" i="19"/>
  <c r="E561" i="19"/>
  <c r="D561" i="19"/>
  <c r="C561" i="19"/>
  <c r="B561" i="19"/>
  <c r="H560" i="19"/>
  <c r="G560" i="19"/>
  <c r="F560" i="19"/>
  <c r="E560" i="19"/>
  <c r="D560" i="19"/>
  <c r="C560" i="19"/>
  <c r="B560" i="19"/>
  <c r="H559" i="19"/>
  <c r="G559" i="19"/>
  <c r="F559" i="19"/>
  <c r="E559" i="19"/>
  <c r="D559" i="19"/>
  <c r="C559" i="19"/>
  <c r="B559" i="19"/>
  <c r="H558" i="19"/>
  <c r="G558" i="19"/>
  <c r="F558" i="19"/>
  <c r="E558" i="19"/>
  <c r="D558" i="19"/>
  <c r="C558" i="19"/>
  <c r="B558" i="19"/>
  <c r="H557" i="19"/>
  <c r="G557" i="19"/>
  <c r="F557" i="19"/>
  <c r="E557" i="19"/>
  <c r="D557" i="19"/>
  <c r="C557" i="19"/>
  <c r="B557" i="19"/>
  <c r="H556" i="19"/>
  <c r="G556" i="19"/>
  <c r="F556" i="19"/>
  <c r="E556" i="19"/>
  <c r="D556" i="19"/>
  <c r="C556" i="19"/>
  <c r="B556" i="19"/>
  <c r="H555" i="19"/>
  <c r="G555" i="19"/>
  <c r="F555" i="19"/>
  <c r="E555" i="19"/>
  <c r="D555" i="19"/>
  <c r="C555" i="19"/>
  <c r="B555" i="19"/>
  <c r="H554" i="19"/>
  <c r="G554" i="19"/>
  <c r="F554" i="19"/>
  <c r="E554" i="19"/>
  <c r="D554" i="19"/>
  <c r="C554" i="19"/>
  <c r="B554" i="19"/>
  <c r="H553" i="19"/>
  <c r="G553" i="19"/>
  <c r="F553" i="19"/>
  <c r="E553" i="19"/>
  <c r="D553" i="19"/>
  <c r="C553" i="19"/>
  <c r="B553" i="19"/>
  <c r="H552" i="19"/>
  <c r="G552" i="19"/>
  <c r="F552" i="19"/>
  <c r="E552" i="19"/>
  <c r="D552" i="19"/>
  <c r="C552" i="19"/>
  <c r="B552" i="19"/>
  <c r="H551" i="19"/>
  <c r="G551" i="19"/>
  <c r="F551" i="19"/>
  <c r="E551" i="19"/>
  <c r="D551" i="19"/>
  <c r="C551" i="19"/>
  <c r="B551" i="19"/>
  <c r="H550" i="19"/>
  <c r="G550" i="19"/>
  <c r="F550" i="19"/>
  <c r="E550" i="19"/>
  <c r="D550" i="19"/>
  <c r="C550" i="19"/>
  <c r="B550" i="19"/>
  <c r="H549" i="19"/>
  <c r="G549" i="19"/>
  <c r="F549" i="19"/>
  <c r="E549" i="19"/>
  <c r="D549" i="19"/>
  <c r="C549" i="19"/>
  <c r="B549" i="19"/>
  <c r="H548" i="19"/>
  <c r="G548" i="19"/>
  <c r="F548" i="19"/>
  <c r="E548" i="19"/>
  <c r="D548" i="19"/>
  <c r="C548" i="19"/>
  <c r="B548" i="19"/>
  <c r="H547" i="19"/>
  <c r="G547" i="19"/>
  <c r="F547" i="19"/>
  <c r="E547" i="19"/>
  <c r="D547" i="19"/>
  <c r="C547" i="19"/>
  <c r="B547" i="19"/>
  <c r="H546" i="19"/>
  <c r="G546" i="19"/>
  <c r="F546" i="19"/>
  <c r="E546" i="19"/>
  <c r="D546" i="19"/>
  <c r="C546" i="19"/>
  <c r="B546" i="19"/>
  <c r="H545" i="19"/>
  <c r="G545" i="19"/>
  <c r="F545" i="19"/>
  <c r="E545" i="19"/>
  <c r="D545" i="19"/>
  <c r="C545" i="19"/>
  <c r="B545" i="19"/>
  <c r="H544" i="19"/>
  <c r="G544" i="19"/>
  <c r="F544" i="19"/>
  <c r="E544" i="19"/>
  <c r="D544" i="19"/>
  <c r="C544" i="19"/>
  <c r="B544" i="19"/>
  <c r="H543" i="19"/>
  <c r="G543" i="19"/>
  <c r="F543" i="19"/>
  <c r="E543" i="19"/>
  <c r="D543" i="19"/>
  <c r="C543" i="19"/>
  <c r="B543" i="19"/>
  <c r="H535" i="19"/>
  <c r="G535" i="19"/>
  <c r="F535" i="19"/>
  <c r="E535" i="19"/>
  <c r="D535" i="19"/>
  <c r="C535" i="19"/>
  <c r="B535" i="19"/>
  <c r="H534" i="19"/>
  <c r="G534" i="19"/>
  <c r="F534" i="19"/>
  <c r="E534" i="19"/>
  <c r="D534" i="19"/>
  <c r="C534" i="19"/>
  <c r="B534" i="19"/>
  <c r="H533" i="19"/>
  <c r="G533" i="19"/>
  <c r="F533" i="19"/>
  <c r="E533" i="19"/>
  <c r="D533" i="19"/>
  <c r="C533" i="19"/>
  <c r="B533" i="19"/>
  <c r="H532" i="19"/>
  <c r="G532" i="19"/>
  <c r="F532" i="19"/>
  <c r="E532" i="19"/>
  <c r="D532" i="19"/>
  <c r="C532" i="19"/>
  <c r="B532" i="19"/>
  <c r="H531" i="19"/>
  <c r="G531" i="19"/>
  <c r="F531" i="19"/>
  <c r="E531" i="19"/>
  <c r="D531" i="19"/>
  <c r="C531" i="19"/>
  <c r="B531" i="19"/>
  <c r="H530" i="19"/>
  <c r="G530" i="19"/>
  <c r="F530" i="19"/>
  <c r="E530" i="19"/>
  <c r="D530" i="19"/>
  <c r="C530" i="19"/>
  <c r="B530" i="19"/>
  <c r="H529" i="19"/>
  <c r="G529" i="19"/>
  <c r="F529" i="19"/>
  <c r="E529" i="19"/>
  <c r="D529" i="19"/>
  <c r="C529" i="19"/>
  <c r="B529" i="19"/>
  <c r="H528" i="19"/>
  <c r="G528" i="19"/>
  <c r="F528" i="19"/>
  <c r="E528" i="19"/>
  <c r="D528" i="19"/>
  <c r="C528" i="19"/>
  <c r="B528" i="19"/>
  <c r="H527" i="19"/>
  <c r="G527" i="19"/>
  <c r="F527" i="19"/>
  <c r="E527" i="19"/>
  <c r="D527" i="19"/>
  <c r="C527" i="19"/>
  <c r="B527" i="19"/>
  <c r="H526" i="19"/>
  <c r="G526" i="19"/>
  <c r="F526" i="19"/>
  <c r="E526" i="19"/>
  <c r="D526" i="19"/>
  <c r="C526" i="19"/>
  <c r="B526" i="19"/>
  <c r="H525" i="19"/>
  <c r="G525" i="19"/>
  <c r="F525" i="19"/>
  <c r="E525" i="19"/>
  <c r="D525" i="19"/>
  <c r="C525" i="19"/>
  <c r="B525" i="19"/>
  <c r="H524" i="19"/>
  <c r="G524" i="19"/>
  <c r="F524" i="19"/>
  <c r="E524" i="19"/>
  <c r="D524" i="19"/>
  <c r="C524" i="19"/>
  <c r="B524" i="19"/>
  <c r="H523" i="19"/>
  <c r="G523" i="19"/>
  <c r="F523" i="19"/>
  <c r="E523" i="19"/>
  <c r="D523" i="19"/>
  <c r="C523" i="19"/>
  <c r="B523" i="19"/>
  <c r="H522" i="19"/>
  <c r="G522" i="19"/>
  <c r="F522" i="19"/>
  <c r="E522" i="19"/>
  <c r="D522" i="19"/>
  <c r="C522" i="19"/>
  <c r="B522" i="19"/>
  <c r="H521" i="19"/>
  <c r="G521" i="19"/>
  <c r="F521" i="19"/>
  <c r="E521" i="19"/>
  <c r="D521" i="19"/>
  <c r="C521" i="19"/>
  <c r="B521" i="19"/>
  <c r="H520" i="19"/>
  <c r="G520" i="19"/>
  <c r="F520" i="19"/>
  <c r="E520" i="19"/>
  <c r="D520" i="19"/>
  <c r="C520" i="19"/>
  <c r="B520" i="19"/>
  <c r="H519" i="19"/>
  <c r="G519" i="19"/>
  <c r="F519" i="19"/>
  <c r="E519" i="19"/>
  <c r="D519" i="19"/>
  <c r="C519" i="19"/>
  <c r="B519" i="19"/>
  <c r="H518" i="19"/>
  <c r="G518" i="19"/>
  <c r="F518" i="19"/>
  <c r="E518" i="19"/>
  <c r="D518" i="19"/>
  <c r="C518" i="19"/>
  <c r="B518" i="19"/>
  <c r="H517" i="19"/>
  <c r="G517" i="19"/>
  <c r="F517" i="19"/>
  <c r="E517" i="19"/>
  <c r="D517" i="19"/>
  <c r="C517" i="19"/>
  <c r="B517" i="19"/>
  <c r="H516" i="19"/>
  <c r="G516" i="19"/>
  <c r="F516" i="19"/>
  <c r="E516" i="19"/>
  <c r="D516" i="19"/>
  <c r="C516" i="19"/>
  <c r="B516" i="19"/>
  <c r="H515" i="19"/>
  <c r="G515" i="19"/>
  <c r="F515" i="19"/>
  <c r="E515" i="19"/>
  <c r="D515" i="19"/>
  <c r="C515" i="19"/>
  <c r="B515" i="19"/>
  <c r="H514" i="19"/>
  <c r="G514" i="19"/>
  <c r="F514" i="19"/>
  <c r="E514" i="19"/>
  <c r="D514" i="19"/>
  <c r="C514" i="19"/>
  <c r="B514" i="19"/>
  <c r="H513" i="19"/>
  <c r="G513" i="19"/>
  <c r="F513" i="19"/>
  <c r="E513" i="19"/>
  <c r="D513" i="19"/>
  <c r="C513" i="19"/>
  <c r="B513" i="19"/>
  <c r="H512" i="19"/>
  <c r="G512" i="19"/>
  <c r="F512" i="19"/>
  <c r="E512" i="19"/>
  <c r="D512" i="19"/>
  <c r="C512" i="19"/>
  <c r="B512" i="19"/>
  <c r="H511" i="19"/>
  <c r="G511" i="19"/>
  <c r="F511" i="19"/>
  <c r="E511" i="19"/>
  <c r="D511" i="19"/>
  <c r="C511" i="19"/>
  <c r="B511" i="19"/>
  <c r="H510" i="19"/>
  <c r="G510" i="19"/>
  <c r="F510" i="19"/>
  <c r="E510" i="19"/>
  <c r="D510" i="19"/>
  <c r="C510" i="19"/>
  <c r="B510" i="19"/>
  <c r="H509" i="19"/>
  <c r="G509" i="19"/>
  <c r="F509" i="19"/>
  <c r="E509" i="19"/>
  <c r="D509" i="19"/>
  <c r="C509" i="19"/>
  <c r="B509" i="19"/>
  <c r="H508" i="19"/>
  <c r="G508" i="19"/>
  <c r="F508" i="19"/>
  <c r="E508" i="19"/>
  <c r="D508" i="19"/>
  <c r="C508" i="19"/>
  <c r="B508" i="19"/>
  <c r="H507" i="19"/>
  <c r="G507" i="19"/>
  <c r="F507" i="19"/>
  <c r="E507" i="19"/>
  <c r="D507" i="19"/>
  <c r="C507" i="19"/>
  <c r="B507" i="19"/>
  <c r="H506" i="19"/>
  <c r="G506" i="19"/>
  <c r="F506" i="19"/>
  <c r="E506" i="19"/>
  <c r="D506" i="19"/>
  <c r="C506" i="19"/>
  <c r="B506" i="19"/>
  <c r="H505" i="19"/>
  <c r="G505" i="19"/>
  <c r="F505" i="19"/>
  <c r="E505" i="19"/>
  <c r="D505" i="19"/>
  <c r="C505" i="19"/>
  <c r="B505" i="19"/>
  <c r="H504" i="19"/>
  <c r="G504" i="19"/>
  <c r="F504" i="19"/>
  <c r="E504" i="19"/>
  <c r="D504" i="19"/>
  <c r="C504" i="19"/>
  <c r="B504" i="19"/>
  <c r="H503" i="19"/>
  <c r="G503" i="19"/>
  <c r="F503" i="19"/>
  <c r="E503" i="19"/>
  <c r="D503" i="19"/>
  <c r="C503" i="19"/>
  <c r="B503" i="19"/>
  <c r="H502" i="19"/>
  <c r="G502" i="19"/>
  <c r="F502" i="19"/>
  <c r="E502" i="19"/>
  <c r="D502" i="19"/>
  <c r="C502" i="19"/>
  <c r="B502" i="19"/>
  <c r="H501" i="19"/>
  <c r="G501" i="19"/>
  <c r="F501" i="19"/>
  <c r="E501" i="19"/>
  <c r="D501" i="19"/>
  <c r="C501" i="19"/>
  <c r="B501" i="19"/>
  <c r="H500" i="19"/>
  <c r="G500" i="19"/>
  <c r="F500" i="19"/>
  <c r="E500" i="19"/>
  <c r="D500" i="19"/>
  <c r="C500" i="19"/>
  <c r="B500" i="19"/>
  <c r="H499" i="19"/>
  <c r="G499" i="19"/>
  <c r="F499" i="19"/>
  <c r="E499" i="19"/>
  <c r="D499" i="19"/>
  <c r="C499" i="19"/>
  <c r="B499" i="19"/>
  <c r="H498" i="19"/>
  <c r="G498" i="19"/>
  <c r="F498" i="19"/>
  <c r="E498" i="19"/>
  <c r="D498" i="19"/>
  <c r="C498" i="19"/>
  <c r="B498" i="19"/>
  <c r="H490" i="19"/>
  <c r="G490" i="19"/>
  <c r="F490" i="19"/>
  <c r="E490" i="19"/>
  <c r="D490" i="19"/>
  <c r="C490" i="19"/>
  <c r="B490" i="19"/>
  <c r="H489" i="19"/>
  <c r="G489" i="19"/>
  <c r="F489" i="19"/>
  <c r="E489" i="19"/>
  <c r="D489" i="19"/>
  <c r="C489" i="19"/>
  <c r="B489" i="19"/>
  <c r="H488" i="19"/>
  <c r="G488" i="19"/>
  <c r="F488" i="19"/>
  <c r="E488" i="19"/>
  <c r="D488" i="19"/>
  <c r="C488" i="19"/>
  <c r="B488" i="19"/>
  <c r="H487" i="19"/>
  <c r="G487" i="19"/>
  <c r="F487" i="19"/>
  <c r="E487" i="19"/>
  <c r="D487" i="19"/>
  <c r="C487" i="19"/>
  <c r="B487" i="19"/>
  <c r="H486" i="19"/>
  <c r="G486" i="19"/>
  <c r="F486" i="19"/>
  <c r="E486" i="19"/>
  <c r="D486" i="19"/>
  <c r="C486" i="19"/>
  <c r="B486" i="19"/>
  <c r="H485" i="19"/>
  <c r="G485" i="19"/>
  <c r="F485" i="19"/>
  <c r="E485" i="19"/>
  <c r="D485" i="19"/>
  <c r="C485" i="19"/>
  <c r="B485" i="19"/>
  <c r="H484" i="19"/>
  <c r="G484" i="19"/>
  <c r="F484" i="19"/>
  <c r="E484" i="19"/>
  <c r="D484" i="19"/>
  <c r="C484" i="19"/>
  <c r="B484" i="19"/>
  <c r="H483" i="19"/>
  <c r="G483" i="19"/>
  <c r="F483" i="19"/>
  <c r="E483" i="19"/>
  <c r="D483" i="19"/>
  <c r="C483" i="19"/>
  <c r="B483" i="19"/>
  <c r="H482" i="19"/>
  <c r="G482" i="19"/>
  <c r="F482" i="19"/>
  <c r="E482" i="19"/>
  <c r="D482" i="19"/>
  <c r="C482" i="19"/>
  <c r="B482" i="19"/>
  <c r="H481" i="19"/>
  <c r="G481" i="19"/>
  <c r="F481" i="19"/>
  <c r="E481" i="19"/>
  <c r="D481" i="19"/>
  <c r="C481" i="19"/>
  <c r="B481" i="19"/>
  <c r="H480" i="19"/>
  <c r="G480" i="19"/>
  <c r="F480" i="19"/>
  <c r="E480" i="19"/>
  <c r="D480" i="19"/>
  <c r="C480" i="19"/>
  <c r="B480" i="19"/>
  <c r="H479" i="19"/>
  <c r="G479" i="19"/>
  <c r="F479" i="19"/>
  <c r="E479" i="19"/>
  <c r="D479" i="19"/>
  <c r="C479" i="19"/>
  <c r="B479" i="19"/>
  <c r="H478" i="19"/>
  <c r="G478" i="19"/>
  <c r="F478" i="19"/>
  <c r="E478" i="19"/>
  <c r="D478" i="19"/>
  <c r="C478" i="19"/>
  <c r="B478" i="19"/>
  <c r="H477" i="19"/>
  <c r="G477" i="19"/>
  <c r="F477" i="19"/>
  <c r="E477" i="19"/>
  <c r="D477" i="19"/>
  <c r="C477" i="19"/>
  <c r="B477" i="19"/>
  <c r="H476" i="19"/>
  <c r="G476" i="19"/>
  <c r="F476" i="19"/>
  <c r="E476" i="19"/>
  <c r="D476" i="19"/>
  <c r="C476" i="19"/>
  <c r="B476" i="19"/>
  <c r="H475" i="19"/>
  <c r="G475" i="19"/>
  <c r="F475" i="19"/>
  <c r="E475" i="19"/>
  <c r="D475" i="19"/>
  <c r="C475" i="19"/>
  <c r="B475" i="19"/>
  <c r="H474" i="19"/>
  <c r="G474" i="19"/>
  <c r="F474" i="19"/>
  <c r="E474" i="19"/>
  <c r="D474" i="19"/>
  <c r="C474" i="19"/>
  <c r="B474" i="19"/>
  <c r="H473" i="19"/>
  <c r="G473" i="19"/>
  <c r="F473" i="19"/>
  <c r="E473" i="19"/>
  <c r="D473" i="19"/>
  <c r="C473" i="19"/>
  <c r="B473" i="19"/>
  <c r="H472" i="19"/>
  <c r="G472" i="19"/>
  <c r="F472" i="19"/>
  <c r="E472" i="19"/>
  <c r="D472" i="19"/>
  <c r="C472" i="19"/>
  <c r="B472" i="19"/>
  <c r="H471" i="19"/>
  <c r="G471" i="19"/>
  <c r="F471" i="19"/>
  <c r="E471" i="19"/>
  <c r="D471" i="19"/>
  <c r="C471" i="19"/>
  <c r="B471" i="19"/>
  <c r="H470" i="19"/>
  <c r="G470" i="19"/>
  <c r="F470" i="19"/>
  <c r="E470" i="19"/>
  <c r="D470" i="19"/>
  <c r="C470" i="19"/>
  <c r="B470" i="19"/>
  <c r="H469" i="19"/>
  <c r="G469" i="19"/>
  <c r="F469" i="19"/>
  <c r="E469" i="19"/>
  <c r="D469" i="19"/>
  <c r="C469" i="19"/>
  <c r="B469" i="19"/>
  <c r="H468" i="19"/>
  <c r="G468" i="19"/>
  <c r="F468" i="19"/>
  <c r="E468" i="19"/>
  <c r="D468" i="19"/>
  <c r="C468" i="19"/>
  <c r="B468" i="19"/>
  <c r="H467" i="19"/>
  <c r="G467" i="19"/>
  <c r="F467" i="19"/>
  <c r="E467" i="19"/>
  <c r="D467" i="19"/>
  <c r="C467" i="19"/>
  <c r="B467" i="19"/>
  <c r="H466" i="19"/>
  <c r="G466" i="19"/>
  <c r="F466" i="19"/>
  <c r="E466" i="19"/>
  <c r="D466" i="19"/>
  <c r="C466" i="19"/>
  <c r="B466" i="19"/>
  <c r="H465" i="19"/>
  <c r="G465" i="19"/>
  <c r="F465" i="19"/>
  <c r="E465" i="19"/>
  <c r="D465" i="19"/>
  <c r="C465" i="19"/>
  <c r="B465" i="19"/>
  <c r="H464" i="19"/>
  <c r="G464" i="19"/>
  <c r="F464" i="19"/>
  <c r="E464" i="19"/>
  <c r="D464" i="19"/>
  <c r="C464" i="19"/>
  <c r="B464" i="19"/>
  <c r="H463" i="19"/>
  <c r="G463" i="19"/>
  <c r="F463" i="19"/>
  <c r="E463" i="19"/>
  <c r="D463" i="19"/>
  <c r="C463" i="19"/>
  <c r="B463" i="19"/>
  <c r="H462" i="19"/>
  <c r="G462" i="19"/>
  <c r="F462" i="19"/>
  <c r="E462" i="19"/>
  <c r="D462" i="19"/>
  <c r="C462" i="19"/>
  <c r="B462" i="19"/>
  <c r="H461" i="19"/>
  <c r="G461" i="19"/>
  <c r="F461" i="19"/>
  <c r="E461" i="19"/>
  <c r="D461" i="19"/>
  <c r="C461" i="19"/>
  <c r="B461" i="19"/>
  <c r="H460" i="19"/>
  <c r="G460" i="19"/>
  <c r="F460" i="19"/>
  <c r="E460" i="19"/>
  <c r="D460" i="19"/>
  <c r="C460" i="19"/>
  <c r="B460" i="19"/>
  <c r="H459" i="19"/>
  <c r="G459" i="19"/>
  <c r="F459" i="19"/>
  <c r="E459" i="19"/>
  <c r="D459" i="19"/>
  <c r="C459" i="19"/>
  <c r="B459" i="19"/>
  <c r="H458" i="19"/>
  <c r="G458" i="19"/>
  <c r="F458" i="19"/>
  <c r="E458" i="19"/>
  <c r="D458" i="19"/>
  <c r="C458" i="19"/>
  <c r="B458" i="19"/>
  <c r="H457" i="19"/>
  <c r="G457" i="19"/>
  <c r="F457" i="19"/>
  <c r="E457" i="19"/>
  <c r="D457" i="19"/>
  <c r="C457" i="19"/>
  <c r="B457" i="19"/>
  <c r="H456" i="19"/>
  <c r="G456" i="19"/>
  <c r="F456" i="19"/>
  <c r="E456" i="19"/>
  <c r="D456" i="19"/>
  <c r="C456" i="19"/>
  <c r="B456" i="19"/>
  <c r="H455" i="19"/>
  <c r="G455" i="19"/>
  <c r="F455" i="19"/>
  <c r="E455" i="19"/>
  <c r="D455" i="19"/>
  <c r="C455" i="19"/>
  <c r="B455" i="19"/>
  <c r="H452" i="19"/>
  <c r="G452" i="19"/>
  <c r="F452" i="19"/>
  <c r="E452" i="19"/>
  <c r="D452" i="19"/>
  <c r="C452" i="19"/>
  <c r="B452" i="19"/>
  <c r="H451" i="19"/>
  <c r="G451" i="19"/>
  <c r="F451" i="19"/>
  <c r="E451" i="19"/>
  <c r="D451" i="19"/>
  <c r="C451" i="19"/>
  <c r="B451" i="19"/>
  <c r="H450" i="19"/>
  <c r="G450" i="19"/>
  <c r="F450" i="19"/>
  <c r="E450" i="19"/>
  <c r="D450" i="19"/>
  <c r="C450" i="19"/>
  <c r="B450" i="19"/>
  <c r="H449" i="19"/>
  <c r="G449" i="19"/>
  <c r="F449" i="19"/>
  <c r="E449" i="19"/>
  <c r="D449" i="19"/>
  <c r="C449" i="19"/>
  <c r="B449" i="19"/>
  <c r="H448" i="19"/>
  <c r="G448" i="19"/>
  <c r="F448" i="19"/>
  <c r="E448" i="19"/>
  <c r="D448" i="19"/>
  <c r="C448" i="19"/>
  <c r="B448" i="19"/>
  <c r="H447" i="19"/>
  <c r="G447" i="19"/>
  <c r="F447" i="19"/>
  <c r="E447" i="19"/>
  <c r="D447" i="19"/>
  <c r="C447" i="19"/>
  <c r="B447" i="19"/>
  <c r="H446" i="19"/>
  <c r="G446" i="19"/>
  <c r="F446" i="19"/>
  <c r="E446" i="19"/>
  <c r="D446" i="19"/>
  <c r="C446" i="19"/>
  <c r="B446" i="19"/>
  <c r="H445" i="19"/>
  <c r="G445" i="19"/>
  <c r="F445" i="19"/>
  <c r="E445" i="19"/>
  <c r="D445" i="19"/>
  <c r="C445" i="19"/>
  <c r="B445" i="19"/>
  <c r="H444" i="19"/>
  <c r="G444" i="19"/>
  <c r="F444" i="19"/>
  <c r="E444" i="19"/>
  <c r="D444" i="19"/>
  <c r="C444" i="19"/>
  <c r="B444" i="19"/>
  <c r="H443" i="19"/>
  <c r="G443" i="19"/>
  <c r="F443" i="19"/>
  <c r="E443" i="19"/>
  <c r="D443" i="19"/>
  <c r="C443" i="19"/>
  <c r="B443" i="19"/>
  <c r="H442" i="19"/>
  <c r="G442" i="19"/>
  <c r="F442" i="19"/>
  <c r="E442" i="19"/>
  <c r="D442" i="19"/>
  <c r="C442" i="19"/>
  <c r="B442" i="19"/>
  <c r="H441" i="19"/>
  <c r="G441" i="19"/>
  <c r="F441" i="19"/>
  <c r="E441" i="19"/>
  <c r="D441" i="19"/>
  <c r="C441" i="19"/>
  <c r="B441" i="19"/>
  <c r="H440" i="19"/>
  <c r="G440" i="19"/>
  <c r="F440" i="19"/>
  <c r="E440" i="19"/>
  <c r="D440" i="19"/>
  <c r="C440" i="19"/>
  <c r="B440" i="19"/>
  <c r="H439" i="19"/>
  <c r="G439" i="19"/>
  <c r="F439" i="19"/>
  <c r="E439" i="19"/>
  <c r="D439" i="19"/>
  <c r="C439" i="19"/>
  <c r="B439" i="19"/>
  <c r="H438" i="19"/>
  <c r="G438" i="19"/>
  <c r="F438" i="19"/>
  <c r="E438" i="19"/>
  <c r="D438" i="19"/>
  <c r="C438" i="19"/>
  <c r="B438" i="19"/>
  <c r="H437" i="19"/>
  <c r="G437" i="19"/>
  <c r="F437" i="19"/>
  <c r="E437" i="19"/>
  <c r="D437" i="19"/>
  <c r="C437" i="19"/>
  <c r="B437" i="19"/>
  <c r="H436" i="19"/>
  <c r="G436" i="19"/>
  <c r="F436" i="19"/>
  <c r="E436" i="19"/>
  <c r="D436" i="19"/>
  <c r="C436" i="19"/>
  <c r="B436" i="19"/>
  <c r="H435" i="19"/>
  <c r="G435" i="19"/>
  <c r="F435" i="19"/>
  <c r="E435" i="19"/>
  <c r="D435" i="19"/>
  <c r="C435" i="19"/>
  <c r="B435" i="19"/>
  <c r="H434" i="19"/>
  <c r="G434" i="19"/>
  <c r="F434" i="19"/>
  <c r="E434" i="19"/>
  <c r="D434" i="19"/>
  <c r="C434" i="19"/>
  <c r="B434" i="19"/>
  <c r="H433" i="19"/>
  <c r="G433" i="19"/>
  <c r="F433" i="19"/>
  <c r="E433" i="19"/>
  <c r="D433" i="19"/>
  <c r="C433" i="19"/>
  <c r="B433" i="19"/>
  <c r="H432" i="19"/>
  <c r="G432" i="19"/>
  <c r="F432" i="19"/>
  <c r="E432" i="19"/>
  <c r="D432" i="19"/>
  <c r="C432" i="19"/>
  <c r="B432" i="19"/>
  <c r="H431" i="19"/>
  <c r="G431" i="19"/>
  <c r="F431" i="19"/>
  <c r="E431" i="19"/>
  <c r="D431" i="19"/>
  <c r="C431" i="19"/>
  <c r="B431" i="19"/>
  <c r="H430" i="19"/>
  <c r="G430" i="19"/>
  <c r="F430" i="19"/>
  <c r="E430" i="19"/>
  <c r="D430" i="19"/>
  <c r="C430" i="19"/>
  <c r="B430" i="19"/>
  <c r="H429" i="19"/>
  <c r="G429" i="19"/>
  <c r="F429" i="19"/>
  <c r="E429" i="19"/>
  <c r="D429" i="19"/>
  <c r="C429" i="19"/>
  <c r="B429" i="19"/>
  <c r="H428" i="19"/>
  <c r="G428" i="19"/>
  <c r="F428" i="19"/>
  <c r="E428" i="19"/>
  <c r="D428" i="19"/>
  <c r="C428" i="19"/>
  <c r="B428" i="19"/>
  <c r="H427" i="19"/>
  <c r="G427" i="19"/>
  <c r="F427" i="19"/>
  <c r="E427" i="19"/>
  <c r="D427" i="19"/>
  <c r="C427" i="19"/>
  <c r="B427" i="19"/>
  <c r="H426" i="19"/>
  <c r="G426" i="19"/>
  <c r="F426" i="19"/>
  <c r="E426" i="19"/>
  <c r="D426" i="19"/>
  <c r="C426" i="19"/>
  <c r="B426" i="19"/>
  <c r="H425" i="19"/>
  <c r="G425" i="19"/>
  <c r="F425" i="19"/>
  <c r="E425" i="19"/>
  <c r="D425" i="19"/>
  <c r="C425" i="19"/>
  <c r="B425" i="19"/>
  <c r="H424" i="19"/>
  <c r="G424" i="19"/>
  <c r="F424" i="19"/>
  <c r="E424" i="19"/>
  <c r="D424" i="19"/>
  <c r="C424" i="19"/>
  <c r="B424" i="19"/>
  <c r="H423" i="19"/>
  <c r="G423" i="19"/>
  <c r="F423" i="19"/>
  <c r="E423" i="19"/>
  <c r="D423" i="19"/>
  <c r="C423" i="19"/>
  <c r="B423" i="19"/>
  <c r="H422" i="19"/>
  <c r="G422" i="19"/>
  <c r="F422" i="19"/>
  <c r="E422" i="19"/>
  <c r="D422" i="19"/>
  <c r="C422" i="19"/>
  <c r="B422" i="19"/>
  <c r="H421" i="19"/>
  <c r="G421" i="19"/>
  <c r="F421" i="19"/>
  <c r="E421" i="19"/>
  <c r="D421" i="19"/>
  <c r="C421" i="19"/>
  <c r="B421" i="19"/>
  <c r="H420" i="19"/>
  <c r="G420" i="19"/>
  <c r="F420" i="19"/>
  <c r="E420" i="19"/>
  <c r="D420" i="19"/>
  <c r="C420" i="19"/>
  <c r="B420" i="19"/>
  <c r="H419" i="19"/>
  <c r="G419" i="19"/>
  <c r="F419" i="19"/>
  <c r="E419" i="19"/>
  <c r="D419" i="19"/>
  <c r="C419" i="19"/>
  <c r="B419" i="19"/>
  <c r="H418" i="19"/>
  <c r="G418" i="19"/>
  <c r="F418" i="19"/>
  <c r="E418" i="19"/>
  <c r="D418" i="19"/>
  <c r="C418" i="19"/>
  <c r="B418" i="19"/>
  <c r="H417" i="19"/>
  <c r="G417" i="19"/>
  <c r="F417" i="19"/>
  <c r="E417" i="19"/>
  <c r="D417" i="19"/>
  <c r="C417" i="19"/>
  <c r="B417" i="19"/>
  <c r="H416" i="19"/>
  <c r="G416" i="19"/>
  <c r="F416" i="19"/>
  <c r="E416" i="19"/>
  <c r="D416" i="19"/>
  <c r="C416" i="19"/>
  <c r="B416" i="19"/>
  <c r="H415" i="19"/>
  <c r="G415" i="19"/>
  <c r="F415" i="19"/>
  <c r="E415" i="19"/>
  <c r="D415" i="19"/>
  <c r="C415" i="19"/>
  <c r="B415" i="19"/>
  <c r="H414" i="19"/>
  <c r="G414" i="19"/>
  <c r="F414" i="19"/>
  <c r="E414" i="19"/>
  <c r="D414" i="19"/>
  <c r="C414" i="19"/>
  <c r="B414" i="19"/>
  <c r="H413" i="19"/>
  <c r="G413" i="19"/>
  <c r="F413" i="19"/>
  <c r="E413" i="19"/>
  <c r="D413" i="19"/>
  <c r="C413" i="19"/>
  <c r="B413" i="19"/>
  <c r="H412" i="19"/>
  <c r="G412" i="19"/>
  <c r="F412" i="19"/>
  <c r="E412" i="19"/>
  <c r="D412" i="19"/>
  <c r="C412" i="19"/>
  <c r="B412" i="19"/>
  <c r="H411" i="19"/>
  <c r="G411" i="19"/>
  <c r="F411" i="19"/>
  <c r="E411" i="19"/>
  <c r="D411" i="19"/>
  <c r="C411" i="19"/>
  <c r="B411" i="19"/>
  <c r="H410" i="19"/>
  <c r="G410" i="19"/>
  <c r="F410" i="19"/>
  <c r="E410" i="19"/>
  <c r="D410" i="19"/>
  <c r="C410" i="19"/>
  <c r="B410" i="19"/>
  <c r="H409" i="19"/>
  <c r="G409" i="19"/>
  <c r="F409" i="19"/>
  <c r="E409" i="19"/>
  <c r="D409" i="19"/>
  <c r="C409" i="19"/>
  <c r="B409" i="19"/>
  <c r="H408" i="19"/>
  <c r="G408" i="19"/>
  <c r="F408" i="19"/>
  <c r="E408" i="19"/>
  <c r="D408" i="19"/>
  <c r="C408" i="19"/>
  <c r="B408" i="19"/>
  <c r="H407" i="19"/>
  <c r="G407" i="19"/>
  <c r="F407" i="19"/>
  <c r="E407" i="19"/>
  <c r="D407" i="19"/>
  <c r="C407" i="19"/>
  <c r="B407" i="19"/>
  <c r="H406" i="19"/>
  <c r="G406" i="19"/>
  <c r="F406" i="19"/>
  <c r="E406" i="19"/>
  <c r="D406" i="19"/>
  <c r="C406" i="19"/>
  <c r="B406" i="19"/>
  <c r="H405" i="19"/>
  <c r="G405" i="19"/>
  <c r="F405" i="19"/>
  <c r="E405" i="19"/>
  <c r="D405" i="19"/>
  <c r="C405" i="19"/>
  <c r="B405" i="19"/>
  <c r="H404" i="19"/>
  <c r="G404" i="19"/>
  <c r="F404" i="19"/>
  <c r="E404" i="19"/>
  <c r="D404" i="19"/>
  <c r="C404" i="19"/>
  <c r="B404" i="19"/>
  <c r="H403" i="19"/>
  <c r="G403" i="19"/>
  <c r="F403" i="19"/>
  <c r="E403" i="19"/>
  <c r="D403" i="19"/>
  <c r="C403" i="19"/>
  <c r="B403" i="19"/>
  <c r="H402" i="19"/>
  <c r="G402" i="19"/>
  <c r="F402" i="19"/>
  <c r="E402" i="19"/>
  <c r="D402" i="19"/>
  <c r="C402" i="19"/>
  <c r="B402" i="19"/>
  <c r="H401" i="19"/>
  <c r="G401" i="19"/>
  <c r="F401" i="19"/>
  <c r="E401" i="19"/>
  <c r="D401" i="19"/>
  <c r="C401" i="19"/>
  <c r="B401" i="19"/>
  <c r="H400" i="19"/>
  <c r="G400" i="19"/>
  <c r="F400" i="19"/>
  <c r="E400" i="19"/>
  <c r="D400" i="19"/>
  <c r="C400" i="19"/>
  <c r="B400" i="19"/>
  <c r="H399" i="19"/>
  <c r="G399" i="19"/>
  <c r="F399" i="19"/>
  <c r="E399" i="19"/>
  <c r="D399" i="19"/>
  <c r="C399" i="19"/>
  <c r="B399" i="19"/>
  <c r="H398" i="19"/>
  <c r="G398" i="19"/>
  <c r="F398" i="19"/>
  <c r="E398" i="19"/>
  <c r="D398" i="19"/>
  <c r="C398" i="19"/>
  <c r="B398" i="19"/>
  <c r="H397" i="19"/>
  <c r="G397" i="19"/>
  <c r="F397" i="19"/>
  <c r="E397" i="19"/>
  <c r="D397" i="19"/>
  <c r="C397" i="19"/>
  <c r="B397" i="19"/>
  <c r="H396" i="19"/>
  <c r="G396" i="19"/>
  <c r="F396" i="19"/>
  <c r="E396" i="19"/>
  <c r="D396" i="19"/>
  <c r="C396" i="19"/>
  <c r="B396" i="19"/>
  <c r="H395" i="19"/>
  <c r="G395" i="19"/>
  <c r="F395" i="19"/>
  <c r="E395" i="19"/>
  <c r="D395" i="19"/>
  <c r="C395" i="19"/>
  <c r="B395" i="19"/>
  <c r="H394" i="19"/>
  <c r="G394" i="19"/>
  <c r="F394" i="19"/>
  <c r="E394" i="19"/>
  <c r="D394" i="19"/>
  <c r="C394" i="19"/>
  <c r="B394" i="19"/>
  <c r="H393" i="19"/>
  <c r="G393" i="19"/>
  <c r="F393" i="19"/>
  <c r="E393" i="19"/>
  <c r="D393" i="19"/>
  <c r="C393" i="19"/>
  <c r="B393" i="19"/>
  <c r="H392" i="19"/>
  <c r="G392" i="19"/>
  <c r="F392" i="19"/>
  <c r="E392" i="19"/>
  <c r="D392" i="19"/>
  <c r="C392" i="19"/>
  <c r="B392" i="19"/>
  <c r="H391" i="19"/>
  <c r="G391" i="19"/>
  <c r="F391" i="19"/>
  <c r="E391" i="19"/>
  <c r="D391" i="19"/>
  <c r="C391" i="19"/>
  <c r="B391" i="19"/>
  <c r="H390" i="19"/>
  <c r="G390" i="19"/>
  <c r="F390" i="19"/>
  <c r="E390" i="19"/>
  <c r="D390" i="19"/>
  <c r="C390" i="19"/>
  <c r="B390" i="19"/>
  <c r="H389" i="19"/>
  <c r="G389" i="19"/>
  <c r="F389" i="19"/>
  <c r="E389" i="19"/>
  <c r="D389" i="19"/>
  <c r="C389" i="19"/>
  <c r="B389" i="19"/>
  <c r="H388" i="19"/>
  <c r="G388" i="19"/>
  <c r="F388" i="19"/>
  <c r="E388" i="19"/>
  <c r="D388" i="19"/>
  <c r="C388" i="19"/>
  <c r="B388" i="19"/>
  <c r="H387" i="19"/>
  <c r="G387" i="19"/>
  <c r="F387" i="19"/>
  <c r="E387" i="19"/>
  <c r="D387" i="19"/>
  <c r="C387" i="19"/>
  <c r="B387" i="19"/>
  <c r="H386" i="19"/>
  <c r="G386" i="19"/>
  <c r="F386" i="19"/>
  <c r="E386" i="19"/>
  <c r="D386" i="19"/>
  <c r="C386" i="19"/>
  <c r="B386" i="19"/>
  <c r="H385" i="19"/>
  <c r="G385" i="19"/>
  <c r="F385" i="19"/>
  <c r="E385" i="19"/>
  <c r="D385" i="19"/>
  <c r="C385" i="19"/>
  <c r="B385" i="19"/>
  <c r="H384" i="19"/>
  <c r="G384" i="19"/>
  <c r="F384" i="19"/>
  <c r="E384" i="19"/>
  <c r="D384" i="19"/>
  <c r="C384" i="19"/>
  <c r="B384" i="19"/>
  <c r="H383" i="19"/>
  <c r="G383" i="19"/>
  <c r="F383" i="19"/>
  <c r="E383" i="19"/>
  <c r="D383" i="19"/>
  <c r="C383" i="19"/>
  <c r="B383" i="19"/>
  <c r="H382" i="19"/>
  <c r="G382" i="19"/>
  <c r="F382" i="19"/>
  <c r="E382" i="19"/>
  <c r="D382" i="19"/>
  <c r="C382" i="19"/>
  <c r="B382" i="19"/>
  <c r="H381" i="19"/>
  <c r="G381" i="19"/>
  <c r="F381" i="19"/>
  <c r="E381" i="19"/>
  <c r="D381" i="19"/>
  <c r="C381" i="19"/>
  <c r="B381" i="19"/>
  <c r="H380" i="19"/>
  <c r="G380" i="19"/>
  <c r="F380" i="19"/>
  <c r="E380" i="19"/>
  <c r="D380" i="19"/>
  <c r="C380" i="19"/>
  <c r="B380" i="19"/>
  <c r="H379" i="19"/>
  <c r="G379" i="19"/>
  <c r="F379" i="19"/>
  <c r="E379" i="19"/>
  <c r="D379" i="19"/>
  <c r="C379" i="19"/>
  <c r="B379" i="19"/>
  <c r="H378" i="19"/>
  <c r="G378" i="19"/>
  <c r="F378" i="19"/>
  <c r="E378" i="19"/>
  <c r="D378" i="19"/>
  <c r="C378" i="19"/>
  <c r="B378" i="19"/>
  <c r="H377" i="19"/>
  <c r="G377" i="19"/>
  <c r="F377" i="19"/>
  <c r="E377" i="19"/>
  <c r="D377" i="19"/>
  <c r="C377" i="19"/>
  <c r="B377" i="19"/>
  <c r="H376" i="19"/>
  <c r="G376" i="19"/>
  <c r="F376" i="19"/>
  <c r="E376" i="19"/>
  <c r="D376" i="19"/>
  <c r="C376" i="19"/>
  <c r="B376" i="19"/>
  <c r="H375" i="19"/>
  <c r="G375" i="19"/>
  <c r="F375" i="19"/>
  <c r="E375" i="19"/>
  <c r="D375" i="19"/>
  <c r="C375" i="19"/>
  <c r="B375" i="19"/>
  <c r="H374" i="19"/>
  <c r="G374" i="19"/>
  <c r="F374" i="19"/>
  <c r="E374" i="19"/>
  <c r="D374" i="19"/>
  <c r="C374" i="19"/>
  <c r="B374" i="19"/>
  <c r="H373" i="19"/>
  <c r="G373" i="19"/>
  <c r="F373" i="19"/>
  <c r="E373" i="19"/>
  <c r="D373" i="19"/>
  <c r="C373" i="19"/>
  <c r="B373" i="19"/>
  <c r="H372" i="19"/>
  <c r="G372" i="19"/>
  <c r="F372" i="19"/>
  <c r="E372" i="19"/>
  <c r="D372" i="19"/>
  <c r="C372" i="19"/>
  <c r="B372" i="19"/>
  <c r="H371" i="19"/>
  <c r="G371" i="19"/>
  <c r="F371" i="19"/>
  <c r="E371" i="19"/>
  <c r="D371" i="19"/>
  <c r="C371" i="19"/>
  <c r="B371" i="19"/>
  <c r="H370" i="19"/>
  <c r="G370" i="19"/>
  <c r="F370" i="19"/>
  <c r="E370" i="19"/>
  <c r="D370" i="19"/>
  <c r="C370" i="19"/>
  <c r="B370" i="19"/>
  <c r="H369" i="19"/>
  <c r="G369" i="19"/>
  <c r="F369" i="19"/>
  <c r="E369" i="19"/>
  <c r="D369" i="19"/>
  <c r="C369" i="19"/>
  <c r="B369" i="19"/>
  <c r="H368" i="19"/>
  <c r="G368" i="19"/>
  <c r="F368" i="19"/>
  <c r="E368" i="19"/>
  <c r="D368" i="19"/>
  <c r="C368" i="19"/>
  <c r="B368" i="19"/>
  <c r="H367" i="19"/>
  <c r="G367" i="19"/>
  <c r="F367" i="19"/>
  <c r="E367" i="19"/>
  <c r="D367" i="19"/>
  <c r="C367" i="19"/>
  <c r="B367" i="19"/>
  <c r="H366" i="19"/>
  <c r="G366" i="19"/>
  <c r="F366" i="19"/>
  <c r="E366" i="19"/>
  <c r="D366" i="19"/>
  <c r="C366" i="19"/>
  <c r="B366" i="19"/>
  <c r="H365" i="19"/>
  <c r="G365" i="19"/>
  <c r="F365" i="19"/>
  <c r="E365" i="19"/>
  <c r="D365" i="19"/>
  <c r="C365" i="19"/>
  <c r="B365" i="19"/>
  <c r="H364" i="19"/>
  <c r="G364" i="19"/>
  <c r="F364" i="19"/>
  <c r="E364" i="19"/>
  <c r="D364" i="19"/>
  <c r="C364" i="19"/>
  <c r="B364" i="19"/>
  <c r="H363" i="19"/>
  <c r="G363" i="19"/>
  <c r="F363" i="19"/>
  <c r="E363" i="19"/>
  <c r="D363" i="19"/>
  <c r="C363" i="19"/>
  <c r="B363" i="19"/>
  <c r="H362" i="19"/>
  <c r="G362" i="19"/>
  <c r="F362" i="19"/>
  <c r="E362" i="19"/>
  <c r="D362" i="19"/>
  <c r="C362" i="19"/>
  <c r="B362" i="19"/>
  <c r="H361" i="19"/>
  <c r="G361" i="19"/>
  <c r="F361" i="19"/>
  <c r="E361" i="19"/>
  <c r="D361" i="19"/>
  <c r="C361" i="19"/>
  <c r="B361" i="19"/>
  <c r="H360" i="19"/>
  <c r="G360" i="19"/>
  <c r="F360" i="19"/>
  <c r="E360" i="19"/>
  <c r="D360" i="19"/>
  <c r="C360" i="19"/>
  <c r="B360" i="19"/>
  <c r="H359" i="19"/>
  <c r="G359" i="19"/>
  <c r="F359" i="19"/>
  <c r="E359" i="19"/>
  <c r="D359" i="19"/>
  <c r="C359" i="19"/>
  <c r="B359" i="19"/>
  <c r="H358" i="19"/>
  <c r="G358" i="19"/>
  <c r="F358" i="19"/>
  <c r="E358" i="19"/>
  <c r="D358" i="19"/>
  <c r="C358" i="19"/>
  <c r="B358" i="19"/>
  <c r="H357" i="19"/>
  <c r="G357" i="19"/>
  <c r="F357" i="19"/>
  <c r="E357" i="19"/>
  <c r="D357" i="19"/>
  <c r="C357" i="19"/>
  <c r="B357" i="19"/>
  <c r="H356" i="19"/>
  <c r="G356" i="19"/>
  <c r="F356" i="19"/>
  <c r="E356" i="19"/>
  <c r="D356" i="19"/>
  <c r="C356" i="19"/>
  <c r="B356" i="19"/>
  <c r="H355" i="19"/>
  <c r="G355" i="19"/>
  <c r="F355" i="19"/>
  <c r="E355" i="19"/>
  <c r="D355" i="19"/>
  <c r="C355" i="19"/>
  <c r="B355" i="19"/>
  <c r="H354" i="19"/>
  <c r="G354" i="19"/>
  <c r="F354" i="19"/>
  <c r="E354" i="19"/>
  <c r="D354" i="19"/>
  <c r="C354" i="19"/>
  <c r="B354" i="19"/>
  <c r="H353" i="19"/>
  <c r="G353" i="19"/>
  <c r="F353" i="19"/>
  <c r="E353" i="19"/>
  <c r="D353" i="19"/>
  <c r="C353" i="19"/>
  <c r="B353" i="19"/>
  <c r="H352" i="19"/>
  <c r="G352" i="19"/>
  <c r="F352" i="19"/>
  <c r="E352" i="19"/>
  <c r="D352" i="19"/>
  <c r="C352" i="19"/>
  <c r="B352" i="19"/>
  <c r="H351" i="19"/>
  <c r="G351" i="19"/>
  <c r="F351" i="19"/>
  <c r="E351" i="19"/>
  <c r="D351" i="19"/>
  <c r="C351" i="19"/>
  <c r="B351" i="19"/>
  <c r="H350" i="19"/>
  <c r="G350" i="19"/>
  <c r="F350" i="19"/>
  <c r="E350" i="19"/>
  <c r="D350" i="19"/>
  <c r="C350" i="19"/>
  <c r="B350" i="19"/>
  <c r="H349" i="19"/>
  <c r="G349" i="19"/>
  <c r="F349" i="19"/>
  <c r="E349" i="19"/>
  <c r="D349" i="19"/>
  <c r="C349" i="19"/>
  <c r="B349" i="19"/>
  <c r="H348" i="19"/>
  <c r="G348" i="19"/>
  <c r="F348" i="19"/>
  <c r="E348" i="19"/>
  <c r="D348" i="19"/>
  <c r="C348" i="19"/>
  <c r="B348" i="19"/>
  <c r="H347" i="19"/>
  <c r="G347" i="19"/>
  <c r="F347" i="19"/>
  <c r="E347" i="19"/>
  <c r="D347" i="19"/>
  <c r="C347" i="19"/>
  <c r="B347" i="19"/>
  <c r="H346" i="19"/>
  <c r="G346" i="19"/>
  <c r="F346" i="19"/>
  <c r="E346" i="19"/>
  <c r="D346" i="19"/>
  <c r="C346" i="19"/>
  <c r="B346" i="19"/>
  <c r="H345" i="19"/>
  <c r="G345" i="19"/>
  <c r="F345" i="19"/>
  <c r="E345" i="19"/>
  <c r="D345" i="19"/>
  <c r="C345" i="19"/>
  <c r="B345" i="19"/>
  <c r="H344" i="19"/>
  <c r="G344" i="19"/>
  <c r="F344" i="19"/>
  <c r="E344" i="19"/>
  <c r="D344" i="19"/>
  <c r="C344" i="19"/>
  <c r="B344" i="19"/>
  <c r="H343" i="19"/>
  <c r="G343" i="19"/>
  <c r="F343" i="19"/>
  <c r="E343" i="19"/>
  <c r="D343" i="19"/>
  <c r="C343" i="19"/>
  <c r="B343" i="19"/>
  <c r="H342" i="19"/>
  <c r="G342" i="19"/>
  <c r="F342" i="19"/>
  <c r="E342" i="19"/>
  <c r="D342" i="19"/>
  <c r="C342" i="19"/>
  <c r="B342" i="19"/>
  <c r="H341" i="19"/>
  <c r="G341" i="19"/>
  <c r="F341" i="19"/>
  <c r="E341" i="19"/>
  <c r="D341" i="19"/>
  <c r="C341" i="19"/>
  <c r="B341" i="19"/>
  <c r="H340" i="19"/>
  <c r="G340" i="19"/>
  <c r="F340" i="19"/>
  <c r="E340" i="19"/>
  <c r="D340" i="19"/>
  <c r="C340" i="19"/>
  <c r="B340" i="19"/>
  <c r="H339" i="19"/>
  <c r="G339" i="19"/>
  <c r="F339" i="19"/>
  <c r="E339" i="19"/>
  <c r="D339" i="19"/>
  <c r="C339" i="19"/>
  <c r="B339" i="19"/>
  <c r="H338" i="19"/>
  <c r="G338" i="19"/>
  <c r="F338" i="19"/>
  <c r="E338" i="19"/>
  <c r="D338" i="19"/>
  <c r="C338" i="19"/>
  <c r="B338" i="19"/>
  <c r="H337" i="19"/>
  <c r="G337" i="19"/>
  <c r="F337" i="19"/>
  <c r="E337" i="19"/>
  <c r="D337" i="19"/>
  <c r="C337" i="19"/>
  <c r="B337" i="19"/>
  <c r="H336" i="19"/>
  <c r="G336" i="19"/>
  <c r="F336" i="19"/>
  <c r="E336" i="19"/>
  <c r="D336" i="19"/>
  <c r="C336" i="19"/>
  <c r="B336" i="19"/>
  <c r="H335" i="19"/>
  <c r="G335" i="19"/>
  <c r="F335" i="19"/>
  <c r="E335" i="19"/>
  <c r="D335" i="19"/>
  <c r="C335" i="19"/>
  <c r="B335" i="19"/>
  <c r="H334" i="19"/>
  <c r="G334" i="19"/>
  <c r="F334" i="19"/>
  <c r="E334" i="19"/>
  <c r="D334" i="19"/>
  <c r="C334" i="19"/>
  <c r="B334" i="19"/>
  <c r="H333" i="19"/>
  <c r="G333" i="19"/>
  <c r="F333" i="19"/>
  <c r="E333" i="19"/>
  <c r="D333" i="19"/>
  <c r="C333" i="19"/>
  <c r="B333" i="19"/>
  <c r="H332" i="19"/>
  <c r="G332" i="19"/>
  <c r="F332" i="19"/>
  <c r="E332" i="19"/>
  <c r="D332" i="19"/>
  <c r="C332" i="19"/>
  <c r="B332" i="19"/>
  <c r="H331" i="19"/>
  <c r="G331" i="19"/>
  <c r="F331" i="19"/>
  <c r="E331" i="19"/>
  <c r="D331" i="19"/>
  <c r="C331" i="19"/>
  <c r="B331" i="19"/>
  <c r="H330" i="19"/>
  <c r="G330" i="19"/>
  <c r="F330" i="19"/>
  <c r="E330" i="19"/>
  <c r="D330" i="19"/>
  <c r="C330" i="19"/>
  <c r="B330" i="19"/>
  <c r="H329" i="19"/>
  <c r="G329" i="19"/>
  <c r="F329" i="19"/>
  <c r="E329" i="19"/>
  <c r="D329" i="19"/>
  <c r="C329" i="19"/>
  <c r="B329" i="19"/>
  <c r="H328" i="19"/>
  <c r="G328" i="19"/>
  <c r="F328" i="19"/>
  <c r="E328" i="19"/>
  <c r="D328" i="19"/>
  <c r="C328" i="19"/>
  <c r="B328" i="19"/>
  <c r="H327" i="19"/>
  <c r="G327" i="19"/>
  <c r="F327" i="19"/>
  <c r="E327" i="19"/>
  <c r="D327" i="19"/>
  <c r="C327" i="19"/>
  <c r="B327" i="19"/>
  <c r="H326" i="19"/>
  <c r="G326" i="19"/>
  <c r="F326" i="19"/>
  <c r="E326" i="19"/>
  <c r="D326" i="19"/>
  <c r="C326" i="19"/>
  <c r="B326" i="19"/>
  <c r="H325" i="19"/>
  <c r="G325" i="19"/>
  <c r="F325" i="19"/>
  <c r="E325" i="19"/>
  <c r="D325" i="19"/>
  <c r="C325" i="19"/>
  <c r="B325" i="19"/>
  <c r="H324" i="19"/>
  <c r="G324" i="19"/>
  <c r="F324" i="19"/>
  <c r="E324" i="19"/>
  <c r="D324" i="19"/>
  <c r="C324" i="19"/>
  <c r="B324" i="19"/>
  <c r="H323" i="19"/>
  <c r="G323" i="19"/>
  <c r="F323" i="19"/>
  <c r="E323" i="19"/>
  <c r="D323" i="19"/>
  <c r="C323" i="19"/>
  <c r="B323" i="19"/>
  <c r="H322" i="19"/>
  <c r="G322" i="19"/>
  <c r="F322" i="19"/>
  <c r="E322" i="19"/>
  <c r="D322" i="19"/>
  <c r="C322" i="19"/>
  <c r="B322" i="19"/>
  <c r="H321" i="19"/>
  <c r="G321" i="19"/>
  <c r="F321" i="19"/>
  <c r="E321" i="19"/>
  <c r="D321" i="19"/>
  <c r="C321" i="19"/>
  <c r="B321" i="19"/>
  <c r="H320" i="19"/>
  <c r="G320" i="19"/>
  <c r="F320" i="19"/>
  <c r="E320" i="19"/>
  <c r="D320" i="19"/>
  <c r="C320" i="19"/>
  <c r="B320" i="19"/>
  <c r="H319" i="19"/>
  <c r="G319" i="19"/>
  <c r="F319" i="19"/>
  <c r="E319" i="19"/>
  <c r="D319" i="19"/>
  <c r="C319" i="19"/>
  <c r="B319" i="19"/>
  <c r="H318" i="19"/>
  <c r="G318" i="19"/>
  <c r="F318" i="19"/>
  <c r="E318" i="19"/>
  <c r="D318" i="19"/>
  <c r="C318" i="19"/>
  <c r="B318" i="19"/>
  <c r="H317" i="19"/>
  <c r="G317" i="19"/>
  <c r="F317" i="19"/>
  <c r="E317" i="19"/>
  <c r="D317" i="19"/>
  <c r="C317" i="19"/>
  <c r="B317" i="19"/>
  <c r="H316" i="19"/>
  <c r="G316" i="19"/>
  <c r="F316" i="19"/>
  <c r="E316" i="19"/>
  <c r="D316" i="19"/>
  <c r="C316" i="19"/>
  <c r="B316" i="19"/>
  <c r="H315" i="19"/>
  <c r="G315" i="19"/>
  <c r="F315" i="19"/>
  <c r="E315" i="19"/>
  <c r="D315" i="19"/>
  <c r="C315" i="19"/>
  <c r="B315" i="19"/>
  <c r="H314" i="19"/>
  <c r="G314" i="19"/>
  <c r="F314" i="19"/>
  <c r="E314" i="19"/>
  <c r="D314" i="19"/>
  <c r="C314" i="19"/>
  <c r="B314" i="19"/>
  <c r="H313" i="19"/>
  <c r="G313" i="19"/>
  <c r="F313" i="19"/>
  <c r="E313" i="19"/>
  <c r="D313" i="19"/>
  <c r="C313" i="19"/>
  <c r="B313" i="19"/>
  <c r="H312" i="19"/>
  <c r="G312" i="19"/>
  <c r="F312" i="19"/>
  <c r="E312" i="19"/>
  <c r="D312" i="19"/>
  <c r="C312" i="19"/>
  <c r="B312" i="19"/>
  <c r="H311" i="19"/>
  <c r="G311" i="19"/>
  <c r="F311" i="19"/>
  <c r="E311" i="19"/>
  <c r="D311" i="19"/>
  <c r="C311" i="19"/>
  <c r="B311" i="19"/>
  <c r="H310" i="19"/>
  <c r="G310" i="19"/>
  <c r="F310" i="19"/>
  <c r="E310" i="19"/>
  <c r="D310" i="19"/>
  <c r="C310" i="19"/>
  <c r="B310" i="19"/>
  <c r="H309" i="19"/>
  <c r="G309" i="19"/>
  <c r="F309" i="19"/>
  <c r="E309" i="19"/>
  <c r="D309" i="19"/>
  <c r="C309" i="19"/>
  <c r="B309" i="19"/>
  <c r="H308" i="19"/>
  <c r="G308" i="19"/>
  <c r="F308" i="19"/>
  <c r="E308" i="19"/>
  <c r="D308" i="19"/>
  <c r="C308" i="19"/>
  <c r="B308" i="19"/>
  <c r="H307" i="19"/>
  <c r="G307" i="19"/>
  <c r="F307" i="19"/>
  <c r="E307" i="19"/>
  <c r="D307" i="19"/>
  <c r="C307" i="19"/>
  <c r="B307" i="19"/>
  <c r="H306" i="19"/>
  <c r="G306" i="19"/>
  <c r="F306" i="19"/>
  <c r="E306" i="19"/>
  <c r="D306" i="19"/>
  <c r="C306" i="19"/>
  <c r="B306" i="19"/>
  <c r="H305" i="19"/>
  <c r="G305" i="19"/>
  <c r="F305" i="19"/>
  <c r="E305" i="19"/>
  <c r="D305" i="19"/>
  <c r="C305" i="19"/>
  <c r="B305" i="19"/>
  <c r="H304" i="19"/>
  <c r="G304" i="19"/>
  <c r="F304" i="19"/>
  <c r="E304" i="19"/>
  <c r="D304" i="19"/>
  <c r="C304" i="19"/>
  <c r="B304" i="19"/>
  <c r="H303" i="19"/>
  <c r="G303" i="19"/>
  <c r="F303" i="19"/>
  <c r="E303" i="19"/>
  <c r="D303" i="19"/>
  <c r="C303" i="19"/>
  <c r="B303" i="19"/>
  <c r="H302" i="19"/>
  <c r="G302" i="19"/>
  <c r="F302" i="19"/>
  <c r="E302" i="19"/>
  <c r="D302" i="19"/>
  <c r="C302" i="19"/>
  <c r="B302" i="19"/>
  <c r="H301" i="19"/>
  <c r="G301" i="19"/>
  <c r="F301" i="19"/>
  <c r="E301" i="19"/>
  <c r="D301" i="19"/>
  <c r="C301" i="19"/>
  <c r="B301" i="19"/>
  <c r="H300" i="19"/>
  <c r="G300" i="19"/>
  <c r="F300" i="19"/>
  <c r="E300" i="19"/>
  <c r="D300" i="19"/>
  <c r="C300" i="19"/>
  <c r="B300" i="19"/>
  <c r="H299" i="19"/>
  <c r="G299" i="19"/>
  <c r="F299" i="19"/>
  <c r="E299" i="19"/>
  <c r="D299" i="19"/>
  <c r="C299" i="19"/>
  <c r="B299" i="19"/>
  <c r="H298" i="19"/>
  <c r="G298" i="19"/>
  <c r="F298" i="19"/>
  <c r="E298" i="19"/>
  <c r="D298" i="19"/>
  <c r="C298" i="19"/>
  <c r="B298" i="19"/>
  <c r="H297" i="19"/>
  <c r="G297" i="19"/>
  <c r="F297" i="19"/>
  <c r="E297" i="19"/>
  <c r="D297" i="19"/>
  <c r="C297" i="19"/>
  <c r="B297" i="19"/>
  <c r="H296" i="19"/>
  <c r="G296" i="19"/>
  <c r="F296" i="19"/>
  <c r="E296" i="19"/>
  <c r="D296" i="19"/>
  <c r="C296" i="19"/>
  <c r="B296" i="19"/>
  <c r="H295" i="19"/>
  <c r="G295" i="19"/>
  <c r="F295" i="19"/>
  <c r="E295" i="19"/>
  <c r="D295" i="19"/>
  <c r="C295" i="19"/>
  <c r="B295" i="19"/>
  <c r="H294" i="19"/>
  <c r="G294" i="19"/>
  <c r="F294" i="19"/>
  <c r="E294" i="19"/>
  <c r="D294" i="19"/>
  <c r="C294" i="19"/>
  <c r="B294" i="19"/>
  <c r="H293" i="19"/>
  <c r="G293" i="19"/>
  <c r="F293" i="19"/>
  <c r="E293" i="19"/>
  <c r="D293" i="19"/>
  <c r="C293" i="19"/>
  <c r="B293" i="19"/>
  <c r="H292" i="19"/>
  <c r="G292" i="19"/>
  <c r="F292" i="19"/>
  <c r="E292" i="19"/>
  <c r="D292" i="19"/>
  <c r="C292" i="19"/>
  <c r="B292" i="19"/>
  <c r="H291" i="19"/>
  <c r="G291" i="19"/>
  <c r="F291" i="19"/>
  <c r="E291" i="19"/>
  <c r="D291" i="19"/>
  <c r="C291" i="19"/>
  <c r="B291" i="19"/>
  <c r="H290" i="19"/>
  <c r="G290" i="19"/>
  <c r="F290" i="19"/>
  <c r="E290" i="19"/>
  <c r="D290" i="19"/>
  <c r="C290" i="19"/>
  <c r="B290" i="19"/>
  <c r="H289" i="19"/>
  <c r="G289" i="19"/>
  <c r="F289" i="19"/>
  <c r="E289" i="19"/>
  <c r="D289" i="19"/>
  <c r="C289" i="19"/>
  <c r="B289" i="19"/>
  <c r="H288" i="19"/>
  <c r="G288" i="19"/>
  <c r="F288" i="19"/>
  <c r="E288" i="19"/>
  <c r="D288" i="19"/>
  <c r="C288" i="19"/>
  <c r="B288" i="19"/>
  <c r="H287" i="19"/>
  <c r="G287" i="19"/>
  <c r="F287" i="19"/>
  <c r="E287" i="19"/>
  <c r="D287" i="19"/>
  <c r="C287" i="19"/>
  <c r="B287" i="19"/>
  <c r="H286" i="19"/>
  <c r="G286" i="19"/>
  <c r="F286" i="19"/>
  <c r="E286" i="19"/>
  <c r="D286" i="19"/>
  <c r="C286" i="19"/>
  <c r="B286" i="19"/>
  <c r="H285" i="19"/>
  <c r="G285" i="19"/>
  <c r="F285" i="19"/>
  <c r="E285" i="19"/>
  <c r="D285" i="19"/>
  <c r="C285" i="19"/>
  <c r="B285" i="19"/>
  <c r="H284" i="19"/>
  <c r="G284" i="19"/>
  <c r="F284" i="19"/>
  <c r="E284" i="19"/>
  <c r="D284" i="19"/>
  <c r="C284" i="19"/>
  <c r="B284" i="19"/>
  <c r="H283" i="19"/>
  <c r="G283" i="19"/>
  <c r="F283" i="19"/>
  <c r="E283" i="19"/>
  <c r="D283" i="19"/>
  <c r="C283" i="19"/>
  <c r="B283" i="19"/>
  <c r="H282" i="19"/>
  <c r="G282" i="19"/>
  <c r="F282" i="19"/>
  <c r="E282" i="19"/>
  <c r="D282" i="19"/>
  <c r="C282" i="19"/>
  <c r="B282" i="19"/>
  <c r="H281" i="19"/>
  <c r="G281" i="19"/>
  <c r="F281" i="19"/>
  <c r="E281" i="19"/>
  <c r="D281" i="19"/>
  <c r="C281" i="19"/>
  <c r="B281" i="19"/>
  <c r="H280" i="19"/>
  <c r="G280" i="19"/>
  <c r="F280" i="19"/>
  <c r="E280" i="19"/>
  <c r="D280" i="19"/>
  <c r="C280" i="19"/>
  <c r="B280" i="19"/>
  <c r="H279" i="19"/>
  <c r="G279" i="19"/>
  <c r="F279" i="19"/>
  <c r="E279" i="19"/>
  <c r="D279" i="19"/>
  <c r="C279" i="19"/>
  <c r="B279" i="19"/>
  <c r="H278" i="19"/>
  <c r="G278" i="19"/>
  <c r="F278" i="19"/>
  <c r="E278" i="19"/>
  <c r="D278" i="19"/>
  <c r="C278" i="19"/>
  <c r="B278" i="19"/>
  <c r="H277" i="19"/>
  <c r="G277" i="19"/>
  <c r="F277" i="19"/>
  <c r="E277" i="19"/>
  <c r="D277" i="19"/>
  <c r="C277" i="19"/>
  <c r="B277" i="19"/>
  <c r="H276" i="19"/>
  <c r="G276" i="19"/>
  <c r="F276" i="19"/>
  <c r="E276" i="19"/>
  <c r="D276" i="19"/>
  <c r="C276" i="19"/>
  <c r="B276" i="19"/>
  <c r="H275" i="19"/>
  <c r="G275" i="19"/>
  <c r="F275" i="19"/>
  <c r="E275" i="19"/>
  <c r="D275" i="19"/>
  <c r="C275" i="19"/>
  <c r="B275" i="19"/>
  <c r="H274" i="19"/>
  <c r="G274" i="19"/>
  <c r="F274" i="19"/>
  <c r="E274" i="19"/>
  <c r="D274" i="19"/>
  <c r="C274" i="19"/>
  <c r="B274" i="19"/>
  <c r="H273" i="19"/>
  <c r="G273" i="19"/>
  <c r="F273" i="19"/>
  <c r="E273" i="19"/>
  <c r="D273" i="19"/>
  <c r="C273" i="19"/>
  <c r="B273" i="19"/>
  <c r="H272" i="19"/>
  <c r="G272" i="19"/>
  <c r="F272" i="19"/>
  <c r="E272" i="19"/>
  <c r="D272" i="19"/>
  <c r="C272" i="19"/>
  <c r="B272" i="19"/>
  <c r="H271" i="19"/>
  <c r="G271" i="19"/>
  <c r="F271" i="19"/>
  <c r="E271" i="19"/>
  <c r="D271" i="19"/>
  <c r="C271" i="19"/>
  <c r="B271" i="19"/>
  <c r="H270" i="19"/>
  <c r="G270" i="19"/>
  <c r="F270" i="19"/>
  <c r="E270" i="19"/>
  <c r="D270" i="19"/>
  <c r="C270" i="19"/>
  <c r="B270" i="19"/>
  <c r="H269" i="19"/>
  <c r="G269" i="19"/>
  <c r="F269" i="19"/>
  <c r="E269" i="19"/>
  <c r="D269" i="19"/>
  <c r="C269" i="19"/>
  <c r="B269" i="19"/>
  <c r="H268" i="19"/>
  <c r="G268" i="19"/>
  <c r="F268" i="19"/>
  <c r="E268" i="19"/>
  <c r="D268" i="19"/>
  <c r="C268" i="19"/>
  <c r="B268" i="19"/>
  <c r="H267" i="19"/>
  <c r="G267" i="19"/>
  <c r="F267" i="19"/>
  <c r="E267" i="19"/>
  <c r="D267" i="19"/>
  <c r="C267" i="19"/>
  <c r="B267" i="19"/>
  <c r="H266" i="19"/>
  <c r="G266" i="19"/>
  <c r="F266" i="19"/>
  <c r="E266" i="19"/>
  <c r="D266" i="19"/>
  <c r="C266" i="19"/>
  <c r="B266" i="19"/>
  <c r="H265" i="19"/>
  <c r="G265" i="19"/>
  <c r="F265" i="19"/>
  <c r="E265" i="19"/>
  <c r="D265" i="19"/>
  <c r="C265" i="19"/>
  <c r="B265" i="19"/>
  <c r="H264" i="19"/>
  <c r="G264" i="19"/>
  <c r="F264" i="19"/>
  <c r="E264" i="19"/>
  <c r="D264" i="19"/>
  <c r="C264" i="19"/>
  <c r="B264" i="19"/>
  <c r="H263" i="19"/>
  <c r="G263" i="19"/>
  <c r="F263" i="19"/>
  <c r="E263" i="19"/>
  <c r="D263" i="19"/>
  <c r="C263" i="19"/>
  <c r="B263" i="19"/>
  <c r="H262" i="19"/>
  <c r="G262" i="19"/>
  <c r="F262" i="19"/>
  <c r="E262" i="19"/>
  <c r="D262" i="19"/>
  <c r="C262" i="19"/>
  <c r="B262" i="19"/>
  <c r="H261" i="19"/>
  <c r="G261" i="19"/>
  <c r="F261" i="19"/>
  <c r="E261" i="19"/>
  <c r="D261" i="19"/>
  <c r="C261" i="19"/>
  <c r="B261" i="19"/>
  <c r="H260" i="19"/>
  <c r="G260" i="19"/>
  <c r="F260" i="19"/>
  <c r="E260" i="19"/>
  <c r="D260" i="19"/>
  <c r="C260" i="19"/>
  <c r="B260" i="19"/>
  <c r="H259" i="19"/>
  <c r="G259" i="19"/>
  <c r="F259" i="19"/>
  <c r="E259" i="19"/>
  <c r="D259" i="19"/>
  <c r="C259" i="19"/>
  <c r="B259" i="19"/>
  <c r="H258" i="19"/>
  <c r="G258" i="19"/>
  <c r="F258" i="19"/>
  <c r="E258" i="19"/>
  <c r="D258" i="19"/>
  <c r="C258" i="19"/>
  <c r="B258" i="19"/>
  <c r="H257" i="19"/>
  <c r="G257" i="19"/>
  <c r="F257" i="19"/>
  <c r="E257" i="19"/>
  <c r="D257" i="19"/>
  <c r="C257" i="19"/>
  <c r="B257" i="19"/>
  <c r="H256" i="19"/>
  <c r="G256" i="19"/>
  <c r="F256" i="19"/>
  <c r="E256" i="19"/>
  <c r="D256" i="19"/>
  <c r="C256" i="19"/>
  <c r="B256" i="19"/>
  <c r="H255" i="19"/>
  <c r="G255" i="19"/>
  <c r="F255" i="19"/>
  <c r="E255" i="19"/>
  <c r="D255" i="19"/>
  <c r="C255" i="19"/>
  <c r="B255" i="19"/>
  <c r="H254" i="19"/>
  <c r="G254" i="19"/>
  <c r="F254" i="19"/>
  <c r="E254" i="19"/>
  <c r="D254" i="19"/>
  <c r="C254" i="19"/>
  <c r="B254" i="19"/>
  <c r="H253" i="19"/>
  <c r="G253" i="19"/>
  <c r="F253" i="19"/>
  <c r="E253" i="19"/>
  <c r="D253" i="19"/>
  <c r="C253" i="19"/>
  <c r="B253" i="19"/>
  <c r="H252" i="19"/>
  <c r="G252" i="19"/>
  <c r="F252" i="19"/>
  <c r="E252" i="19"/>
  <c r="D252" i="19"/>
  <c r="C252" i="19"/>
  <c r="B252" i="19"/>
  <c r="H251" i="19"/>
  <c r="G251" i="19"/>
  <c r="F251" i="19"/>
  <c r="E251" i="19"/>
  <c r="D251" i="19"/>
  <c r="C251" i="19"/>
  <c r="B251" i="19"/>
  <c r="H250" i="19"/>
  <c r="G250" i="19"/>
  <c r="F250" i="19"/>
  <c r="E250" i="19"/>
  <c r="D250" i="19"/>
  <c r="C250" i="19"/>
  <c r="B250" i="19"/>
  <c r="H249" i="19"/>
  <c r="G249" i="19"/>
  <c r="F249" i="19"/>
  <c r="E249" i="19"/>
  <c r="D249" i="19"/>
  <c r="C249" i="19"/>
  <c r="B249" i="19"/>
  <c r="H248" i="19"/>
  <c r="G248" i="19"/>
  <c r="F248" i="19"/>
  <c r="E248" i="19"/>
  <c r="D248" i="19"/>
  <c r="C248" i="19"/>
  <c r="B248" i="19"/>
  <c r="H247" i="19"/>
  <c r="G247" i="19"/>
  <c r="F247" i="19"/>
  <c r="E247" i="19"/>
  <c r="D247" i="19"/>
  <c r="C247" i="19"/>
  <c r="B247" i="19"/>
  <c r="H246" i="19"/>
  <c r="G246" i="19"/>
  <c r="F246" i="19"/>
  <c r="E246" i="19"/>
  <c r="D246" i="19"/>
  <c r="C246" i="19"/>
  <c r="B246" i="19"/>
  <c r="H245" i="19"/>
  <c r="G245" i="19"/>
  <c r="F245" i="19"/>
  <c r="E245" i="19"/>
  <c r="D245" i="19"/>
  <c r="C245" i="19"/>
  <c r="B245" i="19"/>
  <c r="H244" i="19"/>
  <c r="G244" i="19"/>
  <c r="F244" i="19"/>
  <c r="E244" i="19"/>
  <c r="D244" i="19"/>
  <c r="C244" i="19"/>
  <c r="B244" i="19"/>
  <c r="H243" i="19"/>
  <c r="G243" i="19"/>
  <c r="F243" i="19"/>
  <c r="E243" i="19"/>
  <c r="D243" i="19"/>
  <c r="C243" i="19"/>
  <c r="B243" i="19"/>
  <c r="H242" i="19"/>
  <c r="G242" i="19"/>
  <c r="F242" i="19"/>
  <c r="E242" i="19"/>
  <c r="D242" i="19"/>
  <c r="C242" i="19"/>
  <c r="B242" i="19"/>
  <c r="H241" i="19"/>
  <c r="G241" i="19"/>
  <c r="F241" i="19"/>
  <c r="E241" i="19"/>
  <c r="D241" i="19"/>
  <c r="C241" i="19"/>
  <c r="B241" i="19"/>
  <c r="H240" i="19"/>
  <c r="G240" i="19"/>
  <c r="F240" i="19"/>
  <c r="E240" i="19"/>
  <c r="D240" i="19"/>
  <c r="C240" i="19"/>
  <c r="B240" i="19"/>
  <c r="H239" i="19"/>
  <c r="G239" i="19"/>
  <c r="F239" i="19"/>
  <c r="E239" i="19"/>
  <c r="D239" i="19"/>
  <c r="C239" i="19"/>
  <c r="B239" i="19"/>
  <c r="H238" i="19"/>
  <c r="G238" i="19"/>
  <c r="F238" i="19"/>
  <c r="E238" i="19"/>
  <c r="D238" i="19"/>
  <c r="C238" i="19"/>
  <c r="B238" i="19"/>
  <c r="H237" i="19"/>
  <c r="G237" i="19"/>
  <c r="F237" i="19"/>
  <c r="E237" i="19"/>
  <c r="D237" i="19"/>
  <c r="C237" i="19"/>
  <c r="B237" i="19"/>
  <c r="H236" i="19"/>
  <c r="G236" i="19"/>
  <c r="F236" i="19"/>
  <c r="E236" i="19"/>
  <c r="D236" i="19"/>
  <c r="C236" i="19"/>
  <c r="B236" i="19"/>
  <c r="H235" i="19"/>
  <c r="G235" i="19"/>
  <c r="F235" i="19"/>
  <c r="E235" i="19"/>
  <c r="D235" i="19"/>
  <c r="C235" i="19"/>
  <c r="B235" i="19"/>
  <c r="H234" i="19"/>
  <c r="G234" i="19"/>
  <c r="F234" i="19"/>
  <c r="E234" i="19"/>
  <c r="D234" i="19"/>
  <c r="C234" i="19"/>
  <c r="B234" i="19"/>
  <c r="H233" i="19"/>
  <c r="G233" i="19"/>
  <c r="F233" i="19"/>
  <c r="E233" i="19"/>
  <c r="D233" i="19"/>
  <c r="C233" i="19"/>
  <c r="B233" i="19"/>
  <c r="H232" i="19"/>
  <c r="G232" i="19"/>
  <c r="F232" i="19"/>
  <c r="E232" i="19"/>
  <c r="D232" i="19"/>
  <c r="C232" i="19"/>
  <c r="B232" i="19"/>
  <c r="H231" i="19"/>
  <c r="G231" i="19"/>
  <c r="F231" i="19"/>
  <c r="E231" i="19"/>
  <c r="D231" i="19"/>
  <c r="C231" i="19"/>
  <c r="B231" i="19"/>
  <c r="H230" i="19"/>
  <c r="G230" i="19"/>
  <c r="F230" i="19"/>
  <c r="E230" i="19"/>
  <c r="D230" i="19"/>
  <c r="C230" i="19"/>
  <c r="B230" i="19"/>
  <c r="H229" i="19"/>
  <c r="G229" i="19"/>
  <c r="F229" i="19"/>
  <c r="E229" i="19"/>
  <c r="D229" i="19"/>
  <c r="C229" i="19"/>
  <c r="B229" i="19"/>
  <c r="H228" i="19"/>
  <c r="G228" i="19"/>
  <c r="F228" i="19"/>
  <c r="E228" i="19"/>
  <c r="D228" i="19"/>
  <c r="C228" i="19"/>
  <c r="B228" i="19"/>
  <c r="H227" i="19"/>
  <c r="G227" i="19"/>
  <c r="F227" i="19"/>
  <c r="E227" i="19"/>
  <c r="D227" i="19"/>
  <c r="C227" i="19"/>
  <c r="B227" i="19"/>
  <c r="H226" i="19"/>
  <c r="G226" i="19"/>
  <c r="F226" i="19"/>
  <c r="E226" i="19"/>
  <c r="D226" i="19"/>
  <c r="C226" i="19"/>
  <c r="B226" i="19"/>
  <c r="H225" i="19"/>
  <c r="G225" i="19"/>
  <c r="F225" i="19"/>
  <c r="E225" i="19"/>
  <c r="D225" i="19"/>
  <c r="C225" i="19"/>
  <c r="B225" i="19"/>
  <c r="H224" i="19"/>
  <c r="G224" i="19"/>
  <c r="F224" i="19"/>
  <c r="E224" i="19"/>
  <c r="D224" i="19"/>
  <c r="C224" i="19"/>
  <c r="B224" i="19"/>
  <c r="H223" i="19"/>
  <c r="G223" i="19"/>
  <c r="F223" i="19"/>
  <c r="E223" i="19"/>
  <c r="D223" i="19"/>
  <c r="C223" i="19"/>
  <c r="B223" i="19"/>
  <c r="H222" i="19"/>
  <c r="G222" i="19"/>
  <c r="F222" i="19"/>
  <c r="E222" i="19"/>
  <c r="D222" i="19"/>
  <c r="C222" i="19"/>
  <c r="B222" i="19"/>
  <c r="H221" i="19"/>
  <c r="G221" i="19"/>
  <c r="F221" i="19"/>
  <c r="E221" i="19"/>
  <c r="D221" i="19"/>
  <c r="C221" i="19"/>
  <c r="B221" i="19"/>
  <c r="H220" i="19"/>
  <c r="G220" i="19"/>
  <c r="F220" i="19"/>
  <c r="E220" i="19"/>
  <c r="D220" i="19"/>
  <c r="C220" i="19"/>
  <c r="B220" i="19"/>
  <c r="H219" i="19"/>
  <c r="G219" i="19"/>
  <c r="F219" i="19"/>
  <c r="E219" i="19"/>
  <c r="D219" i="19"/>
  <c r="C219" i="19"/>
  <c r="B219" i="19"/>
  <c r="H218" i="19"/>
  <c r="G218" i="19"/>
  <c r="F218" i="19"/>
  <c r="E218" i="19"/>
  <c r="D218" i="19"/>
  <c r="C218" i="19"/>
  <c r="B218" i="19"/>
  <c r="H217" i="19"/>
  <c r="G217" i="19"/>
  <c r="F217" i="19"/>
  <c r="E217" i="19"/>
  <c r="D217" i="19"/>
  <c r="C217" i="19"/>
  <c r="B217" i="19"/>
  <c r="H216" i="19"/>
  <c r="G216" i="19"/>
  <c r="F216" i="19"/>
  <c r="E216" i="19"/>
  <c r="D216" i="19"/>
  <c r="C216" i="19"/>
  <c r="B216" i="19"/>
  <c r="H215" i="19"/>
  <c r="G215" i="19"/>
  <c r="F215" i="19"/>
  <c r="E215" i="19"/>
  <c r="D215" i="19"/>
  <c r="C215" i="19"/>
  <c r="B215" i="19"/>
  <c r="H214" i="19"/>
  <c r="G214" i="19"/>
  <c r="F214" i="19"/>
  <c r="E214" i="19"/>
  <c r="D214" i="19"/>
  <c r="C214" i="19"/>
  <c r="B214" i="19"/>
  <c r="H213" i="19"/>
  <c r="G213" i="19"/>
  <c r="F213" i="19"/>
  <c r="E213" i="19"/>
  <c r="D213" i="19"/>
  <c r="C213" i="19"/>
  <c r="B213" i="19"/>
  <c r="H212" i="19"/>
  <c r="G212" i="19"/>
  <c r="F212" i="19"/>
  <c r="E212" i="19"/>
  <c r="D212" i="19"/>
  <c r="C212" i="19"/>
  <c r="B212" i="19"/>
  <c r="H211" i="19"/>
  <c r="G211" i="19"/>
  <c r="F211" i="19"/>
  <c r="E211" i="19"/>
  <c r="D211" i="19"/>
  <c r="C211" i="19"/>
  <c r="B211" i="19"/>
  <c r="H210" i="19"/>
  <c r="G210" i="19"/>
  <c r="F210" i="19"/>
  <c r="E210" i="19"/>
  <c r="D210" i="19"/>
  <c r="C210" i="19"/>
  <c r="B210" i="19"/>
  <c r="H209" i="19"/>
  <c r="G209" i="19"/>
  <c r="F209" i="19"/>
  <c r="E209" i="19"/>
  <c r="D209" i="19"/>
  <c r="C209" i="19"/>
  <c r="B209" i="19"/>
  <c r="H208" i="19"/>
  <c r="G208" i="19"/>
  <c r="F208" i="19"/>
  <c r="E208" i="19"/>
  <c r="D208" i="19"/>
  <c r="C208" i="19"/>
  <c r="B208" i="19"/>
  <c r="H207" i="19"/>
  <c r="G207" i="19"/>
  <c r="F207" i="19"/>
  <c r="E207" i="19"/>
  <c r="D207" i="19"/>
  <c r="C207" i="19"/>
  <c r="B207" i="19"/>
  <c r="H206" i="19"/>
  <c r="G206" i="19"/>
  <c r="F206" i="19"/>
  <c r="E206" i="19"/>
  <c r="D206" i="19"/>
  <c r="C206" i="19"/>
  <c r="B206" i="19"/>
  <c r="H205" i="19"/>
  <c r="G205" i="19"/>
  <c r="F205" i="19"/>
  <c r="E205" i="19"/>
  <c r="D205" i="19"/>
  <c r="C205" i="19"/>
  <c r="B205" i="19"/>
  <c r="H204" i="19"/>
  <c r="G204" i="19"/>
  <c r="F204" i="19"/>
  <c r="E204" i="19"/>
  <c r="D204" i="19"/>
  <c r="C204" i="19"/>
  <c r="B204" i="19"/>
  <c r="H203" i="19"/>
  <c r="G203" i="19"/>
  <c r="F203" i="19"/>
  <c r="E203" i="19"/>
  <c r="D203" i="19"/>
  <c r="C203" i="19"/>
  <c r="B203" i="19"/>
  <c r="H202" i="19"/>
  <c r="G202" i="19"/>
  <c r="F202" i="19"/>
  <c r="E202" i="19"/>
  <c r="D202" i="19"/>
  <c r="C202" i="19"/>
  <c r="B202" i="19"/>
  <c r="H201" i="19"/>
  <c r="G201" i="19"/>
  <c r="F201" i="19"/>
  <c r="E201" i="19"/>
  <c r="D201" i="19"/>
  <c r="C201" i="19"/>
  <c r="B201" i="19"/>
  <c r="H200" i="19"/>
  <c r="G200" i="19"/>
  <c r="F200" i="19"/>
  <c r="E200" i="19"/>
  <c r="D200" i="19"/>
  <c r="C200" i="19"/>
  <c r="B200" i="19"/>
  <c r="H199" i="19"/>
  <c r="G199" i="19"/>
  <c r="F199" i="19"/>
  <c r="E199" i="19"/>
  <c r="D199" i="19"/>
  <c r="C199" i="19"/>
  <c r="B199" i="19"/>
  <c r="H198" i="19"/>
  <c r="G198" i="19"/>
  <c r="F198" i="19"/>
  <c r="E198" i="19"/>
  <c r="D198" i="19"/>
  <c r="C198" i="19"/>
  <c r="B198" i="19"/>
  <c r="H197" i="19"/>
  <c r="G197" i="19"/>
  <c r="F197" i="19"/>
  <c r="E197" i="19"/>
  <c r="D197" i="19"/>
  <c r="C197" i="19"/>
  <c r="B197" i="19"/>
  <c r="H196" i="19"/>
  <c r="G196" i="19"/>
  <c r="F196" i="19"/>
  <c r="E196" i="19"/>
  <c r="D196" i="19"/>
  <c r="C196" i="19"/>
  <c r="B196" i="19"/>
  <c r="H195" i="19"/>
  <c r="G195" i="19"/>
  <c r="F195" i="19"/>
  <c r="E195" i="19"/>
  <c r="D195" i="19"/>
  <c r="C195" i="19"/>
  <c r="B195" i="19"/>
  <c r="H194" i="19"/>
  <c r="G194" i="19"/>
  <c r="F194" i="19"/>
  <c r="E194" i="19"/>
  <c r="D194" i="19"/>
  <c r="C194" i="19"/>
  <c r="B194" i="19"/>
  <c r="H193" i="19"/>
  <c r="G193" i="19"/>
  <c r="F193" i="19"/>
  <c r="E193" i="19"/>
  <c r="D193" i="19"/>
  <c r="C193" i="19"/>
  <c r="B193" i="19"/>
  <c r="H192" i="19"/>
  <c r="G192" i="19"/>
  <c r="F192" i="19"/>
  <c r="E192" i="19"/>
  <c r="D192" i="19"/>
  <c r="C192" i="19"/>
  <c r="B192" i="19"/>
  <c r="H191" i="19"/>
  <c r="G191" i="19"/>
  <c r="F191" i="19"/>
  <c r="E191" i="19"/>
  <c r="D191" i="19"/>
  <c r="C191" i="19"/>
  <c r="B191" i="19"/>
  <c r="H190" i="19"/>
  <c r="G190" i="19"/>
  <c r="F190" i="19"/>
  <c r="E190" i="19"/>
  <c r="D190" i="19"/>
  <c r="C190" i="19"/>
  <c r="B190" i="19"/>
  <c r="H189" i="19"/>
  <c r="G189" i="19"/>
  <c r="F189" i="19"/>
  <c r="E189" i="19"/>
  <c r="D189" i="19"/>
  <c r="C189" i="19"/>
  <c r="B189" i="19"/>
  <c r="H188" i="19"/>
  <c r="G188" i="19"/>
  <c r="F188" i="19"/>
  <c r="E188" i="19"/>
  <c r="D188" i="19"/>
  <c r="C188" i="19"/>
  <c r="B188" i="19"/>
  <c r="H187" i="19"/>
  <c r="G187" i="19"/>
  <c r="F187" i="19"/>
  <c r="E187" i="19"/>
  <c r="D187" i="19"/>
  <c r="C187" i="19"/>
  <c r="B187" i="19"/>
  <c r="H186" i="19"/>
  <c r="G186" i="19"/>
  <c r="F186" i="19"/>
  <c r="E186" i="19"/>
  <c r="D186" i="19"/>
  <c r="C186" i="19"/>
  <c r="B186" i="19"/>
  <c r="H185" i="19"/>
  <c r="G185" i="19"/>
  <c r="F185" i="19"/>
  <c r="E185" i="19"/>
  <c r="D185" i="19"/>
  <c r="C185" i="19"/>
  <c r="B185" i="19"/>
  <c r="H184" i="19"/>
  <c r="G184" i="19"/>
  <c r="F184" i="19"/>
  <c r="E184" i="19"/>
  <c r="D184" i="19"/>
  <c r="C184" i="19"/>
  <c r="B184" i="19"/>
  <c r="H183" i="19"/>
  <c r="G183" i="19"/>
  <c r="F183" i="19"/>
  <c r="E183" i="19"/>
  <c r="D183" i="19"/>
  <c r="C183" i="19"/>
  <c r="B183" i="19"/>
  <c r="H182" i="19"/>
  <c r="G182" i="19"/>
  <c r="F182" i="19"/>
  <c r="E182" i="19"/>
  <c r="D182" i="19"/>
  <c r="C182" i="19"/>
  <c r="B182" i="19"/>
  <c r="H181" i="19"/>
  <c r="G181" i="19"/>
  <c r="F181" i="19"/>
  <c r="E181" i="19"/>
  <c r="D181" i="19"/>
  <c r="C181" i="19"/>
  <c r="B181" i="19"/>
  <c r="H180" i="19"/>
  <c r="G180" i="19"/>
  <c r="F180" i="19"/>
  <c r="E180" i="19"/>
  <c r="D180" i="19"/>
  <c r="C180" i="19"/>
  <c r="B180" i="19"/>
  <c r="H179" i="19"/>
  <c r="G179" i="19"/>
  <c r="F179" i="19"/>
  <c r="E179" i="19"/>
  <c r="D179" i="19"/>
  <c r="C179" i="19"/>
  <c r="B179" i="19"/>
  <c r="H178" i="19"/>
  <c r="G178" i="19"/>
  <c r="F178" i="19"/>
  <c r="E178" i="19"/>
  <c r="D178" i="19"/>
  <c r="C178" i="19"/>
  <c r="B178" i="19"/>
  <c r="H177" i="19"/>
  <c r="G177" i="19"/>
  <c r="F177" i="19"/>
  <c r="E177" i="19"/>
  <c r="D177" i="19"/>
  <c r="C177" i="19"/>
  <c r="B177" i="19"/>
  <c r="H176" i="19"/>
  <c r="G176" i="19"/>
  <c r="F176" i="19"/>
  <c r="E176" i="19"/>
  <c r="D176" i="19"/>
  <c r="C176" i="19"/>
  <c r="B176" i="19"/>
  <c r="H175" i="19"/>
  <c r="G175" i="19"/>
  <c r="F175" i="19"/>
  <c r="E175" i="19"/>
  <c r="D175" i="19"/>
  <c r="C175" i="19"/>
  <c r="B175" i="19"/>
  <c r="H174" i="19"/>
  <c r="G174" i="19"/>
  <c r="F174" i="19"/>
  <c r="E174" i="19"/>
  <c r="D174" i="19"/>
  <c r="C174" i="19"/>
  <c r="B174" i="19"/>
  <c r="H173" i="19"/>
  <c r="G173" i="19"/>
  <c r="F173" i="19"/>
  <c r="E173" i="19"/>
  <c r="D173" i="19"/>
  <c r="C173" i="19"/>
  <c r="B173" i="19"/>
  <c r="H172" i="19"/>
  <c r="G172" i="19"/>
  <c r="F172" i="19"/>
  <c r="E172" i="19"/>
  <c r="D172" i="19"/>
  <c r="C172" i="19"/>
  <c r="B172" i="19"/>
  <c r="H171" i="19"/>
  <c r="G171" i="19"/>
  <c r="F171" i="19"/>
  <c r="E171" i="19"/>
  <c r="D171" i="19"/>
  <c r="C171" i="19"/>
  <c r="B171" i="19"/>
  <c r="H170" i="19"/>
  <c r="G170" i="19"/>
  <c r="F170" i="19"/>
  <c r="E170" i="19"/>
  <c r="D170" i="19"/>
  <c r="C170" i="19"/>
  <c r="B170" i="19"/>
  <c r="H169" i="19"/>
  <c r="G169" i="19"/>
  <c r="F169" i="19"/>
  <c r="E169" i="19"/>
  <c r="D169" i="19"/>
  <c r="C169" i="19"/>
  <c r="B169" i="19"/>
  <c r="H168" i="19"/>
  <c r="G168" i="19"/>
  <c r="F168" i="19"/>
  <c r="E168" i="19"/>
  <c r="D168" i="19"/>
  <c r="C168" i="19"/>
  <c r="B168" i="19"/>
  <c r="H167" i="19"/>
  <c r="G167" i="19"/>
  <c r="F167" i="19"/>
  <c r="E167" i="19"/>
  <c r="D167" i="19"/>
  <c r="C167" i="19"/>
  <c r="B167" i="19"/>
  <c r="H166" i="19"/>
  <c r="G166" i="19"/>
  <c r="F166" i="19"/>
  <c r="E166" i="19"/>
  <c r="D166" i="19"/>
  <c r="C166" i="19"/>
  <c r="B166" i="19"/>
  <c r="H165" i="19"/>
  <c r="G165" i="19"/>
  <c r="F165" i="19"/>
  <c r="E165" i="19"/>
  <c r="D165" i="19"/>
  <c r="C165" i="19"/>
  <c r="B165" i="19"/>
  <c r="H164" i="19"/>
  <c r="G164" i="19"/>
  <c r="F164" i="19"/>
  <c r="E164" i="19"/>
  <c r="D164" i="19"/>
  <c r="C164" i="19"/>
  <c r="B164" i="19"/>
  <c r="H163" i="19"/>
  <c r="G163" i="19"/>
  <c r="F163" i="19"/>
  <c r="E163" i="19"/>
  <c r="D163" i="19"/>
  <c r="C163" i="19"/>
  <c r="B163" i="19"/>
  <c r="H162" i="19"/>
  <c r="G162" i="19"/>
  <c r="F162" i="19"/>
  <c r="E162" i="19"/>
  <c r="D162" i="19"/>
  <c r="C162" i="19"/>
  <c r="B162" i="19"/>
  <c r="H161" i="19"/>
  <c r="G161" i="19"/>
  <c r="F161" i="19"/>
  <c r="E161" i="19"/>
  <c r="D161" i="19"/>
  <c r="C161" i="19"/>
  <c r="B161" i="19"/>
  <c r="H160" i="19"/>
  <c r="G160" i="19"/>
  <c r="F160" i="19"/>
  <c r="E160" i="19"/>
  <c r="D160" i="19"/>
  <c r="C160" i="19"/>
  <c r="B160" i="19"/>
  <c r="H159" i="19"/>
  <c r="G159" i="19"/>
  <c r="F159" i="19"/>
  <c r="E159" i="19"/>
  <c r="D159" i="19"/>
  <c r="C159" i="19"/>
  <c r="B159" i="19"/>
  <c r="H158" i="19"/>
  <c r="G158" i="19"/>
  <c r="F158" i="19"/>
  <c r="E158" i="19"/>
  <c r="D158" i="19"/>
  <c r="C158" i="19"/>
  <c r="B158" i="19"/>
  <c r="H157" i="19"/>
  <c r="G157" i="19"/>
  <c r="F157" i="19"/>
  <c r="E157" i="19"/>
  <c r="D157" i="19"/>
  <c r="C157" i="19"/>
  <c r="B157" i="19"/>
  <c r="H156" i="19"/>
  <c r="G156" i="19"/>
  <c r="F156" i="19"/>
  <c r="E156" i="19"/>
  <c r="D156" i="19"/>
  <c r="C156" i="19"/>
  <c r="B156" i="19"/>
  <c r="H155" i="19"/>
  <c r="G155" i="19"/>
  <c r="F155" i="19"/>
  <c r="E155" i="19"/>
  <c r="D155" i="19"/>
  <c r="C155" i="19"/>
  <c r="B155" i="19"/>
  <c r="H154" i="19"/>
  <c r="G154" i="19"/>
  <c r="F154" i="19"/>
  <c r="E154" i="19"/>
  <c r="D154" i="19"/>
  <c r="C154" i="19"/>
  <c r="B154" i="19"/>
  <c r="H153" i="19"/>
  <c r="G153" i="19"/>
  <c r="F153" i="19"/>
  <c r="E153" i="19"/>
  <c r="D153" i="19"/>
  <c r="C153" i="19"/>
  <c r="B153" i="19"/>
  <c r="H152" i="19"/>
  <c r="G152" i="19"/>
  <c r="F152" i="19"/>
  <c r="E152" i="19"/>
  <c r="D152" i="19"/>
  <c r="C152" i="19"/>
  <c r="B152" i="19"/>
  <c r="H151" i="19"/>
  <c r="G151" i="19"/>
  <c r="F151" i="19"/>
  <c r="E151" i="19"/>
  <c r="D151" i="19"/>
  <c r="C151" i="19"/>
  <c r="B151" i="19"/>
  <c r="H150" i="19"/>
  <c r="G150" i="19"/>
  <c r="F150" i="19"/>
  <c r="E150" i="19"/>
  <c r="D150" i="19"/>
  <c r="C150" i="19"/>
  <c r="B150" i="19"/>
  <c r="H149" i="19"/>
  <c r="G149" i="19"/>
  <c r="F149" i="19"/>
  <c r="E149" i="19"/>
  <c r="D149" i="19"/>
  <c r="C149" i="19"/>
  <c r="B149" i="19"/>
  <c r="H148" i="19"/>
  <c r="G148" i="19"/>
  <c r="F148" i="19"/>
  <c r="E148" i="19"/>
  <c r="D148" i="19"/>
  <c r="C148" i="19"/>
  <c r="B148" i="19"/>
  <c r="H147" i="19"/>
  <c r="G147" i="19"/>
  <c r="F147" i="19"/>
  <c r="E147" i="19"/>
  <c r="D147" i="19"/>
  <c r="C147" i="19"/>
  <c r="B147" i="19"/>
  <c r="H146" i="19"/>
  <c r="G146" i="19"/>
  <c r="F146" i="19"/>
  <c r="E146" i="19"/>
  <c r="D146" i="19"/>
  <c r="C146" i="19"/>
  <c r="B146" i="19"/>
  <c r="H145" i="19"/>
  <c r="G145" i="19"/>
  <c r="F145" i="19"/>
  <c r="E145" i="19"/>
  <c r="D145" i="19"/>
  <c r="C145" i="19"/>
  <c r="B145" i="19"/>
  <c r="H144" i="19"/>
  <c r="G144" i="19"/>
  <c r="F144" i="19"/>
  <c r="E144" i="19"/>
  <c r="D144" i="19"/>
  <c r="C144" i="19"/>
  <c r="B144" i="19"/>
  <c r="H143" i="19"/>
  <c r="G143" i="19"/>
  <c r="F143" i="19"/>
  <c r="E143" i="19"/>
  <c r="D143" i="19"/>
  <c r="C143" i="19"/>
  <c r="B143" i="19"/>
  <c r="H142" i="19"/>
  <c r="G142" i="19"/>
  <c r="F142" i="19"/>
  <c r="E142" i="19"/>
  <c r="D142" i="19"/>
  <c r="C142" i="19"/>
  <c r="B142" i="19"/>
  <c r="H141" i="19"/>
  <c r="G141" i="19"/>
  <c r="F141" i="19"/>
  <c r="E141" i="19"/>
  <c r="D141" i="19"/>
  <c r="C141" i="19"/>
  <c r="B141" i="19"/>
  <c r="H140" i="19"/>
  <c r="G140" i="19"/>
  <c r="F140" i="19"/>
  <c r="E140" i="19"/>
  <c r="D140" i="19"/>
  <c r="C140" i="19"/>
  <c r="B140" i="19"/>
  <c r="H139" i="19"/>
  <c r="G139" i="19"/>
  <c r="F139" i="19"/>
  <c r="E139" i="19"/>
  <c r="D139" i="19"/>
  <c r="C139" i="19"/>
  <c r="B139" i="19"/>
  <c r="H138" i="19"/>
  <c r="G138" i="19"/>
  <c r="F138" i="19"/>
  <c r="E138" i="19"/>
  <c r="D138" i="19"/>
  <c r="C138" i="19"/>
  <c r="B138" i="19"/>
  <c r="H137" i="19"/>
  <c r="G137" i="19"/>
  <c r="F137" i="19"/>
  <c r="E137" i="19"/>
  <c r="D137" i="19"/>
  <c r="C137" i="19"/>
  <c r="B137" i="19"/>
  <c r="H136" i="19"/>
  <c r="G136" i="19"/>
  <c r="F136" i="19"/>
  <c r="E136" i="19"/>
  <c r="D136" i="19"/>
  <c r="C136" i="19"/>
  <c r="B136" i="19"/>
  <c r="H135" i="19"/>
  <c r="G135" i="19"/>
  <c r="F135" i="19"/>
  <c r="E135" i="19"/>
  <c r="D135" i="19"/>
  <c r="C135" i="19"/>
  <c r="B135" i="19"/>
  <c r="H134" i="19"/>
  <c r="G134" i="19"/>
  <c r="F134" i="19"/>
  <c r="E134" i="19"/>
  <c r="D134" i="19"/>
  <c r="C134" i="19"/>
  <c r="B134" i="19"/>
  <c r="H133" i="19"/>
  <c r="G133" i="19"/>
  <c r="F133" i="19"/>
  <c r="E133" i="19"/>
  <c r="D133" i="19"/>
  <c r="C133" i="19"/>
  <c r="B133" i="19"/>
  <c r="H132" i="19"/>
  <c r="G132" i="19"/>
  <c r="F132" i="19"/>
  <c r="E132" i="19"/>
  <c r="D132" i="19"/>
  <c r="C132" i="19"/>
  <c r="B132" i="19"/>
  <c r="H131" i="19"/>
  <c r="G131" i="19"/>
  <c r="F131" i="19"/>
  <c r="E131" i="19"/>
  <c r="D131" i="19"/>
  <c r="C131" i="19"/>
  <c r="B131" i="19"/>
  <c r="H130" i="19"/>
  <c r="G130" i="19"/>
  <c r="F130" i="19"/>
  <c r="E130" i="19"/>
  <c r="D130" i="19"/>
  <c r="C130" i="19"/>
  <c r="B130" i="19"/>
  <c r="H129" i="19"/>
  <c r="G129" i="19"/>
  <c r="F129" i="19"/>
  <c r="E129" i="19"/>
  <c r="D129" i="19"/>
  <c r="C129" i="19"/>
  <c r="B129" i="19"/>
  <c r="H128" i="19"/>
  <c r="G128" i="19"/>
  <c r="F128" i="19"/>
  <c r="E128" i="19"/>
  <c r="D128" i="19"/>
  <c r="C128" i="19"/>
  <c r="B128" i="19"/>
  <c r="H127" i="19"/>
  <c r="G127" i="19"/>
  <c r="F127" i="19"/>
  <c r="E127" i="19"/>
  <c r="D127" i="19"/>
  <c r="C127" i="19"/>
  <c r="B127" i="19"/>
  <c r="H126" i="19"/>
  <c r="G126" i="19"/>
  <c r="F126" i="19"/>
  <c r="E126" i="19"/>
  <c r="D126" i="19"/>
  <c r="C126" i="19"/>
  <c r="B126" i="19"/>
  <c r="H125" i="19"/>
  <c r="G125" i="19"/>
  <c r="F125" i="19"/>
  <c r="E125" i="19"/>
  <c r="D125" i="19"/>
  <c r="C125" i="19"/>
  <c r="B125" i="19"/>
  <c r="H124" i="19"/>
  <c r="G124" i="19"/>
  <c r="F124" i="19"/>
  <c r="E124" i="19"/>
  <c r="D124" i="19"/>
  <c r="C124" i="19"/>
  <c r="B124" i="19"/>
  <c r="H123" i="19"/>
  <c r="G123" i="19"/>
  <c r="F123" i="19"/>
  <c r="E123" i="19"/>
  <c r="D123" i="19"/>
  <c r="C123" i="19"/>
  <c r="B123" i="19"/>
  <c r="H122" i="19"/>
  <c r="G122" i="19"/>
  <c r="F122" i="19"/>
  <c r="E122" i="19"/>
  <c r="D122" i="19"/>
  <c r="C122" i="19"/>
  <c r="B122" i="19"/>
  <c r="H121" i="19"/>
  <c r="G121" i="19"/>
  <c r="F121" i="19"/>
  <c r="E121" i="19"/>
  <c r="D121" i="19"/>
  <c r="C121" i="19"/>
  <c r="B121" i="19"/>
  <c r="H120" i="19"/>
  <c r="G120" i="19"/>
  <c r="F120" i="19"/>
  <c r="E120" i="19"/>
  <c r="D120" i="19"/>
  <c r="C120" i="19"/>
  <c r="B120" i="19"/>
  <c r="H119" i="19"/>
  <c r="G119" i="19"/>
  <c r="F119" i="19"/>
  <c r="E119" i="19"/>
  <c r="D119" i="19"/>
  <c r="C119" i="19"/>
  <c r="B119" i="19"/>
  <c r="H118" i="19"/>
  <c r="G118" i="19"/>
  <c r="F118" i="19"/>
  <c r="E118" i="19"/>
  <c r="D118" i="19"/>
  <c r="C118" i="19"/>
  <c r="B118" i="19"/>
  <c r="H117" i="19"/>
  <c r="G117" i="19"/>
  <c r="F117" i="19"/>
  <c r="E117" i="19"/>
  <c r="D117" i="19"/>
  <c r="C117" i="19"/>
  <c r="B117" i="19"/>
  <c r="H116" i="19"/>
  <c r="G116" i="19"/>
  <c r="F116" i="19"/>
  <c r="E116" i="19"/>
  <c r="D116" i="19"/>
  <c r="C116" i="19"/>
  <c r="B116" i="19"/>
  <c r="H115" i="19"/>
  <c r="G115" i="19"/>
  <c r="F115" i="19"/>
  <c r="E115" i="19"/>
  <c r="D115" i="19"/>
  <c r="C115" i="19"/>
  <c r="B115" i="19"/>
  <c r="H114" i="19"/>
  <c r="G114" i="19"/>
  <c r="F114" i="19"/>
  <c r="E114" i="19"/>
  <c r="D114" i="19"/>
  <c r="C114" i="19"/>
  <c r="B114" i="19"/>
  <c r="H113" i="19"/>
  <c r="G113" i="19"/>
  <c r="F113" i="19"/>
  <c r="E113" i="19"/>
  <c r="D113" i="19"/>
  <c r="C113" i="19"/>
  <c r="B113" i="19"/>
  <c r="H112" i="19"/>
  <c r="G112" i="19"/>
  <c r="F112" i="19"/>
  <c r="E112" i="19"/>
  <c r="D112" i="19"/>
  <c r="C112" i="19"/>
  <c r="B112" i="19"/>
  <c r="H111" i="19"/>
  <c r="G111" i="19"/>
  <c r="F111" i="19"/>
  <c r="E111" i="19"/>
  <c r="D111" i="19"/>
  <c r="C111" i="19"/>
  <c r="B111" i="19"/>
  <c r="H110" i="19"/>
  <c r="G110" i="19"/>
  <c r="F110" i="19"/>
  <c r="E110" i="19"/>
  <c r="D110" i="19"/>
  <c r="C110" i="19"/>
  <c r="B110" i="19"/>
  <c r="H109" i="19"/>
  <c r="G109" i="19"/>
  <c r="F109" i="19"/>
  <c r="E109" i="19"/>
  <c r="D109" i="19"/>
  <c r="C109" i="19"/>
  <c r="B109" i="19"/>
  <c r="H108" i="19"/>
  <c r="G108" i="19"/>
  <c r="F108" i="19"/>
  <c r="E108" i="19"/>
  <c r="D108" i="19"/>
  <c r="C108" i="19"/>
  <c r="B108" i="19"/>
  <c r="H107" i="19"/>
  <c r="G107" i="19"/>
  <c r="F107" i="19"/>
  <c r="E107" i="19"/>
  <c r="D107" i="19"/>
  <c r="C107" i="19"/>
  <c r="B107" i="19"/>
  <c r="H106" i="19"/>
  <c r="G106" i="19"/>
  <c r="F106" i="19"/>
  <c r="E106" i="19"/>
  <c r="D106" i="19"/>
  <c r="C106" i="19"/>
  <c r="B106" i="19"/>
  <c r="H105" i="19"/>
  <c r="G105" i="19"/>
  <c r="F105" i="19"/>
  <c r="E105" i="19"/>
  <c r="D105" i="19"/>
  <c r="C105" i="19"/>
  <c r="B105" i="19"/>
  <c r="H104" i="19"/>
  <c r="G104" i="19"/>
  <c r="F104" i="19"/>
  <c r="E104" i="19"/>
  <c r="D104" i="19"/>
  <c r="C104" i="19"/>
  <c r="B104" i="19"/>
  <c r="H103" i="19"/>
  <c r="G103" i="19"/>
  <c r="F103" i="19"/>
  <c r="E103" i="19"/>
  <c r="D103" i="19"/>
  <c r="C103" i="19"/>
  <c r="B103" i="19"/>
  <c r="H102" i="19"/>
  <c r="G102" i="19"/>
  <c r="F102" i="19"/>
  <c r="E102" i="19"/>
  <c r="D102" i="19"/>
  <c r="C102" i="19"/>
  <c r="B102" i="19"/>
  <c r="H101" i="19"/>
  <c r="G101" i="19"/>
  <c r="F101" i="19"/>
  <c r="E101" i="19"/>
  <c r="D101" i="19"/>
  <c r="C101" i="19"/>
  <c r="B101" i="19"/>
  <c r="H100" i="19"/>
  <c r="G100" i="19"/>
  <c r="F100" i="19"/>
  <c r="E100" i="19"/>
  <c r="D100" i="19"/>
  <c r="C100" i="19"/>
  <c r="B100" i="19"/>
  <c r="H99" i="19"/>
  <c r="G99" i="19"/>
  <c r="F99" i="19"/>
  <c r="E99" i="19"/>
  <c r="D99" i="19"/>
  <c r="C99" i="19"/>
  <c r="B99" i="19"/>
  <c r="H98" i="19"/>
  <c r="G98" i="19"/>
  <c r="F98" i="19"/>
  <c r="E98" i="19"/>
  <c r="D98" i="19"/>
  <c r="C98" i="19"/>
  <c r="B98" i="19"/>
  <c r="H97" i="19"/>
  <c r="G97" i="19"/>
  <c r="F97" i="19"/>
  <c r="E97" i="19"/>
  <c r="D97" i="19"/>
  <c r="C97" i="19"/>
  <c r="B97" i="19"/>
  <c r="H96" i="19"/>
  <c r="G96" i="19"/>
  <c r="F96" i="19"/>
  <c r="E96" i="19"/>
  <c r="D96" i="19"/>
  <c r="C96" i="19"/>
  <c r="B96" i="19"/>
  <c r="H95" i="19"/>
  <c r="G95" i="19"/>
  <c r="F95" i="19"/>
  <c r="E95" i="19"/>
  <c r="D95" i="19"/>
  <c r="C95" i="19"/>
  <c r="B95" i="19"/>
  <c r="H94" i="19"/>
  <c r="G94" i="19"/>
  <c r="F94" i="19"/>
  <c r="E94" i="19"/>
  <c r="D94" i="19"/>
  <c r="C94" i="19"/>
  <c r="B94" i="19"/>
  <c r="H93" i="19"/>
  <c r="G93" i="19"/>
  <c r="F93" i="19"/>
  <c r="E93" i="19"/>
  <c r="D93" i="19"/>
  <c r="C93" i="19"/>
  <c r="B93" i="19"/>
  <c r="H92" i="19"/>
  <c r="G92" i="19"/>
  <c r="F92" i="19"/>
  <c r="E92" i="19"/>
  <c r="D92" i="19"/>
  <c r="C92" i="19"/>
  <c r="B92" i="19"/>
  <c r="H91" i="19"/>
  <c r="G91" i="19"/>
  <c r="F91" i="19"/>
  <c r="E91" i="19"/>
  <c r="D91" i="19"/>
  <c r="C91" i="19"/>
  <c r="B91" i="19"/>
  <c r="H90" i="19"/>
  <c r="G90" i="19"/>
  <c r="F90" i="19"/>
  <c r="E90" i="19"/>
  <c r="D90" i="19"/>
  <c r="C90" i="19"/>
  <c r="B90" i="19"/>
  <c r="H89" i="19"/>
  <c r="G89" i="19"/>
  <c r="F89" i="19"/>
  <c r="E89" i="19"/>
  <c r="D89" i="19"/>
  <c r="C89" i="19"/>
  <c r="B89" i="19"/>
  <c r="H88" i="19"/>
  <c r="G88" i="19"/>
  <c r="F88" i="19"/>
  <c r="E88" i="19"/>
  <c r="D88" i="19"/>
  <c r="C88" i="19"/>
  <c r="B88" i="19"/>
  <c r="H87" i="19"/>
  <c r="G87" i="19"/>
  <c r="F87" i="19"/>
  <c r="E87" i="19"/>
  <c r="D87" i="19"/>
  <c r="C87" i="19"/>
  <c r="B87" i="19"/>
  <c r="H86" i="19"/>
  <c r="G86" i="19"/>
  <c r="F86" i="19"/>
  <c r="E86" i="19"/>
  <c r="D86" i="19"/>
  <c r="C86" i="19"/>
  <c r="B86" i="19"/>
  <c r="H85" i="19"/>
  <c r="G85" i="19"/>
  <c r="F85" i="19"/>
  <c r="E85" i="19"/>
  <c r="D85" i="19"/>
  <c r="C85" i="19"/>
  <c r="B85" i="19"/>
  <c r="H84" i="19"/>
  <c r="G84" i="19"/>
  <c r="F84" i="19"/>
  <c r="E84" i="19"/>
  <c r="D84" i="19"/>
  <c r="C84" i="19"/>
  <c r="B84" i="19"/>
  <c r="H83" i="19"/>
  <c r="G83" i="19"/>
  <c r="F83" i="19"/>
  <c r="E83" i="19"/>
  <c r="D83" i="19"/>
  <c r="C83" i="19"/>
  <c r="B83" i="19"/>
  <c r="H82" i="19"/>
  <c r="G82" i="19"/>
  <c r="F82" i="19"/>
  <c r="E82" i="19"/>
  <c r="D82" i="19"/>
  <c r="C82" i="19"/>
  <c r="B82" i="19"/>
  <c r="H81" i="19"/>
  <c r="G81" i="19"/>
  <c r="F81" i="19"/>
  <c r="E81" i="19"/>
  <c r="D81" i="19"/>
  <c r="C81" i="19"/>
  <c r="B81" i="19"/>
  <c r="H80" i="19"/>
  <c r="G80" i="19"/>
  <c r="F80" i="19"/>
  <c r="E80" i="19"/>
  <c r="D80" i="19"/>
  <c r="C80" i="19"/>
  <c r="B80" i="19"/>
  <c r="H79" i="19"/>
  <c r="G79" i="19"/>
  <c r="F79" i="19"/>
  <c r="E79" i="19"/>
  <c r="D79" i="19"/>
  <c r="C79" i="19"/>
  <c r="B79" i="19"/>
  <c r="H78" i="19"/>
  <c r="G78" i="19"/>
  <c r="F78" i="19"/>
  <c r="E78" i="19"/>
  <c r="D78" i="19"/>
  <c r="C78" i="19"/>
  <c r="B78" i="19"/>
  <c r="H77" i="19"/>
  <c r="G77" i="19"/>
  <c r="F77" i="19"/>
  <c r="E77" i="19"/>
  <c r="D77" i="19"/>
  <c r="C77" i="19"/>
  <c r="B77" i="19"/>
  <c r="H76" i="19"/>
  <c r="G76" i="19"/>
  <c r="F76" i="19"/>
  <c r="E76" i="19"/>
  <c r="D76" i="19"/>
  <c r="C76" i="19"/>
  <c r="B76" i="19"/>
  <c r="H75" i="19"/>
  <c r="G75" i="19"/>
  <c r="F75" i="19"/>
  <c r="E75" i="19"/>
  <c r="D75" i="19"/>
  <c r="C75" i="19"/>
  <c r="B75" i="19"/>
  <c r="H74" i="19"/>
  <c r="G74" i="19"/>
  <c r="F74" i="19"/>
  <c r="E74" i="19"/>
  <c r="D74" i="19"/>
  <c r="C74" i="19"/>
  <c r="B74" i="19"/>
  <c r="H73" i="19"/>
  <c r="G73" i="19"/>
  <c r="F73" i="19"/>
  <c r="E73" i="19"/>
  <c r="D73" i="19"/>
  <c r="C73" i="19"/>
  <c r="B73" i="19"/>
  <c r="H72" i="19"/>
  <c r="G72" i="19"/>
  <c r="F72" i="19"/>
  <c r="E72" i="19"/>
  <c r="D72" i="19"/>
  <c r="C72" i="19"/>
  <c r="B72" i="19"/>
  <c r="H71" i="19"/>
  <c r="G71" i="19"/>
  <c r="F71" i="19"/>
  <c r="E71" i="19"/>
  <c r="D71" i="19"/>
  <c r="C71" i="19"/>
  <c r="B71" i="19"/>
  <c r="H70" i="19"/>
  <c r="G70" i="19"/>
  <c r="F70" i="19"/>
  <c r="E70" i="19"/>
  <c r="D70" i="19"/>
  <c r="C70" i="19"/>
  <c r="B70" i="19"/>
  <c r="H69" i="19"/>
  <c r="G69" i="19"/>
  <c r="F69" i="19"/>
  <c r="E69" i="19"/>
  <c r="D69" i="19"/>
  <c r="C69" i="19"/>
  <c r="B69" i="19"/>
  <c r="H68" i="19"/>
  <c r="G68" i="19"/>
  <c r="F68" i="19"/>
  <c r="E68" i="19"/>
  <c r="D68" i="19"/>
  <c r="C68" i="19"/>
  <c r="B68" i="19"/>
  <c r="H67" i="19"/>
  <c r="G67" i="19"/>
  <c r="F67" i="19"/>
  <c r="E67" i="19"/>
  <c r="D67" i="19"/>
  <c r="C67" i="19"/>
  <c r="B67" i="19"/>
  <c r="H66" i="19"/>
  <c r="G66" i="19"/>
  <c r="F66" i="19"/>
  <c r="E66" i="19"/>
  <c r="D66" i="19"/>
  <c r="C66" i="19"/>
  <c r="B66" i="19"/>
  <c r="H65" i="19"/>
  <c r="G65" i="19"/>
  <c r="F65" i="19"/>
  <c r="E65" i="19"/>
  <c r="D65" i="19"/>
  <c r="C65" i="19"/>
  <c r="B65" i="19"/>
  <c r="H64" i="19"/>
  <c r="G64" i="19"/>
  <c r="F64" i="19"/>
  <c r="E64" i="19"/>
  <c r="D64" i="19"/>
  <c r="C64" i="19"/>
  <c r="B64" i="19"/>
  <c r="H63" i="19"/>
  <c r="G63" i="19"/>
  <c r="F63" i="19"/>
  <c r="E63" i="19"/>
  <c r="D63" i="19"/>
  <c r="C63" i="19"/>
  <c r="B63" i="19"/>
  <c r="H62" i="19"/>
  <c r="G62" i="19"/>
  <c r="F62" i="19"/>
  <c r="E62" i="19"/>
  <c r="D62" i="19"/>
  <c r="C62" i="19"/>
  <c r="B62" i="19"/>
  <c r="H61" i="19"/>
  <c r="G61" i="19"/>
  <c r="F61" i="19"/>
  <c r="E61" i="19"/>
  <c r="D61" i="19"/>
  <c r="C61" i="19"/>
  <c r="B61" i="19"/>
  <c r="H60" i="19"/>
  <c r="G60" i="19"/>
  <c r="F60" i="19"/>
  <c r="E60" i="19"/>
  <c r="D60" i="19"/>
  <c r="C60" i="19"/>
  <c r="B60" i="19"/>
  <c r="H59" i="19"/>
  <c r="G59" i="19"/>
  <c r="F59" i="19"/>
  <c r="E59" i="19"/>
  <c r="D59" i="19"/>
  <c r="C59" i="19"/>
  <c r="B59" i="19"/>
  <c r="H58" i="19"/>
  <c r="G58" i="19"/>
  <c r="F58" i="19"/>
  <c r="E58" i="19"/>
  <c r="D58" i="19"/>
  <c r="C58" i="19"/>
  <c r="B58" i="19"/>
  <c r="H57" i="19"/>
  <c r="G57" i="19"/>
  <c r="F57" i="19"/>
  <c r="E57" i="19"/>
  <c r="D57" i="19"/>
  <c r="C57" i="19"/>
  <c r="B57" i="19"/>
  <c r="H56" i="19"/>
  <c r="G56" i="19"/>
  <c r="F56" i="19"/>
  <c r="E56" i="19"/>
  <c r="D56" i="19"/>
  <c r="C56" i="19"/>
  <c r="B56" i="19"/>
  <c r="H55" i="19"/>
  <c r="G55" i="19"/>
  <c r="F55" i="19"/>
  <c r="E55" i="19"/>
  <c r="D55" i="19"/>
  <c r="C55" i="19"/>
  <c r="B55" i="19"/>
  <c r="H54" i="19"/>
  <c r="G54" i="19"/>
  <c r="F54" i="19"/>
  <c r="E54" i="19"/>
  <c r="D54" i="19"/>
  <c r="C54" i="19"/>
  <c r="B54" i="19"/>
  <c r="H53" i="19"/>
  <c r="G53" i="19"/>
  <c r="F53" i="19"/>
  <c r="E53" i="19"/>
  <c r="D53" i="19"/>
  <c r="C53" i="19"/>
  <c r="B53" i="19"/>
  <c r="H52" i="19"/>
  <c r="G52" i="19"/>
  <c r="F52" i="19"/>
  <c r="E52" i="19"/>
  <c r="D52" i="19"/>
  <c r="C52" i="19"/>
  <c r="B52" i="19"/>
  <c r="H51" i="19"/>
  <c r="G51" i="19"/>
  <c r="F51" i="19"/>
  <c r="E51" i="19"/>
  <c r="D51" i="19"/>
  <c r="C51" i="19"/>
  <c r="B51" i="19"/>
  <c r="H50" i="19"/>
  <c r="G50" i="19"/>
  <c r="F50" i="19"/>
  <c r="E50" i="19"/>
  <c r="D50" i="19"/>
  <c r="C50" i="19"/>
  <c r="B50" i="19"/>
  <c r="H49" i="19"/>
  <c r="G49" i="19"/>
  <c r="F49" i="19"/>
  <c r="E49" i="19"/>
  <c r="D49" i="19"/>
  <c r="C49" i="19"/>
  <c r="B49" i="19"/>
  <c r="H48" i="19"/>
  <c r="G48" i="19"/>
  <c r="F48" i="19"/>
  <c r="E48" i="19"/>
  <c r="D48" i="19"/>
  <c r="C48" i="19"/>
  <c r="B48" i="19"/>
  <c r="H47" i="19"/>
  <c r="G47" i="19"/>
  <c r="F47" i="19"/>
  <c r="E47" i="19"/>
  <c r="D47" i="19"/>
  <c r="C47" i="19"/>
  <c r="B47" i="19"/>
  <c r="H46" i="19"/>
  <c r="G46" i="19"/>
  <c r="F46" i="19"/>
  <c r="E46" i="19"/>
  <c r="D46" i="19"/>
  <c r="C46" i="19"/>
  <c r="B46" i="19"/>
  <c r="H45" i="19"/>
  <c r="G45" i="19"/>
  <c r="F45" i="19"/>
  <c r="E45" i="19"/>
  <c r="D45" i="19"/>
  <c r="C45" i="19"/>
  <c r="B45" i="19"/>
  <c r="H44" i="19"/>
  <c r="G44" i="19"/>
  <c r="F44" i="19"/>
  <c r="E44" i="19"/>
  <c r="D44" i="19"/>
  <c r="C44" i="19"/>
  <c r="B44" i="19"/>
  <c r="H43" i="19"/>
  <c r="G43" i="19"/>
  <c r="F43" i="19"/>
  <c r="E43" i="19"/>
  <c r="D43" i="19"/>
  <c r="C43" i="19"/>
  <c r="B43" i="19"/>
  <c r="H42" i="19"/>
  <c r="G42" i="19"/>
  <c r="F42" i="19"/>
  <c r="E42" i="19"/>
  <c r="D42" i="19"/>
  <c r="C42" i="19"/>
  <c r="B42" i="19"/>
  <c r="H41" i="19"/>
  <c r="G41" i="19"/>
  <c r="F41" i="19"/>
  <c r="E41" i="19"/>
  <c r="D41" i="19"/>
  <c r="C41" i="19"/>
  <c r="B41" i="19"/>
  <c r="H40" i="19"/>
  <c r="G40" i="19"/>
  <c r="F40" i="19"/>
  <c r="E40" i="19"/>
  <c r="D40" i="19"/>
  <c r="C40" i="19"/>
  <c r="B40" i="19"/>
  <c r="H39" i="19"/>
  <c r="G39" i="19"/>
  <c r="F39" i="19"/>
  <c r="E39" i="19"/>
  <c r="D39" i="19"/>
  <c r="C39" i="19"/>
  <c r="B39" i="19"/>
  <c r="H38" i="19"/>
  <c r="G38" i="19"/>
  <c r="F38" i="19"/>
  <c r="E38" i="19"/>
  <c r="D38" i="19"/>
  <c r="C38" i="19"/>
  <c r="B38" i="19"/>
  <c r="H37" i="19"/>
  <c r="G37" i="19"/>
  <c r="F37" i="19"/>
  <c r="E37" i="19"/>
  <c r="D37" i="19"/>
  <c r="C37" i="19"/>
  <c r="B37" i="19"/>
  <c r="H36" i="19"/>
  <c r="G36" i="19"/>
  <c r="F36" i="19"/>
  <c r="E36" i="19"/>
  <c r="D36" i="19"/>
  <c r="C36" i="19"/>
  <c r="B36" i="19"/>
  <c r="H35" i="19"/>
  <c r="G35" i="19"/>
  <c r="F35" i="19"/>
  <c r="E35" i="19"/>
  <c r="D35" i="19"/>
  <c r="C35" i="19"/>
  <c r="B35" i="19"/>
  <c r="H34" i="19"/>
  <c r="G34" i="19"/>
  <c r="F34" i="19"/>
  <c r="E34" i="19"/>
  <c r="D34" i="19"/>
  <c r="C34" i="19"/>
  <c r="B34" i="19"/>
  <c r="H33" i="19"/>
  <c r="G33" i="19"/>
  <c r="F33" i="19"/>
  <c r="E33" i="19"/>
  <c r="D33" i="19"/>
  <c r="C33" i="19"/>
  <c r="B33" i="19"/>
  <c r="H32" i="19"/>
  <c r="G32" i="19"/>
  <c r="F32" i="19"/>
  <c r="E32" i="19"/>
  <c r="D32" i="19"/>
  <c r="C32" i="19"/>
  <c r="B32" i="19"/>
  <c r="H31" i="19"/>
  <c r="G31" i="19"/>
  <c r="F31" i="19"/>
  <c r="E31" i="19"/>
  <c r="D31" i="19"/>
  <c r="C31" i="19"/>
  <c r="B31" i="19"/>
  <c r="H30" i="19"/>
  <c r="G30" i="19"/>
  <c r="F30" i="19"/>
  <c r="E30" i="19"/>
  <c r="D30" i="19"/>
  <c r="C30" i="19"/>
  <c r="B30" i="19"/>
  <c r="H29" i="19"/>
  <c r="G29" i="19"/>
  <c r="F29" i="19"/>
  <c r="E29" i="19"/>
  <c r="D29" i="19"/>
  <c r="C29" i="19"/>
  <c r="B29" i="19"/>
  <c r="H28" i="19"/>
  <c r="G28" i="19"/>
  <c r="F28" i="19"/>
  <c r="E28" i="19"/>
  <c r="D28" i="19"/>
  <c r="C28" i="19"/>
  <c r="B28" i="19"/>
  <c r="H27" i="19"/>
  <c r="G27" i="19"/>
  <c r="F27" i="19"/>
  <c r="E27" i="19"/>
  <c r="D27" i="19"/>
  <c r="C27" i="19"/>
  <c r="B27" i="19"/>
  <c r="H26" i="19"/>
  <c r="G26" i="19"/>
  <c r="F26" i="19"/>
  <c r="E26" i="19"/>
  <c r="D26" i="19"/>
  <c r="C26" i="19"/>
  <c r="B26" i="19"/>
  <c r="H25" i="19"/>
  <c r="G25" i="19"/>
  <c r="F25" i="19"/>
  <c r="E25" i="19"/>
  <c r="D25" i="19"/>
  <c r="C25" i="19"/>
  <c r="B25" i="19"/>
  <c r="H24" i="19"/>
  <c r="G24" i="19"/>
  <c r="F24" i="19"/>
  <c r="E24" i="19"/>
  <c r="D24" i="19"/>
  <c r="C24" i="19"/>
  <c r="B24" i="19"/>
  <c r="H23" i="19"/>
  <c r="G23" i="19"/>
  <c r="F23" i="19"/>
  <c r="E23" i="19"/>
  <c r="D23" i="19"/>
  <c r="C23" i="19"/>
  <c r="B23" i="19"/>
  <c r="H22" i="19"/>
  <c r="G22" i="19"/>
  <c r="F22" i="19"/>
  <c r="E22" i="19"/>
  <c r="D22" i="19"/>
  <c r="C22" i="19"/>
  <c r="B22" i="19"/>
  <c r="H21" i="19"/>
  <c r="G21" i="19"/>
  <c r="F21" i="19"/>
  <c r="E21" i="19"/>
  <c r="D21" i="19"/>
  <c r="C21" i="19"/>
  <c r="B21" i="19"/>
  <c r="H20" i="19"/>
  <c r="G20" i="19"/>
  <c r="F20" i="19"/>
  <c r="E20" i="19"/>
  <c r="D20" i="19"/>
  <c r="C20" i="19"/>
  <c r="B20" i="19"/>
  <c r="H19" i="19"/>
  <c r="G19" i="19"/>
  <c r="F19" i="19"/>
  <c r="E19" i="19"/>
  <c r="D19" i="19"/>
  <c r="C19" i="19"/>
  <c r="B19" i="19"/>
  <c r="H18" i="19"/>
  <c r="G18" i="19"/>
  <c r="F18" i="19"/>
  <c r="E18" i="19"/>
  <c r="D18" i="19"/>
  <c r="C18" i="19"/>
  <c r="B18" i="19"/>
  <c r="H17" i="19"/>
  <c r="G17" i="19"/>
  <c r="F17" i="19"/>
  <c r="E17" i="19"/>
  <c r="D17" i="19"/>
  <c r="C17" i="19"/>
  <c r="B17" i="19"/>
  <c r="H16" i="19"/>
  <c r="G16" i="19"/>
  <c r="F16" i="19"/>
  <c r="E16" i="19"/>
  <c r="D16" i="19"/>
  <c r="C16" i="19"/>
  <c r="B16" i="19"/>
  <c r="H15" i="19"/>
  <c r="G15" i="19"/>
  <c r="F15" i="19"/>
  <c r="E15" i="19"/>
  <c r="D15" i="19"/>
  <c r="C15" i="19"/>
  <c r="B15" i="19"/>
  <c r="H14" i="19"/>
  <c r="G14" i="19"/>
  <c r="F14" i="19"/>
  <c r="E14" i="19"/>
  <c r="D14" i="19"/>
  <c r="C14" i="19"/>
  <c r="B14" i="19"/>
  <c r="H13" i="19"/>
  <c r="G13" i="19"/>
  <c r="F13" i="19"/>
  <c r="E13" i="19"/>
  <c r="D13" i="19"/>
  <c r="C13" i="19"/>
  <c r="B13" i="19"/>
  <c r="H12" i="19"/>
  <c r="G12" i="19"/>
  <c r="F12" i="19"/>
  <c r="E12" i="19"/>
  <c r="D12" i="19"/>
  <c r="C12" i="19"/>
  <c r="B12" i="19"/>
  <c r="H11" i="19"/>
  <c r="G11" i="19"/>
  <c r="F11" i="19"/>
  <c r="E11" i="19"/>
  <c r="D11" i="19"/>
  <c r="C11" i="19"/>
  <c r="B11" i="19"/>
  <c r="H10" i="19"/>
  <c r="G10" i="19"/>
  <c r="F10" i="19"/>
  <c r="E10" i="19"/>
  <c r="D10" i="19"/>
  <c r="C10" i="19"/>
  <c r="B10" i="19"/>
  <c r="H9" i="19"/>
  <c r="G9" i="19"/>
  <c r="F9" i="19"/>
  <c r="E9" i="19"/>
  <c r="D9" i="19"/>
  <c r="C9" i="19"/>
  <c r="B9" i="19"/>
  <c r="H8" i="19"/>
  <c r="G8" i="19"/>
  <c r="F8" i="19"/>
  <c r="E8" i="19"/>
  <c r="D8" i="19"/>
  <c r="C8" i="19"/>
  <c r="B8" i="19"/>
  <c r="H7" i="19"/>
  <c r="G7" i="19"/>
  <c r="F7" i="19"/>
  <c r="E7" i="19"/>
  <c r="D7" i="19"/>
  <c r="C7" i="19"/>
  <c r="B7" i="19"/>
  <c r="H6" i="19"/>
  <c r="G6" i="19"/>
  <c r="F6" i="19"/>
  <c r="E6" i="19"/>
  <c r="D6" i="19"/>
  <c r="C6" i="19"/>
  <c r="B6" i="19"/>
  <c r="H5" i="19"/>
  <c r="G5" i="19"/>
  <c r="F5" i="19"/>
  <c r="E5" i="19"/>
  <c r="D5" i="19"/>
  <c r="C5" i="19"/>
  <c r="B5" i="19"/>
  <c r="H4" i="19"/>
  <c r="G4" i="19"/>
  <c r="F4" i="19"/>
  <c r="E4" i="19"/>
  <c r="D4" i="19"/>
  <c r="C4" i="19"/>
  <c r="B4" i="19"/>
  <c r="H3" i="19"/>
  <c r="G3" i="19"/>
  <c r="F3" i="19"/>
  <c r="E3" i="19"/>
  <c r="D3" i="19"/>
  <c r="C3" i="19"/>
  <c r="B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STN</author>
  </authors>
  <commentList>
    <comment ref="J570" authorId="0" shapeId="0" xr:uid="{00000000-0006-0000-0200-000001000000}">
      <text>
        <r>
          <rPr>
            <b/>
            <sz val="9"/>
            <color indexed="81"/>
            <rFont val="Segoe UI"/>
            <family val="2"/>
          </rPr>
          <t>TON: que tal retirarmos o termo "União" da descrição dessa conta, pois assim dos demais entes poderia utilizá-la?</t>
        </r>
        <r>
          <rPr>
            <sz val="9"/>
            <color indexed="81"/>
            <rFont val="Segoe UI"/>
            <family val="2"/>
          </rPr>
          <t xml:space="preserve">
</t>
        </r>
      </text>
    </comment>
    <comment ref="J578" authorId="0" shapeId="0" xr:uid="{00000000-0006-0000-0200-000002000000}">
      <text>
        <r>
          <rPr>
            <b/>
            <sz val="9"/>
            <color indexed="81"/>
            <rFont val="Segoe UI"/>
            <family val="2"/>
          </rPr>
          <t>TON: por que essa conta de Participações? Se já temos contas para Dividendos e JCP. Que tipo de receita ensejaria a existência dessa conta?</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STN</author>
  </authors>
  <commentList>
    <comment ref="J2" authorId="0" shapeId="0" xr:uid="{00000000-0006-0000-0300-000001000000}">
      <text>
        <r>
          <rPr>
            <b/>
            <sz val="9"/>
            <color indexed="81"/>
            <rFont val="Tahoma"/>
            <family val="2"/>
          </rPr>
          <t>STN:</t>
        </r>
        <r>
          <rPr>
            <sz val="9"/>
            <color indexed="81"/>
            <rFont val="Tahoma"/>
            <family val="2"/>
          </rPr>
          <t xml:space="preserve">
Conta utilizada por União (U),
Estado (E) e Município (M)</t>
        </r>
      </text>
    </comment>
    <comment ref="K2" authorId="0" shapeId="0" xr:uid="{00000000-0006-0000-0300-000002000000}">
      <text>
        <r>
          <rPr>
            <b/>
            <sz val="9"/>
            <color indexed="81"/>
            <rFont val="Segoe UI"/>
            <family val="2"/>
          </rPr>
          <t>STN:</t>
        </r>
        <r>
          <rPr>
            <sz val="9"/>
            <color indexed="81"/>
            <rFont val="Segoe UI"/>
            <family val="2"/>
          </rPr>
          <t xml:space="preserve">
I - Incluída
E - Excluída
A - Alterada</t>
        </r>
      </text>
    </comment>
  </commentList>
</comments>
</file>

<file path=xl/sharedStrings.xml><?xml version="1.0" encoding="utf-8"?>
<sst xmlns="http://schemas.openxmlformats.org/spreadsheetml/2006/main" count="26281" uniqueCount="5634">
  <si>
    <t>Cat. Econômica</t>
  </si>
  <si>
    <t>Origem</t>
  </si>
  <si>
    <t>Espécie</t>
  </si>
  <si>
    <t>Rubrica</t>
  </si>
  <si>
    <t>Alínea</t>
  </si>
  <si>
    <t>Subalínea</t>
  </si>
  <si>
    <t>Código</t>
  </si>
  <si>
    <t>Especificação</t>
  </si>
  <si>
    <t>Descrição</t>
  </si>
  <si>
    <t>Ente que utiliza</t>
  </si>
  <si>
    <t>Status</t>
  </si>
  <si>
    <t>Suporte Documental</t>
  </si>
  <si>
    <t>Amparo Legal</t>
  </si>
  <si>
    <t>U/E/M</t>
  </si>
  <si>
    <t>I/E/A</t>
  </si>
  <si>
    <t>Receitas Correntes</t>
  </si>
  <si>
    <t>Registra o valor total da arrecadação das receitas tributária, de contribuições, patrimonial, agropecuária, industrial, de serviços, as transferências correntes e outras receitas correntes.</t>
  </si>
  <si>
    <t>Lei nº 4.320, de 17 de março de 1964, § 1o do art. 11, com redação dada pelo Decreto-Lei nº 1.939, de 20 de maio de 1982.</t>
  </si>
  <si>
    <t>Receita Tributária</t>
  </si>
  <si>
    <t>Recursos oriundos da competência de tributar, conforme disposto na Constituição: Impostos, Taxas e Contribuição de Melhoria.</t>
  </si>
  <si>
    <t>Lei nº 4.320, de 17 de março de 1964, § 4o do art. 11, com redação dada pelo Decreto-Lei nº 1.939, de 20 de maio de 1982.</t>
  </si>
  <si>
    <t>Impostos</t>
  </si>
  <si>
    <t>Registra o valor total da modalidade de tributo cuja obrigação tem por fato gerador situação independente de qualquer atividade estatal específica, relativa ao contribuinte.</t>
  </si>
  <si>
    <t>Constituição Federal, art. 153; e
Lei nº 5.172, de 25 de outubro de 1966 (CTN), art. 16.</t>
  </si>
  <si>
    <t>Impostos sobre o Comércio Exterior</t>
  </si>
  <si>
    <t>Registra o valor total da arrecadação de impostos sobre o comércio exterior que compreendem os impostos sobre a importação e exportação.</t>
  </si>
  <si>
    <t>Constituição Federal, art. 153, I e II e § 1o.</t>
  </si>
  <si>
    <t>Imposto sobre a Importação</t>
  </si>
  <si>
    <t>Registra o valor total da arrecadação de imposto sobre importação, de competência da União, que incide sobre a importação de produtos estrangeiros e tem como fato gerador a entrada desses produtos no território nacional, por qualquer via de acesso.</t>
  </si>
  <si>
    <t xml:space="preserve">Constituição Federal, art. 153, I; 
Lei nº 5.172, de 25 de outubro de 1966 (CTN), art. 19 a 22.
</t>
  </si>
  <si>
    <t>Receita do Principal do Imposto sobre a Importação</t>
  </si>
  <si>
    <t>Registra o valor da arrecadação de imposto sobre importação, de competência da União, que incide sobre a importação de produtos estrangeiros e tem como fato gerador a entrada desses produtos no território nacional, por qualquer via de acesso.</t>
  </si>
  <si>
    <t>Constituição Federal, arts.150, §1º, e 153, I e § 1º;
Lei nº 5.172, de 25 de outubro de 1966 (CTN), art.19 a 22;
Decreto-Lei nº 37, de 18 de novembro de 1966, art. 2º, I - para alíquota específica;
Decreto-Lei nº 37, de 18 de novembro de 1966, art. 2º, II, e 17 a 21 - para alíquota ad valorem;
Código Civil/2002, arts. 1.204 e 1.263, e art. 2º. do Decreto-Lei nº 37, de 18 de novembro de 1966 - para produtos abandonados ou apreendidos.</t>
  </si>
  <si>
    <t>Receita de Parcelamentos - Imposto sobre a Importação</t>
  </si>
  <si>
    <t>Registra o valor decorrente de parcelamentos do Imposto sobre a Importação no âmbito do Programa de Recuperação Fiscal - REFIS e do Programa Especial de Parcelamento de Débito – PAES, criados respectivamente por meio das leis nº 9.964/2000 e 10.684/2003.</t>
  </si>
  <si>
    <t xml:space="preserve">Lei nº 9.964, de 11 de abril de 2000;
Medida Provisória no 2.158-35, de 24 de agosto de 2001; e
Lei nº 10.684, de 30 de maio de 2003.
</t>
  </si>
  <si>
    <t>Imposto sobre a Exportação</t>
  </si>
  <si>
    <t>Registra o valor total da arrecadação de imposto sobre a exportação, de competência da União, que incide sobre a exportação, para o estrangeiro, de produtos nacionais ou nacionalizados, e tem como fato gerador a saída desses produtos do território nacional.</t>
  </si>
  <si>
    <t xml:space="preserve">Constituição Federal, art. 153, II; e
Lei nº 5.172, de 25 de outubro de 1966 (CTN), art. 23 a 28. Vale lembrar que parte do art. 26 (alteração da base de cálculo) não foi recepcionada pela atual Constituição.
</t>
  </si>
  <si>
    <t>Receita do Principal do Imposto sobre a Exportação</t>
  </si>
  <si>
    <t>Registra o valor da arrecadação de imposto sobre a exportação, de competência da União, que incide sobre a exportação, para o estrangeiro, de produtos nacionais ou nacionalizados, e tem como fato gerador a saída desses produtos do território nacional.</t>
  </si>
  <si>
    <t>Receita de Parcelamentos - Imposto sobre a Exportação</t>
  </si>
  <si>
    <t>Registra o valor decorrente de parcelamentos do Imposto sobre a Exportação no âmbito do Programa de Recuperação Fiscal - REFIS e do Programa Especial de Parcelamento de Débito – PAES, criados respectivamente por meio das leis nº 9.964/2000 e 10.684/2003.</t>
  </si>
  <si>
    <t>Impostos sobre o Patrimônio e a Renda</t>
  </si>
  <si>
    <t>Este grupo compreende os Impostos sobre a Propriedade Territorial Rural, sobre a Renda e Proventos de Qualquer Natureza e sobre Grandes Fortunas (não regulamentado), de competência da União, e também os Impostos sobre a Propriedade Predial e Territorial Urbana, sobre a Propriedade de Veículos Automotores, sobre Transmissão "Causa Mortis" e Doação de Bens e Direitos e sobre Transmissão "Inter-Vivos" de Bens Imóveis e de Direitos Reais sobre Imóveis, de competência dos Estados, Distrito Federal e Municípios.</t>
  </si>
  <si>
    <t>Imposto sobre a Propriedade Territorial Rural</t>
  </si>
  <si>
    <t>Registra o valor total da arrecadação de imposto sobre a propriedade territorial rural, de competência da União. Tem como fato gerador a propriedade, o domínio útil ou a posse de imóvel por natureza, como  definido na lei civil, localizado fora da zona urbana do município.</t>
  </si>
  <si>
    <t>Constituição Federal, art. 153, VI e § 4o, III;
Lei nº 5.172, de 25 de outubro de 1966 (CTN), art. 29 a 31;
Emenda Constitucional no 42, de 19 de dezembro de 2003;
Lei nº 9.393, de 19 de dezembro de 1996; e
Lei nº 11.250, de 27 de dezembro de 2005.</t>
  </si>
  <si>
    <t>Imposto sobre a Propriedade Territorial Rural - Municípios Conveniados</t>
  </si>
  <si>
    <t>Registra o valor total da receita arrecadada do imposto sobre a propriedade territorial rural - municípios conveniados.</t>
  </si>
  <si>
    <t>Constituição Federal, art. 153, VI e § 4o, III;
Lei nº 5.172, de 25 de outubro de 1966 (CTN), art. 29 a 31;
Emenda Constitucional no 42, de 19 de dezembro de 2003;
Lei nº 9.393, de 19 de dezembro de 1996; e
Lei nº 11.250, de 27 de dezembro de 2005, Art. 1º.</t>
  </si>
  <si>
    <t>Imposto sobre a Propriedade Territorial Rural - Municípios Não-Conveniados</t>
  </si>
  <si>
    <t xml:space="preserve">Registra o valor total da receita arrecadada do imposto sobre a propriedade territorial rural - municípios não-conveniados.  </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</si>
  <si>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</si>
  <si>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</si>
  <si>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 xml:space="preserve">Imposto sobre a Renda e Proventos de Qualquer Natureza </t>
  </si>
  <si>
    <t>Registra o valor total da arrecadação de imposto sobre renda e proventos de qualquer natureza de competência da União. Tem como fato gerador a aquisição de disponibilidade econômica ou jurídica: a) de renda, assim entendido o produto do capital, do trabalho ou da combinação de ambos; b) de proventos de qualquer natureza, assim entendidos os acréscimos patrimoniais não compreendidos no item anterior.</t>
  </si>
  <si>
    <t>Pessoas Físicas</t>
  </si>
  <si>
    <t>Registra o valor total que incide sobre os rendimentos e ganhos de capital percebidos pelas pessoas físicas residentes ou domiciliadas no Brasil. Integram o rendimento bruto sujeito à incidência desse imposto o ganho de capital decorrente da alienação de bens e direitos e os ganhos líquidos auferidos em operações realizadas nas bolsas de valores e assemelhadas.</t>
  </si>
  <si>
    <t>Receita de Parcelamentos – Imposto sobre a Renda – Pessoas Físicas</t>
  </si>
  <si>
    <t>Registra o valor decorrente de parcelamentos do Imposto sobre a Renda das Pessoas Físicas no âmbito do Programa de Recuperação Fiscal - REFIS e do Programa Especial de Parcelamento de Débito – PAES, criados respectivamente por meio das leis nº 9.964/2000 e 10.684/2003.</t>
  </si>
  <si>
    <t>Pessoa Jurídica – Líquida de Incentivos</t>
  </si>
  <si>
    <t>Registra o valor do imposto de renda das pessoas jurídicas de direito privado em geral e das chamadas empresas individuais, nas quais enquadram-se as firmas individuais e as pessoas físicas que exploram, com habitualidade, qualquer atividade econômica objetivando o lucro.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</si>
  <si>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Receita de Parcelamentos – Imposto sobre a Renda – Pessoas Jurídicas</t>
  </si>
  <si>
    <t>Registra o valor decorrente de parcelamentos do Imposto sobre a renda no âmbito do Programa de Recuperação Fiscal - REFIS e do Programa Especial de Parcelamento de Débito – PAES, criados respectivamente por meio das leis nº 9.964/2000 e 10.684/2003.</t>
  </si>
  <si>
    <t>Imposto de Renda Pessoa Jurídica – Simples Federal e Nacional</t>
  </si>
  <si>
    <t>Registra o valor das receitas de Imposto de Renda Pessoa Jurídica – Simples Federal e Nacional.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</si>
  <si>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</si>
  <si>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</si>
  <si>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Imposto de Renda Retido nas Fontes sobre os Rendimentos de Capital</t>
  </si>
  <si>
    <t>Registra o valor da arrecadação de receita do Imposto de Renda sobre o ganho de capital percebido por pessoa física ou jurídica em decorrência da alienação de bens e direitos de qualquer natureza.</t>
  </si>
  <si>
    <t>Imposto de Renda Retido nas Fontes sobre Remessa de Recursos ao Exterior</t>
  </si>
  <si>
    <t>Registra o valor da arrecadação de receita do imposto sobre importâncias pagas, remetidas, creditadas, empregadas ou entregues a residentes ou domiciliados no exterior por fonte localizada no país a título de royalties e pagamento de assistência técnica, juros e comissões em geral, rendimento do trabalho, aluguel ou arrendamento, transmissão de competições desportivas, produções cinematográficas, etc.</t>
  </si>
  <si>
    <t>Imposto de Renda Retido nas Fontes sobre Outros Rendimentos</t>
  </si>
  <si>
    <t>Registra o valor da arrecadação de receita do imposto sobre ganhos decorrentes de: prêmios e sorteios em geral, prêmios de proprietários e criadores de cavalos de corrida, serviços de propaganda prestados por pessoa jurídica, comissões e corretagens pagas a pessoa jurídica, remuneração de serviços profissionais prestados por pessoa jurídica, remuneração de serviços pessoais prestados por associados de cooperativas de trabalho, condenações judiciais, pecúlios de previdência privada, títulos de capitalização, aluguéis relativos a pessoa jurídica, entre outros.</t>
  </si>
  <si>
    <t>Receita de Parcelamentos – Imposto sobre a Renda Retido na Fonte</t>
  </si>
  <si>
    <t>Registra o valor decorrente de parcelamentos do Imposto sobre a Renda Retido na Fonte, no âmbito do Programa de Recuperação Fiscal - REFIS e do Programa Especial de Parcelamento de Débito – PAES, criados respectivamente por meio das leis nº 9.964/2000 e 10.684/2003.</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</si>
  <si>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</si>
  <si>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</si>
  <si>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</si>
  <si>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</si>
  <si>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</si>
  <si>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</si>
  <si>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Produção e a Circulação</t>
  </si>
  <si>
    <t>Registra o valor total da arrecadação de impostos sobre produção e a circulação que compreendem os seguintes impostos: Imposto sobre Produtos Industrializados – 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 – ISS.</t>
  </si>
  <si>
    <t>Imposto sobre Produtos Industrializados</t>
  </si>
  <si>
    <t>Registra o valor total da arrecadação de Imposto sobre Produtos Industrializados – IPI. De competência da União, tem como fato gerador o desembaraço aduaneiro de produto de procedência estrangeira; a saída de produto do estabelecimento industrial ou equiparado a industrial; a arrematação, quando apreendido ou abandonado e levado a leilão.</t>
  </si>
  <si>
    <t>Imposto sobre os Produtos Industrializados do Fumo</t>
  </si>
  <si>
    <t>Registra o valor da arrecadação de receita do imposto cobrada sobre fumo (tabaco) não manufaturado, charutos, cigarrilhas e cigarros de fumo, e sobre outros produtos do fumo.</t>
  </si>
  <si>
    <t>Imposto sobre Produtos Industrializados de Bebidas</t>
  </si>
  <si>
    <t>Registra o valor da arrecadação de receita de imposto cobrada sobre bebidas alcoólica, refrigerantes, refrescos, água mineral ou gaseificada, etc.</t>
  </si>
  <si>
    <t>Imposto sobre Produtos Industrializados de Automóveis</t>
  </si>
  <si>
    <t>Registra o valor da arrecadação de receita cobrada sobre veículos automotores.</t>
  </si>
  <si>
    <t>Imposto sobre Produtos Industrializados de Importação</t>
  </si>
  <si>
    <t>Registra o valor da arrecadação de receita de imposto cobrada sobre produtos industrializados de procedência estrangeira. O fato gerador é o desembaraço aduaneiro.</t>
  </si>
  <si>
    <t>Outros Produtos</t>
  </si>
  <si>
    <t>Registra a receita decorrente da incidência do imposto sobre produtos industrializados sobre as demais mercadorias relacionadas na Tabela de Incidência do Imposto sobre Produtos Industrializados – TIPI.</t>
  </si>
  <si>
    <t>Receita de Parcelamentos – Imposto sobre Produtos Industrializados</t>
  </si>
  <si>
    <t>Registra o valor decorrente de parcelamentos do Imposto sobre Produtos Industrializados, no âmbito do Programa de Recuperação Fiscal - REFIS e do Programa Especial de Parcelamento de Débito – PAES, criados respectivamente por meio das leis nº 9.964/2000 e 10.684/2003.</t>
  </si>
  <si>
    <t>Imposto sobre Produtos Industrializados – Simples Federal e Nacional</t>
  </si>
  <si>
    <t>Registra o valor das receitas de Imposto sobre Produtos Industrializados – Simples Federal e Nacional.</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</si>
  <si>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</si>
  <si>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</si>
  <si>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</si>
  <si>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</si>
  <si>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</si>
  <si>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Operações de Crédito, Câmbio e Seguro, ou Relativas a Títulos ou Valores Mobiliários</t>
  </si>
  <si>
    <t>Registra o valor total da arrecadação de imposto sobre operações de crédito, câmbio e seguro Relativo a títulos e valores mobiliários de competência da União. Incide sobre as operações realizadas por instituições financeiras, instituições autorizadas a operar com câmbio, companhias seguradoras e instituições autorizadas a operar na compra e venda de títulos ou valores mobiliários.</t>
  </si>
  <si>
    <t>Imposto sobre Comercialização do Ouro</t>
  </si>
  <si>
    <t>Registra o valor da arrecadação de receita de impostos sobre a primeira aquisição do ouro, ativo financeiro ou instrumento cambial. No caso de ouro físico oriundo do exterior, ingressado no País, o fato gerador é o seu desembaraço aduaneiro.</t>
  </si>
  <si>
    <t>Receita de Parcelamentos – Imposto sobre Operações de Crédito, Câmbio e Seguro ou Relativas a Títulos ou Valores Mobiliários – Comercialização do Ouro</t>
  </si>
  <si>
    <t>Registra o valor decorrente de parcelamentos do Imposto sobre Operações de Crédito, Câmbio e Seguro ou Relativas a Títulos ou Valores Mobiliários – Comercialização do Ouro, no âmbito do Programa de Recuperação Fiscal - REFIS e do Programa Especial de Parcelamento de Débito – PAES, criados respectivamente por meio das leis nº 9.964/2000 e 10.684/2003.</t>
  </si>
  <si>
    <t>Imposto sobre as Demais Operações</t>
  </si>
  <si>
    <t>Registra o valor da arrecadação de receita sobre as operações: de crédito, a entrega dos recursos ou sua colocação à disposição do interessado; de câmbio, relativas à importação de serviços, a liquidação do contrato de câmbio; de seguro, o recebimento do prêmio; com títulos e valores mobiliários, a emissão, transmissão, pagamento ou resgate destes.</t>
  </si>
  <si>
    <t>Receita de Parcelamentos – Imposto sobre Operações de Créditos, Câmbio e Seguro ou Relativas a Títulos ou Valores Mobiliários</t>
  </si>
  <si>
    <t>Registra o valor decorrente de parcelamentos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</si>
  <si>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</si>
  <si>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</si>
  <si>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</si>
  <si>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</si>
  <si>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</si>
  <si>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Impostos Extraordinários</t>
  </si>
  <si>
    <t>Registra o valor total da arrecadação de impostos extraordinários. Na iminência ou no caso de guerra externa, a União poderá instituir impostos extraordinários, compreendidos ou não em sua competência tributária, os quais serão suprimidos, gradativamente, cessadas as causas de sua criação.</t>
  </si>
  <si>
    <t>Taxas</t>
  </si>
  <si>
    <t>Registra o valor total das receitas de taxas cobradas pela União, pelos Estados, pelo Distrito Federal ou pelos Municípios, no âmbito de suas respectivas atribuições. Tem como fato gerador o exercício regular do poder de polícia, ou a utilização, efetiva ou potencial, de serviços públicos específicos e divisíveis; não relacionados com medição de consumo,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</si>
  <si>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</si>
  <si>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t>
  </si>
  <si>
    <t>Taxa de Fiscalização dos Serviços de Irrigação e Operação da Adução de Água</t>
  </si>
  <si>
    <t>Registra o valor total da arrecadação de taxa decorrente  do exercício do poder de policia pela Agência Nacional de Águas - ANA, compreendido na fiscalização da prestação dos serviços públicos de irrigação e operação de adução de água bruta.</t>
  </si>
  <si>
    <t>Taxa de Fiscalização das Telecomunicações</t>
  </si>
  <si>
    <t>Registra o valor total da arrecadação de taxa quando da fiscalização de serviços de telecomunicações pelo poder público, no exercício regular do poder de polícia. Taxas devidas pelas concessionárias e permissionárias de serviços de telecomunicações, compreendendo: a taxa de fiscalização de instalação, devida no momento em que é outorgada autorização para a execução do serviço e a taxa de fiscalização de funcionamento, devida pela fiscalização da execução dos serviços. Receita vinculada ao fundo de fiscalização das telecomunicações – FISTEL.</t>
  </si>
  <si>
    <t>Taxa de Fiscalização de Instalação</t>
  </si>
  <si>
    <t>Registra o valor da arrecadação de receita de taxa paga no momento da emissão do certificado de licença para o funcionamento das estações. Tem seus valores fixados em lei.</t>
  </si>
  <si>
    <t>Taxa de Fiscalização de Funcionamento</t>
  </si>
  <si>
    <t>Registra o valor da arrecadação de receita da taxa paga anualmente, até o dia 31 de março, pela fiscalização do funcionamento das estações. Seus valores correspondem a 45% dos fixados para a taxa de fiscalização de instalação.</t>
  </si>
  <si>
    <t>Taxa de Controle e Fiscalização de Produtos Químicos</t>
  </si>
  <si>
    <t>Registra o valor da receita advinda do pagamento da taxa de controle e fiscalização sobre produtos químicos que direta ou indiretamente possam ser destinados à elaboração ilícita de substâncias entorpecentes, psicotrópicas ou que determinem dependência física ou psíquica. Os recursos constituem receita do Fundo Nacional Antidrogas – FUNAD, dos quais serão destinados 80% ao Departamento de Polícia Federal, para o reaparelhamento e custeio das atividades de controle e fiscalização de produtos químicos e de repressão ao tráfico ilícito de drogas.</t>
  </si>
  <si>
    <t xml:space="preserve">Taxas do Departamento de Polícia Federal </t>
  </si>
  <si>
    <t>Registra os valores decorrentes de Taxas do Departamento da Polícia Federal.</t>
  </si>
  <si>
    <t>Taxa do Departamento de Polícia Federal – Segurança Privada</t>
  </si>
  <si>
    <t>Registra o valor da arrecadação de receita de taxa sobre a prestação de serviços relativos à fiscalização de empresas de segurança privada, segurança própria, de transportes de valores, de estabelecimentos financeiros e de estabelecimentos de formação de vigilantes.</t>
  </si>
  <si>
    <t>Taxa do Departamento de Polícia Federal – Sistema Nacional de Armas</t>
  </si>
  <si>
    <t>Registra o valor da arrecadação de receita de taxa sobre a p restação de serviços relativos à fiscalização sobre registro, posse e comercialização de armas de fogo permitidas e de munição.</t>
  </si>
  <si>
    <t>Taxas Decorrentes de Serviços de Migração</t>
  </si>
  <si>
    <t>Registra as receitas provenientes da cobrança de taxas pelos serviços de migração prestados pelo Departamento de Polícia Federal, conforme o inciso I do art. 3o da Lei Complementar no 89, de 1997.</t>
  </si>
  <si>
    <t>Taxa de Licenciamento, Controle e Fiscalização de Materiais Nucleares e Radioativos e suas Instalações – TLC</t>
  </si>
  <si>
    <t>Registra o valor da arrecadação de receita de taxa sobre o Licenciamento, Controle e Fiscalização, pesquisa e desenvolvimento, apoio técnico operacional e apoio ao desenvolvimento e aplicação de materiais didáticos e pedagógicos relacionados com materiais nucleares e radioativos e suas instalações.</t>
  </si>
  <si>
    <t>Taxa de Fiscalização e Controle da Previdência Complementar – TAFIC</t>
  </si>
  <si>
    <t>Registra o valor da arrecadação de receita de taxa sobre a fiscalização e controle da previdência complementar – TAFIC.</t>
  </si>
  <si>
    <t>Taxa de Fiscalização dos Produtos Controlados pelo Ministério do Exército</t>
  </si>
  <si>
    <t>Registra o valor da arrecadação de receita de taxa sobre a fiscalização de produtos controlados pelo Ministério do Exército, incluindo a fabricação, a recuperação, a manutenção, a utilização industrial, o manuseio, o uso esportivo, o colecionamento, a exportação, a importação, o desembaraço alfandegário, o armazenamento, o comércio e o tráfego. Lei nº 10.834/03.</t>
  </si>
  <si>
    <t>A</t>
  </si>
  <si>
    <t>A - Portaria SOF nº 43, de 21 MAIO 2014.</t>
  </si>
  <si>
    <t>Taxa de Fiscalização dos Mercados de Títulos e Valores Mobiliários</t>
  </si>
  <si>
    <t xml:space="preserve">Registra o valor da arrecadação de receita de taxa referente à fiscalização sobre as pessoas físicas e jurídicas que integram o sistema de distribuição de valores mobiliários, as companhias abertas, sociedades beneficiárias de incentivos fiscais, corretoras, bancos de investimento, bolsas de valores e de futuros, distribuidoras e bancos múltiplos com carteira de investimento, fundos mútuos de ações, fundos de conversão, fundos de investimento e carteiras de títulos e valores mobiliários – capital estrangeiro. </t>
  </si>
  <si>
    <t>Taxa de Fiscalização dos Mercados de Seguro, de Capitalização e da Previdência Privada Aberta</t>
  </si>
  <si>
    <t>Registra o valor da arrecadação de receita de taxa de fiscalização do mercado de seguros, capitalização e de previdência privada aberta dos estabelecimentos de seguro, de capitalização e de previdência privada aberta com ou sem fins lucrativos.</t>
  </si>
  <si>
    <t>Taxa de Fiscalização de Serviços de Energia Elétrica</t>
  </si>
  <si>
    <t>Registra o valor da receita decorrente da cobrança de taxa pela prestação do serviço público de fiscalização e regulação do setor de Energia Elétrica Nacional pela Agência Nacional de Energia Elétrica – ANEEL, recolhida em duodécimos diretamente à autarquia, com base no benefício econômico anual auferido pelas entidades do setor.</t>
  </si>
  <si>
    <t>Taxa de Fiscalização de Vigilância Sanitária</t>
  </si>
  <si>
    <t>Registra o valor da arrecadação de receita de taxa de fiscalização de locais e instalações onde são fabricados, produzidos, beneficiados, manipulados, acondicionados, conservados, depositados, armazenados, transportados, vendidos ou consumidos, alimentos, bem como, exercidas atividades que possam afetar a saúde pública, em observância às normas sanitárias.</t>
  </si>
  <si>
    <t>Taxa de Saúde Suplementar</t>
  </si>
  <si>
    <t>Registra o valor da arrecadação de receita de taxa de saúde suplementar devida por pessoas jurídicas, condomínios ou consórcios constituídos sob a modalidade de sociedade civil ou comercial, cooperativa ou entidade de autogestão, que operem o produto, serviços ou contrato com a finalidade de garantir a assistência à saúde visando à assistência médica hospitalar ou odontológica.</t>
  </si>
  <si>
    <t>Taxa por Plano de Assistência à Saúde</t>
  </si>
  <si>
    <t>Registra o valor da taxa devida por plano de assistência à saúde, e seu valor será o produto da multiplicação de R$ 2,00 (dois reais) pelo número médio de usuários de cada plano privado de assistência à saúde, deduzindo o percentual total de descontos apurados em cada plano, de acordo com as Tabelas I e II do anexo II da Lei nº 9.961, de 28/01/00.</t>
  </si>
  <si>
    <t>Taxa por Registro de Produto</t>
  </si>
  <si>
    <t>Registra o valor da taxa devida por registro de produto, conforme valores indicados na Tabela III do anexo II da Lei nº 9.961, de 28/01/00. Os recursos serão vinculados à Agência Nacional de Saúde.</t>
  </si>
  <si>
    <t>Taxa por Alteração de Dados de Produto</t>
  </si>
  <si>
    <t>Registra o valor da taxa devida por alteração de dados de produto, conforme valores indicados na Tabela III do anexo II da Lei nº 9.961, de 28/01/00. Os recursos serão vinculados à Agência Nacional de Saúde.</t>
  </si>
  <si>
    <t>Taxa por Registro de Operadora</t>
  </si>
  <si>
    <t>Registra o valor da taxa devida por registro de operadora, conforme valores indicados na Tabela III do anexo II da Lei nº 9.961, de 28/01/00. Os recursos serão vinculados à Agência Nacional de Saúde.</t>
  </si>
  <si>
    <t>Taxa por Alteração de Dados de Operadora</t>
  </si>
  <si>
    <t>Registra o valor da taxa devida por alteração de dados de operadora, conforme valores indicados na Tabela III do anexo II da Lei nº 9.961, de 28/01/00. Os recursos serão vinculados à Agência Nacional de Saúde.</t>
  </si>
  <si>
    <t>Taxa por Pedido de Reajuste de Contraprestação Pecuniária</t>
  </si>
  <si>
    <t>Registra o valor da taxa devida por pedido de reajuste de contraprestação pecuniária, conforme valores indicados na Tabela III do anexo II da Lei nº 9.961, de 28/01/00. Os recursos serão vinculados à Agência Nacional de Saúde.</t>
  </si>
  <si>
    <t>Outras Taxas de Saúde Suplementar</t>
  </si>
  <si>
    <t>Registra o valor de outras taxas de saúde suplementar, não classificadas nos itens anteriores.</t>
  </si>
  <si>
    <t>Taxa de Controle e Fiscalização Ambiental</t>
  </si>
  <si>
    <t>Registra o valor da arrecadação de receita de taxa de fiscalização ambiental, devida por pessoas físicas ou jurídicas obrigadas ao registro no Cadastro Técnico de Atividades Potencialmente Poluidoras ou Utilizadoras de Recursos Ambientais.</t>
  </si>
  <si>
    <t>Taxa de Serviços Administrativos</t>
  </si>
  <si>
    <t>Registra o valor total da arrecadação da receita proveniente de taxa de serviços administrativos, tendo como fato gerador o exercício regular do poder de polícia, ou a utilização, efetiva ou potencial, de serviço público específico e divisível, prestado ao contribuinte ou posto a sua disposição pela superintendência da zona franca de Manaus – SUFRAMA. Os recursos arrecadados serão destinados exclusivamente ao custeio e às atividades fins da SUFRAMA (Lei nº 9.960 de 28 de janeiro de 2000).</t>
  </si>
  <si>
    <t>Taxa de Serviços Metrológicos</t>
  </si>
  <si>
    <t>Registra o valor da arrecadação de receita de taxa de serviços metrológicos devida pelas pessoas naturais e jurídicas, nacionais e estrangeiras, que atuem no mercado para fabricar, importar, processar, montar, acondicionar ou comercializar bens, mercadorias e produtos e prestar serviços.</t>
  </si>
  <si>
    <t>Taxa de Fiscalização sobre a Distribuição Gratuita de Prêmios e Sorteios</t>
  </si>
  <si>
    <t>Registra o valor da arrecadação de receita de taxa de fiscalização da distribuição gratuita de prêmios e sorteios.</t>
  </si>
  <si>
    <t>Taxa de Licença para Funcionamento de Estabelecimentos Comerciais, Indústrias e Prestadoras de Serviços</t>
  </si>
  <si>
    <t xml:space="preserve">Registra o valor da arrecadação de receita de taxa de fiscalização da localização de estabelecimentos comerciais, industrias e de prestação de serviços, instituída pela legislação do uso e ocupação do solo urbano às posturas municipais relativas à segurança, ordem e tranquilidade públicas. </t>
  </si>
  <si>
    <t>Taxa de Publicidade Comercial</t>
  </si>
  <si>
    <t>Registra o valor da arrecadação de receita de taxa de utilização de espaço público destinado para divulgação de produtos do comércio.</t>
  </si>
  <si>
    <t>Taxa de Apreensão e Depósito</t>
  </si>
  <si>
    <t>Registra o valor da arrecadação de receita de taxa de apreensão e depósito de bens oriundos de irregularidades apresentadas quando da fiscalização.</t>
  </si>
  <si>
    <t>Taxa de Funcionamento de Estabelecimentos em Horário Especial</t>
  </si>
  <si>
    <t>Registra o valor da arrecadação de receita de taxa de funcionamento de estabelecimentos em horário especial. A respectiva taxa é destinada a bares, boates, barracas por ocasião de festas carnavalescas, podendo funcionar a qualquer hora.</t>
  </si>
  <si>
    <t>Taxa de Licença para Execução de Obras</t>
  </si>
  <si>
    <t>Registra o valor da arrecadação de receita de taxa de licença para execução de obras. A respectiva taxa é cobrada do responsável pela execução das obras em observância aos critérios descritos em lei.</t>
  </si>
  <si>
    <t>Taxa de Autorização de Funcionamento de Transporte</t>
  </si>
  <si>
    <t>Registra o valor da arrecadação de receita de taxa de autorização de funcionamento de transporte, caracterizada pela autorização aos proprietários de veículos que prestam serviços à comunidade de transporte de passageiros tais como: transporte escolar, de funcionários e outros passageiros.</t>
  </si>
  <si>
    <t>Taxa de Utilização de Área de Domínio Público</t>
  </si>
  <si>
    <t>Registra o valor da arrecadação de receita de taxa de utilização de área de domínio público, referente a espaço ocupado por balcões, barracas, mesas, tabuleiros e semelhantes, nas feiras, vias e logradouros públicos ou como depósito de materiais ou estacionamento de veículos em locais designados pela Prefeitura.</t>
  </si>
  <si>
    <t>Taxa de Aprovação do Projeto de Construção Civil</t>
  </si>
  <si>
    <t>Registra o valor da arrecadação de receita de taxa de licença e aprovação do projeto de construção civil correspondente à certificação das condições de utilização de prédios e residências.</t>
  </si>
  <si>
    <t>Taxa de Fiscalização de Aparelhos de Transporte</t>
  </si>
  <si>
    <t>Registra o valor da arrecadação de receita de taxa de fiscalização exercida em instalações (conservação e funcionamento) de elevadores de passageiros e de cargas, de alçapões, escadas rolantes, planos inclinados móveis e outros de natureza especial, em observância à legislação específica.</t>
  </si>
  <si>
    <t>Taxa de Alinhamento e Nivelamento</t>
  </si>
  <si>
    <t>Registra o valor da arrecadação de receita de taxa de fiscalização da metragem no tocante ao alinhamento e nivelamento de áreas ou terrenos.</t>
  </si>
  <si>
    <t>Taxa de Apreensão, Depósito ou Liberação de Animais</t>
  </si>
  <si>
    <t>Registra o valor da arrecadação de receita de taxa de apreensão, depósito ou liberação de animais recolhidos em ruas em função de riscos causados à população.</t>
  </si>
  <si>
    <t>Taxa de Regulação de Serviços de Gás Canalizado</t>
  </si>
  <si>
    <t>Registra o valor da receita decorrente da cobrança de taxa pela prestação de serviço público de fiscalização e regulação de serviços de gás canalizado.</t>
  </si>
  <si>
    <t>Taxa de Serviços de Transporte Metroviário de Passageiros</t>
  </si>
  <si>
    <t>Registra o valor da receita decorrente da cobrança de taxa pela prestação de serviço público de fiscalização e regulação de serviços de transporte metroviário de passageiros.</t>
  </si>
  <si>
    <t>Taxa de Serviços de Transporte Ferroviário de Passageiros</t>
  </si>
  <si>
    <t>Registra o valor da receita decorrente da cobrança de taxa pela prestação de serviço público de fiscalização e regulação de serviços de transporte ferroviário de passageiros.</t>
  </si>
  <si>
    <t>Taxa de Serviços de Transporte Marítimo de Passageiros</t>
  </si>
  <si>
    <t>Registra o valor da receita decorrente da cobrança de taxa pela prestação de serviço público de fiscalização e regulação de serviços de transporte marítimo de passageiros.</t>
  </si>
  <si>
    <t>Taxas pela Utilização de Selos de Controle e dos Equipamentos Contadores de Produção</t>
  </si>
  <si>
    <t>Registra os valores arrecadados com a cobrança da taxa pela utilização de selo especial que possibilite o controle quantitativo de determinados produtos, mediante sistema de rotulagem, etiquetagem, obrigatoriedade de numeração ou aplicação do selo, bem como pela utilização de equipamentos contadores de produção, a fim de controlar, rastrear produtos, identificar a legítima origem, reprimir a produção e importação ilegais e a comercialização de contratações.</t>
  </si>
  <si>
    <t>I</t>
  </si>
  <si>
    <t>I - Portaria SOF nº 7, de 12 de MAR 2015</t>
  </si>
  <si>
    <t xml:space="preserve">Arts. 13, 26, parágrafo único, e 27 da Lei no 12.995, de 18 de junho de 2014; Art. 46 da Lei no 4.502, de 30 de novembro de 1964; Arts. 49, 50, 51 e 78 da Lei no 9.532, de 10 de dezembro de 1997; Art. 58-T da Lei no 10.833, de 29 de dezembro de 2003; Arts. 27 a 30 da Lei no 11.488, de 15 de junho de 2007; e Decreto no 7.212, de 15 de junho de 2010.
</t>
  </si>
  <si>
    <t>Outras Taxas pelo Exercício do Poder de Polícia</t>
  </si>
  <si>
    <t>Registra o valor da arrecadação de receita de outras taxas pelo exercício do poder de polícia, não classificadas nos itens anteriores.</t>
  </si>
  <si>
    <t>Taxas pela Prestação de Serviços</t>
  </si>
  <si>
    <t>Registra o valor total da arrecadação de taxas pela utilização efetiva ou potencial de serviços prestados ao contribuinte ou colocados a sua disposição. Neste título são classificadas as taxas pela prestação de serviços públicos: a) utilizados pelo contribuinte – efetivamente, quando por ele usufruídos a qualquer título; potencialmente, quando, sendo de utilização compulsória, sejam postos a sua disposição mediante atividade administrativa em efetivo funcionamento; b) específicos, quando possam ser destacados em unidades autônomas de intervenção, de utilidade ou de necessidade pública; c) divisíveis, quando suscetíveis de utilização, separadamente, por parte de cada um dos seus usuários.</t>
  </si>
  <si>
    <t>Emolumentos Consulares</t>
  </si>
  <si>
    <t>Registra o valor da arrecadação de receita de taxas de serviços de expedição ou legalização de documentos, para fins de atendimento às atividades internacionais.</t>
  </si>
  <si>
    <t>Taxa de Pedido de Visto em Contrato de Trabalho de Estrangeiro</t>
  </si>
  <si>
    <t xml:space="preserve">Registra o valor da arrecadação de receita de taxa de pedido de visto em contrato de trabalho de estrangeiro destinada ao Ministério do Trabalho e Emprego, de acordo com a Lei nº 6815/80.  </t>
  </si>
  <si>
    <t>Taxa Utilização do Sistema Eletrônico de Controle de Arrecadação do Adicional ao Frete para a Renovação da Marinha Mercante</t>
  </si>
  <si>
    <t>Registra o valor da arrecadação de receita da taxa de utilização do sistema eletrônico de controle de arrecadação do adicional ao frete para renovação da Marinha Mercante.</t>
  </si>
  <si>
    <t>Taxa de Avaliação do Ensino Superior</t>
  </si>
  <si>
    <t>Registra o valor da arrecadação de receita de taxa de avaliação do ensino superior.</t>
  </si>
  <si>
    <t>Taxa Judiciária da Justiça do Distrito Federal</t>
  </si>
  <si>
    <t>Registra o valor da arrecadação de taxa judiciária da Justiça do Distrito Federal. Tributo que tem como fato gerador a administração da justiça pelos magistrados por meio do processamento, julgamento e execução dos feitos submetidos a seu exame, inclusive quando se tratar de processo de jurisdição voluntária. Incide sobre o valor da causa.</t>
  </si>
  <si>
    <t>Emolumentos e Custas da Justiça do Distrito Federal</t>
  </si>
  <si>
    <t>Registra o valor da arrecadação de custas e emolumentos devidos à Justiça do Distrito Federal, pela expedição, preparo e execução de todos os feitos judiciais, dos atos notariais, judiciais e extrajudiciais, cobrados de acordo com o regimento estabelecido pelo Decreto-Lei n° 15, de 25/01/1967, e alterações posteriores.</t>
  </si>
  <si>
    <t>Emolumentos e Custas Judiciais</t>
  </si>
  <si>
    <t xml:space="preserve">Registra o valor da arrecadação de receita de taxa de serviços judiciais referentes aos atos praticados em razão do ofício, tais como: a)serventias judiciais: despesas com diligências fora de cartório, periciais e avaliações, publicações de editais na imprensa, expedições de cartas de ordem e de sentenças, dentre outras; b) expedição, movimentação e certificação dos feitos bem como custas devidas por atos e diligências, em primeira instância, com base no valor das causas em geral, mandado de segurança, processos criminais, recursos e cartas testemunháveis criminais, despesa com traslado e outras relacionadas nas tabelas de custas. </t>
  </si>
  <si>
    <t>Taxa de Utilização do Sistema Integrado de Comércio Exterior – SISCOMEX</t>
  </si>
  <si>
    <t>Registra o valor dos recursos provenientes da cobrança de taxa junto aos importadores pela utilização dos serviços do Sistema Integrado de Comércio Exterior – SISCOMEX, paga no ato do registro da Declaração de Importação e por adição de mercadorias à Declaração de Importação. O produto da arrecadação da taxa é vinculado ao Fundo Especial de Desenvolvimento e Aperfeiçoamento das Atividades de Fiscalização – FUNDAF.</t>
  </si>
  <si>
    <t>Emolumentos e Custas Processuais Administrativas</t>
  </si>
  <si>
    <t>Registra o valor da arrecadação de receita de taxa de emolumentos e custas processuais por entidades da administração pública federal, estadual e municipal, em decorrência da prestação de serviços de consultas e análises de processos em suas respectivas áreas de competência.</t>
  </si>
  <si>
    <t xml:space="preserve">Emolumentos e Custas de Apreciação de Atos e Contratos </t>
  </si>
  <si>
    <t xml:space="preserve">Registra o valor total da receita proveniente da apreciação de atos e contratos. Amparo legal: Lei nº 9.781, de 19/01/99 (art. 5º, Inciso I); Lei nº 10.149, de 21/12/00 (art. 3º).                                    </t>
  </si>
  <si>
    <t>Emolumentos e Custas Decorrentes de Consultas</t>
  </si>
  <si>
    <t xml:space="preserve">Registra o valor total da receita decorrente de consultas ao CADE. Amparo legal: Lei nº 9.781, de 19 de janeiro de 1999 (art. 5o, inciso II).                                                           </t>
  </si>
  <si>
    <t>Taxa Militar</t>
  </si>
  <si>
    <t>Registra o valor da taxa cobrada a todo cidadão que por qualquer motivo obtiver isenção temporária ou definitiva de incorporação no Exército, Marinha e Aeronáutica.</t>
  </si>
  <si>
    <t>Taxa de Classificação de Produtos Vegetais</t>
  </si>
  <si>
    <t>Registra o valor da arrecadação de receita de taxa de serviços de classificação de produtos vegetais.</t>
  </si>
  <si>
    <t>Taxas de Serviços Cadastrais</t>
  </si>
  <si>
    <t>Registra o valor da arrecadação de receita de taxa de serviços de apuração, inscrição e cobrança da Dívida Ativa, da Taxa de Serviços Cadastrais.</t>
  </si>
  <si>
    <t>Taxa de Serviços de Pesca e Aquicultura</t>
  </si>
  <si>
    <t>Registra o valor total da arrecadação de taxas pela prestação de serviços aquícolas, originárias dos registros anuais de indústria de pesca, de empresas que comercializam animais aquáticos vivos, de pesque e pague e de armador de pesca e ainda de expedição de carteira de pescador profissional.</t>
  </si>
  <si>
    <t>Taxa de Cemitérios</t>
  </si>
  <si>
    <t>Registra o valor da arrecadação de receita de taxa de prestação de serviços de administração de cemitérios referentes à utilização de necrotério e ocupação da sala mortuária, bem como matrículas, entrada e saída de ossos.</t>
  </si>
  <si>
    <t>Emolumentos e Custas Extrajudiciais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</si>
  <si>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</si>
  <si>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Taxa de Limpeza Pública</t>
  </si>
  <si>
    <t>Registra o valor da arrecadação de receita cobrada pela utilização efetiva ou potencial do serviço pelo proprietário de imóvel edificado ou não, situado em logradouro beneficiado pela coleta do lixo.</t>
  </si>
  <si>
    <t>Outras Taxas pela Prestação de Serviços</t>
  </si>
  <si>
    <t>Registra o valor da arrecadação de receita de outras taxas de utilização efetiva ou potencial de serviços, não classificadas nos itens anteriores.</t>
  </si>
  <si>
    <t>Contribuição de Melhoria</t>
  </si>
  <si>
    <t>Registra o valor total da arrecadação com contribuições de melhoria decorrentes de obras públicas. De competência da União, Estados, Distrito Federal ou Municípios, no âmbito de suas respectivas atribuições. É arrecadada dos proprietários de imóveis beneficiados por obras públicas, e terá como limite total a despesa realizada.</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</si>
  <si>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</si>
  <si>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</si>
  <si>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</si>
  <si>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</si>
  <si>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</si>
  <si>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</si>
  <si>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</si>
  <si>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</si>
  <si>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</si>
  <si>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</si>
  <si>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Receita de Transferência de Concessão, de Permissão ou de Autorização de Rodovias ou de Obras Rodoviárias Federais</t>
  </si>
  <si>
    <t>Registra a receita decorrente de Transferência de Concessão, de Permissão ou de Autorização de Rodovias ou de Obras Rodoviárias Federais.</t>
  </si>
  <si>
    <t>Receitas de Contribuições</t>
  </si>
  <si>
    <t>Registra o valor total da arrecadação de receita de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o custeio, em beneficio destes, de sistemas de previdência e assistência social.</t>
  </si>
  <si>
    <t>Contribuições Sociais</t>
  </si>
  <si>
    <t>Registra o valor total da arrecadação com contribuições sociais constituídas por ordem social e profissional.</t>
  </si>
  <si>
    <t>Contribuição Social para o Financiamento da Seguridade Social</t>
  </si>
  <si>
    <t>Registra o valor total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</si>
  <si>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Receita do Principal da Contribuição Social para o Financiamento da Seguridade Social</t>
  </si>
  <si>
    <t>Registra o valor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</si>
  <si>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Receita de Parcelamentos – Contribuição para o Financiamento da Seguridade Social</t>
  </si>
  <si>
    <t>Registra o valor decorrente de parcelamentos da Contribuição para o Financiamento da Seguridade Social, no âmbito do Programa de Recuperação Fiscal - REFIS e do Programa Especial de Parcelamento de Débito – PAES, criados respectivamente por meio das leis nº 9.964/2000 e 10.684/2003.</t>
  </si>
  <si>
    <t>Contribuição Social do Salário-Educação</t>
  </si>
  <si>
    <t>Registra o valor total da arrecadação de contribuição social destinada ao salário-educação. Esta contribuição social destina-se a financiar parcialmente as despesas com o ensino básico. Calculada sobre o valor da folha do salário de contribuição, no caso das empresas vinculadas à previdência social urbana, e sobre o valor comercial dos produtos agrícolas, no caso das empresas vinculadas à previdência social rural. Um por cento da arrecadação é destinada ao INSS, a título de taxa de administração, e, do restante, 2/3 em favor da unidade da federação onde houver sido efetuada a arrecadação, destinando-se os recursos às respectivas Secretarias de Educação; 1/3 em favor da União como receita vinculada ao Fundo Nacional de Desenvolvimento da Educação – FNDE.</t>
  </si>
  <si>
    <t>Cota-Parte da Contribuição Sindical</t>
  </si>
  <si>
    <t>Registra o valor total da arrecadação de cota-parte da contribuição sindical. Corresponde a 20% da arrecadação da contribuição sindical (no caso da contribuição rural, o percentual é de 10%). Constitui-se em uma contribuição parafiscal equivalente a um dia de remuneração de todo o trabalhador do mercado formal de trabalho. Integra o orçamento da seguridade social.</t>
  </si>
  <si>
    <t>Contribuição para o Ensino Aeroviário</t>
  </si>
  <si>
    <t>Registra o valor total da arrecadação de contribuição para ensino aeroviário. Contribuição pelos serviços de aviação civil, devida pelas empresas de: transporte e serviços aéreos; telecomunicações aeronáuticas; atividades relacionadas à infra-estrutura aeroportuária; e fabricação, reparo e manutenção, ou representação, de aeronaves e equipamentos aeronáuticos. Calculada sobre o salário de contribuição dos empregados.</t>
  </si>
  <si>
    <t>Contribuição para o Desenvolvimento do Ensino Profissional Marítimo</t>
  </si>
  <si>
    <t>Registra o valor total da arrecadação de contribuição para custear o desenvolvimento do ensino profissional marítimo. Contribuição pela prestação de serviços de navegação, devida pelas empresas de navegação marítima, fluvial ou lacustre, de serviços portuários, de dragagem e de administração e de exploração de portos. Calculada sobre o salário de contribuição dos empregados.</t>
  </si>
  <si>
    <t>Contribuição para o Fundo de Saúde das Forças Armadas</t>
  </si>
  <si>
    <t>Registra o valor da receita incidente sobre o soldo dos militares e destina-se à constituição de Fundos de Saúde, em cada uma das Forças Armadas, que visem ao custeio do atendimento médico-hospitalar de militares e de seus dependentes (Lei nº 6.880, de 09/12/80; Dec. 95.512, de 02/04/86).</t>
  </si>
  <si>
    <t>Contribuição sobre a Arrecadação dos Fundos de Investimentos Regionais</t>
  </si>
  <si>
    <t>Registra o valor total da contribuição da arrecadação dos fundos de investimentos regionais. Contribuição oriunda da dedução de 1% (um por cento) da arrecadação dos fundos de investimentos regionais (FINAM, FINOR e FUNRES), obedecida na aplicação a respectiva origem geográfica regional.</t>
  </si>
  <si>
    <t>Contribuição sobre Movimentação ou Transmissão de Valores e de Créditos e Direitos de Natureza Financeira</t>
  </si>
  <si>
    <t xml:space="preserve">Registra o valor total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 </t>
  </si>
  <si>
    <t>Receita do Principal da Contribuição sobre Movimentação ou Transmissão de Valores e de Créditos e Direitos de Natureza Financeira</t>
  </si>
  <si>
    <t>Registra o valor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t>
  </si>
  <si>
    <t xml:space="preserve">Receita de Parcelamentos – Contribuição sobre Movimentação ou Transmissão de Valores e de Créditos e Direitos de Natureza Financeira  </t>
  </si>
  <si>
    <t>Registra o valor decorrente de parcelamentos da Contribuição sobre Movimentação ou Transmissão de Valores e de Créditos e Direitos de Natureza Financeira, no âmbito do Programa de Recuperação Fiscal - REFIS e do Programa Especial de Parcelamento de Débito – PAES, criados respectivamente por meio das leis nº 9.964/2000 e 10.684/2003.</t>
  </si>
  <si>
    <t>Contribuição para Custeio das Pensões Militares</t>
  </si>
  <si>
    <t>Registra o valor total da arrecadação de contribuição para custeio das pensões militares, efetivadas por todos os militares, com valor correspondente a seu posto ou graduação, observando as exceções previstas na lei específica. De competência da União.</t>
  </si>
  <si>
    <t>Contribuição sobre a Receita de Sorteios Realizados por Entidades Filantrópicas</t>
  </si>
  <si>
    <t>Registra o valor da receita arrecadada correspondente a 8% da receita bruta auferida nos sorteios realizados por entidades filantrópicas, a ser rateado da seguinte forma: a)</t>
  </si>
  <si>
    <t>Contribuições sobre a Receita de Concursos de Prognósticos</t>
  </si>
  <si>
    <t>Registra o valor da arrecadação de receitas advindas de contribuições de loterias federais. A CEF, com base nas decomposições de arrecadações previstas nos anexos da Portaria MF nº 233, de 09/07/02, fará a apuração e o repasse dos valores que compõem o recolhimento ao Tesouro Nacional, por modalidade de loteria federal, mediante quitação de Documentos de Arrecadação de Receitas Federais – DARF.</t>
  </si>
  <si>
    <t>Contribuição sobre a Receita da Loteria Federal</t>
  </si>
  <si>
    <t>Registra o valor da arrecadação da contribuição sobre a receita da loteria federal.</t>
  </si>
  <si>
    <t>Contribuição sobre a Receita de Loterias Esportivas</t>
  </si>
  <si>
    <t>Registra o valor da arrecadação da contribuição sobre a receita de loterias esportivas.</t>
  </si>
  <si>
    <t>Contribuição sobre a Receita de Concursos Especiais de Loterias Esportivas</t>
  </si>
  <si>
    <t>Registra o valor da arrecadação da contribuição sobre a receita de concursos especiais de loterias esportivas.</t>
  </si>
  <si>
    <t>Contribuição sobre a Receita de Loterias de Números</t>
  </si>
  <si>
    <t>Registra o valor da arrecadação da contribuição sobre a receita de loterias de números.</t>
  </si>
  <si>
    <t>Contribuição sobre a Receita da Loteria Instantânea</t>
  </si>
  <si>
    <t>Registra o valor da arrecadação da contribuição sobre a receita da loteria instantânea.</t>
  </si>
  <si>
    <t>Prêmios Prescritos da Loteria Federal</t>
  </si>
  <si>
    <t>Registra o valor da receita proveniente dos prêmios não procurados pelos contemplados dentro do prazo de prescrição, conforme preceitua a Lei nº 9.288, de 1º de julho de 1996, art. 5º, §3º. Os recursos são vinculados ao Fundo de Financiamento ao Estudante de Ensino Superior – FIES.</t>
  </si>
  <si>
    <t>Contribuição sobre a Receita de Outros Concursos de Prognósticos</t>
  </si>
  <si>
    <t>Registra o valor da arrecadação de outros concursos de prognósticos, deduzidos os valores destinados ao pagamento de prêmios, de impostos e de despesas com a administração.</t>
  </si>
  <si>
    <t>Contribuição Sobre a Receita de Concurso de Prognóstico Específico Destinado ao Desenvolvimento da Prática Desportiva – Modalidade Futebol (“Timemania”)</t>
  </si>
  <si>
    <t>Registra o valor da arrecadação do concurso de prognóstico destinado ao desenvolvimento da prática desportiva, modalidade futebol, deduzidos os valores destinados ao pagamento de prêmios, de impostos e de despesas com a administração.</t>
  </si>
  <si>
    <t>Outros Prêmios Prescritos</t>
  </si>
  <si>
    <t>Registra o valor da arrecadação dos concursos de prognósticos, decorrente de prêmios sorteados, ou ganhos em concurso, não decorrentes de loterias federais; e não reclamados nos prazos previstos, deduzidos os valores de impostos e despesas com a administração.</t>
  </si>
  <si>
    <t>Contribuições para o Regime Próprio de Previdência do Servidor Público</t>
  </si>
  <si>
    <t>Registra o valor da arrecadação de receita de contribuições patronal e do servidor, destinadas ao custeio do seu regime de previdência, conforme disposto no art. 40 da Constituição Federal.</t>
  </si>
  <si>
    <t xml:space="preserve">Contribuição Patronal de Servidor Ativo Civil para o Regime Próprio </t>
  </si>
  <si>
    <t>Registra o valor da arrecadação de receita oriunda da participação dos Entes, suas autarquias e fundações públicas para o custeio do Plano de Seguridade Social do Servidor, conforme disposto na Lei nº 10.887, de 18 de junho de 2004.</t>
  </si>
  <si>
    <t>Contribuição Patronal de Servidor Ativo Militar</t>
  </si>
  <si>
    <t>Registra o valor da arrecadação de receita de contribuições patronais de servidor ativo militar de entidades para institutos de previdência social.</t>
  </si>
  <si>
    <t xml:space="preserve">Contribuição Patronal – Inativo Civil </t>
  </si>
  <si>
    <t>Registra o valor da arrecadação de receita de contribuição de entidades para institutos de previdência social, relativa a servidor inativo civil.</t>
  </si>
  <si>
    <t>Contribuição Patronal – Inativo Militar</t>
  </si>
  <si>
    <t>Registra o valor da arrecadação de receita de contribuição de entidades para institutos de previdência social, relativa a inativo militar.</t>
  </si>
  <si>
    <t>Contribuição Patronal – Pensionista Civil</t>
  </si>
  <si>
    <t>Registra o valor da arrecadação de receita de contribuição de entidades para institutos de previdência social, relativa a pensionista civil.</t>
  </si>
  <si>
    <t>Contribuição Patronal – Pensionista Militar</t>
  </si>
  <si>
    <t>Registra o valor da arrecadação de receita de contribuição de entidades para institutos de previdência social, relativa a pensionista militar.</t>
  </si>
  <si>
    <t>Contribuição do Servidor Ativo Civil para o Regime Próprio</t>
  </si>
  <si>
    <t>Registra o valor da arrecadação de receita de contribuições dos servidores civis ativos dos Entes da Federação, suas autarquias e fundações.</t>
  </si>
  <si>
    <t>Contribuição de Servidor Ativo Militar</t>
  </si>
  <si>
    <t>Registra o valor da arrecadação de receita de contribuições de servidor ativo militar para institutos de previdência social.</t>
  </si>
  <si>
    <t>Contribuições do Servidor Inativo Civil para o Regime Próprio</t>
  </si>
  <si>
    <t>Registra o valor da arrecadação de receita da contribuição dos servidores civis inativos para os institutos de previdência social.</t>
  </si>
  <si>
    <t>Contribuições de Servidor Inativo Militar</t>
  </si>
  <si>
    <t>Registra o valor da arrecadação de receita de contribuições de servidor inativo militar para institutos de previdência social.</t>
  </si>
  <si>
    <t>Contribuições de Pensionista Civil para o Regime Próprio</t>
  </si>
  <si>
    <t>Registra o valor da arrecadação de receita da contribuição dos pensionistas civis para institutos de previdência social.</t>
  </si>
  <si>
    <t>Contribuições de Pensionista Militar</t>
  </si>
  <si>
    <t>Registra o valor da arrecadação de receita de contribuições de pensionistas militares para institutos de previdência social.</t>
  </si>
  <si>
    <t>Contribuição Previdenciária para Amortização do Déficit Atuarial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</si>
  <si>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</si>
  <si>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Contribuição Previdenciária em Regime de Parcelamento de Débitos – RPPS</t>
  </si>
  <si>
    <t>Receita decorrente da arrecadação de receitas de contribuições originárias de parcelamento administrativo dos créditos previdenciários não recolhidos aos cofres do RPPS no seu vencimento.</t>
  </si>
  <si>
    <t>Receita de Recolhimento da Contribuição Patronal, oriunda do Pagamento de Sentenças Judiciais</t>
  </si>
  <si>
    <t>Receita oriunda do pagamento de sentenças judiciais decorrentes do recolhimento da contribuição patronal de servidor ativo civil para o regime próprio.</t>
  </si>
  <si>
    <t>A - Portaria SOF nº 170, de 21 DEZ 2012.</t>
  </si>
  <si>
    <t>Receita de Recolhimento da Contribuição do Servidor Ativo Civil, oriunda do Pagamento de Sentenças Judiciais</t>
  </si>
  <si>
    <t>Registra a receita oriunda do pagamento de sentenças judiciais decorrentes do recolhimento da contribuição de servidor ativo civil para o regime próprio.</t>
  </si>
  <si>
    <t>Receita de Recolhimento da Contribuição do Servidor Inativo Civil, oriunda do Pagamento de Sentenças Judiciais</t>
  </si>
  <si>
    <t>Registra a receita oriunda do pagamento de sentenças judiciais decorrentes do recolhimento da contribuição de servidor inativo civil para o regime próprio.</t>
  </si>
  <si>
    <t>Receita de Recolhimento de Pensionista Civil, oriunda do Pagamento de Sentenças Judiciais</t>
  </si>
  <si>
    <t>Receita oriunda do pagamento de sentenças judiciais decorrentes do recolhimento de pensionista civil para o regime próprio.</t>
  </si>
  <si>
    <t>Contribuições Previdenciárias para o Regime Geral de Previdência Social</t>
  </si>
  <si>
    <t>Registra o valor da arrecadação de contribuições efetuadas à Previdência Social por segurados em geral, empregados domésticos, autônomos e empregadores. Incide sobre o salário de contribuição, em percentuais diferenciados. Está vinculada ao Fundo de Regime Geral de Previdência Social.</t>
  </si>
  <si>
    <t>Contribuição Previdenciária do Segurado Obrigatório – Contribuinte Individual</t>
  </si>
  <si>
    <t>Registra o valor da arrecadação de receita de contribuição de pessoas físicas que exercem, por conta própria, atividade econômica de natureza urbana, com fins lucrativos ou não.</t>
  </si>
  <si>
    <t>Contribuição do Segurado Assalariado</t>
  </si>
  <si>
    <t>Registra o valor da arrecadação de receita de contribuições previdenciárias do segurado empregado inclusive o doméstico, e a do trabalhador avulso sobre o seu salário-de-contribuição mensal.</t>
  </si>
  <si>
    <t>Contribuição Previdenciária da Empresa sobre Segurado Assalariado</t>
  </si>
  <si>
    <t>Registra o valor da arrecadação de receita de contribuições previdenciárias da empresa, para a seguridade social, sobre o total das remunerações pagas ou creditadas no decorrer do mês aos segurados empregados, empresários, trabalhadores avulsos, autônomos e equiparados que lhe prestem serviço.</t>
  </si>
  <si>
    <t>Contribuição Previdenciária da Empresa Optante pelo SIMPLES</t>
  </si>
  <si>
    <t xml:space="preserve">Registra o valor da arrecadação de receita de contribuições previdenciárias de percentuais favorecidos e progressivos, incidentes sobre a receita bruta de empresas de pequeno porte e microempresas. As contribuições no regime tributário do SIMPLES substituem as contribuições previdenciárias patronais incidentes sobre: a) remuneração de empregado; b) remuneração de trabalhadores avulsos e contribuintes individuais; c) receita bruta da comercialização da produção rural auferida pelo produtor rural pessoa jurídica. </t>
  </si>
  <si>
    <t>Contribuição Previdenciária sobre Espetáculo Desportivo</t>
  </si>
  <si>
    <t>Registra o valor da arrecadação de receita de contribuições previdenciárias das associações desportivas, decorrente dos espetáculos desportivos de que participem em todo território nacional, em qualquer modalidade desportiva, inclusive jogos internacionais, de qualquer forma de patrocínio, licenciamento de uso de marcas e símbolos, publicidade, propaganda e transmissão de espetáculos desportivos.</t>
  </si>
  <si>
    <t>Contribuição Previdenciária sobre a Produção Rural</t>
  </si>
  <si>
    <t>Registra o valor da arrecadação de receita de contribuições previdenciárias do empregador rural para a seguridade social, proveniente da receita bruta da comercialização dos produtos rurais.</t>
  </si>
  <si>
    <t>Contribuição Previdenciária em Regime de Parcelamento de Débitos – RGPS</t>
  </si>
  <si>
    <t>Registra o valor da arrecadação de receitas decorrentes do parcelamento das contribuições sociais em atraso. O parcelamento do pagamento das contribuições sociais em atraso dar-se-á mediante adicional de 20% que incidirá sobre as multas de mora relativas às contribuições atrasadas. Além disso, tais parcelas serão corrigidas pela taxa de juros SELIC.</t>
  </si>
  <si>
    <t>Contribuição Previdenciária para o Seguro de Acidente do Trabalho</t>
  </si>
  <si>
    <t>Registra o valor da arrecadação de receita de contribuições previdenciárias para o custeio dos benefícios concedidos em razão do grau de incidência de incapacidade laboral decorrente dos riscos ambientais do trabalho, sobre o total das remunerações pagas ou creditadas, no decorrer do mês, aos segurados empregados e trabalhadores avulsos.</t>
  </si>
  <si>
    <t>Contribuição Previdenciária sobre Reclamatória Trabalhista</t>
  </si>
  <si>
    <t>Registra o valor da arrecadação de receita de contribuições previdenciárias de valores correspondentes a parcelas integrantes do salário-de-contribuição, à vista ou parcelado, resultante de sentença condenatória ou de conciliação homologada, efetivado diretamente ao credor ou mediante depósito da condenação para extinção do processo ou liberação de depósito judicial ao credor ou a seu representante legal.</t>
  </si>
  <si>
    <t>Contribuição Previdenciária em Regime de Parcelamento de Débito dos Municípios</t>
  </si>
  <si>
    <t>Registra o valor da receita com recursos provenientes de parcelas de débitos dos Municípios para com o Instituto Nacional do Seguro Social – INSS.</t>
  </si>
  <si>
    <t>Contribuição Previdenciária do Segurado Obrigatório – Empresário</t>
  </si>
  <si>
    <t>Registra o valor da receita de contribuições previdenciárias do titular de firma individual, diretor não empregado, membro de conselho de administração e assemelhados.</t>
  </si>
  <si>
    <t>Contribuição Previdenciária do Segurado Facultativo</t>
  </si>
  <si>
    <t>Registra o valor da receita com contribuição previdenciária do maior de 16 (dezesseis) anos de idade que se filia ao Regime Geral de Previdência Social, mediante contribuição, desde que não esteja exercendo atividade remunerada que o enquadre como segurado obrigatório.</t>
  </si>
  <si>
    <t>Contribuição Previdenciária do Segurado Especial</t>
  </si>
  <si>
    <t>Registra o valor da receita com contribuição previdenciária do segurado especial. Considera-se segurado especial, o produtor, o parceiro, o meeiro e o arrendatário rurais, o pescador artesanal e o assemelhado, que exerçam essas atividades individualmente ou em regime de economia familiar, com ou sem auxílio eventual de terceiros, bem como seus respectivos cônjuges ou companheiros e filhos maiores de 16 (dezesseis) anos de idade ou a eles equiparados, desde que trabalhem comprovadamente com o grupo familiar respectivo.</t>
  </si>
  <si>
    <t>Contribuição Previdenciária do Segurado Obrigatório – Empregado Doméstico</t>
  </si>
  <si>
    <t>Registra o valor da receita com contribuições previdenciárias do empregado doméstico. Considera-se empregado doméstico aquele que presta serviço de natureza contínua, mediante remuneração mensal, a pessoa ou família, em atividades sem fins lucrativos.</t>
  </si>
  <si>
    <t>Contribuição Previdenciária dos Órgãos do Poder Público</t>
  </si>
  <si>
    <t>Registra o valor da receita com contribuições previdenciárias dos órgãos do poder público. Consideram-se órgãos do setor público os órgãos e entidades da administração pública direta, indireta e fundacional.</t>
  </si>
  <si>
    <t>Contribuição Previdenciária das Entidades Filantrópicas</t>
  </si>
  <si>
    <t>Registra o valor da arrecadação de receita de contribuição previdenciária das entidades filantrópicas.</t>
  </si>
  <si>
    <t>Contribuição Previdenciária – Retenção sobre Nota Fiscal – Sub-rogação</t>
  </si>
  <si>
    <t>Registra o valor da receita arrecadada de contribuição previdenciária – retenção sobre nota fiscal – sub-rogação. Entende-se por retenção o valor referente à antecipação compensável relativo à parcela de 11% descontada pela empresa contratante, do valor bruto dos serviços realizados e constantes da nota fiscal, fatura ou recibo.</t>
  </si>
  <si>
    <t>Arrecadação FIES – Certificados Financeiros do Tesouro Nacional</t>
  </si>
  <si>
    <t>Registra o valor total de Arrecadação do Fundo de Financiamento ao Estudante do Ensino Superior – FIES – Certificados Financeiros do Tesouro Nacional.</t>
  </si>
  <si>
    <t>Arrecadação FNS – Certificados Financeiros do Tesouro Nacional</t>
  </si>
  <si>
    <t>Registra o valor total de Arrecadação do Fundo Nacional de Saúde – FNS – Certificados Financeiros do Tesouro Nacional.</t>
  </si>
  <si>
    <t>Certificados da Dívida Pública – CDP</t>
  </si>
  <si>
    <t>Registra o valor da receita com o Certificado da Dívida Pública – CDP – que é emitido pela Secretaria do Tesouro Nacional –STN, para ser utilizado no pagamento de dívidas previdenciárias cujos fatos geradores tenham ocorrido até março de 1999.</t>
  </si>
  <si>
    <t>Contribuição Previdenciária na Forma de Depósito Judicial, Recursal e Custas Judiciais</t>
  </si>
  <si>
    <t>Registra o valor da arrecadação de receita de contribuição previdenciária na forma de depósito judicial, recursal e custas judiciais.</t>
  </si>
  <si>
    <t>Contribuição Previdenciária das Cooperativas de Trabalho Descontadas do Cooperado</t>
  </si>
  <si>
    <t>Registra o valor da arrecadação da receita proveniente da contribuição previdenciária das Cooperativas de Trabalho. Contribuição adicional arrecadada pela empresa, descontada da remuneração do segurado contribuinte individual a seu serviço.</t>
  </si>
  <si>
    <t>Receita de Parcelamentos – Contribuição dos Empregadores e Trabalhadores para a Seguridade Social</t>
  </si>
  <si>
    <t>Registra o valor decorrente de parcelamentos da Contribuição dos Empregadores e Trabalhadores para a Seguridade Social, no âmbito do Programa de Recuperação Fiscal - REFIS, criado por meio da lei nº 9.964/2000.</t>
  </si>
  <si>
    <t>Contribuição Previdenciária da Empresa sobre o Segurado Assalariado Incidente sobre a Receita Bruta</t>
  </si>
  <si>
    <t>Registra as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na MP nº 540,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</si>
  <si>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Outras Contribuições Previdenciárias</t>
  </si>
  <si>
    <t>Registra o valor da arrecadação de receita de outras contribuições previdenciárias não classificadas nos itens anteriores.</t>
  </si>
  <si>
    <t>Contribuição para o Fundo de Saúde dos Policiais Militares e Bombeiros Militares do Distrito Federal</t>
  </si>
  <si>
    <t>Registra a receita de Contribuição para o Fundo de Saúde dos Policiais Militares e Bombeiros Militares do Distrito Federal.</t>
  </si>
  <si>
    <t>Contribuição para o Fundo de Saúde dos Policiais Militares do Distrito Federal</t>
  </si>
  <si>
    <t>Registra a receita de Contribuição para o Fundo de Saúde dos Policiais Militares do Distrito Federal.</t>
  </si>
  <si>
    <t>A - Portaria SOF nº 20, de 07 MAR 2014.</t>
  </si>
  <si>
    <t>Contribuição para o Fundo de Saúde dos Bombeiros Militares do Distrito Federal</t>
  </si>
  <si>
    <t>Registra a receita de Contribuição para o Fundo de Saúde dos Bombeiros Militares do Distrito Federal.</t>
  </si>
  <si>
    <t>Contribuições Rurais</t>
  </si>
  <si>
    <t>Registra o total da arrecadação de receita de contribuições previdenciárias rurais, de acordo com o plano de custeio da previdência social – Lei nº 8.212, de 24/07/91.</t>
  </si>
  <si>
    <t>Contribuição Industrial Rural</t>
  </si>
  <si>
    <t>Registra o valor da arrecadação de receita de contribuições sociais de pessoas naturais, incidentes sobre a folha de salários, e jurídicas, inclusive cooperativas, que exerçam as seguintes atividades agro-industriais: indústria de cana-de-açúcar, de laticínios, de beneficiamento de chá e de mate, indústria da uva, de extração e beneficiamento de fibras vegetais e de descaroçamento de algodão, de beneficiamento de café, de extração de madeira para serraria, de resina, lenha e carvão vegetal, e matadouros ou abatedouros de animais de quaisquer espécies e charqueadas.</t>
  </si>
  <si>
    <t>Adicional à Contribuição Previdenciária</t>
  </si>
  <si>
    <t>Registra o valor da arrecadação de receita adicional à contribuição previdenciária sobre a folha mensal total de salários dos empregados das empresas em geral.</t>
  </si>
  <si>
    <t>Contribuição e Adicional para o Serviço Nacional de Aprendizagem Comercial – SENAC</t>
  </si>
  <si>
    <t>Registra o valor da arrecadação de contribuição e adicional à contribuição para o Serviço Nacional de Aprendizagem Comercial – SENAC.</t>
  </si>
  <si>
    <t>Contribuição para o Serviço Nacional de Aprendizagem Comercial – SENAC</t>
  </si>
  <si>
    <t>Registra o valor da arrecadação de contribuições sociais destinadas ao subsídio das atividades do SENAC. Obrigação patronal incidente sobre a folha de salários de contribuição de estabelecimentos comerciais ou empresas de atividades mistas que explorem assessoriamente quaisquer ramos peculiares de atividade comercial. É arrecadada pelo INSS, que se encarrega do repasse ao SENAC.</t>
  </si>
  <si>
    <t>Adicional à Contribuição para o Serviço Nacional de Aprendizagem Comercial – SENAC</t>
  </si>
  <si>
    <t>Registra o valor da arrecadação do adicional criado para atender à execução da política de apoio às micro e às pequenas empresas do Serviço Brasileiro de Apoio às Micro e Pequenas Empresas – SEBRAE. O adicional é recolhido pelo INSS e repassado ao SEBRAE.</t>
  </si>
  <si>
    <t>Contribuição e Adicional para o Serviço Nacional de Aprendizagem Industrial – SENAI</t>
  </si>
  <si>
    <t>Registra o valor da arrecadação da contribuição e adicional à contribuição destinados a subsidiar as atividades do Serviço Nacional de Aprendizagem Industrial – SENAI.</t>
  </si>
  <si>
    <t>Contribuição para o Serviço Nacional de Aprendizagem Industrial – SENAI</t>
  </si>
  <si>
    <t>Registra o valor da arrecadação de contribuições sociais destinadas a subsidiar as atividades do SENAI. Obrigação patronal incidente sobre a folha de salários de contribuição das empresas das categorias econômicas da indústria, das comunicações e da pesca. Destina-se à aplicação pelo SENAI no desenvolvimento da aprendizagem industrial. É arrecadada pelo INSS, que se encarrega do repasse ao SENAI.</t>
  </si>
  <si>
    <t>Adicional à Contribuição para o Serviço Nacional de Aprendizagem Industrial – SENAI</t>
  </si>
  <si>
    <t>Contribuição e Adicional para o Serviço Social do Comércio – SESC</t>
  </si>
  <si>
    <t>Registra o valor da arrecadação de contribuição e adicional à contribuição para o Serviço Social do Comércio – SESC.</t>
  </si>
  <si>
    <t>Contribuição para o Serviço Social do Comércio – SESC</t>
  </si>
  <si>
    <t>Registra o valor da arrecadação de contribuições sociais destinadas ao subsídio das atividades do Serviço Social do Comércio. Obrigação patronal incidente sobre a folha de salários de contribuição de estabelecimentos comerciais e assemelhados. Destina-se à aplicação no estudo, planejamento e execução de medidas que contribuam para o bem-estar social e para a melhoria do padrão de vida dos comerciários. É arrecadada pelo INSS, que se encarrega do repasse para o SESC.</t>
  </si>
  <si>
    <t>Adicional à Contribuição para o Serviço Social do Comércio – SESC</t>
  </si>
  <si>
    <t>Registra o valor da arrecadação de adicional criado para atender a execução da política de apoio às micro e às pequenas empresas do Serviço Brasileiro de Apoio às Micro e Pequenas Empresas – SEBRAE. O adicional é recolhido pelo INSS e repassado ao SEBRAE.</t>
  </si>
  <si>
    <t>Contribuição e Adicional para o Serviço Social da Indústria – SESI</t>
  </si>
  <si>
    <t>Registra o valor da arrecadação de contribuição e adicional à contribuição para o Serviço Social da Indústria – SESI.</t>
  </si>
  <si>
    <t>Contribuição para o Serviço Social da Indústria – SESI</t>
  </si>
  <si>
    <t>Registra o valor da arrecadação de contribuições sociais destinadas ao subsídio das atividades do SESI. Obrigação patronal incidente sobre a folha de salários de contribuição de estabelecimentos industriais e assemelhados. Destina-se à aplicação no estudo, planejamento e execução de medidas que contribuam diretamente para o bem-estar social de seus trabalhadores. É arrecadada pelo INSS, que se encarrega do repasse para o SESI.</t>
  </si>
  <si>
    <t>Adicional à Contribuição ao Serviço Social da Indústria – SESI</t>
  </si>
  <si>
    <t>Contribuições para o Programa de Integração Social e de Formação do Patrimônio do Servidor Público – PIS/PASEP</t>
  </si>
  <si>
    <t>Registra o valor total incidente sobre a receita operacional bruta de empresas públicas e privadas, sobre a folha de pagamento das entidades sem fins lucrativos, e sobre a receita corrente líquida de transferências da União, estados, municípios, DF e autarquias. Destina-se ao Fundo de Amparo ao Trabalhador – FAT, para o custeio do Programa de Seguro Desemprego e concessão de abonos salariais. Pelo menos 40% serão repassados ao BNDES para aplicação em programas de desenvolvimento econômico. Integra o orçamento da Seguridade Social.</t>
  </si>
  <si>
    <t>Receita do Principal das Contribuições para o PIS/PASEP</t>
  </si>
  <si>
    <t>Registra o valor incidente sobre a receita operacional bruta de empresas públicas e privadas, sobre a folha de pagamento das entidades sem fins lucrativos, e sobre a receita corrente líquida de transferências da União, Estados, municípios, DF e autarquias.</t>
  </si>
  <si>
    <t>Receita de Parcelamentos – Contribuições para o PIS/PASEP</t>
  </si>
  <si>
    <t xml:space="preserve">Registra o valor decorrente de parcelamentos das Contribuições para os Programas de Integração Social - PIS e de Formação do Patrimônio do Servidor Público - PASEP, no âmbito do Programa de Recuperação Fiscal - REFIS e do Programa Especial de Parcelamento de Débito – PAES, criados respectivamente por meio das leis nº 9.964/2000 e 10.684/2003. </t>
  </si>
  <si>
    <t>Contribuição Social sobre o Lucro das Pessoas Jurídicas</t>
  </si>
  <si>
    <t>Registra o valor total da arrecadação de receita de contribuições sociais do lucro líquido do exercício, já computado o próprio valor da Contribuição Social devida, antes da provisão para o Imposto de Renda.</t>
  </si>
  <si>
    <t>Receita do Principal da Contribuição Social sobre o Lucro das Pessoas Jurídicas</t>
  </si>
  <si>
    <t>Registra o valor da arrecadação de receita de contribuições sociais do lucro líquido do exercício, já computado o próprio valor da Contribuição Social devida, antes da provisão para o Imposto de Renda.</t>
  </si>
  <si>
    <t>Receita de Parcelamentos – Contribuição Social sobre o Lucro das Pessoas Jurídicas</t>
  </si>
  <si>
    <t>Registra o valor decorrente de parcelamentos da Contribuição Social sobre o Lucro das Pessoas Jurídicas, no âmbito do Programa de Recuperação Fiscal - REFIS e do Programa Especial de Parcelamento de Débito – PAES, criados respectivamente por meio das leis nº 9.964/2000 e 10.684/2003.</t>
  </si>
  <si>
    <t>Contribuição para o Serviço Nacional de Aprendizagem Rural – SENAR</t>
  </si>
  <si>
    <t>Registra o valor da arrecadação de contribuição destinada a subsidiar as atividades do Serviço Nacional de Aprendizagem – SENAR. Corresponde a 2,5% sobre o montante da remuneração paga aos empregados pelas pessoas jurídicas de direito privado, ou a elas equiparadas, que exerçam atividades agroindustriais, agropecuárias, extrativistas vegetais e animais, cooperativistas rurais e sindicais patronais rurais. É arrecadada pelo INSS e repassada ao SENAR para aplicação na formação profissional rural e na promoção social do trabalhador rural.</t>
  </si>
  <si>
    <t>Contribuição para o Serviço Social do Transporte – SEST</t>
  </si>
  <si>
    <t>Registra o valor da contribuição para o Serviço Social do Transporte – SEST. Obrigação patronal incidente sobre a folha de salários das empresas de transporte rodoviário e dos transportadores autônomos, na razão de 1,5% do salário de contribuição previdenciária. Recolhida a partir de janeiro/1994, destina-se a apoiar programas voltados para a promoção social do trabalhador de transporte rodoviário e do transportador autônomo, notadamente nos campos da alimentação, saúde, cultura, lazer e segurança no trabalho. É arrecadado pelo INSS, que se encarrega do repasse ao SEST.</t>
  </si>
  <si>
    <t>Contribuição para o Serviço Nacional de Aprendizagem do Transporte – SENAT</t>
  </si>
  <si>
    <t>Registra o valor da contribuição para o Serviço Nacional de Aprendizagem do Transporte – SENAT. Obrigação patronal incidente sobre a folha de salários das empresas de transporte rodoviário e dos transportadores autônomos, na razão de 1% do salário de contribuição previdenciária. Recolhida a partir de janeiro/1994, destina-se a apoiar programas voltados para a aprendizagem do trabalhador em transporte rodoviário e do transportador autônomo, notadamente nos campos de preparação, treinamento, aperfeiçoamento e formação profissional. É arrecadada pelo INSS, que se encarrega do repasse ao SENAT.</t>
  </si>
  <si>
    <t>Contribuição para o Serviço Brasileiro de Apoio às Micro e Pequenas Empresas – SEBRAE</t>
  </si>
  <si>
    <t>Registra o valor da contribuição para o Serviço Brasileiro de Apoio às Micro e Pequenas Empresas – SEBRAE. Receita proveniente de contribuições mensais de empresas ao Instituto Nacional de Seguridade Social – INSS –, por meio de Guia de Recolhimento da Previdência Social, e repassado ao SEBRAE no prazo de 30 dias após a sua arrecadação. Os recursos arrecadados terão como objetivo primordial apoiar o desenvolvimento das micro e pequenas empresas por meio de projetos que visem ao seu aperfeiçoamento técnico, racionalização e capacitação gerencial.</t>
  </si>
  <si>
    <t>Contribuição para o Serviço Nacional de Aprendizagem do Cooperativismo – SESCOOP</t>
  </si>
  <si>
    <t>Registra o valor da receita arrecadada sobre a receita de contribuição mensal compulsória de 2,5% sobre o montante da remuneração paga a todos os empregados pelas cooperativas. É recolhida pela Previdência Social e repassada ao SESCOOP. (MP n° 1961-18, de 06/01/2000)</t>
  </si>
  <si>
    <t>Contribuição sobre Jogos de Bingo</t>
  </si>
  <si>
    <t>Registra o valor da arrecadação de receita de contribuições sociais de sorteio dos jogos de bingos permanentes ou eventuais.</t>
  </si>
  <si>
    <t>Contribuição Relativa à Despedida de Empregado sem Justa Causa</t>
  </si>
  <si>
    <t>Registra o valor da arrecadação de receita de contribuições previdenciárias devidas pelos empregadores em caso de despedida de empregado sem justa causa.</t>
  </si>
  <si>
    <t>Contribuição sobre a Remuneração Devida ao Trabalhador</t>
  </si>
  <si>
    <t>Registra o valor da arrecadação de receita de contribuições previdenciárias de remuneração paga ou devida ao trabalhador.</t>
  </si>
  <si>
    <t>Outras Contribuições Sociais</t>
  </si>
  <si>
    <t>Registra o valor total da arrecadação das demais contribuições sociais não contempladas neste plano de contas.</t>
  </si>
  <si>
    <t>Contribuições de Intervenção no Domínio Econômico</t>
  </si>
  <si>
    <t>Registra a receita decorrente das Contribuições de Intervenção no Domínio Econômico.</t>
  </si>
  <si>
    <t>Contribuição para o Programa de Integração Nacional – PIN</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</si>
  <si>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PIN tem como objetivo promover a maior integração à economia nacional das regiões compreendidas nas áreas de atuação da SUDAM e da SUDENE. Os recursos são aplicados em programas e projetos considerados prioritários pela SUDAM e SUDENE.</t>
  </si>
  <si>
    <t>Contribuição para o Programa de Redistribuição de Terras e de Estímulo à Agroindústria do Norte e do Nordeste – PROTERRA</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</si>
  <si>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PROTERRA tem como objetivo promover o mais fácil acesso do homem a terra, criar melhores condições de emprego de mão-de-obra e fomentar a agroindústria nas regiões compreendidas nas áreas de atuação da SUDAM e da SUDENE. Os recursos são aplicados em programas e projetos considerados prioritários pela SUDAM e SUDENE.</t>
  </si>
  <si>
    <t>Contribuições para o Desenvolvimento e Aperfeiçoamento das Atividades de Fiscalização</t>
  </si>
  <si>
    <t>Registra o valor da arrecadação de receita de contribuições econômicas para financiar o reaparelhamento e o reequipamento e a atender aos demais encargos específicos inerentes ao desenvolvimento e ao aperfeiçoamento das atividades de fiscalização dos tributos.</t>
  </si>
  <si>
    <t>Contribuições sobre Selo Especial de Controle</t>
  </si>
  <si>
    <t>Registra o valor da arrecadação de receita de contribuições econômicas de ressarcimento de selos de controle destinados a cigarros e bebidas.</t>
  </si>
  <si>
    <t>E</t>
  </si>
  <si>
    <t>E- Portaria SOF nº 7, de 12 de março de 2015</t>
  </si>
  <si>
    <t>Reclassificação para 1220.03.01 como taxa pela utilização de selos de controle e de contadores de produção.</t>
  </si>
  <si>
    <t>Contribuições sobre as Lojas Francas, Entrepostos Aduaneiros e Depósitos Alfandegados</t>
  </si>
  <si>
    <t xml:space="preserve">Registra o valor da arrecadação de receita de contribuições econômicas de ressarcimento das despesas administrativas decorrentes das atividades extraordinárias de fiscalização, devida por: - permissionários de regime de entreposto aduaneiro na importação de uso público; - concessionários de lojas francas; - beneficiários de Depósito Especial Alfandegado; - permissionários de local alfandegado de uso público; - análise e laudos laboratoriais realizados na importação de produtos das indústrias químicas e paraquímicas e alimentícias. </t>
  </si>
  <si>
    <t>Outras Contribuições para o Desenvolvimento e Aperfeiçoamento das Atividades de Fiscalização</t>
  </si>
  <si>
    <t>Registra o valor de outras contribuições para o desenvolvimento e aperfeiçoamento das atividades de fiscalização, não classificadas nos itens anteriores.</t>
  </si>
  <si>
    <t>Contribuição sobre Apostas em Competições Hípicas</t>
  </si>
  <si>
    <t>Registra o valor da arrecadação de receita de contribuições econômicas de apostas de cada entidade turística, a cada mês.</t>
  </si>
  <si>
    <t>Contribuição para o Desenvolvimento da Indústria Cinematográfica Nacional – CONDECINE</t>
  </si>
  <si>
    <t>Registra as contribuições incidentes sobre as diversas atividades ligadas à Indústria Cinematográfica e Videofonográfica, relacionadas no art. 32 da Medida Provisória - MP nº 2.228, de 6 de setembro de 2001.</t>
  </si>
  <si>
    <t>Receita de Remessa de Rendimentos da Exploração de Obras Cinematográficas e Videofonográficas</t>
  </si>
  <si>
    <t>Registra as contribuições incidentes sobre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 nos termos do parágrafo único do art. 32 da Medida Provisória - MP nº 2.228-1, de 6 de setembro de 2001.</t>
  </si>
  <si>
    <t>Receita de Veiculação de Obras Cinematográficas e Videofonográficas com Fins Comerciais</t>
  </si>
  <si>
    <t>Registra as contribuições incidentes sobre a veiculação, a produção, o licenciamento e a distribuição de obras cinematográficas e videofonográficas com fins comerciais, por segmento de mercado a que forem destinadas, bem como sobre a veiculação ou distribuição de obra audiovisual publicitária incluída em programação internacional, nos termos dos incisos I e III do art. 32 da Medida Provisória - MP nº 2.228-1, de 6 de setembro de 2001.</t>
  </si>
  <si>
    <t>Receita de Distribuição de Conteúdos Audiovisuais por Prestadores de Serviço de Acesso Condicionado</t>
  </si>
  <si>
    <t>Registra as contribuições incidentes sobre a prestação de serviços que se utilizem de meios que possam, efetiva ou potencialmente, distribuir conteúdos audiovisuais nos termos da lei que dispõe sobre a comunicação audiovisual de acesso condicionado.</t>
  </si>
  <si>
    <t>Adicional sobre as Tarifas de Passagens Aéreas Domésticas</t>
  </si>
  <si>
    <t>Registra o valor da arrecadação de receita de contribuições econômicas do adicional das tarifas de passagens aéreas das linhas domésticas, operadas pelas empresas de transporte aéreo regular, inclusive as de transporte aéreo regional e os trechos de cabotagem.</t>
  </si>
  <si>
    <t>Cota-parte do Adicional ao Frete para Renovação da Marinha Mercante</t>
  </si>
  <si>
    <t xml:space="preserve">Registra o valor da contribuição incidente sobre o valor do frete cobrado no transporte de qualquer carga, por via marítima, fluvial ou lacustre. Os recursos se destinam ao Fundo de Marinha Mercante – FMM; à empresa brasileira de navegação, operando embarcação própria ou fretada de registro brasileiro; e 36% do AFMM gerado na navegação de longo curso por empresa brasileira operando embarcação de registro brasileiro é destinado a uma conta especial. Essa contribuição é aplicada prioritariamente na aquisição de embarcações novas, para uso próprio das empresas de navegação construídas em estaleiros brasileiros; no reparo, manutenção e modernização de embarcações, realizadas por empresas nacionais; e em pagamentos de amortizações e encargos concedidos com recursos do Fundo da Marinha Mercante. Pode também ser aplicada a fundo perdido, nos casos previstos em lei. </t>
  </si>
  <si>
    <t>Contribuição sobre a Receita das Concessionárias e Permissionárias de Energia Elétrica</t>
  </si>
  <si>
    <t>Registra o valor da contribuição correspondente a 60% dos recursos da obrigação de que as concessionárias e permissionárias de energia elétrica apliquem o mínimo de 1% de sua receita operacional líquida em pesquisa e desenvolvimento do setor elétrico. Tem como fato gerador a geração, a transmissão e a distribuição pelas concessionárias e permissionárias de serviços públicos de energia elétrica. Para esses recursos, será criada uma categoria de programação específica no âmbito do Fundo Nacional de Desenvolvimento Científico e Tecnológico – FNDCT, para aplicação no financiamento de programas e projetos de pesquisa científica e desenvolvimento tecnológico do setor elétrico, bem como na eficiência no uso final.</t>
  </si>
  <si>
    <t>Contribuição pela Licença de Uso, Aquisição ou Transferência de Tecnologia</t>
  </si>
  <si>
    <t>Registra o valor da arrecadação de receita de contribuições econômicas de intervenção no domínio econômico de empresa detentora de licença de uso ou adquirente de conhecimentos tecnológicos, bem como aquela signatária de contratos que impliquem transferência de tecnologia, firmados com residentes ou domiciliados no exterior.</t>
  </si>
  <si>
    <t>Contribuição sobre a Receita das Empresas Prestadoras de Serviços de Telecomunicações</t>
  </si>
  <si>
    <t xml:space="preserve">Registra o valor da receita arrecadada com a contribuição sobre a receita das empresas prestadoras de serviços de telecomunicações, referente a 1% sobre a receita operacional bruta decorrente da prestação de serviços de telecomunicações para o FUST, e 0,5% sobre a receita bruta para o FUNTTEL, excluindo-se o ICMS, o PIS e o COFINS. Os recursos serão aplicados no interesse do setor de telecomunicações. </t>
  </si>
  <si>
    <t>Contribuição sobre a Receita Operacional Bruta, Decorrente de Prestação de Serviços de Telecomunicações</t>
  </si>
  <si>
    <t>Registra o valor da receita arrecadada com a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COFINS. 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nº 9.472, de 16/07/97.</t>
  </si>
  <si>
    <t>Contribuição sobre a Receita Bruta das Empresas Prestadoras de Serviços de Telecomunicações</t>
  </si>
  <si>
    <t>Registra o valor da receita arrecadada com a contribuição devida pelas empresas prestadoras de serviços de telecomunicações, à alíquota de 0,5% sobre a receita bruta, decorrente de prestação de serviços de telecomunicações no regime público e privado. Excluem-se, para determinação da base de cálculo, as vendas canceladas, os descontos concedidos, o Imposto sobre Operações Relativas à Circulação de Mercadorias e sobre Prestações de Serviços de Transportes Interestaduais e Intermunicipal e de Comunicações – ICMS, a Contribuição ao Programa de Integração Social – PIS e a Contribuição para o Financiamento da Seguridade Social – COFINS. Os recursos são destinados ao FUNTTEL, para aplicação no interesse do setor de telecomunicações.</t>
  </si>
  <si>
    <t>Contribuição Relativa às Atividades de Importação e Comercialização de Petróleo e seus Derivados, Gás Natural e Álcool Carburante</t>
  </si>
  <si>
    <t>Registra o valor da contribuição relativa às atividades de importação 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</si>
  <si>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Contribuição Relativa às Atividades de Importação de Petróleo e seus derivados, Gás Natural e Álcool Carburante</t>
  </si>
  <si>
    <t>Registra o valor da arrecadação da contribuição relativa às atividades de importação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</si>
  <si>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Contribuição Relativa às Atividades de Comercialização de Petróleo e seus Derivados, Gás Natural e Álcool Carburante</t>
  </si>
  <si>
    <t>Registra o valor da arrecadação da contribuição relativa às atividades de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</si>
  <si>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Receita de Parcelamentos – Contribuição Relativa às Atividades de Comercialização de Petróleo e seus Derivados, Gás Natural e Álcool Carburante</t>
  </si>
  <si>
    <t>Registra o valor decorrente de parcelamentos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</si>
  <si>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Contribuição para o Fomento da Radiodifusão Pública</t>
  </si>
  <si>
    <t>Registra o valor da arrecadação da receita pela prestação de serviços de radiodifusão pública, explorados diretamente pelo Poder Executivo ou outorgados por este a entidades de sua administração indireta.</t>
  </si>
  <si>
    <t>Contribuição sobre o Faturamento das Empresas de Informática</t>
  </si>
  <si>
    <t>Registra o valor das receitas de Contribuição sobre o Faturamento das Empresas de Informática.</t>
  </si>
  <si>
    <t xml:space="preserve">Contribuição sobre o Faturamento das Empresas de Informática Instaladas na Amazônia </t>
  </si>
  <si>
    <t>Registra o valor das receitas de Contribuição sobre o Faturamento das Empresas de Informática Instaladas na Amazônia.</t>
  </si>
  <si>
    <t>Contribuição sobre o Faturamento das Empresas de Informática Instaladas na Amazônia – Principal</t>
  </si>
  <si>
    <t>Registra o valor das receitas de Contribuição sobre o Faturamento das Empresas de Informática Instaladas na Amazônia – Principal.</t>
  </si>
  <si>
    <t>Contribuição sobre o Faturamento das Empresas de Informática Instaladas na Amazônia – Excedente</t>
  </si>
  <si>
    <t>Registra o valor das receitas de Contribuição sobre o Faturamento das Empresas de Informática Instaladas na Amazônia – Excedente.</t>
  </si>
  <si>
    <t>Contribuição sobre o Faturamento das Empresas de Informática Instaladas na Amazônia – Residual</t>
  </si>
  <si>
    <t>Registra o valor das receitas de Contribuição sobre o Faturamento das Empresas de Informática Instaladas na Amazônia – Residual.</t>
  </si>
  <si>
    <t>Contribuição sobre o Faturamento das Empresas de Informática Instaladas na Amazônia - Parcelamento de Débitos</t>
  </si>
  <si>
    <t>Registra o valor das receitas de Contribuição sobre o Faturamento das Empresas de Informática Instaladas na Amazônia - Parcelamento de Débitos.</t>
  </si>
  <si>
    <t>Contribuição sobre o Faturamento das Empresas de Informática Instaladas nas Demais Regiões</t>
  </si>
  <si>
    <t>Registra o valor das receitas de Contribuição sobre o Faturamento das Empresas de Informática Instaladas nas Demais Regiões.</t>
  </si>
  <si>
    <t>Contribuição sobre o Faturamento das Empresas de Informática Instaladas nas Demais Regiões – Principal</t>
  </si>
  <si>
    <t>Registra o valor das receitas de Contribuição sobre o Faturamento das Empresas de Informática Instaladas nas Demais Regiões – Principal.</t>
  </si>
  <si>
    <t>Contribuição sobre o Faturamento das Empresas de Informática Instaladas nas Demais Regiões – Excedente</t>
  </si>
  <si>
    <t>Registra o valor das receitas de Contribuição sobre o Faturamento das Empresas de Informática Instaladas nas Demais Regiões – Excedente.</t>
  </si>
  <si>
    <t>Contribuição sobre o Faturamento das Empresas de Informática Instaladas nas Demais Regiões – Residual</t>
  </si>
  <si>
    <t>Registra o valor das receitas de Contribuição sobre o Faturamento das Empresas de Informática Instaladas nas Demais Regiões – Residual.</t>
  </si>
  <si>
    <t>Contribuição sobre o Faturamento das Empresas de Informática Instaladas nas Demais Regiões - Parcelamento de Débitos</t>
  </si>
  <si>
    <t>Registra o valor das receitas de Contribuição sobre o Faturamento das Empresas de Informática Instaladas nas Demais Regiões - Parcelamento de Débitos.</t>
  </si>
  <si>
    <t>Outras Contribuições Econômicas</t>
  </si>
  <si>
    <t>Registra o valor da arrecadação de receita de outras contribuições econômicas não classificadas nos itens anteriores.</t>
  </si>
  <si>
    <t>Outras Contribuições Econômicas – Principal</t>
  </si>
  <si>
    <t>Registra o valor da arrecadação do principal de outras contribuições econômicas de natureza eventual para as quais não há contas específicas.</t>
  </si>
  <si>
    <t>Parcelamentos – Outras Contribuições Econômicas</t>
  </si>
  <si>
    <t>Registra o valor decorrente de parcelamentos de Outras Contribuições Econômicas, no âmbito do Programa de Recuperação Fiscal - REFIS e do Programa Especial de Parcelamento de Débito – PAES, criados respectivamente por meio das leis nº 9.964/2000 e 10.684/2003.</t>
  </si>
  <si>
    <t>Contribuição para o Custeio do Serviço de Iluminação Pública</t>
  </si>
  <si>
    <t>Registra a receita decorrente da contribuição para o custeio do serviço de iluminação pública.</t>
  </si>
  <si>
    <t>Receita Patrimonial</t>
  </si>
  <si>
    <t>Registra o valor total da arrecadação da receita patrimonial referente ao resultado financeiro da fruição do patrimônio, seja decorrente de bens imobiliários ou mobiliários, seja de participação societária.</t>
  </si>
  <si>
    <t>Receitas Imobiliárias</t>
  </si>
  <si>
    <t>Provenientes da utilização, por terceiros, de bens imóveis pertencentes ao setor público.</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</si>
  <si>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</si>
  <si>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</si>
  <si>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</si>
  <si>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</si>
  <si>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Foros</t>
  </si>
  <si>
    <t>Registra o valor total da arrecadação com a quantia ou pensão paga pela pessoa que recebe por enfiteuse o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</si>
  <si>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</si>
  <si>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</si>
  <si>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</si>
  <si>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devida por seus ocupantes.</t>
  </si>
  <si>
    <t>Taxa de Ocupação de Terrenos da União</t>
  </si>
  <si>
    <t>Registra o valor da arrecadação de recursos provenientes da taxa de ocupação, devida pelos ocupantes de terrenos de marinha e demais terrenos de propriedade da União.</t>
  </si>
  <si>
    <t>Taxa de Ocupação de Imóveis Funcionais e Próprios Nacionais Residenciais</t>
  </si>
  <si>
    <t>Registra o valor da arrecadação de recursos provenientes da taxa de ocupação, devida pelos ocupantes de imóveis funcionais e próprios nacionais residenciais da União, agentes políticos e servidores públicos federais.</t>
  </si>
  <si>
    <t>Taxa de Ocupação de Outros Imóveis</t>
  </si>
  <si>
    <t>Registra o valor da arrecadação de recursos provenientes da taxa de ocupação, devida pelos ocupantes de outros bens imóveis de propriedade da União.</t>
  </si>
  <si>
    <t>Outras Receitas Imobiliárias</t>
  </si>
  <si>
    <t>Registra o valor total da arrecadação com outras receitas que tem origem na fruição do patrimônio imobiliário, não classificadas nos itens anteriores.</t>
  </si>
  <si>
    <t>Receitas de Valores Mobiliários</t>
  </si>
  <si>
    <t>Registra o valor total da arrecadação de receitas decorrentes de valores mobiliários.</t>
  </si>
  <si>
    <t>Juros de Títulos de Renda</t>
  </si>
  <si>
    <t>Registra o valor total da receita com juros de título de renda, provenientes de aplicações no mercado financeiro. Inclui o resultado das aplicações em títulos públicos.</t>
  </si>
  <si>
    <t>Dividendos, Participações e Juros sobre o Capital Próprio</t>
  </si>
  <si>
    <t>Natureza que agrega os valores de arrecadação de receitas oriundas do recebimento pela União ou pelas entidades da administração indireta de dividendos, participações e juros sobre o capital próprio.</t>
  </si>
  <si>
    <t>A - Portaria SOF nº 135, de 27 SET 2013.</t>
  </si>
  <si>
    <t>Dividendos</t>
  </si>
  <si>
    <t xml:space="preserve">Receitas atribuídas à União, ou aos órgãos da administração indireta, provenientes de resultados nas empresas, públicas ou não, regidas pela regulamentação observada pelas sociedades anônimas. </t>
  </si>
  <si>
    <t>I - Portaria SOF nº 135, de 27 SET 2013.</t>
  </si>
  <si>
    <t>Participações</t>
  </si>
  <si>
    <t>São receitas atribuíveis à União, provenientes da participação societária nos resultados de empresas de capital limitado.</t>
  </si>
  <si>
    <t>Juros sobre o Capital Próprio</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</si>
  <si>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</si>
  <si>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Registra o valor total da arrecadação proveniente de resultados em empresas nas quais as esferas de governo tenham participação, inclusive a remuneração de debêntures participativas.</t>
  </si>
  <si>
    <t>E - Portaria SOF nº 135, de 27 SET 2013.</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</si>
  <si>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</si>
  <si>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contas remuneradas, inclusive depósitos judiciais etc.</t>
  </si>
  <si>
    <t>Remuneração de Depósitos Especiais</t>
  </si>
  <si>
    <t>Registra o valor da arrecadação da receita decorrente da aplicação, em depósitos especiais, de disponibilidades financeiras, em instituições oficiais federais, de acordo com a legislação vigente.</t>
  </si>
  <si>
    <t>Remuneração de Saldos de Recursos Não Desembolsados</t>
  </si>
  <si>
    <t>Registra o valor da arrecadação de receita de remuneração dos saldos de recursos disponibilizados para pagamento de benefícios, efetuada pelo agente pagador.</t>
  </si>
  <si>
    <t>Remuneração dos Investimentos do Regime Próprio de Previdência do Servidor</t>
  </si>
  <si>
    <t>Registra o valor da arrecadação de receitas auferidas pelo Regime Próprio de Previdência do Servidor – RPPS em sua carteira de investimentos.</t>
  </si>
  <si>
    <t>Remuneração dos Investimentos do Regime Próprio de Previdência do Servidor em Renda Fixa</t>
  </si>
  <si>
    <t>Registra o valor dos rendimentos auferidos decorrentes da aplicação de recursos do RPPS no mercado financeiro, em fundos de renda fixa.</t>
  </si>
  <si>
    <t>Remuneração dos Investimentos do Regime Próprio de Previdência do Servidor em Renda Variável</t>
  </si>
  <si>
    <t>Registra o valor dos rendimentos auferidos decorrentes da aplicação de recursos do RPPS no mercado financeiro, em fundos de renda variável.</t>
  </si>
  <si>
    <t>Remuneração dos Investimentos do Regime Próprio de Previdência do Servidor em Fundos Imobiliários</t>
  </si>
  <si>
    <t>Registra o valor dos rendimentos auferidos decorrentes da aplicação de recursos do RPPS no mercado financeiro, em fundos imobiliários.</t>
  </si>
  <si>
    <t>Outras Receitas de Valores Mobiliários</t>
  </si>
  <si>
    <t>Registra o valor total da arrecadação com outras receitas de valores mobiliários, não classificadas nos itens anteriores.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</si>
  <si>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</si>
  <si>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</si>
  <si>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Receita de Concessões e Permissões – Serviços</t>
  </si>
  <si>
    <t>Registra o valor da arrecadação de receita de concessões e permissões do direito de exploração de serviços públicos.</t>
  </si>
  <si>
    <t>Receita de Concessões e Permissões – Serviços de Transporte</t>
  </si>
  <si>
    <t>Registra o valor da arrecadação de receita de concessões e permissões do direito de exploração de serviços públicos de transporte.</t>
  </si>
  <si>
    <t>Receita de Outorga dos Serviços de Transporte Ferroviário</t>
  </si>
  <si>
    <t>Registra o valor da arrecadação de receita de concessões e permissões dos serviços públicos de transporte ferroviário à iniciativa privada, em suas seis malhas regionais, que atuará na fiscalização, normatização e controle dos serviços concedidos.</t>
  </si>
  <si>
    <t>Receita de Outorga dos Serviços de Transportes Rodoviário Interestadual e Internacional de Passageiros</t>
  </si>
  <si>
    <t>Registra o valor da arrecadação de receita de concessões e permissões do direito de exploração dos serviços de transportes rodoviário interestadual e internacional de passageiros.</t>
  </si>
  <si>
    <t>Receita de Outorga dos Serviços de Transporte Metroviário de Passageiros</t>
  </si>
  <si>
    <t>Registra o valor da arrecadação de receita de outorga dos serviços de transporte metroviário de passageiros.</t>
  </si>
  <si>
    <t>Receita de Outorga dos Serviços de Transporte Marítimo de Passageiros</t>
  </si>
  <si>
    <t>Registra o valor da arrecadação de receita de outorga dos serviços de transporte marítimo de passageiros.</t>
  </si>
  <si>
    <t>Receita de Outorga dos Serviços de Transporte Coletivo Local e Intermunicipal</t>
  </si>
  <si>
    <t>Registra o valor da arrecadação de receita de outorga dos serviços de transporte coletivo local e intermunicipal de passageiros.</t>
  </si>
  <si>
    <t>Receita de Outorga dos Serviços de Infraestrutura Aeroportuária</t>
  </si>
  <si>
    <t>Registra os valores arrecadados em razão das outorgas de infraestrutura aeroportuária.</t>
  </si>
  <si>
    <t>Receita de Outorga para Exploração da Infraestrutura de Transporte Rodoviário</t>
  </si>
  <si>
    <t>Registra os valores arrecadados em razão de outorga para a exploração da infraestrutura de transporte rodoviário.</t>
  </si>
  <si>
    <t>I - Portaria SOF nº 13, de 18 FEV 2014.</t>
  </si>
  <si>
    <t>Outras Receitas de Concessões e Permissões – Serviços de Transporte</t>
  </si>
  <si>
    <t>Registra o valor da arrecadação de outras receitas de concessões e permissões de serviços de transportes, não previstas nos itens anteriores.</t>
  </si>
  <si>
    <t>Receita de Concessões e Permissões – Serviços de Comunicação</t>
  </si>
  <si>
    <t>Registra o valor da arrecadação de receita de concessões e permissões do direito de exploração de serviços comunicações.</t>
  </si>
  <si>
    <t>Receita de Outorga dos Serviços de Telecomunicações</t>
  </si>
  <si>
    <t>Registra o valor da arrecadação de receita de concessões e permissões do direito de exploração de serviços públicos de telecomunicações, incluindo o Serviço Móvel Celular, o Serviço Limitado e o Serviço de Transporte de Sinais de Telecomunicações por Satélite.</t>
  </si>
  <si>
    <t>Receita de Outorga dos Serviços de Radiodifusão Sonora e de Sons e Imagens</t>
  </si>
  <si>
    <t>Registra o valor da arrecadação de receita de concessões e permissões do direito de exploração de serviços públicos de radiodifusão sonora e de sons e imagens, incluindo o uso de radiofrequências.</t>
  </si>
  <si>
    <t>Receita de Outorga do Direito de uso de Radiofrequência</t>
  </si>
  <si>
    <t>Registra o valor da arrecadação de receita de concessões e permissões do direito de uso de radiofrequência para qualquer fim.</t>
  </si>
  <si>
    <t>Receita de Transferência de Concessão, de Permissão ou de Autorização de Telecomunicações ou de Uso de Radiofrequência</t>
  </si>
  <si>
    <t>Registra o valor da arrecadação de receita de concessões e permissões da transferência de concessão, de permissão ou de autorização de serviço de telecomunicações ou de uso de radiofrequência, a ser pago pela cessionária.</t>
  </si>
  <si>
    <t>Registra as receitas decorrentes do rateio da verba de fiscalização a ser cobrada pelos Estados e Distrito Federal (ou consórcio entre eles), com o Ministério dos Transportes - MT, na proporção de 5% sobre o valor pago mensalmente, pelas concessionárias, em função de convênios firmados entre a União e os respectivos Estados, para delegação de trechos de rodovias federais (ou obras rodoviárias federais), cuja exploração, mediante contratos de concessão, foi entregue pela União aos Estados para administração e exploração.</t>
  </si>
  <si>
    <t xml:space="preserve">Receita de Outorga do Direito de Exploração de Satélite Brasileiro </t>
  </si>
  <si>
    <t>Registra a arrecadação de recursos provenientes da Outorga do Direito de Exploração de Satélite Brasileiro.</t>
  </si>
  <si>
    <t>A-A</t>
  </si>
  <si>
    <t>A - Portaria SOF nº 57, de 25 JUN 2012.
A - Portaria SOF nº 13, de 18 FEV 2014.</t>
  </si>
  <si>
    <t>Receita de Outorga de Licenças e Autorizações da Agência Espacial Brasileira</t>
  </si>
  <si>
    <t>Registra as receitas provenientes da outorga de licenças e autorizações da Agência Espacial Brasileira – AEB.</t>
  </si>
  <si>
    <t>Outras Receitas de Concessões e Permissões – Serviços de Comunicação</t>
  </si>
  <si>
    <t>Registra o valor da arrecadação de outras receitas de concessões e permissões de serviços de comunicação, não previstas nos itens anteriores.</t>
  </si>
  <si>
    <t>Receita de Outorga para Exploração dos Serviços de Energia Elétrica</t>
  </si>
  <si>
    <t>Registra o valor da arrecadação de receita de concessões e permissões de uso do bem público, para exploração de aproveitamento energético dos cursos de água.</t>
  </si>
  <si>
    <t>Outras Receitas de Concessões e Permissões – Serviços</t>
  </si>
  <si>
    <t>Registra o valor da arrecadação de outras receitas de concessões e permissões de serviços públicos, não previstas nos itens anteriores.</t>
  </si>
  <si>
    <t>Receita de Concessões e Permissões – Exploração de Recursos Naturais</t>
  </si>
  <si>
    <t>Registra o valor da arrecadação de receita de concessões e permissões do direito de exploração de recursos naturais.</t>
  </si>
  <si>
    <t>Receita de Outorga dos Serviços de Exploração e Produção de Petróleo e Gás Natural</t>
  </si>
  <si>
    <t>Registra o valor da arrecadação de receita de concessões e permissões de exploração, desenvolvimento e produção de petróleo e gás natural, exercidas mediante contratos de concessão.</t>
  </si>
  <si>
    <t>Bônus de Assinatura de Contrato de Concessão</t>
  </si>
  <si>
    <t>Registra o valor da arrecadação de receita de concessões e permissões da proposta para obtenção da concessão. O bônus de assinatura terá valor mínimo estabelecido em edital e corresponderá ao pagamento ofertado na proposta para obtenção da concessão, devendo ser pago no ato da assinatura do contrato.</t>
  </si>
  <si>
    <t>Pagamento pela Retenção de Área para Exploração ou Produção</t>
  </si>
  <si>
    <t>Registra o valor da arrecadação de receita de concessões e permissões da retenção de área para exploração, desenvolvimento ou produção de petróleo e gás natural.</t>
  </si>
  <si>
    <t>Bônus de Assinatura de Contrato de Partilha de Produção</t>
  </si>
  <si>
    <t>Registra os recursos decorrentes do pagamento de bônus de assinatura dos contratos relativos às áreas do pré-sal e estratégicas. Segundo o inciso XII do art. 2o da Lei nº 12.351, de 22 de dezembro de 2010, o bônus de assinatura corresponde a um valor fixo que o contratado pagará à União no ato da celebração e nos termos do respectivo contrato de partilha de produção.</t>
  </si>
  <si>
    <t>A - Portaria SOF nº 232, de 23 DEZ 2013.</t>
  </si>
  <si>
    <t>Receita de Outorga de Direitos de Uso de Recursos Hídricos</t>
  </si>
  <si>
    <t>Registra o valor da arrecadação de receita decorrente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</si>
  <si>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Receita de Outorga de Direitos de Exploração e Pesquisa Mineral</t>
  </si>
  <si>
    <t>Registra o valor da arrecadação de receita decorrente da outorga do Alvará de Pesquisa Mineral.</t>
  </si>
  <si>
    <t>Receita de Concessão Florestal</t>
  </si>
  <si>
    <t>Registra o valor da arrecadação de receita decorrente de atividades de exploração e gestão de direitos de uso de florestas públicas, recursos florestais, produtos e serviços delas decorrentes, para produção sustentável, exercidas mediante contratos de concessão, a particulares que estejam em condições de atender às exigências do respectivo edital de licitação e que demonstrem capacidade para seu desempenho, por sua conta e risco e prazo determinado.</t>
  </si>
  <si>
    <t>Receita de Concessão de Florestas Nacionais – Valor Mínimo</t>
  </si>
  <si>
    <t>Registra o valor da arrecadação de receita decorrente do pagamento de preço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</si>
  <si>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Receita de Concessão de Florestas Nacionais – Demais Valores</t>
  </si>
  <si>
    <t>Registra o valor da arrecadação de receita decorrente do pagamento de preço superior ao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</si>
  <si>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Receita de Outras Concessões Florestais – Valor Mínimo</t>
  </si>
  <si>
    <t xml:space="preserve">Registra o valor da arrecadação de receita decorrente do pagamento de preço mínimo definido no edital de licitação, calculado em função da quantidade de produto ou serviço auferido do objeto da concessão florestal ou do faturamento líquido ou bruto, de unidades localizadas em áreas de domínio da União. </t>
  </si>
  <si>
    <t>Receita de Outras Concessões Florestais – Demais Valores</t>
  </si>
  <si>
    <t>Registra o valor da arrecadação de receita decorrente do pagamento de preço superior ao mínimo definido no edital de licitação, calculado em função da quantidade de produto ou serviço auferido do objeto da concessão florestal ou do faturamento líquido ou bruto, de unidades localizadas em áreas de domínio da União.</t>
  </si>
  <si>
    <t>Receita de Custos de Edital de Concessão Florestal</t>
  </si>
  <si>
    <t>Registra o valor da arrecadação de receita decorrente do pagamento de preço calculado sobre os custos de realização do edital de licitação da concessão florestal da unidade de manejo.</t>
  </si>
  <si>
    <t>Receita de Contratos de Transição de Concessão Florestal</t>
  </si>
  <si>
    <t xml:space="preserve">Registra o valor da arrecadação de receita do pagamento de preço decorrente de contratos de transição de concessão florestal para exploração e gestão de florestas públicas e recursos florestais. </t>
  </si>
  <si>
    <t>Outras Receitas de Concessões e Permissões – Recursos Naturais</t>
  </si>
  <si>
    <t>Registra o valor da arrecadação de outras receitas de concessões e permissões de recursos naturais, não previstas nos itens anteriores.</t>
  </si>
  <si>
    <t>Receita de Concessões e Permissões – Direitos de Uso de Bens Públicos</t>
  </si>
  <si>
    <t>Registra o valor da arrecadação de receita de concessões e permissões de direitos de uso de bens públicos.</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</si>
  <si>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</si>
  <si>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</si>
  <si>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Receita de Outorga de Direito de Uso ou de Exploração de Criação Protegida – Instituição Científica e Tecnológica</t>
  </si>
  <si>
    <t>Registra o valor de arrecadação de receita decorrente da celebração de contratos de transferência de tecnologia e de licenciamento para outorga de direito de uso de exploração de criação protegida.</t>
  </si>
  <si>
    <t>Receita de Concessão de Uso do Potencial de Energia Hidráulica</t>
  </si>
  <si>
    <t>Receita decorrente da autorização ou concessão, por parte da União, da exploração e aproveitamento dos potenciais de energia hidráulica.</t>
  </si>
  <si>
    <t>Receita da Permissão de Uso de Área da União de Curta Duração</t>
  </si>
  <si>
    <t xml:space="preserve">Registra o valor das receitas de </t>
  </si>
  <si>
    <t>Receita da Cessão de Uso de Bens da União</t>
  </si>
  <si>
    <t>Receita proveniente da utilização de áreas de domínio da União, as quais, a critério do Poder Executivo, poderão ser cedidas, gratuitamente ou em condições especiais, sob qualquer regime previsto em Lei.</t>
  </si>
  <si>
    <t>A - Portaria SOF nº 9, de 01 FEV 2013.</t>
  </si>
  <si>
    <t>Receita de 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</si>
  <si>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</si>
  <si>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I - Portaria SOF nº 62, de 27 JUN 2013.</t>
  </si>
  <si>
    <t>Receita da Cessão de Uso de Áreas as União Situadas em Unidades de Conservação Federais</t>
  </si>
  <si>
    <t>Registra o valor das receitas provenientes da cessão de uso onerosa da área afetada por empreendimento de linhas de transmissão e distribuição de energia elétrica, ou itens de infraestrutura semelhantes situadas em faixas de servidão administrativa em áreas adquiridas pelo Poder Público dentro de unidades de conservação federal de uso sustentável.</t>
  </si>
  <si>
    <t>Outras Receitas de Concessões e Permissões – Direitos de Uso de Bens Públicos</t>
  </si>
  <si>
    <t>Registra o valor da arrecadação de receita de outorga de direitos de uso de outros bens públicos.</t>
  </si>
  <si>
    <t>Outras Receitas de Concessões e Permissões</t>
  </si>
  <si>
    <t>Registra o valor de outras receitas de concessões e permissões não previstas nos itens anteriores.</t>
  </si>
  <si>
    <t>Compensações Financeiras</t>
  </si>
  <si>
    <t>Registra o valor total da arrecadação de receita de contribuições econômicas de recursos resultantes da exploração de petróleo bruto, xisto betuminoso e gás, de recursos hídricos e de recursos minerais.</t>
  </si>
  <si>
    <t>Utilização de Recursos Hídricos – Itaipu</t>
  </si>
  <si>
    <t>Registra o valor do pagamento de compensação financeira relativa aos royalties devidos por Itaipu Binacional do Brasil.</t>
  </si>
  <si>
    <t>Utilização de Recursos Hídricos – Demais Empresas</t>
  </si>
  <si>
    <t>Registra o valor da receita com o pagamento de compensação financeira relativa aos royalties devidos pela utilização de recursos hídricos para geração de energia elétrica por outras empresas, exceto Itaipu.</t>
  </si>
  <si>
    <t>Exploração de Recursos Minerais</t>
  </si>
  <si>
    <t>Registra o valor da arrecadação de receita de contribuições econômicas da compensação financeira pela exploração de recursos minerais.</t>
  </si>
  <si>
    <t>Royalties pela Exploração de Petróleo ou Gás Natural em Terra – Concessão</t>
  </si>
  <si>
    <t>Registra as receitas decorrentes dos pagamentos mensais dos royalties, em moeda nacional, a partir da data de início da produção comercial de cada campo, em montante correspondente a dez por cento da produção de petróleo ou gás natural.</t>
  </si>
  <si>
    <t>E - Portaria SOF nº 11, de 06 FEV 2013.</t>
  </si>
  <si>
    <t>Royalties pela Produção de Petróleo ou Gás Natural em Plataforma – Concessão</t>
  </si>
  <si>
    <t>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t>
  </si>
  <si>
    <t>Royalties pela Produção de Petróleo ou Gás Natural em Plataforma - Concessão - Concessão em Áreas do Pré-Sal e Estratégicas - Campos que Iniciaram a Produção até 31/12/2009</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</si>
  <si>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</si>
  <si>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Royalties pela Produção de Petróleo ou Gás Natural em Plataforma - Concessão - Concessão em Áreas do Pré-Sal e Estratégicas - Campos que Iniciaram a Produção após 31/12/2009</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</si>
  <si>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</si>
  <si>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Royalties pela Produção de Petróleo ou Gás Natural em Plataforma - Concessão em Outras Áreas</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</si>
  <si>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não classificáveis como pré-sal e estratégicas. </t>
  </si>
  <si>
    <t>Royalties Excedentes pela Produção de Petróleo ou Gás Natural em Terra – Concessão</t>
  </si>
  <si>
    <t xml:space="preserve">Registra o valor da arrecadação de receita de contribuições econômicas dos royalties que excederem a 5% da produção de petróleo ou gás natural, quando a lavra ocorrer em terra ou em lagos, rios, ilhas fluviais e lacustres. </t>
  </si>
  <si>
    <t xml:space="preserve">Royalties Excedentes pela Produção de Petróleo ou Gás Natural em Plataforma – Concessão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</si>
  <si>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t>
  </si>
  <si>
    <t>Royalties Excedentes pela Produção de Petróleo ou Gás Natural em Plataforma - Concessão em Áreas do Pré-Sal e Estratégicas - Campos que Iniciaram a Produção até 31/12/2009</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</si>
  <si>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</si>
  <si>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Royalties Excedentes pela Produção de Petróleo ou Gás Natural em Plataforma - Concessão em Áreas do Pré-Sal e Estratégicas - Campos que Iniciaram a Produção após 31/12/2009</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</si>
  <si>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</si>
  <si>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Royalties Excedentes pela Produção de Petróleo ou Gás Natural em Plataforma - Concessão em Outras Áreas</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</si>
  <si>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não classificáveis como pré-sal e estratégicas. </t>
  </si>
  <si>
    <t>Participação Especial pela Produção de Petróleo ou Gás Natural – Concessão</t>
  </si>
  <si>
    <t xml:space="preserve">Registra o valor da arrecadação da receita auferida a título de participação especial pela produção de petróleo, gás natural ou outros hidrocarbonetos fluidos em campos explorados sob regime de concessão. </t>
  </si>
  <si>
    <t>Participação Especial pela Produção de Petróleo ou Gás Natural - Concessão em Áreas do Pré-Sal e Estratégicas - Campos que Iniciaram a Produção até 31/12/2009</t>
  </si>
  <si>
    <t xml:space="preserve">Receita auferida a título de participação especial pela produção de petróleo, gás natural ou outros hidrocarbonetos fluidos em campos explorados sob regime de concessão, em áreas do pré-sal e estratégicas nos campos que iniciaram a produção até 31/12/2009, respeitadas as condições estabelecidas pelos Decretos nº 7.403, de 23 de dezembro de 2010, e 7.657, de 23 de dezembro de 2011. </t>
  </si>
  <si>
    <t>Participação Especial pela Produção de Petróleo ou Gás Natural - Concessão em Áreas do Pré-Sal e Estratégicas - Campos que Iniciaram a Produção após 31/12/2009</t>
  </si>
  <si>
    <t xml:space="preserve">Receita auferida a título de participação especial pela produção de petróleo, gás natural ou outros hidrocarbonetos fluidos em campos explorados sob regime de concessão, em áreas do pré-sal e estratégicas nos campos que iniciaram a produção após 31/12/2009, respeitadas as condições estabelecidas pelos Decretos nº 7.403, de 23 de dezembro de 2010, e 7.657, de 23 de dezembro de 2011. </t>
  </si>
  <si>
    <t>Participação Especial pela Produção de Petróleo ou Gás Natural - Concessão em Outras Áreas</t>
  </si>
  <si>
    <t xml:space="preserve">Receita auferida a título de participação especial pela produção de petróleo, gás natural ou outros hidrocarbonetos fluidos em campos explorados sob regime de concessão, em áreas não classificáveis como pré-sal e estratégicas. </t>
  </si>
  <si>
    <t>Receita da Supressão Vegetal no Interior das Florestas Nacionais</t>
  </si>
  <si>
    <t>Registra a arrecadação da indenização pela supressão de vegetação, no interior de florestas Nacionais, para execução de obras e outras hipóteses admitidas pela Lei nº 9.985/2000. Seu fato gerador corresponde à expedição de autorização para supressão de vegetação em áreas situadas no interior de florestas nacionais, emitida de acordo com os objetivos, o plano de manejo e os regulamentos da unidade de conservação. A expedição da autorização é condicionada ao pagamento do valor calculado da indenização em razão da floresta a ser suprimida, tomando-se como base o seu valor atual.</t>
  </si>
  <si>
    <t>Receita pela Produção de Petróleo ou Gás Natural - Partilha de Produção</t>
  </si>
  <si>
    <t xml:space="preserve">Registra os recursos decorrentes de compensação financeira pela produção de petróleo, gás natural e de outros hidrocarbonetos fluidos de que trata o § 1º do art. 20 da Constituição Federal, quando a produção ocorrer sob o regime de partilha de produção. </t>
  </si>
  <si>
    <t>Royalties pela Produção de Petróleo ou Gás Natural em Terra – Partilha de Produção</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</si>
  <si>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t>
  </si>
  <si>
    <t>Royalties pela Produção de Petróleo ou Gás Natural em Plataforma – Partilha de Produção</t>
  </si>
  <si>
    <t xml:space="preserve">Registra a receita decorrente do pagamento de compensação financeira (royalties) pela produção de petróleo, gás natural e outros hidrocarbonetos fluidos, sob o regime de partilha de produção, quando a lavra ocorrer na plataforma continental. </t>
  </si>
  <si>
    <t>Royalties Excedentes pela Produção de Petróleo ou Gás Natural em Terra - Partilha de Produção</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</si>
  <si>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Esta natureza de receita registra a parcela dos royalties que excederem a 5% (cinco por cento) do valor da produção de petróleo, gás natural e outros hidrocarbonetos fluidos, sob o regime de partilha de produção, conforme o inciso I do art. 49 da Lei nº 9.478, de 6 de agosto de 1997. </t>
  </si>
  <si>
    <t>Royalties Excedentes pela Produção de Petróleo ou Gás Natural em Plataforma - Partilha de Produção</t>
  </si>
  <si>
    <t xml:space="preserve">Registra a receita decorrente do pagamento de compensação financeira (royalties) pela produção de petróleo, gás natural e outros hidrocarbonetos fluidos, sob o regime de partilha de produção, quando a lavra ocorrer na plataforma continental. Esta natureza de receita registra a parcela dos royalties que excederem a 5% (cinco por cento) do valor da produção de petróleo, gás natural e outros hidrocarbonetos fluidos, sob o regime de partilha de produção, conforme o inciso II do art. 49 da Lei nº 9.478, de 6 de agosto de 1997. </t>
  </si>
  <si>
    <t>Participação Especial pela Produção de Petróleo ou Gás Natural - Partilha de Produção</t>
  </si>
  <si>
    <t xml:space="preserve">Registra a receita auferida em função do pagamento de participação especial relativa a contratos de concessão para a exploração e produção de petróleo ou gás natural sob o regime de partilha de produção, em casos de grande volume de produção de petróleo ou de grande rentabilidade. A participação especial será aplicada sobre a receita bruta da produção, deduzidos os royalties, os investimentos na exploração, os custos operacionais, a depreciação e os tributos previstos na legislação em vigor. </t>
  </si>
  <si>
    <t>Receita de Compensações Ambientais</t>
  </si>
  <si>
    <t>Registra a arrecadação oriunda da compensação financeira decorrente do licenciamento ambiental de empreendimento de significativo impacto ambiental.</t>
  </si>
  <si>
    <t>I - Portaria SOF nº 197, de 29 OUT 2013.</t>
  </si>
  <si>
    <t>Receita da Produção de Petróleo, Gás Natural e Outros Hidrocarbonetos Fluidos – Regime de Concessão</t>
  </si>
  <si>
    <t>Natureza que agrega os valores de arrecadação de receitas oriundas da produção de petróleo, gás natural ou outros hidrocarbonetos fluidos, quando a lavra ocorrer sob o regime de concessão.</t>
  </si>
  <si>
    <t>I-E</t>
  </si>
  <si>
    <t>I - Portaria SOF nº 11, de 06 FEV 2013. 
E - Portaria SOF nº 24, de 26 MAR 2014.</t>
  </si>
  <si>
    <t>Receita da Produção de Petróleo, Gás Natural e Outros Hidrocarbonetos Fluidos - Contratos de Concessão Firmados antes de 03/12/2012</t>
  </si>
  <si>
    <t>Natureza que agrega os valores de arrecadação de receitas oriundas da produção de petróleo, gás natural ou outros hidrocarbonetos fluidos quando a lavra ocorrer sob o regime de concessão, considerados apenas os contratos firmados antes de 03/12/2012, conforme artigos 48, 49 e 50 da Lei nº 9.478, de 6 de agosto de 1997, modificada pela Lei nº 12.734 de 30 de novembro de 2012.</t>
  </si>
  <si>
    <t>Receita da Produção de Petróleo, Gás Natural e Outros Hidrocarbonetos Fluidos no Pré-Sal - Contratos de Concessão Firmados antes de 03/12/2012</t>
  </si>
  <si>
    <t>Natureza que agrega os valores de arrecadação de receitas oriundas da produção de petróleo, gás natural ou outros hidrocarbonetos fluidos, quando a lavra ocorrer no horizonte geológico denominado Pré-Sal*, em campos localizados na área definida no inciso IV do caput do art. 2o da Lei nº 12.351, de 2010, sob o regime de concessão, considerados apenas os contratos firmados antes de 03/12/2012, conforme artigos 48, 49, 50 e 50-A da Lei nº 9.478, de 6 de agosto de 1997, modificada pela Lei nº 12.734 de 30 de novembro de 2012 e pela Medida Provisória nº 592 de 03/12/2012.</t>
  </si>
  <si>
    <t>Royalties Mínimos pela Produção de Petróleo, Gás Natural e Outros Hidrocarbonetos Fluidos no Pré-Sal - Contratos de Concessão Firmados antes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</si>
  <si>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</si>
  <si>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Royalties Mínimos pela Produção em Plataforma de Petróleo, Gás Natural e Outros Hidrocarbonetos Fluidos no Pré-Sal - Contratos de Concessão Firmados antes de 03/12/2012</t>
  </si>
  <si>
    <t>Registra o valor da arrecadação de receitas oriundas da parcela do valor do royalty, previsto no contrato de concessão, que representar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na plataforma continental, no mar territorial ou na zona econômica exclusiva, consoante ao art. 7o da Lei nº 7.990, de 28 de dezembro de 1989, considerados apenas os contratos firmados antes de 03/12/2012.</t>
  </si>
  <si>
    <t>Receita Decorrente do Direito de Exploração de Bens Públicos em Áreas de Domínio Público</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</si>
  <si>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</si>
  <si>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Royalties Excedentes pela Produção em Plataforma de Petróleo, Gás Natural e Outros Hidrocarbonetos Fluidos no Pré-Sal - Contratos de Concessão Firmados antes de 03/12/2012</t>
  </si>
  <si>
    <t>Registra o valor da arrecadação de receitas oriundas da parcela do valor do royalty, previsto no contrato de concessão, que exceder a 5% do valor da produção de petróleo, gás natural ou outros hidrocarbonetos fluidos, quando a lavra ocorrer sob o regime de concessão na plataforma continental, conforme a Lei nº 9.478/97, art. 49, caput e inciso II,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</si>
  <si>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Participação Especial pela Produção de Petróleo, Gás Natural e Outros Hidrocarbonetos Fluidos no Pré-Sal - Contratos de Concessão Firmados antes de 03/12/2012</t>
  </si>
  <si>
    <t>Receita decorrente dos direitos da União pela exploração de bens localizados em áreas sob seu domínio.</t>
  </si>
  <si>
    <t>Receita da Produção de Petróleo, Gás Natural e Outros Hidrocarbonetos Fluidos em Outras Áreas - Contratos de Concessão Firmados antes de 03/12/2012</t>
  </si>
  <si>
    <t>Natureza que agrega os valores de arrecadação de receitas oriundas da produção de petróleo, gás natural ou outros hidrocarbonetos fluidos, quando a lavra ocorrer sob o regime de concessão fora das áreas do pré-sal* e estratégicas, considerados apenas os contratos firmados antes de 03/12/2012, conforme artigos 48, 49 e 50 da Lei nº 9.478, de 6 de agosto de 1997.</t>
  </si>
  <si>
    <t>Royalties Mínimos pela Produção de Petróleo, Gás Natural e Outros Hidrocarbonetos Fluidos em Outras Áreas - Contratos de Concessão Firmados antes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</si>
  <si>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fora das áreas do pré-sal e estratégicas, considerados apenas os contratos firmados antes de 03/12/2012.</t>
  </si>
  <si>
    <t>Royalties Mínimos pela Produção em Plataforma de Petróleo, Gás Natural e Outros Hidrocarbonetos Fluidos em Outras Áreas - Contratos de Concessão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</si>
  <si>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sob o regime de concessão na plataforma continental, no mar territorial ou na zona econômica exclusiva, considerados apenas os contratos firmados antes de 03/12/2012. </t>
  </si>
  <si>
    <t>Royalties Mínimos pela Produção em Terra de Petróleo, Gás Natural e Outros Hidrocarbonetos Fluidos em Outras Áreas - Contratos de Concessão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</si>
  <si>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em terra, sob o regime de concessão, considerados apenas os contratos firmados antes de 03/12/2012. </t>
  </si>
  <si>
    <t>Royalties Excedentes pela Produção de Petróleo, Gás Natural e Outros Hidrocarbonetos Fluidos em Outras Áreas - Contratos de Concessão Firmados antes de 03/12/2012</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</si>
  <si>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fora das áreas do pré-sal e estratégicas, considerados apenas os contratos firmados antes de 03/12/2012.</t>
  </si>
  <si>
    <t>Royalties Excedentes pela Produção em Plataforma de Petróleo, Gás Natural e Outros Hidrocarbonetos Fluidos em Outras Áreas - Contratos de Concessão Firmados antes de 3 antes de 03/12/2012</t>
  </si>
  <si>
    <t xml:space="preserve">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na plataforma continental, no mar territorial ou na zona econômica exclusiva, fora das áreas do pré-sal* e estratégicas, considerados apenas os contratos firmados antes de 03/12/2012. </t>
  </si>
  <si>
    <t>Royalties Excedentes pela Produção em Terra de Petróleo, Gás Natural e Outros Hidrocarbonetos Fluidos em Outras Áreas - Contratos de Concessão Firmados antes de 3 antes de 03/12/2012</t>
  </si>
  <si>
    <t>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em terra (ou em lagos, rios ilhas fluviais e lacustres), fora das áreas do pré-sal* e estratégicas, considerados apenas os contratos firmados antes de 03/12/2012.</t>
  </si>
  <si>
    <t>Participação Especial pela Produção de Petróleo, Gás Natural e Outros Hidrocarbonetos Fluidos em Outras Áreas - Contratos de Concessão Firmados antes de 03/12/2012</t>
  </si>
  <si>
    <t>Receita auferida a título de participação especial pela produção de petróleo, gás natural ou outros hidrocarbonetos fluidos em campos explorados sob regime de concessão, fora das áreas do pré-sal e estratégicas, considerados apenas os contratos firmados antes de 03/12/2012.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</si>
  <si>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da Produção de Petróleo, Gás Natural e Outros Hidrocarbonetos Fluidos - Contratos de Concessão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</si>
  <si>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t>
  </si>
  <si>
    <t>Receita da Produção de Petróleo, Gás Natural e Outros Hidrocarbonetos Fluidos em Outras Áreas - Contratos de Concessão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</si>
  <si>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</si>
  <si>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de Petróleo, Gás Natural e Outros Hidrocarbonetos Fluidos em Outras Áreas - Contratos de Concessão Firmados a partir de 03/12/2012</t>
  </si>
  <si>
    <t>Natureza que agrega os valores de arrecadação de receitas oriundas da parcela do valor dos royalties da produção de petróleo, gás natural ou outros hidrocarbonetos fluidos,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</si>
  <si>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em Plataforma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</si>
  <si>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na plataforma continental, no mar territorial ou na zona econômica exclusiva,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</si>
  <si>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em Terra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</si>
  <si>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em terra ou em lagos, rios, ilhas fluviais e lacustres,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</si>
  <si>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de Petróleo, Gás Natural e Outros Hidrocarbonetos Fluidos em Outras Áreas - Contratos de Concessão Firmados a partir de 03/12/2012</t>
  </si>
  <si>
    <t>Natureza que agrega os valores de arrecadação de receitas oriundas do valor dos royalties da produção de petróleo, gás natural ou outros hidrocarbonetos fluidos,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</si>
  <si>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em Plataforma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</si>
  <si>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na plataforma continental, no mar territorial ou na zona econômica exclusiva,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</si>
  <si>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em Terra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</si>
  <si>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em terra ou em lagos, rios, ilhas fluviais e lacustres,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</si>
  <si>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Participação Especial pela Produção de Petróleo, Gás Natural e Outros Hidrocarbonetos Fluidos em Outras Áreas - Contratos de Concessão Firmados a partir de 03/12/2012</t>
  </si>
  <si>
    <t>Registra o valor da arrecadação da receita auferida a título de participação especial pela produção de petróleo, gás natural ou outros hidrocarbonetos fluidos, em campos explorados sob regime de concessão com contratos firmados a partir de 03/12/2012, em áreas não classificáveis como pré-sal e estratégicas.</t>
  </si>
  <si>
    <t>Receita da Produção de Petróleo, Gás Natural e Outros Hidrocarbonetos Fluidos - Regime de Partilha de Produção</t>
  </si>
  <si>
    <t>Natureza que agrega os valores de arrecadação de receitas oriundas da produção de petróleo, gás natural ou outros hidrocarbonetos fluidos, em áreas do pré-sal e estratégicas, quando a lavra ocorrer sob o regime de partilha de produção, conforme determina o art. 3o da Lei nº 12.351, de 22 de dezembro de 2010, alterada pela Lei nº 12.734, de 30 de novembro de 2012, e pela Medida Provisória nº 592, de 03/12/2012.</t>
  </si>
  <si>
    <t>Royalties pela Produção de Petróleo, Gás Natural e Outros Hidrocarbonetos Fluidos - Regime de Partilha de Produção</t>
  </si>
  <si>
    <t>Natureza que agrega os valores de arrecadação de receitas oriundas dos royalties da produção de petróleo, gás natural ou outros hidrocarbonetos fluidos em terra ou na plataforma continental, no mar territorial ou na zona econômica exclusiva, em áreas do pré-sal e estratégicas, quando a lavra ocorrer sob o regime de partilha de produção, conforme determina o artigo 3º combinado com os artigos 42, inciso I e 42-A da Lei nº 12.351, de 22 de dezembro de 2010, alterada pela Lei nº 12.734, de 30 de novembro de 2012, e pela Medida Provisória nº 592, de 03/12/2012.</t>
  </si>
  <si>
    <t>Royalties pela Produção em Plataforma de Petróleo, Gás Natural e Outros Hidrocarbonetos Fluidos - Regime de Partilha de Produção</t>
  </si>
  <si>
    <t>Registra o valor da arrecadação da parcela do valor dos royalties oriundos da produção de petróleo, gás natural ou outros hidrocarbonetos fluidos na plataforma continental, no mar territorial ou na zona econômica exclusiva, quando a lavra ocorrer sob o regime de partilha de produção, em áreas do pré-sal e estratégicas, conforme determina o artigo 3o combinado com os artigos 42, inciso I, 42-A e 42-B, inciso II da Lei nº 12.351, de 22 de dezembro de 2010, alterada pela Lei nº 12.734, de 30 de novembro de 2012, e pela Medida Provisória nº 592, de 03/12/2012.</t>
  </si>
  <si>
    <t>Royalties pela Produção em Terra de Petróleo, Gás Natural e Outros Hidrocarbonetos Fluidos - Regime de Partilha de Produção</t>
  </si>
  <si>
    <t>Registra o valor da arrecadação da parcela do valor dos royalties oriundos da produção de petróleo, gás natural ou outros hidrocarbonetos fluidos em terra ou em lagos, rios, ilhas fluviais e lacustres, quando a lavra ocorrer sob o regime de partilha de produção, em áreas do pré-sal e estratégicas, conforme determina o artigo 3o combinado com os artigos 42, inciso I, 42-A e 42-B, inciso I, da Lei nº 12.351, de 22 de dezembro de 2010, alterada pela Lei nº 12.734, de 30 de novembro de 2012, e pela Medida Provisória nº 592, de 03/12/2012.</t>
  </si>
  <si>
    <t>Receita da Produção de Petróleo, Gás Natural e Outros Hidrocarbonetos Fluidos – Cessão Onerosa à Petrobras</t>
  </si>
  <si>
    <t>Natureza que agrega os valores de arrecadação de receitas oriundas da produção de petróleo, gás natural ou outros hidrocarbonetos fluidos, relativas a contratos celebrados sob o regime de cessão onerosa à Petrobras.</t>
  </si>
  <si>
    <t>I - Portaria SOF nº 54, de 20 JUN 2014.</t>
  </si>
  <si>
    <t>Royalties Mínimos pela Produção de Petróleo – Cessão Onerosa à Petrobras</t>
  </si>
  <si>
    <t>Natureza que agrega os valores de arrecadação de receitas oriundas da parcela do valor do royalty, previsto no contrato de Cessão Onerosa à Petrobras, que representar 5% do valor da produção de petróleo, gás natural ou outros hidrocarbonetos fluidos.</t>
  </si>
  <si>
    <t>Royalties Mínimos pela Produção de Petróleo em Terra – Cessão Onerosa à Petrobras</t>
  </si>
  <si>
    <t>Registra o valor da arrecadação de receitas oriundas da parcela do valor do royalty, previsto no contrato de cessão onerosa à Petrobras, que representar 5% do valor da produção de petróleo, gás natural ou outros hidrocarbonetos fluidos, quando a lavra ocorrer em terra ou em lagos, rios, ilhas fluviais e lacustres.</t>
  </si>
  <si>
    <t>Royalties Mínimos pela Produção de Petróleo em Plataforma – Cessão Onerosa à Petrobras</t>
  </si>
  <si>
    <t>Registra o valor da arrecadação de receitas oriundas da parcela do valor do royalty, previsto no contrato de cessão onerosa à Petrobras, que representar 5% do valor da produção de petróleo, gás natural ou outros hidrocarbonetos fluidos, quando a lavra ocorrer na plataforma continental, no mar territorial ou na zona econômica exclusiva.</t>
  </si>
  <si>
    <t>Royalties Mínimos pela Produção de Petróleo em Plataforma - Declaração de Comercialidade antes de 3/12/2012 – Cessão Onerosa à Petrobras</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</si>
  <si>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antes de 3/12/2012.</t>
  </si>
  <si>
    <t>Royalties Mínimos pela Produção de Petróleo em Plataforma - Declaração de Comercialidade a partir de 3/12/2012 – Cessão Onerosa à Petrobras</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</si>
  <si>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</si>
  <si>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Cessão Onerosa à Petrobras</t>
  </si>
  <si>
    <t>Registra o valor da arrecadação de receitas oriundas da parcela do valor do royalty, previsto no contrato de cessão onerosa à Petrobras, que exceder a 5% do valor da produção de petróleo, gás natural ou outros hidrocarbonetos fluidos.</t>
  </si>
  <si>
    <t>Royalties Excedentes pela Produção de Petróleo em Terra – Cessão Onerosa à Petrobras</t>
  </si>
  <si>
    <t>Registra o valor da arrecadação de receitas oriundas da parcela do valor do royalty, previsto no contrato de cessão onerosa à Petrobras, que exceder a 5% do valor da produção de petróleo, gás natural ou outros hidrocarbonetos fluidos, quando a lavra ocorrer em terra ou em lagos, rios, ilhas fluviais e lacustres.</t>
  </si>
  <si>
    <t>Royalties Excedentes pela Produção de Petróleo em Plataforma -  Cessão Onerosa à Petrobras</t>
  </si>
  <si>
    <t>Registra o valor da arrecadação de receitas oriundas da parcela do valor do royalty, previsto no contrato de cessão onerosa à Petrobras, que exceder a 5% do valor da produção de petróleo, gás natural ou outros hidrocarbonetos fluidos, quando a lavra ocorrer na plataforma continental, no mar territorial ou na zona econômica exclusiva.</t>
  </si>
  <si>
    <t>Royalties Excedentes pela Produção de Petróleo em Plataforma - Declaração de Comercialidade antes de 3/12/2012 – Cessão Onerosa à Petrobras</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</si>
  <si>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antes de 3/12/2012.</t>
  </si>
  <si>
    <t>Royalties Excedentes pela Produção de Petróleo em Plataforma - Declaração de Comercialidade a partir de 3/12/2012 – Cessão Onerosa à Petrobras</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</si>
  <si>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</si>
  <si>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Receita da Produção de Petróleo, Gás Natural e Outros Hidrocarbonetos Fluidos - Contrato de Concessão</t>
  </si>
  <si>
    <t>I - Portaria SOF nº 149, de 08 OUT 2013.</t>
  </si>
  <si>
    <t>Royalties Mínimos pela Produção de Petróleo em Terra (Qualquer Situação) - Contrato de Concessão</t>
  </si>
  <si>
    <t>Registra o valor da arrecadação de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</si>
  <si>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t>
  </si>
  <si>
    <t>Registra o valor da arrecadação de receitas oriundas da parcela do valor do royalty, previsto no contrato de concessão, que representar 5% do valor da produção de petróleo, gás natural ou outros hidrocarbonetos fluidos, quando a lavra na plataforma continental, no mar territorial ou na zona econômica exclusiva.</t>
  </si>
  <si>
    <t>Royalties Mínimos pela Produção de Petróleo em Plataforma - Contrato de Concessão - Declaração de Comercialidade antes de 3/12/2012 - Área e Camada Pré-Sal</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</si>
  <si>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</si>
  <si>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 xml:space="preserve">Royalties Mínimos pela Produção de Petróleo em Plataforma - Contrato de Concessão - Declaração de Comercialidade antes de 3/12/2012 - Demais Situações </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</si>
  <si>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</si>
  <si>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</si>
  <si>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</si>
  <si>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Terra (Qualquer Situação) - Contrato de Concessão</t>
  </si>
  <si>
    <t>Registra o valor da arrecadação de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</si>
  <si>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</si>
  <si>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t>
  </si>
  <si>
    <t>Royalties Excedentes pela Produção de Petróleo em Plataforma -  Contrato de Concessão - Declaração de Comercialidade antes de 3/12/2012 - Área e Camada Pré-Sal</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</si>
  <si>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</si>
  <si>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</si>
  <si>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</si>
  <si>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</si>
  <si>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</si>
  <si>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em Terra (Qualquer Situação) - Contrato de Concessão</t>
  </si>
  <si>
    <t>Receita auferida a título de participação especial pela produção de petróleo, gás natural ou outros hidrocarbonetos fluidos em campos explorados sob regime de concessão, quando a lavra ocorrer em terra.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</si>
  <si>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</si>
  <si>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</si>
  <si>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</si>
  <si>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</si>
  <si>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Declaração de Comercialidade antes de 3/12/2012 - Demais Situações</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</si>
  <si>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</si>
  <si>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Contrato de Concessão - Declaração de Comercialidade a partir de 3/12/2012 - Qualquer Situação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</si>
  <si>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</si>
  <si>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Registra o valor da arrecadação de receita decorrente dos direitos de União pela exploração de bens públicos sob o seu domínio.</t>
  </si>
  <si>
    <t>Receita de Royalties e Participações pela Exploração do Patrimônio Genético</t>
  </si>
  <si>
    <t>Registra o valor da arrecadação de recursos decorrentes da exploração do patrimônio genético em áreas de domínio público da União, no mar territorial, ZEE ou plataforma continental.</t>
  </si>
  <si>
    <t>Royalties pela Exploração do Patrimônio Genético em Área de Domínio Público</t>
  </si>
  <si>
    <t>Registra os recursos decorrentes da exploração do patrimônio genético em áreas de domínio público da União, exceto Mar Territorial, ZEE ou Plataforma Continental.</t>
  </si>
  <si>
    <t>Royalties pela Exploração do Patrimônio Genético no Mar Territorial, Zona Econômica Exclusiva ou Plataforma Continental</t>
  </si>
  <si>
    <t>Registra os recursos decorrentes da exploração do patrimônio genético no Mar Territorial, ZEE ou Plataforma Continental.</t>
  </si>
  <si>
    <t>Participações pela Exploração do Patrimônio Genético em Áreas de Domínio da União</t>
  </si>
  <si>
    <t>Participações pela Exploração do Patrimônio Genético no Mar Territorial, Zona Econômica Exclusiva ou Plataforma Continental</t>
  </si>
  <si>
    <t>Receita de Outorga a Título Oneroso das Atividades de Pesquisa e Lavra de Petróleo e Gás Natural</t>
  </si>
  <si>
    <t>Registra os recursos decorrentes da cessão, a título oneroso, das atividades de pesquisa e lavra das jazidas de petróleo e gás natural e outros hidrocarbonetos fluidos, bem como o seu refino e transporte marítimo.</t>
  </si>
  <si>
    <t>Receita da Cessão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</si>
  <si>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</si>
  <si>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Receita de Cessão do Direito de Operacionalização de Pagamentos</t>
  </si>
  <si>
    <t>Registra receitas oriundas de contrato firmado entre entidade pública e agentes financeiros, com vistas a que determinados pagamentos sob responsabilidade daquela entidade sejam efetuados por meio destes agentes.</t>
  </si>
  <si>
    <t>Receita de Cessão do Direito de Operacionalização da Folha de Pagamento de Pessoal</t>
  </si>
  <si>
    <t>Registra receitas oriundas de contrato firmado entre entidade pública e agentes financeiros, com vistas a que o pagamento da "Folha de Pessoal" daquela entidade seja efetuado por meio destes agentes.</t>
  </si>
  <si>
    <t>Receita de Cessão do Direito de Operacionalização da Folha de Pagamento de Benefícios</t>
  </si>
  <si>
    <t>Registra receitas oriundas de contrato firmado entre entidade pública e agentes financeiros, com vistas a que o pagamento da "Folha de Benefícios Previdenciários" daquela entidade seja efetuado por meio destes agentes.</t>
  </si>
  <si>
    <t>Receita de Cessão do Direito de Operacionalização de Pagamento a Fornecedores</t>
  </si>
  <si>
    <t>Registra receitas oriundas de contrato firmado entre entidade pública e agentes financeiros, com vistas a que o pagamento relativo a obrigações com fornecedores daquela entidade seja efetuado por meio destes agentes.</t>
  </si>
  <si>
    <t>Outras Receitas Patrimoniais</t>
  </si>
  <si>
    <t>Registra o valor total da arrecadação com outras receitas patrimoniais não classificadas nos itens anteriores, inclusive receitas de aluguéis de bens móveis.</t>
  </si>
  <si>
    <t>Receita Agropecuária</t>
  </si>
  <si>
    <t>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 (excetuam-se as usinas de açúcar, fábricas de polpa, de madeira, serrarias e unidades industriais com produção licenciada, que são classificadas como industriais).</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</si>
  <si>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</si>
  <si>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</si>
  <si>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Receita da Produção Animal e Derivados</t>
  </si>
  <si>
    <t>Registra o valor total das receitas de produção animal e derivados, decorrentes de atividades de exploração econômica de: a) pecuária de grande porte – bovinos, bufalinos, equinos e outros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à produção de alimentos (matadouros, fábricas de laticínios, etc.) são classificadas em receitas da indústria de transformação, bem como secagem, curtimento, outras preparações de couros e peles etc.</t>
  </si>
  <si>
    <t>Outras Receitas Agropecuárias</t>
  </si>
  <si>
    <t>Registra o valor total da arrecadação com outras receitas agropecuárias não classificadas nos itens anteriores.</t>
  </si>
  <si>
    <t>Receita Industrial</t>
  </si>
  <si>
    <t>Registra o valor total da arrecadação da receita da indústria de extração mineral, de transformação, de construção e outros, provenientes das atividades industriais definidas como tais pela Fundação Instituto Brasileiro de Geografia e Estatística – IBGE.</t>
  </si>
  <si>
    <t>Receita da Indústria Extrativa Mineral</t>
  </si>
  <si>
    <t>Registra o valor total da receita decorrente das atividades de extração mineral, provenientes das atividades industriais assim definidas pela Fundação Instituto Brasileiro de Geografia e Estatística - IBGE</t>
  </si>
  <si>
    <t>Receita da Indústria de Transformação</t>
  </si>
  <si>
    <t>Registra o valor total da arrecadação das receitas das atividades ligadas à indústria de transformação, baseadas na classificação da fundação IBGE.</t>
  </si>
  <si>
    <t>Receita da Indústria Mecânica</t>
  </si>
  <si>
    <t>Registra o valor total das receitas recebidas por meio da indústria mecânica.</t>
  </si>
  <si>
    <t>Receita da Indústria Química</t>
  </si>
  <si>
    <t>Registra o valor total das receitas recebidas originárias da comercialização da indústria química.</t>
  </si>
  <si>
    <t>Receita da Indústria de Produtos Farmacêuticos e Veterinários</t>
  </si>
  <si>
    <t>Registra o valor total das receitas recebidas originárias da comercialização da indústria de produtos farmacêuticos e veterinários.</t>
  </si>
  <si>
    <t>Receita da Indústria de Produtos Farmacêuticos</t>
  </si>
  <si>
    <t>Registra a receita da Indústria de Produtos Farmacêuticos</t>
  </si>
  <si>
    <t>Receita da Indústria de Produtos Veterinários</t>
  </si>
  <si>
    <t>Registra a Receita da Indústria de Produtos Veterinários</t>
  </si>
  <si>
    <t>Receita da Indústria de Produtos Farmoquímicos</t>
  </si>
  <si>
    <t>Registra o valor da receita decorrente da comercialização de produtos originários da indústria de produtos farmoquímicos.</t>
  </si>
  <si>
    <t>Receita da Indústria de Produtos Alimentares</t>
  </si>
  <si>
    <t>Registra o valor total das receitas recebidas originárias da comercialização da indústria de produtos alimentares.</t>
  </si>
  <si>
    <t>Receita da Indústria de Bebidas e Destilados</t>
  </si>
  <si>
    <t>Registra o valor da arrecadação de receita da indústria de transformação da comercialização de bebidas e destilados produzidos pelas escolas agrotécnicas federais.</t>
  </si>
  <si>
    <t>Receita da Usina de Tratamento de Lixo</t>
  </si>
  <si>
    <t>Registra o valor da arrecadação de receita da indústria de transformação da usina de tratamento de lixo.</t>
  </si>
  <si>
    <t>Receita da Indústria Editorial e Gráfica</t>
  </si>
  <si>
    <t>Registra o valor total das receitas recebidas originárias de comercialização da indústria editorial e gráfica.</t>
  </si>
  <si>
    <t>Receita da Indústria Eletrônica</t>
  </si>
  <si>
    <t>Registra as receitas provenientes da comercialização de dispositivos semicondutores e sistemas de circuitos integrados, além de outros produtos de microeletrônica.</t>
  </si>
  <si>
    <t>Outras Receitas da Indústria de Transformação</t>
  </si>
  <si>
    <t>Registra o valor total das receitas da indústria de transformação não classificadas nos itens anteriores.</t>
  </si>
  <si>
    <t>Receita da Indústria de Construção</t>
  </si>
  <si>
    <t>Registra o valor total da arrecadação da receita da indústria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</si>
  <si>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Outras Receitas Industriais</t>
  </si>
  <si>
    <t>Registra o valor total da arrecadação de outras receitas da indústria não classificáveis nos itens anteriores.</t>
  </si>
  <si>
    <t>Receita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</si>
  <si>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</si>
  <si>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</si>
  <si>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Registra o valor total da arrecadação de serviços comerciais e financeiros, oriundos das atividades do comércio varejista e atacadista, ou seja, operações de revenda de mercadorias para consumo, uso pessoal ou uso doméstico, bem como a revenda de mercadorias a comerciantes varejistas, a consumidores industriais, a instituições, profissionais e outros comerciantes atacadistas. Este título abrange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</si>
  <si>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Serviços de Comercialização de Medicamentos</t>
  </si>
  <si>
    <t>Registra o valor total da arrecadação da receita auferida nas atividades de comércio varejista e atacadista de medicamentos.</t>
  </si>
  <si>
    <t>Serviços de Comercialização de Livros, Periódicos, Materiais Escolares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</si>
  <si>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</si>
  <si>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</si>
  <si>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neste item as receitas decorrentes da comercialização de produtos adquiridos com garantia de preço mínimo e para a formação de estoques reguladores e as provenientes da prestação de serviços de beneficiamento, empacotamento e distribuição de gêneros alimentícios.</t>
  </si>
  <si>
    <t>Serviço de comercialização de Produtos, Dados e Materiais de Informática</t>
  </si>
  <si>
    <t>Registra o valor total da arrecadação proveniente da comercialização de produtos, dados e materiais de informática, tais como disquetes, softwares, programas, cd-rom, fitas magnéticas e assemelhados, bem como informações em redes e sistemas de dados disponíveis em meio de hardware.</t>
  </si>
  <si>
    <t>Receita de Comercialização dos Dados e Imagens oriundos da Utilização de Posições Orbitais</t>
  </si>
  <si>
    <t>Registra a receita decorrente da comercialização dos dados e imagens oriundos da utilização de posições orbitais.</t>
  </si>
  <si>
    <t>Receita Proveniente de Lançamentos de Satélites e Foguetes de Sondagem, a partir do Território Brasileiro</t>
  </si>
  <si>
    <t>Registra a receita proveniente do lançamento, em caráter comercial, de satélites e foguetes de sondagem, a partir do território brasileiro.</t>
  </si>
  <si>
    <t>Receita de Comercialização de Fardamentos</t>
  </si>
  <si>
    <t>Registra a receita proveniente da venda de uniformes e fardamentos.</t>
  </si>
  <si>
    <t>Outros Serviços Comerciais</t>
  </si>
  <si>
    <t>Registra o valor total da arrecadação de outros serviços comerciais, não classificados nos itens anteriores.</t>
  </si>
  <si>
    <t>Serviços Financeiros</t>
  </si>
  <si>
    <t>Registra o valor total da arrecadação de serviços financeiros pelo auferimento de juros de empréstimos e de taxa de concessão de aval dentre outros. Receita de atividades financeiras, de seguros e assemelhadas: transferência de valores, cobranças, serviços de câmbio, desconto de títulos, repasse de empréstimos, prestação de aval e garantias, concessão de crédito etc; seguros (inclusive resseguro); operações de sociedades de capitalização.</t>
  </si>
  <si>
    <t>Serviços de Juros de Empréstimos</t>
  </si>
  <si>
    <t>Registra o valor total da arrecadação de receitas de serviços financeiros relativas ao resultado das taxas de juros aplicadas a empréstimos concedidos. Difere dos juros classificados na receita patrimonial por se tratar de receita operacional das instituições financeiras.</t>
  </si>
  <si>
    <t>Serviços Financeiros de Compensação de Variações Salariais</t>
  </si>
  <si>
    <t>Registra o valor da receita financeira proveniente de outras operações financeiras realizadas pelo Fundo de Compensação de Variações Salariais – FCVS.</t>
  </si>
  <si>
    <t xml:space="preserve">Operações de Autoridade Monetária </t>
  </si>
  <si>
    <t>Registra o valor da receita do Banco Central do Brasil, proveniente de operações com títulos, da área externa, da área bancária, com ouro e outras.</t>
  </si>
  <si>
    <t>Serviços de Remuneração Sobre Repasse para Programas de Desenvolvimento Econômico</t>
  </si>
  <si>
    <t>Registra o valor total da arrecadação com serviços de remuneração de repasses de programa de desenvolvimento econômico.</t>
  </si>
  <si>
    <t>Serviços Financeiros Provenientes da Execução de Garantia – Operações de Crédito Internas</t>
  </si>
  <si>
    <t>Registra o valor da arrecadação da receita de serviços financeiros provenientes da execução de garantia em operações de crédito internas.</t>
  </si>
  <si>
    <t>Serviços Financeiros Provenientes da Execução de Garantia – Operações de Crédito Externas</t>
  </si>
  <si>
    <t>Registra o valor da arrecadação da receita de serviços financeiros provenientes da execução de garantia em operações de crédito externas.</t>
  </si>
  <si>
    <t>Outros Serviços Financeiros</t>
  </si>
  <si>
    <t>Registra o valor total da arrecadação de outros serviços financeiros, não classificados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</si>
  <si>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</si>
  <si>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</si>
  <si>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</si>
  <si>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táxi, de encomendas.</t>
  </si>
  <si>
    <t>Serviços de Transporte Ferroviário</t>
  </si>
  <si>
    <t>Registra o valor total da arrecadação da receita de prestação de serviços com transporte ferroviário, de passageiros e de carga, inclusive metropolitano.</t>
  </si>
  <si>
    <t>Serviço de Transporte Hidroviário</t>
  </si>
  <si>
    <t>Registra o valor total da arrecadação da receita de prestação de serviços com transporte hidroviário de passageiros, de carga ou misto, de longo curso, de cabotagem e por vias internas (rios, lagos, etc.).</t>
  </si>
  <si>
    <t>Serviços de Transporte Aéreo</t>
  </si>
  <si>
    <t>Registra o valor total da arrecadação da receita de prestação de serviços com transporte aéreo de passageiros, de carga ou misto, transporte aéreo regular, transporte aéreo regional, táxi aéreo, aeronaves fretadas.</t>
  </si>
  <si>
    <t>Serviços de Transportes Especiais</t>
  </si>
  <si>
    <t>Registra o valor total da arrecadação da receita de prestação de serviços com transportes especiais, como transporte por oleoduto, gasoduto, “mineroduto”, etc.</t>
  </si>
  <si>
    <t>Receita de Terminais Rodoviários</t>
  </si>
  <si>
    <t>Registra o valor da arrecadação de receita de serviços de transporte de terminais rodoviários pela utilização de duchas para banho, lanchonetes e outros.</t>
  </si>
  <si>
    <t>Outros Serviços de Transporte</t>
  </si>
  <si>
    <t>Registra o valor total da arrecadação com outros serviços de transporte, não classificados nos itens anteriores.</t>
  </si>
  <si>
    <t>Serviços de Comunicação</t>
  </si>
  <si>
    <t>Registra o valor total da arrecadação de serviços de comunicação. Receitas das atividades de comunicações que proporcionam ao público: a) serviço postal, de entrega e transporte de volumes e correspondências;  b) serviço de comunicação telegráfica e de telex nacional e internacional; c) serviço de comunicação telefônica local, interurbana e internacional, e de transmissão de dados; d) serviço de radiodifusão.</t>
  </si>
  <si>
    <t>Serviços de Publicidade Legal</t>
  </si>
  <si>
    <t>Registra o valor da receita decorrente das atividades de agenciamento de publicidade.</t>
  </si>
  <si>
    <t>Serviços de Radiodifusão</t>
  </si>
  <si>
    <t>Registra o valor da receita decorrente das atividades de radiodifusão.</t>
  </si>
  <si>
    <t>Outros Serviços de Comunicação</t>
  </si>
  <si>
    <t>Registra o valor da receita decorrente de outros serviços de comunicação, tais como: serviço postal, de entrega e transporte de volumes e correspondências; de comunicação telefônica local, interurbana e internacional e de transmissão de dados.</t>
  </si>
  <si>
    <t>Serviços de Saúde</t>
  </si>
  <si>
    <t>Registra o valor total da arrecadação da receita proveniente da remuneração por prestação de serviços de saúde, hospitalares, gerais ou especializados, maternidade, centro de reabilitação, assistência médico-odontológica (inclusive ambulatorial), saúde pública etc. Esta classificação contempla ainda os recursos do Sistema Único de Saúde – SUS – pagos diretamente pela União aos prestadores do serviço de saúde.</t>
  </si>
  <si>
    <t>Serviços Hospitalares</t>
  </si>
  <si>
    <t>Registra o valor total da arrecadação da receita de prestação de serviços de hospital em geral ou especializado, maternidade, centro de reabilitação etc.</t>
  </si>
  <si>
    <t>Serviços de Registro de Análise e de Controle de Produtos Sujeitos a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</si>
  <si>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entregues ao consumo.</t>
  </si>
  <si>
    <t>Serviços Radiológicos e Laboratoriais</t>
  </si>
  <si>
    <t>Registra o valor da arrecadação da receita originária da prestação de serviços radiológicos e laboratoriais.</t>
  </si>
  <si>
    <t>Serviços de Assistência à Saúde Suplementar do Servidor Civil</t>
  </si>
  <si>
    <t>Registra o valor da arrecadação da receita originária de participação da União, suas autarquias e fundações públicas e de recursos provenientes da contribuição dos servidores públicos civis ativos, inativos e pensionistas, destinada ao custeio da Assistência à Saúde Suplementar do Servidor Civil, no caso de prestação direta pelos órgãos (gestão própria). Amparo legal: Lei nº 8.112, de 11 de dezembro de 1990, art. 230; Lei nº 11.302, de 10 de maio de 2006, art. 9º;</t>
  </si>
  <si>
    <t>Serviços Ambulatoriais</t>
  </si>
  <si>
    <t>Registra o valor da arrecadação da receita originária da prestação de serviços ambulatoriais.</t>
  </si>
  <si>
    <t>Outros Serviços de Saúde</t>
  </si>
  <si>
    <t>Registra o valor total das receitas de outros serviços de saúde não classificados nos itens anteriores.</t>
  </si>
  <si>
    <t>Serviços Portuários</t>
  </si>
  <si>
    <t>Registra o valor total da arrecadação de receita com serviços portuários. Abrange os recursos oriundos da exploração dos portos, terminais marítimos, atracadouros e ancoradouros, referentes à estiva, desestiva, dragagem, atracação, sinalização, comunicação náutica, docagem etc.</t>
  </si>
  <si>
    <t>Serviços de Armazenagem</t>
  </si>
  <si>
    <t>Registra o valor total da arrecadação de receitas com serviços de armazenagem auferida de operações de rede de armazéns, silos e armazéns frigoríficos, inclusive nos portos.</t>
  </si>
  <si>
    <t>Serviços de Processamento de Dados</t>
  </si>
  <si>
    <t>Registra o valor total da arrecadação de serviços de processamento de dados prestados para terceiros: preparo de programa, análise de sistemas, digitação, conferência etc.</t>
  </si>
  <si>
    <t>Serviço de Socorro Marítimo</t>
  </si>
  <si>
    <t>Registra o valor total da arrecadação de receita de serviço de socorro marítimo prestado: salvamento, por navio de socorro ou equipe de salvamento, de embarcação e cargas em perigo (desencalhe, mergulho, outros socorros), bem como serviços de reboque marítimo, entre outros.</t>
  </si>
  <si>
    <t>Serviços de Informações Estatísticas</t>
  </si>
  <si>
    <t>Registra o valor total da receita proveniente da prestação de serviços de informações estatísticas, fornecidas a entidades públicas ou privadas.</t>
  </si>
  <si>
    <t>Serviços de Metrologia e Certificação</t>
  </si>
  <si>
    <t>Registra o valor total da arrecadação de receita de serviços de metrologia e certificação prestados. Receitas de serviços metrológicos em geral, tais como aferição de medidas e instrumentos de medir, serviços de arqueação de tanques para armazenagem etc.</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</si>
  <si>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</si>
  <si>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</si>
  <si>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</si>
  <si>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</si>
  <si>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</si>
  <si>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</si>
  <si>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</si>
  <si>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serviços de certificação da qualidade de materiais, produtos e serviços.</t>
  </si>
  <si>
    <t>Serviços de Informação Tecnológica</t>
  </si>
  <si>
    <t>Registra o valor da arrecadação de receita de serviços de informações tecnológicas.</t>
  </si>
  <si>
    <t>Outros Serviços de Metrologia e Certificação</t>
  </si>
  <si>
    <t>Registra o valor da receita de outros serviços de metrologia e certificação, não classificados nos itens anteriores.</t>
  </si>
  <si>
    <t>Serviços Tecnológicos</t>
  </si>
  <si>
    <t>Registra o valor total da arrecadação de serviços tecnológicos que envolvam informações, meteorologia, geoprocessamento, processamento de dados e outros.</t>
  </si>
  <si>
    <t>Serviços Administrativos</t>
  </si>
  <si>
    <t>Registra o valor total da arrecadação de serviços administrativos (atividades de apoio administrativo de caráter não-tributário) executados por organizações de qualquer natureza prestados diretamente aos usuários, tais como: a) serviço de expedição de certificados; b) serviço de registro, renovação, vistoria, licença, cadastramento, etc. c) datilografia, digitação, microfilmagem, fotocópias, cópias heliográficas, fotostáticas etc. d) tarifa de inscrição em concursos; e) tarifa de administração de serviços; f) venda de editais.</t>
  </si>
  <si>
    <t>Serviços de Inscrição em Concursos Públicos</t>
  </si>
  <si>
    <t>Registra o valor da arrecadação de receita de serviços administrativos de tarifa de inscrição em concursos públicos.</t>
  </si>
  <si>
    <t>Serviços de Venda de Editais</t>
  </si>
  <si>
    <t>Registra o valor da arrecadação de receita de serviços administrativos da venda de editais para concorrência pública.</t>
  </si>
  <si>
    <t>Serviços Especiais PM/Bombeiro</t>
  </si>
  <si>
    <t>Registra o valor da arrecadação de receita de serviços especiais PM/Bombeiro.</t>
  </si>
  <si>
    <t>Serviços de Expedição de Certificados</t>
  </si>
  <si>
    <t>Registra o valor da arrecadação de receita de serviços administrativos de expedição de certificados.</t>
  </si>
  <si>
    <t>Serviços de Vistoria de Veículos</t>
  </si>
  <si>
    <t>Registra o valor da arrecadação de receita de serviços administrativos de vistoria de veículos automotores.</t>
  </si>
  <si>
    <t>Serviços de Fornecimento de Listagens</t>
  </si>
  <si>
    <t>Registra o valor da arrecadação de receita de serviços administrativos de fornecimento de listagens de pessoas, imóveis etc.</t>
  </si>
  <si>
    <t>Serviços de Fotocópias ou Cópias Heliográficas</t>
  </si>
  <si>
    <t>Registra o valor da arrecadação de receita de serviços administrativos de fotocópias ou cópias heliográficas.</t>
  </si>
  <si>
    <t>Outros Serviços Administrativos</t>
  </si>
  <si>
    <t>Registra o valor da receita de outros serviços administrativos, não classificados nos itens anteriores.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</si>
  <si>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</si>
  <si>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à verificação do cumprimento da legislação.</t>
  </si>
  <si>
    <t>Serviços de Meteorologia</t>
  </si>
  <si>
    <t>Registra o valor da arrecadação de receita de serviços de fornecimento de dados meteorológicos e de pareceres técnicos, bem como conserto, comparação e aferição de equipamentos de meteorologia.</t>
  </si>
  <si>
    <t>Serviços Educacionais</t>
  </si>
  <si>
    <t>Registra o valor total da arrecadação de receitas auferidas pelas atividades do sistema educacional, cuja natureza esteja diretamente relacionada à formação do educando (matrículas, anuidades, etc.). As receitas de atividades auxiliares, de apoio ou derivadas dos serviços educacionais propriamente ditos, devem ser classificadas nos títulos apropriados. Exemplos: matrículas e anuidades, serviços educacionais, tarifas de expedição de documentos, fotocópias, cópias heliográficas etc., serviço de credenciamento, autorização e reconhecimento de cursos.</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</si>
  <si>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</si>
  <si>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</si>
  <si>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</si>
  <si>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máquinas e aparelhos de uso doméstico; reparação, manutenção e instalação de máquinas e aparelhos elétricos e eletrônicos e de comunicação; reparação e manutenção de instalações elétricas, de gás, de água etc. Incluem-se também, neste título, os serviços de confecção sob medida. Não são considerados neste título, classificando-se em receita industrial: reparação e manutenção de veículos ferroviários, embarcações e aeronaves (indústria de material de transporte).</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</si>
  <si>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</si>
  <si>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conferências, planetários, estádios desportivos, autódromos, museus, bibliotecas, promoção e/ou produção de espetáculos artísticos culturais e esportivos).</t>
  </si>
  <si>
    <t>Serviços de Consultoria, Assistência Técnica e Análise de Projetos</t>
  </si>
  <si>
    <t>Registra o valor total da arrecadação com serviços de consultoria, assistência técnica e análise de projetos prestados, como consultorias técnico-financeiras, assessoria, organização e administração de empresas, auditoria, contabilidade e escrituração, perícias contábeis, análise de projetos, assistência técnica, extensão rural etc.</t>
  </si>
  <si>
    <t>Serviços de Consultoria, Assistência Técnica e Análise de Projetos - Aplicações Livres</t>
  </si>
  <si>
    <t>Registra o valor das receitas de Serviços de Consultoria, Assistência Técnica e Análise de Projetos - Aplicações Livres.</t>
  </si>
  <si>
    <t>A - Portaria SOF nº 75, de 16 AGO 2012.</t>
  </si>
  <si>
    <t>Serviços de Consultoria, Assistência Técnica e Análise de Projetos - Aplicações Vinculadas a Atividades de Pesquisa e Desenvolvimento</t>
  </si>
  <si>
    <t>Registra o valor das receitas de Serviços de Consultoria, Assistência Técnica e Análise de Projetos - Aplicações Vinculadas.</t>
  </si>
  <si>
    <t>Serviços de Hospedagem e Alimentação</t>
  </si>
  <si>
    <t>Registra o valor total da arrecadação com serviços de hospedagem e alimentação prestados. Receita proporcionada por hospedagem, com ou sem alimentação, fornecimento de refeições, lanches e bebidas para consumo imediato. Excluem-se as receitas provenientes de empresas fornecedoras de alimentos preparados para hospitais, fábricas etc, que se classificam em indústria de produtos alimentares.</t>
  </si>
  <si>
    <t>Serviços de Estudos e Pesquisas</t>
  </si>
  <si>
    <t>Registra o valor total da arrecadação com serviços de pesquisas e estudos técnico-sociais, econômicos, científicos, culturais etc, realizados sob contrato.</t>
  </si>
  <si>
    <t>Serviços de Registro de Marcas, de Patentes e de Transferências de Tecnologia</t>
  </si>
  <si>
    <t xml:space="preserve">Registra o valor da arrecadação de receita de serviços com petições gerais, pedidos e petições relativos a privilégios; pedidos e petições relativos a marcas e patentes; pedidos e petições relativos a contratos de transferência de tecnologia e correlatos. </t>
  </si>
  <si>
    <t>Serviços de Patentes</t>
  </si>
  <si>
    <t>Registra o valor da arrecadação de receita de serviços de petições, pedidos de privilégio, anuidades de pedidos, registros de desenho industrial etc.</t>
  </si>
  <si>
    <t>Serviços de Registro de Marcas</t>
  </si>
  <si>
    <t>Registra o valor da arrecadação de receita de serviços de pedidos de registro de marcas, vigências de marcas, petições etc.</t>
  </si>
  <si>
    <t>Serviços de Transferência de Tecnologia</t>
  </si>
  <si>
    <t>Registra o valor da arrecadação de receita de serviços de averbações de contratos, petições, recursos etc.</t>
  </si>
  <si>
    <t>Serviços de Registro de Indicações Geográficas</t>
  </si>
  <si>
    <t>Registra o valor da arrecadação de receita de serviços de pedidos de registro, expedições de certificados de registro etc.</t>
  </si>
  <si>
    <t>Serviços de Registro de Programas de Computador</t>
  </si>
  <si>
    <t>Registra o valor da arrecadação de receita de retribuições de serviços de registro de programas de computador.</t>
  </si>
  <si>
    <t>Serviços de Registro de Desenho Industrial</t>
  </si>
  <si>
    <t>Registra o valor da receita correspondente aos valores monetários de retribuições aos serviços de registro de desenho industrial.</t>
  </si>
  <si>
    <t>Serviços de Proteção das Topografias de Circuitos Integrados</t>
  </si>
  <si>
    <t>Registra o valor da receita correspondente aos valores monetários de retribuições aos serviços de proteção das topografias de circuitos integrados.</t>
  </si>
  <si>
    <t>Serviços de Remessa de Depósitos Oficiais</t>
  </si>
  <si>
    <t>Registra o valor da receita correspondente aos valores monetários de retribuições aos serviços de remessa de depósitos oficiais.</t>
  </si>
  <si>
    <t>Outros Serviços de Registro de Marcas, de Patentes e de Transferência Tecnológica</t>
  </si>
  <si>
    <t>Registra o valor da receita de outros serviços de registro de marcas, patentes e de transferência tecnológica, não classificados nos itens anteriores.</t>
  </si>
  <si>
    <t>Serviços de Registro do Comércio</t>
  </si>
  <si>
    <t>Registra o valor total da arrecadação de serviços de registro de marcas, patentes, transferência de tecnologia, bem como de serviços de registro do comércio.</t>
  </si>
  <si>
    <t>Serviços de Informações Científicas e Tecnológicas</t>
  </si>
  <si>
    <t>Registra o valor total da arrecadação auferida por meio das receitas de serviços científicos e tecnológicos.</t>
  </si>
  <si>
    <t>Serviços de Fornecimento de Água</t>
  </si>
  <si>
    <t>Registra a receita proveniente de fornecimento de água para usuários da infra-estrutura pública de irrigação, destinada à manutenção e recuperação dos Perímetros conforme Decreto no 89.496, de 29 de março de 1984.</t>
  </si>
  <si>
    <t>Serviços de Perfuração e Instalação de Poços</t>
  </si>
  <si>
    <t>Registra as receitas auferidas nos serviços prestados de perfuração e instalação de poços tubulares profundos, poços artesianos ou similares.</t>
  </si>
  <si>
    <t>Serviços de Geoprocessamento</t>
  </si>
  <si>
    <t xml:space="preserve">Registra o valor da arrecadação de receita de serviços prestados a terceiros de interpretação de imagem aerofotogramétrica, execução de mapas digitalizados diversos, venda de cartas e imagens de satélites, videográficas e similares. </t>
  </si>
  <si>
    <t>Serviços de Cadastramento de Fornecedores</t>
  </si>
  <si>
    <t>Registra o valor total da arrecadação de receita proveniente da prestação de serviços de cadastramento de empresas fornecedoras de bens e serviços aos governos.</t>
  </si>
  <si>
    <t>Tarifa de Utilização de Faróis</t>
  </si>
  <si>
    <t>Registra o valor total da arrecadação com tarifa de utilização de faróis, proveniente da efetiva utilização, por embarcações estrangeiras, dos serviços de sinalização náutica de proteção a navegação. O produto da arrecadação é destinado integralmente ao fundo naval para aplicação nos serviços que envolvam a manutenção e ampliação da rede de balizamento marítimo, fluvial e lacustre.</t>
  </si>
  <si>
    <t>Tarifa e Adicional sobre Tarifa Aeroportuária</t>
  </si>
  <si>
    <t>Registra o valor total da arrecadação de tarifa e adicional sobre tarifa aeroportuária cobrados por embarque de passageiros, pouso e permanência de aeronaves nos aeroportos, armazenagem de mercadorias em armazéns de carga aérea e utilização de serviços relativos à manutenção e manuseio de mercadorias em armazéns de carga (tarifa de capatazia).</t>
  </si>
  <si>
    <t>Tarifa Aeroportuária</t>
  </si>
  <si>
    <t>Registra o valor da arrecadação de receita de tarifas cobrada por embarque de passageiros, pouso e permanência de aeronaves nos aeroportos, armazenagem de mercadorias em armazéns de carga aérea e utilização de serviços relativos à manutenção e manuseio de mercadorias em armazéns de carga (tarifa de capatazia).</t>
  </si>
  <si>
    <t>Adicional sobre Tarifa Aeroportuária</t>
  </si>
  <si>
    <t>Receitas provenientes do adicional sobre as tarifas aeroportuárias referidas no art. 3o da Lei nº 6.009, de 1973, devidas pelo embarque e conexão de passageiros, pouso e permanência de aeronaves nos aeroportos, armazenagem e capatazia de mercadorias.</t>
  </si>
  <si>
    <t>A - Portaria SOF nº 57, de 25 JUN 2012
A - Portaria SOF nº 68, de 26 JUL 2012.</t>
  </si>
  <si>
    <t>Parcela de Tarifa de Embarque Internacional</t>
  </si>
  <si>
    <t>Registra o valor da parcela correspondente ao aumento concedido pela Portaria 861/GM2, de 9/12/97, do Ministério da Aeronáutica, às tarifas de embarque internacional, vigentes naquela data, incluindo o seu correspondente adicional tarifário, previsto na Lei nº 7.920, de 12/12/89. Os recursos destinam-se à amortização da dívida pública federal (Lei nº 9.825, de 23/08/99; MP nº 61, de 16/08/02).</t>
  </si>
  <si>
    <t>Serviços de Cadastro da Atividade Mineral</t>
  </si>
  <si>
    <t>Registra o valor da arrecadação de receita da taxa de serviços cadastrais quando do Requerimento de Autorização de Pesquisa Mineral.</t>
  </si>
  <si>
    <t>Tarifas e Adicional sobre Tarifas de Uso das Comunicações e dos Auxílios à Navegação Aérea em Rota</t>
  </si>
  <si>
    <t>Registra o valor da receita proveniente de tarifas e adicional sobre tarifas cobradas pela utilização dos serviços de informações aeronáuticas, tráfego aéreo, meteorologia, auxílios à navegação aérea, facilidades de comunicações, e outros serviços auxiliares de proteção ao vôo, proporcionados pelo Ministério da Aeronáutica e por empresa especializada da administração federal indireta, a ele vinculada. Essas tarifas são formadas pela Tarifa de Uso das Comunicações e dos Auxílios à Navegação Aérea (TAN) e pela Tarifa de Uso das Comunicações e dos Auxílios Rádio e Visuais em Área de Terminal Aéreo (TAT).</t>
  </si>
  <si>
    <t>Tarifas de Uso das Comunicações e dos Auxílios à Navegação Aérea em Rota</t>
  </si>
  <si>
    <t xml:space="preserve">Registra o valor da receita da utilização de instalações e serviços destinados a apoiar e tornar segura a navegação aérea, proporcionados pelo Ministério da Aeronáutica ou por entidade especializada da Administração Federal Indireta, a ele vinculada.           </t>
  </si>
  <si>
    <t>Adicional sobre Tarifas de Uso das Comunicações e dos Auxílios à Navegação Aérea em Rota</t>
  </si>
  <si>
    <t>Registra o valor da receita do adicional de 50% sobre as tarifas de utilização de instalações e serviços destinados a apoiar e tornar segura a navegação aérea, proporcionados pelo Ministério da Aeronáutica ou por entidade especializada da Administração Federal Indireta, a ele vinculada.</t>
  </si>
  <si>
    <t>Serviços de Regulamentação da Exploração dos Serviços de Telecomunicações - Regime Privado</t>
  </si>
  <si>
    <t>Registra o valor total da arrecadação de receita de serviços de regulamentação e exploração dos serviços de telecomunicações no regime privado. Receitas decorrentes do exercício da atividade ordenadora da exploração de serviços de telecomunicações, no regime privado, inclusive pagamentos pela expedição de autorização de serviços e similares.</t>
  </si>
  <si>
    <t>Serviços de Compensações de Variações Salariais</t>
  </si>
  <si>
    <t>Registra o valor da receita proveniente da cobrança de contribuições sobre o valor das prestações pagas pelos mutuários do Sistema Financeiro de Habitação – SFH – e sobre o saldo dos financiamentos imobiliários concedidos pelos agentes financeiros do SFH, com cobertura do FCVS.</t>
  </si>
  <si>
    <t>Prestação de Serviços pelo Banco Central do Brasil</t>
  </si>
  <si>
    <t>Registra o valor da receita do Banco Central do Brasil proveniente da prestação de serviços de Autoridade Monetária ao setor bancário.</t>
  </si>
  <si>
    <t>Tarifa pelo Uso do Sistema do Banco Central</t>
  </si>
  <si>
    <t>Registra o valor da receita proveniente da arrecadação da tarifa pelo uso do Sistema do Banco Central.</t>
  </si>
  <si>
    <t>Tarifa pelo Uso do Sistema de Transferência de Reserva do Banco Central</t>
  </si>
  <si>
    <t>Registra o valor da receita proveniente da arrecadação da tarifa pelo uso do Sistema de Transferência de Reserva do Banco Central.</t>
  </si>
  <si>
    <t xml:space="preserve">Garantias e Avais </t>
  </si>
  <si>
    <t xml:space="preserve">Receita decorrente da prestação de garantias e avais nas operações de crédito.                                   </t>
  </si>
  <si>
    <t>Concessão de Aval do Tesouro Nacional</t>
  </si>
  <si>
    <t xml:space="preserve">Receita decorrente de valores cobrado a título de comissão, execução ou fiscalização, pela concessão de garantia do Tesouro Nacional a créditos obtidos no exterior.                                                          </t>
  </si>
  <si>
    <t>Concessão de Garantia da Atividade Agropecuária</t>
  </si>
  <si>
    <t>Registra a receita proveniente de adicional cobrado sobre os empréstimos rurais de custeio. Tem por finalidade eximir o produtor rural de possíveis obrigações relativas a operações de crédito cuja liquidação seja dificultada por fenômenos naturais, doenças ou pragas.</t>
  </si>
  <si>
    <t>Comissões pela Prestação de Garantia</t>
  </si>
  <si>
    <t>Receitas provenientes de comissões cobradas por conta da garantia de operações de financiamento para aumento da competitividade e da produção destinada à exportação.</t>
  </si>
  <si>
    <t>Garantia dos Financiamentos à Estocagem de Álcool Etílico Combustível</t>
  </si>
  <si>
    <t xml:space="preserve">Registra a concessão de garantias e avais nos financiamentos à estocagem de álcool etílico combustível. </t>
  </si>
  <si>
    <t>E - Portaria SOF nº 75, de 25 AGO 2014.</t>
  </si>
  <si>
    <t>Receita de Seguro de Crédito à Exportação</t>
  </si>
  <si>
    <t>Registra o valor da receita decorrente da garantia das operações de crédito à exportação contra os riscos comerciais, políticos e extraordinários que possam afetar a produção de bens e a prestação de serviços destinados à exportação ou as exportações brasileiras de bens e serviços.</t>
  </si>
  <si>
    <t>Receita de Credenciamento de Empresas Prestadoras de Serviços de Vistoria</t>
  </si>
  <si>
    <t>Registra o valor da receita decorrente de valor a ser pago por empresas na obtenção de credenciamento para prestação dos serviços de vistoria.</t>
  </si>
  <si>
    <t>Serviços Veterinários</t>
  </si>
  <si>
    <t>Registra a receita decorrente de serviços veterinários</t>
  </si>
  <si>
    <t>Serviços de Certificação e Homologação de Produtos de Telecomunicações</t>
  </si>
  <si>
    <t>Registra o valor da arrecadação de receita de serviços de aprovação de laudos de ensaio de produtos e prestação de serviços técnicos.</t>
  </si>
  <si>
    <t>Serviços de Captação, Adução, Tratamento, Reserva e Distribuição de Água</t>
  </si>
  <si>
    <t>Registra o valor da arrecadação de receita de serviços prestados a usuários pelo fornecimento de água potável representados pelo consumo auferido quando da utilização do serviço à disposição do proprietário.</t>
  </si>
  <si>
    <t>Serviços de Coleta, Transporte, Tratamento e Destino Final de Esgotos</t>
  </si>
  <si>
    <t>Registra o valor da arrecadação de receita de serviços prestados a usuários beneficiados com esgotamento sanitário, representados pelo consumo auferido quando da utilização do serviço a disposição do proprietário.</t>
  </si>
  <si>
    <t>Serviços de Coleta, Transporte, Tratamento e Destino Final de Resíduos Sólidos</t>
  </si>
  <si>
    <t>Registra o valor da arrecadação de receita de serviços com a coleta, transporte, tratamento e destino final de resíduos sólidos representados pelo consumo auferido quando da utilização do serviço à disposição do proprietário.</t>
  </si>
  <si>
    <t>Serviços de Abate de Animais</t>
  </si>
  <si>
    <t>Registra o valor da arrecadação de receita de serviços de abate de animais, praticados por matadouro municipal.</t>
  </si>
  <si>
    <t>Serviços de Preparação da Terra em Propriedades Particulares</t>
  </si>
  <si>
    <t>Registra o valor da arrecadação de receita de serviços de preparação da terra em propriedades particulares, inclusive colheita.</t>
  </si>
  <si>
    <t>Serviços de Cemitério</t>
  </si>
  <si>
    <t>Registra o valor da arrecadação de receita de serviços de construção e limpeza de túmulos perpétuos e outros.</t>
  </si>
  <si>
    <t>Serviços de Iluminação Pública</t>
  </si>
  <si>
    <t>Registra o valor da arrecadação de receita de serviços de iluminação pública, representados pelo consumo auferido quando da utilização do serviço a disposição do proprietário.</t>
  </si>
  <si>
    <t>Serviços de Religamento de Água</t>
  </si>
  <si>
    <t>Registra o valor da arrecadação de receita de serviços de religamento de água, ocasionados por corte de fornecimento em função do não pagamento.</t>
  </si>
  <si>
    <t>Tarifas de Inscrição em Concursos e Processos Seletivos</t>
  </si>
  <si>
    <t>Registra as receitas, de caráter administrativo, decorrentes de tarifas de inscrição em concursos e processos seletivos.</t>
  </si>
  <si>
    <t>Receitas de Emissão de Certificado de Origem e de Emissão de Licença de Exportação</t>
  </si>
  <si>
    <t>Registra as receitas próprias decorrentes da emissão, pelo Departamento de Operações de Comércio Exterior da Secretaria de Comércio Exterior, do MDIC, de licenças de exportação e de certificados de origem, necessários para a entrada de produto brasileiro na União Européia, com o objetivo de obter no exterior redução na alíquota de importação. A tarifa será cobrada para permitir a remuneração do serviço prestado para a emissão da licença de exportação ou do certificado de origem, conforme o caso, por solicitação da empresa exportadora. Os recursos serão destinados ao MDIC.</t>
  </si>
  <si>
    <t>Receitas de Emissão de Certificados de Origem</t>
  </si>
  <si>
    <t>Registra as receitas próprias decorrentes da emissão, pelo Departamento de Operações de Comércio Exterior da Secretaria de Comércio Exterior, do MDIC, de certificados de origem, requerido pelo exportador após a entrada de produto brasileiro na União Européia. A tarifa será cobrada para permitir a remuneração do serviço prestado para a emissão do certificado de origem. Os recursos serão destinados ao MDIC.</t>
  </si>
  <si>
    <t>Receitas de Emissão de Licença de Exportação</t>
  </si>
  <si>
    <t>Registra as receitas próprias decorrentes da emissão, pelo Departamento de Operações de Comércio Exterior da Secretaria de Comércio Exterior, do MDIC, de licenças de necessários para a entrada de produto brasileiro na União Européia, com o objetivo de obter no exterior redução na alíquota de importação. A tarifa será cobrada para permitir a remuneração do serviço prestado para a emissão da licença de exportação, por solicitação da empresa exportadora. Os recursos serão destinados ao MDIC.</t>
  </si>
  <si>
    <t>Certificação e Homologação da Atividade Mineral</t>
  </si>
  <si>
    <t>Registra o valor da arrecadação de receita de taxa de serviços cadastrais quando do Requerimento de Registro de Licença e do Registro de Permissão de Lavra Garimpeira.</t>
  </si>
  <si>
    <t>Serviços Voltados à Inovação e à Pesquisa no Ambiente Produtivo – Instituição Científica e Tecnológica</t>
  </si>
  <si>
    <t>Registra o valor da arrecadação de receita decorrente da prestação de serviços voltados à inovação e à pesquisa científica e tecnológica no ambiente produtivo.</t>
  </si>
  <si>
    <t>Serviços Prestados Diretamente por Instituição Científica e Tecnológica</t>
  </si>
  <si>
    <t>Registra o valor da arrecadação de receita de serviços prestados diretamente por Instituições Científicas e Tecnológicas, voltados à inovação e à pesquisa científica e tecnológica no ambiente produtivo.</t>
  </si>
  <si>
    <t>Serviços Decorrentes de Parcerias com Outras Instituições Públicas e Privadas</t>
  </si>
  <si>
    <t>Registra o valor da arrecadação de receita de celebração de acordos de parceria para realização de atividades conjuntas de pesquisa científica e tecnológica e desenvolvimento de tecnologia, produto ou processo, com instituições públicas e privadas.</t>
  </si>
  <si>
    <t>Tarifa de Compartilhamento e Utilização em Atividades de Pesquisa e Inovação – Instituição Científica e Tecnológica</t>
  </si>
  <si>
    <t>Registra o valor da arrecadação de receita decorrente do compartilhamento e utilização de laboratórios, equipamentos, instrumentos, materiais e demais instalações, em atividades voltadas à inovação e pesquisa científica e tecnológica.</t>
  </si>
  <si>
    <t>Compartilhamento de Laboratórios e Afins com Microempresas e Empresas de Pequeno Porte em Atividades de Inovação</t>
  </si>
  <si>
    <t>Registra o valor da arrecadação de receita de compartilhamento de laboratórios e afins com microempresas e empresas de pequeno porte, em atividades de inovação.</t>
  </si>
  <si>
    <t>Utilização de Laboratórios e Afins por Empresas Nacionais e Organizações de Direito Privado Sem Fins Lucrativos em Atividades de Pesquisa</t>
  </si>
  <si>
    <t>Registra o valor da arrecadação de receita da utilização de laboratórios e afins por empresas nacionais e organizações de direito privado sem fins lucrativos, voltadas para atividades de pesquisa.</t>
  </si>
  <si>
    <t>Outros Serviços</t>
  </si>
  <si>
    <t>Registra o valor total da arrecadação de outras receitas de serviços não classificados nos itens anteriores.</t>
  </si>
  <si>
    <t>Transferências Correntes</t>
  </si>
  <si>
    <t>Registra o valor dos recursos recebidos de outras pessoas de direito público ou privado, independentemente de contraprestação direta de bens e serviços.</t>
  </si>
  <si>
    <t>Transferências Intergovernamentais</t>
  </si>
  <si>
    <t>Registra o valor total das receitas recebidas por meio de transferências ocorridas entre diferentes esferas de governo.</t>
  </si>
  <si>
    <t>Transferências da União</t>
  </si>
  <si>
    <t>Registra o valor total das receitas recebidas por meio de transferências da União.</t>
  </si>
  <si>
    <t>Participação na Receita da União</t>
  </si>
  <si>
    <t>Registra o valor total das receitas recebidas por meio de participação na receita da União.</t>
  </si>
  <si>
    <t>Cota-Parte do Fundo de Participação dos Estados e do Distrito Federal</t>
  </si>
  <si>
    <t>Registra o valor total das receitas recebidas por meio de cota-parte do fundo participação dos Estados e Distrito Federal.</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</si>
  <si>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</si>
  <si>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</si>
  <si>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</si>
  <si>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</si>
  <si>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</si>
  <si>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</si>
  <si>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</si>
  <si>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</si>
  <si>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</si>
  <si>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</si>
  <si>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</si>
  <si>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</si>
  <si>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Recursos recebidos em decorrência da transferência constitucional do imposto sobre produtos industrializados.</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</si>
  <si>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</si>
  <si>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</si>
  <si>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</si>
  <si>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</si>
  <si>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</si>
  <si>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</si>
  <si>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</si>
  <si>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</si>
  <si>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Cota-parte da Compensação Financeira de Recursos Minerais - CFEM</t>
  </si>
  <si>
    <t>Registra o valor da arrecadação da receita da cota-parte da compensação financeira de recursos minerais, para fins de aproveitamento econômico.</t>
  </si>
  <si>
    <t>Cota-parte Royalties – Compensação Financeira pela Produção de Petróleo – Lei nº 7.990/89</t>
  </si>
  <si>
    <t>Registra o valor da arrecadação da receita com a cota-parte royalties – compensação financeira pela produção de petróleo.</t>
  </si>
  <si>
    <t>Cota-parte Royalties pelo Excedente da Produção do Petróleo – Lei nº 9.478/97, artigo 49, I e II</t>
  </si>
  <si>
    <t>Registra o valor da arrecadação de receita com a cota-parte royalties pelo excedente da produção do petróleo.</t>
  </si>
  <si>
    <t>Cota-parte Royalties pela Participação Especial – Lei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</si>
  <si>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</si>
  <si>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</si>
  <si>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</si>
  <si>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</si>
  <si>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</si>
  <si>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de Recursos do Sistema Único de Saúde – SUS – Repasses Fundo a Fundo</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</si>
  <si>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</si>
  <si>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Transferências de Recursos do Fundo Nacional de Assistência Social – FNAS</t>
  </si>
  <si>
    <t>Registra o valor total dos recursos de transferências da União recebidos pelos Estados, Distrito Federal e Municípios, referentes ao Fundo Nacional de Assistência Social – FNAS.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</si>
  <si>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</si>
  <si>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</si>
  <si>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</si>
  <si>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</si>
  <si>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</si>
  <si>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</si>
  <si>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</si>
  <si>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</si>
  <si>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</si>
  <si>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</si>
  <si>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</si>
  <si>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</si>
  <si>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</si>
  <si>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</si>
  <si>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a Consórcios Públicos</t>
  </si>
  <si>
    <t>Registra a receita repassada pela União a consórcios públicos, mediante contrato ou outro instrumento.</t>
  </si>
  <si>
    <t>Transferências da União a Consórcios Públicos</t>
  </si>
  <si>
    <t>Outras Transferências da União</t>
  </si>
  <si>
    <t>Registra o valor total das receitas recebidas por meio de outras transferências da União que não se enquadram nos itens anteriores,.</t>
  </si>
  <si>
    <t>Transferências dos Estados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</si>
  <si>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</si>
  <si>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</si>
  <si>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</si>
  <si>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</si>
  <si>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</si>
  <si>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</si>
  <si>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</si>
  <si>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sobre Exportação</t>
  </si>
  <si>
    <t>Registra o valor da arrecadação de receita de transferência da participação de municípios na arrecadação do Imposto sobre Produtos Industrializados – IPI, para exportação.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</si>
  <si>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</si>
  <si>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</si>
  <si>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</si>
  <si>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</si>
  <si>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</si>
  <si>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Outras Transferências dos Estados</t>
  </si>
  <si>
    <t>Registra o valor decorrente de outras transferências dos Estados.</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</si>
  <si>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</si>
  <si>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</si>
  <si>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</si>
  <si>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</si>
  <si>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</si>
  <si>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</si>
  <si>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</si>
  <si>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</si>
  <si>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</si>
  <si>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</si>
  <si>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Registra a receita repassada pelos Estados a consórcios públicos, mediante contrato ou outro instrumento.</t>
  </si>
  <si>
    <t>Transferências de Estados a Consórcios Públicos</t>
  </si>
  <si>
    <t>Para atender às suas necessidades de identificação, as demais esferas de governo poderão desdobrar esse item, discriminando os recursos transferidos pelos Estados que não estejam especificados.</t>
  </si>
  <si>
    <t>Transferências dos Municípios</t>
  </si>
  <si>
    <t>Registra o valor total dos recursos recebidos pela União,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</si>
  <si>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</si>
  <si>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</si>
  <si>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</si>
  <si>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Transferências de Municípios a Consórcios Públicos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</si>
  <si>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</si>
  <si>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</si>
  <si>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</si>
  <si>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Transferências Multigovernamentais</t>
  </si>
  <si>
    <t>Registra o valor total dos recursos de transferências de entidades ou fundos multigovernamentais recebidos pelos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</si>
  <si>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</si>
  <si>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</si>
  <si>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</si>
  <si>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</si>
  <si>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Outras Transferências Multigovernamentais</t>
  </si>
  <si>
    <t>Registra o valor da receita de outras transferências multigovernamentais, não classificadas nos itens anteriores.</t>
  </si>
  <si>
    <t>Transferências de Instituições Privadas</t>
  </si>
  <si>
    <t>Registra o valor total das receitas que identificam recursos de incentivos fiscais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</si>
  <si>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Transferências do Exterior</t>
  </si>
  <si>
    <t>Registra o valor total das receitas recebidas por meio de   transferências do exterior provenientes de organismos e fundos   internacionais, de governos estrangeiros e instituições privadas internacionais.</t>
  </si>
  <si>
    <t>Transferências de Pessoas</t>
  </si>
  <si>
    <t>Registra o valor total das receitas recebidas por meio de contribuições e doações a governos e entidades da administração descentralizada, realizadas por pessoas físicas.</t>
  </si>
  <si>
    <t>Transferências de Convênios</t>
  </si>
  <si>
    <t>Registra o valor total das receitas recebidas por meio de   transferências de convênios firmados, com ou sem contraprestações de serviços, por entidades públicas de qualquer espécie, ou entre estas e organizações particulares, para realização de objetivos de interesse comum dos partícipes, destinados a custear despesas correntes.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</si>
  <si>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</si>
  <si>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</si>
  <si>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</si>
  <si>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</si>
  <si>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</si>
  <si>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</si>
  <si>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</si>
  <si>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</si>
  <si>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</si>
  <si>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</si>
  <si>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</si>
  <si>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</si>
  <si>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Convênios da União</t>
  </si>
  <si>
    <t>Registra o valor da receita de outras transferências de convênios da União, não compreendidas nos itens anteriores.</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</si>
  <si>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</si>
  <si>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</si>
  <si>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</si>
  <si>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</si>
  <si>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</si>
  <si>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</si>
  <si>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</si>
  <si>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</si>
  <si>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</si>
  <si>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</si>
  <si>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</si>
  <si>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</si>
  <si>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</si>
  <si>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</si>
  <si>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</si>
  <si>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</si>
  <si>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</si>
  <si>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</si>
  <si>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Transferência de Convênios do Exterior</t>
  </si>
  <si>
    <t>Registra o valor total dos recursos oriundos de convênios firmados com organismos e fundos internacionais, governos estrangeiros e instituições privadas internacionais.</t>
  </si>
  <si>
    <t>Transferências para o Combate à Fome</t>
  </si>
  <si>
    <t>Registra o valor total das receitas por meio de transferências correntes para o combate à fome.</t>
  </si>
  <si>
    <t>Provenientes do Exterior</t>
  </si>
  <si>
    <t>Registro o valor total das receitas recebidas por meio de transferências correntes provenientes do exterior para o combate à fome.</t>
  </si>
  <si>
    <t>Provenientes de Pessoas Jurídicas</t>
  </si>
  <si>
    <t>Registra o valor total das receitas por meio de transferências correntes provenientes de pessoas jurídicas para o combate à fome.</t>
  </si>
  <si>
    <t>Provenientes de Pessoas Físicas</t>
  </si>
  <si>
    <t>Registra o valor total das receitas recebidas por meio de transferências correntes provenientes de pessoas físicas para o combate à fome.</t>
  </si>
  <si>
    <t>Provenientes de Depósitos não Identificados</t>
  </si>
  <si>
    <t>Registra o valor total das receitas recebidas por meio de transferências correntes provenientes de depósitos não identificados para o combate à fome.</t>
  </si>
  <si>
    <t>Outras Receitas Correntes</t>
  </si>
  <si>
    <t>Registra o valor total da arrecadação de outras receitas correntes tais como multas, juros, restituições, indenizações, receita da dívida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</si>
  <si>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</si>
  <si>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de aplicações impostas ao contribuinte faltoso, como sanção legal no campo tributário (impostos, taxas e contribuição de melhoria) não-tributário (contribuições sociais e econômicas, patrimoniais, industriais, de serviços e diversas) e de natureza administrativa, por infrações a regulamentos.</t>
  </si>
  <si>
    <t>Multas e Juros de Mora dos Tributos</t>
  </si>
  <si>
    <t>Registra a receita arrecadada com penalidades pecuniárias decorrentes da inobservância de normas tributárias e com rendimentos destinados à indenização pelo atraso no cumprimento da obrigação tributária principal.</t>
  </si>
  <si>
    <t>Multa e Juros de Mora do Imposto sobre a Importação</t>
  </si>
  <si>
    <t>Registra o total da receita arrecadada com multa decorrente de inobservância de norma tributária, e juros destinados à indenização pelo atraso no cumprimento da obrigação tributária imposta aos contribuintes, referentes ao Imposto de Importação.</t>
  </si>
  <si>
    <t>Receita de Multa e Juros de Mora do Imposto sobre a Importação</t>
  </si>
  <si>
    <t>Registra a receita arrecadada com multa decorrente de inobservância de norma tributária, e juros destinados à indenização pelo atraso no cumprimento da obrigação tributária imposta aos contribuintes, referentes ao Imposto de Importação.</t>
  </si>
  <si>
    <t>Receita de Parcelamentos – Multas e Juros de Mora do Imposto sobre a Importação</t>
  </si>
  <si>
    <t>Registra o valor decorrente de parcelamentos de Multas e Juros de Mora do Imposto sobre a Importação, no âmbito do Programa de Recuperação Fiscal - REFIS e do Programa Especial de Parcelamento de Débito – PAES, criados respectivamente por meio das leis nº 9.964/2000 e 10.684/2003.</t>
  </si>
  <si>
    <t>Multas e Juros de Mora – Imposto de Renda e Proventos Qualquer Natureza</t>
  </si>
  <si>
    <t xml:space="preserve">Registra a receita arrecadada com multa decorrente de inobservância de norma tributária, e juros destinados à indenização pelo atraso no cumprimento da obrigação tributária imposta aos contribuintes, referentes ao Imposto sobre a Renda e Proventos de Qualquer Natureza. </t>
  </si>
  <si>
    <t xml:space="preserve">Multas e Juros de Mora do Imposto sobre a Renda das Pessoas Físicas </t>
  </si>
  <si>
    <t>Registra a receita arrecadada com multa decorrente de inobservância de norma tributária, e juros destinados à indenização pelo atraso no cumprimento da obrigação tributária, referentes ao Imposto sobre a Renda das Pessoas Físicas.</t>
  </si>
  <si>
    <t>Multas e Juros de Mora do Imposto sobre a Renda das Pessoas Jurídicas</t>
  </si>
  <si>
    <t>Registra a receita arrecadada com multa decorrente de inobservância de norma tributária, e juros destinados à indenização pelo atraso no cumprimento da obrigação tributária imposta aos contribuintes, referentes ao Imposto sobre a Renda das Pessoas Jurídicas.</t>
  </si>
  <si>
    <t>Multas e Juros de Mora do Imposto sobre a Renda Retido nas Fontes</t>
  </si>
  <si>
    <t>Registra a receita arrecadada com multa decorrente de inobservância de norma tributária e juros destinados à indenização pelo atraso no cumprimento da obrigação tributária imposta aos contribuintes, referentes ao Imposto sobre a Renda Retido nas Fontes.</t>
  </si>
  <si>
    <t>Receita de Parcelamentos – Multas e Juros de Mora do Imposto sobre a Renda – Pessoas Jurídicas</t>
  </si>
  <si>
    <t>Registra o valor decorrente de parcelamentos de Multas e Juros de Mora do Imposto sobre a Renda – Pessoas Jurídicas, no âmbito do Programa de Recuperação Fiscal - REFIS e do Programa Especial de Parcelamento de Débito – PAES, criados respectivamente por meio das leis nº 9.964/2000 e 10.684/2003.</t>
  </si>
  <si>
    <t>Receita de Parcelamentos – Multas e Juros de Mora do Imposto sobre a Renda – Retido na Fonte</t>
  </si>
  <si>
    <t>Registra o valor decorrente de parcelamentos de Multas e Juros de Mora do Imposto sobre a Renda – Retido na Fonte, no âmbito do Programa de Recuperação Fiscal - REFIS e do Programa Especial de Parcelamento de Débito – PAES, criados respectivamente por meio das leis nº 9.964/2000 e 10.684/2003.</t>
  </si>
  <si>
    <t>Receita de Parcelamentos – Multas e Juros de Mora do Imposto sobre a Renda – Pessoas Físicas</t>
  </si>
  <si>
    <t>Registra o valor decorrente de parcelamentos de Multas e Juros de Mora do Imposto sobre a Renda – Pessoas Físicas, no âmbito do Programa de Recuperação Fiscal - REFIS e do Programa Especial de Parcelamento de Débito – PAES, criados respectivamente por meio das leis nº 9.964/2000 e 10.684/2003.</t>
  </si>
  <si>
    <t>Multa e Juros de Mora Simples Federal e Nacional – IRPJ</t>
  </si>
  <si>
    <t>Registra o valor das receitas de Multa e Juros de Mora Simples Federal e Nacional – IRPJ.</t>
  </si>
  <si>
    <t>Multas e Juros de Mora do Imposto sobre Produtos Industrializados</t>
  </si>
  <si>
    <t>Registra o total receita arrecadada com multa decorrente de inobservância de norma tributária e juros destinados à indenização pelo atraso no cumprimento da obrigação tributária imposta aos contribuintes, referentes ao Imposto sobre Produtos Industrializados.</t>
  </si>
  <si>
    <t>Receita de Multa e Juros de Mora do Imposto sobre Produtos Industrializados</t>
  </si>
  <si>
    <t>Registra a receita arrecadada com multa decorrente de inobservância de norma tributária, e juros destinados à indenização pelo atraso no cumprimento da obrigação tributária imposta aos contribuintes, referentes ao Imposto sobre Produtos Industrializados.</t>
  </si>
  <si>
    <t>Receita de Parcelamentos – Multas e Juros de Mora do Imposto sobre Produtos Industrializados</t>
  </si>
  <si>
    <t>Registra o valor decorrente de parcelamentos de Multas e Juros de Mora do Imposto sobre Produtos Industrializados, no âmbito do Programa de Recuperação Fiscal - REFIS e do Programa Especial de Parcelamento de Débito – PAES, criados respectivamente por meio das leis nº 9.964/2000 e 10.684/2003.</t>
  </si>
  <si>
    <t>Multa e Juros de Mora Simples Federal e Nacional – IPI</t>
  </si>
  <si>
    <t>Registra o valor das receitas de Multa e Juros de Mora Simples Federal e Nacional – IPI.</t>
  </si>
  <si>
    <t>Multa e Juros de Mora do Imposto sobre Operações de Crédito, Câmbio e Seguro, ou Relativas a Títulos ou Valores Mobiliários</t>
  </si>
  <si>
    <t>Registra o total da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</si>
  <si>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Receita de Multa e Juros de Mora do Imposto sobre Operações de Crédito, Câmbio e Seguro, ou Relativas a Títulos ou Valores Mobiliários</t>
  </si>
  <si>
    <t>Registra 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</si>
  <si>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Receita de Parcelamentos – Multa e Juros de Mora do Imposto sobre Operações de Crédito, Câmbio e Seguro, ou Relativas a Títulos ou Valores Mobiliários</t>
  </si>
  <si>
    <t>Registra o valor decorrente de parcelamentos de Multa e Juros de Mora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</si>
  <si>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Multas e Juros de Mora do Imposto sobre a Exportação</t>
  </si>
  <si>
    <t>Registra o valor total da receita arrecadada com multa decorrente de inobservância de norma tributária, e juros destinados à indenização pelo atraso no cumprimento da obrigação tributária imposta aos contribuintes, referentes ao Imposto sobre a Exportação.</t>
  </si>
  <si>
    <t>Receita de Multas e Juros de Mora do Imposto sobre a Exportação</t>
  </si>
  <si>
    <t>Registra a receita arrecadada com multa decorrente de inobservância de norma tributária, e juros destinados à indenização pelo atraso no cumprimento da obrigação tributária imposta aos contribuintes, referentes ao Imposto sobre a Exportação.</t>
  </si>
  <si>
    <t>Receita de Parcelamentos – Multa e Juros de Mora do Imposto sobre a Exportação</t>
  </si>
  <si>
    <t>Registra o valor decorrente de parcelamentos de Multa e Juros de Mora do Imposto sobre a Exportação, no âmbito do Programa de Recuperação Fiscal - REFIS e do Programa Especial de Parcelamento de Débito – PAES, criados respectivamente por meio das leis nº 9.964/2000 e 10.684/2003.</t>
  </si>
  <si>
    <t>Multas e Juros de Mora do Imposto sobre a Propriedade Territorial Rural</t>
  </si>
  <si>
    <t>Registra a receita arrecadada com multa decorrente de inobservância de norma tributária e juros destinados à indenização pelo atraso no  cumprimento da obrigação tributária imposta aos contribuintes, referentes ao Imposto sobre a Propriedade Territorial Rural.</t>
  </si>
  <si>
    <t>Multas e Juros de Mora do Imposto sobre a Propriedade Territorial Rural - Municípios Conveniados</t>
  </si>
  <si>
    <t>Registra o valor da receita resultante da aplicação de penas pecuniárias impostas aos contribuintes referentes ao Imposto sobre a Propriedade Rural – Municípios Conveniados.</t>
  </si>
  <si>
    <t>Multas e Juros de Mora do Imposto sobre a Propriedade Territorial Rural - Municípios Não-Conveniados</t>
  </si>
  <si>
    <t>Registra o valor da receita resultante da aplicação de penas pecuniárias impostas aos contribuintes referentes ao Imposto sobre a Propriedade Rural – Municípios Não-Conveniados.</t>
  </si>
  <si>
    <t>Multas e Juros de Mora do Imposto sobre Transmissão “Causa Mortis” e Doação de Bens e Direitos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</si>
  <si>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</si>
  <si>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Multas e Juros de Mora das Taxas de Fiscalização das Telecomunicações</t>
  </si>
  <si>
    <t>Resultado da aplicação de penas pecuniárias impostas aos contribuintes referentes às Taxas de Fiscalização das Telecomunicações.</t>
  </si>
  <si>
    <t>A - Portaria SOF nº 176, de 26 DEZ 2012.</t>
  </si>
  <si>
    <t>Multas e Juros de Mora da Taxa de Fiscalização de Instalação</t>
  </si>
  <si>
    <t>Registra recursos decorrentes de multas e juros de mora relativos ao descumprimento de obrigações relacionadas ao recolhimento da Taxa de Fiscalização de Instalação.</t>
  </si>
  <si>
    <t>I - Portaria SOF nº 176, de 26 DEZ 2012.</t>
  </si>
  <si>
    <t>Multas e Juros de Mora da Taxa de Fiscalização de Funcionamento</t>
  </si>
  <si>
    <t>Registra recursos decorrentes de multas e juros de mora relativos ao descumprimento de obrigações relacionadas ao recolhimento da Taxa de Fiscalização de Funcionamento.</t>
  </si>
  <si>
    <t>Multas e Juros de Mora da Taxa de Fiscalização dos Produtos Controlados pelo Ministério do Exército</t>
  </si>
  <si>
    <t>Registra o valor da arrecadação de receita de multas e juros de mora referentes à Taxa de Fiscalização dos Produtos Controlados pelo Ministério do Exército. Tem como destinação legal o Fundo do Exército. (Decreto-Lei n° 2.025, de 30/05/1983, e Decreto n° 91.575, de 27/08/1985.)</t>
  </si>
  <si>
    <t>Multas e Juros de Mora da Taxa de Fiscalização dos Serviços de Irrigação</t>
  </si>
  <si>
    <t>Registra a receita decorrente da aplicação de penas pecuniárias impostas aos contribuintes referentes à taxa de fiscalização dos serviços de irrigação e operação da adução de água.</t>
  </si>
  <si>
    <t>Multas e Juros de Mora da Taxa de Fiscalização dos Mercados de Seguro, da Capitalização e da Previdência Complementar Aberta e Fechada</t>
  </si>
  <si>
    <t>Registra o valor total da arrecadação da receita de multas e juros de mora da Taxa de Fiscalização dos Mercados de Seguro, da Capitalização e da Previdência Aberta.</t>
  </si>
  <si>
    <t>Multas e Juros de Mora da Taxa de Fiscalização e Vigilância Sanitária</t>
  </si>
  <si>
    <t>Registra o valor total da arrecadação da receita de multas e juros de mora incidentes sobre a Taxa de Fiscalização e Vigilância Sanitária.</t>
  </si>
  <si>
    <t>Multas e Juros de Mora da Taxa de Saúde Suplementar</t>
  </si>
  <si>
    <t>Registra o valor total da arrecadação da receita de multas e juros de mora incidentes sobre a Taxa de Saúde Suplementar.</t>
  </si>
  <si>
    <t>Multas e Juros de Mora da Taxa de Fiscalização dos Mercados de Títulos e Valores Mobiliários</t>
  </si>
  <si>
    <t>Registra o valor da arrecadação de receita de multas e juros de mora da Taxa de Fiscalização dos Mercados de Títulos e Valores Mobiliários.</t>
  </si>
  <si>
    <t>Multas e Juros de Mora do Imposto sobre a Propriedade Predial e Territorial Urbana – IPTU</t>
  </si>
  <si>
    <t>Registra o valor da arrecadação de receita de multas e juros de mora do Imposto sobre a Propriedade Predial e Territorial Urbana – IPTU.</t>
  </si>
  <si>
    <t>Multas e Juros de Mora do Imposto sobre a Transmissão Inter-Vivos de Bens Imóveis – ITBI</t>
  </si>
  <si>
    <t>Registra o valor da arrecadação de receita de multas e juros de mora do Imposto sobre a Transmissão Inter-Vivos de Bens Imóveis – ITBI.</t>
  </si>
  <si>
    <t>Multas e Juros de Mora do Imposto sobre Serviços de Qualquer Natureza – ISS</t>
  </si>
  <si>
    <t>Registra o valor da arrecadação de receita de multas e juros de mora do Imposto sobre Serviços de Qualquer Natureza – ISS.</t>
  </si>
  <si>
    <t>Multas e Juros de Mora do Imposto sobre a Propriedade de Veículos Automotores – IPVA</t>
  </si>
  <si>
    <t>Registra o valor da arrecadação de receita de multas e juros de mora do Imposto sobre a Propriedade de Veículos Automotores – IPVA.</t>
  </si>
  <si>
    <t>Multas e Juros de Mora do Imposto sobre Circulação de Mercadorias e Serviços – ICMS</t>
  </si>
  <si>
    <t>Registra o valor da arrecadação de receita de multas e juros de mora do Imposto sobre Circulação de Mercadorias e Prestação de Serviços – ICMS.</t>
  </si>
  <si>
    <t>Multas e Juros de Mora das Contribuições de Melhoria</t>
  </si>
  <si>
    <t>Registra o valor da arrecadação de receitas com multas e juros de mora de contribuições de melhoria.</t>
  </si>
  <si>
    <t>Multas e Juros de Mora de Outros Tributos</t>
  </si>
  <si>
    <t>Registra a receita arrecadada com multa decorrente de inobservância de norma tributária, e juros destinados à indenização pelo atraso no  cumprimento da obrigação tributária imposta aos contribuintes, referentes a tributos que não se enquadram nos itens anteriores.</t>
  </si>
  <si>
    <t>Registra a receita arrecadada com multa decorrente da inobservância de norma tributária e juros destinados à indenização pelo atraso no cumprimento da obrigação tributária imposta aos contribuintes, referentes a tributos que não se enquadram nos itens anteriores.</t>
  </si>
  <si>
    <t>Parcelamentos – Multas e Juros de Mora de Outros Tributos</t>
  </si>
  <si>
    <t>Registra o valor decorrente de parcelamentos de Multa e Juros de Mora de Outros Tributos, no âmbito do Programa de Recuperação Fiscal - REFIS e do Programa Especial de Parcelamento de Débito – PAES, criados respectivamente por meio das leis nº 9.964/2000 e 10.684/2003.</t>
  </si>
  <si>
    <t>Multas e Juros de Mora das Contribuições</t>
  </si>
  <si>
    <t>Registra a receita arrecadada com multa decorrente de inobservância de norma específica, e juros destinados à indenização pelo atraso no pagamento das contribuições sociais e econômicas, patrimoniais, industriais, de serviços e diversas.</t>
  </si>
  <si>
    <t>Multas e Juros de Mora da Contribuição para o Financiamento da Seguridade Social</t>
  </si>
  <si>
    <t>Registra o valor total da arrecadação de receita de multas e juros de mora referentes à Contribuição para o Financiamento da Seguridade Social.</t>
  </si>
  <si>
    <t>Receita de Multas e Juros de Mora da Contribuição para o Financiamento da Seguridade Social</t>
  </si>
  <si>
    <t>Registra o valor da arrecadação de receita de multas e juros de mora da Contribuição para o Financiamento da Seguridade Social.</t>
  </si>
  <si>
    <t>Receita de Parcelamentos – Multas e Juros de Mora da Contribuição para o Financiamento da Seguridade Social</t>
  </si>
  <si>
    <t>Registra o valor decorrente de parcelamentos de Multa e Juros de Mora da Contribuição para o Financiamento da Seguridade Social, no âmbito do Programa de Recuperação Fiscal - REFIS e do Programa Especial de Parcelamento de Débito – PAES, criados respectivamente por meio das leis nº 9.964/2000 e 10.684/2003.</t>
  </si>
  <si>
    <t>Multas e Juros de Mora da Contribuição do Salário-Educação</t>
  </si>
  <si>
    <t>Registra o valor da arrecadação de receita de multas e juros de mora referentes à Contribuição do Salário-Educação.</t>
  </si>
  <si>
    <t>Multas e Juros de Mora da Contribuição Relativa às Atividades de Comercialização de Petróleo e seus Derivados, Gás Natural e Álcool Carburante</t>
  </si>
  <si>
    <t>Registra a receita arrecadada com multa e juros de mora sobre a Contribuição Relativa às Atividades de Comercialização de Petróleo e seus Derivados, Gás Natural e Álcool Carburante.</t>
  </si>
  <si>
    <t>Receita de Multas e Juros de Mora da Contribuição Relativa às Atividades de Comercialização de Petróleo e seus Derivados, Gás Natural e Álcool Carburante</t>
  </si>
  <si>
    <t>Registra o valor da receita de multas e juros de mora da Contribuição Relativa às Atividades de Comercialização de Petróleo e seus Derivados, Gás Natural e Álcool Carburante.</t>
  </si>
  <si>
    <t>Receita de Parcelamentos – Multas e Juros de Mora da Contribuição Relativa às Atividades de Comercialização de Petróleo e seus Derivados, Gás Natural e Álcool Carburante</t>
  </si>
  <si>
    <t>Registra o valor decorrente de parcelamentos de Multa e Juros de Mora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</si>
  <si>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Multas e Juros de Mora da Contribuição sobre Movimentação Financeira</t>
  </si>
  <si>
    <t>Registra o valor total da arrecadação de receita de multas e juros de mora referentes à Contribuição sobre Movimentação Financeira.</t>
  </si>
  <si>
    <t>Receita de Multas e juros de Mora da Contribuição sobre Movimentação Financeira</t>
  </si>
  <si>
    <t>Registra o valor da arrecadação de receita de multas e juros de mora  da Contribuição sobre Movimentação Financeira.</t>
  </si>
  <si>
    <t>Receita de Parcelamentos – Multas e Juros de Mora da Contribuição sobre Movimentação Financeira.</t>
  </si>
  <si>
    <t>Registra o valor decorrente de parcelamentos de Multa e Juros de Mora da Contribuição sobre Movimentação Financeira, no âmbito do Programa de Recuperação Fiscal - REFIS e do Programa Especial de Parcelamento de Débito – PAES, criados respectivamente por meio das leis nº 9.964/2000 e 10.684/2003.</t>
  </si>
  <si>
    <t>Multas e Juros de Mora das Contribuições sobre a Prestação dos Serviços de Telecomunicações</t>
  </si>
  <si>
    <t>Registra recursos decorrentes de multas e juros de mora relativos ao descumprimento de obrigações relacionadas ao recolhimento de contribuições incidentes sobre a prestação dos serviços de telecomunicações.</t>
  </si>
  <si>
    <t>Multas e Juros de Mora da Contribuição sobre a Receita Operacional Bruta Decorrente de Prestação de Serviços de Telecomunicações</t>
  </si>
  <si>
    <t>Registra recursos decorrentes de multas e juros de mora relativos ao descumprimento de obrigações relacionadas ao recolhimento da contribuição sobre a receita operacional bruta decorrente de prestação de serviços de telecomunicações.</t>
  </si>
  <si>
    <t>Multas e Juros de Mora da Contribuição para o Fomento da Radiodifusão Publica</t>
  </si>
  <si>
    <t>Registra recursos decorrentes de multas e juros de mora relativos ao descumprimento de obrigações relacionadas ao recolhimento da Contribuição para o Fomento da Radiodifusão Pública.</t>
  </si>
  <si>
    <t>Multas e Juros de Mora das Contribuições para o Regime Próprio de Previdência do Servidor</t>
  </si>
  <si>
    <t>Registra o valor da arrecadação decorrente de aplicação de penalidades pecuniárias incidentes sobre as contribuições para o Regime Próprio de Previdência do Servidor - RPPS não recolhidas até a data estabelecida.</t>
  </si>
  <si>
    <t>Multas e Juros de Mora da Contribuição Patronal para o Regime Próprio de Previdência</t>
  </si>
  <si>
    <t>Registra o valor da arrecadação decorrente de aplicação de penalidades pecuniárias incidentes sobre as contribuições patronais para o Regime Próprio de Previdência do Servidor - RPPS não recolhidas até a data estabelecida.</t>
  </si>
  <si>
    <t>Multas e Juros de Mora da Contribuição do Servidor para o Regime Próprio de Previdência</t>
  </si>
  <si>
    <t>Registra o valor da arrecadação decorrente de aplicação de penalidades pecuniárias incidentes sobre as contribuições do servidor para o Regime Próprio de Previdência do Servidor - RPPS não recolhidas até a data estabelecida.</t>
  </si>
  <si>
    <t>Multas e Juros de Mora das Contribuições Previdenciárias para o Regime Geral de Previdência Social</t>
  </si>
  <si>
    <t>Registra o valor da receita com penalidades pecuniárias sobre as contribuições devidas à Seguridade Social e não recolhidas até a data de seu vencimento, com base no art. 58, inciso III, do Decreto nº 2.173, de 6 de março de 1997.</t>
  </si>
  <si>
    <t>Multas e Juros de Mora da Contribuição Previdenciária do Segurado Obrigatório – Contribuinte Individual</t>
  </si>
  <si>
    <t>Registra o valor total da receita com a aplicação de penas pecuniárias impostas aos contribuintes, referentes à Contribuição Previdenciária do Segurado Obrigatório – Contribuinte Individual</t>
  </si>
  <si>
    <t>Multas e Juros de Mora da Contribuição Previdenciária do Segurado Assalariado</t>
  </si>
  <si>
    <t>Registra o valor da receita com a aplicação de penas pecuniárias impostas aos contribuintes, referentes à Contribuição Previdenciária do Segurado Assalariado.</t>
  </si>
  <si>
    <t>Multas e Juros de Mora da Contribuição Previdenciária da Empresa sobre Segurado Assalariado</t>
  </si>
  <si>
    <t>Registra o valor da receita com a aplicação de penas pecuniárias impostas aos contribuintes, referentes à Contribuição Previdenciária da Empresa sobre o Segurado Assalariado.</t>
  </si>
  <si>
    <t>Multas e Juros de Mora da Contribuição Previdenciária da Empresa Optante pelo SIMPLES</t>
  </si>
  <si>
    <t>Registra o valor da receita com a aplicação de penas pecuniárias impostas aos contribuintes, referentes à Contribuição Previdenciária da Empresa Optante pelo SIMPLES.</t>
  </si>
  <si>
    <t>Multas e Juros de Mora da Contribuição Previdenciária sobre Espetáculo Desportivo</t>
  </si>
  <si>
    <t>Registra o valor da receita com a aplicação de penas pecuniárias impostas aos contribuintes, referentes à Contribuição Previdenciária sobre Espetáculo Desportivo.</t>
  </si>
  <si>
    <t>Multas e Juros de Mora da Contribuição Previdenciária sobre Produção Rural</t>
  </si>
  <si>
    <t>Registra o valor da receita com a aplicação de penas pecuniárias impostas aos contribuintes, referentes à Contribuição Previdenciária sobre Produção Rural.</t>
  </si>
  <si>
    <t>Multas e Juros de Mora da Contribuição Previdenciária em Regime de Parcelamento de Débitos</t>
  </si>
  <si>
    <t>Registra o valor da receita com a aplicação de penas pecuniárias impostas aos contribuintes, referentes à Contribuição Previdenciária em Regime de Parcelamento de débitos.</t>
  </si>
  <si>
    <t>Multas e Juros de Mora da Contribuição Previdenciária para o Seguro de Acidente do Trabalho</t>
  </si>
  <si>
    <t>Registra o valor da receita com a aplicação de penas pecuniárias impostas aos contribuintes, referentes à Contribuição Previdenciária para o Seguro de Acidente do Trabalho.</t>
  </si>
  <si>
    <t>Multas e Juros de Mora da Contribuição Previdenciária sobre Reclamatória Trabalhista</t>
  </si>
  <si>
    <t>Registra o valor da receita com a aplicação de penas pecuniárias impostas aos contribuintes, referentes à Contribuição Previdenciária sobre Reclamatória Trabalhista.</t>
  </si>
  <si>
    <t>Multas e Juros de Mora da Contribuição Previdenciária do Segurado em Regime de Parcelamento de Débitos dos Municípios</t>
  </si>
  <si>
    <t>Registra o valor da receita com a aplicação de penas pecuniárias impostas aos contribuintes, referentes à Contribuição Previdenciária do Segurado em Regime de Parcelamento de Débitos dos Municípios.</t>
  </si>
  <si>
    <t>Multas e Juros de Mora da Contribuição Previdenciária do Segurado Obrigatório – Empresário</t>
  </si>
  <si>
    <t>Registra o valor da receita com a aplicação de penas pecuniárias impostas aos contribuintes, referentes à Contribuição Previdenciária do Segurado Obrigatório – Empresário.</t>
  </si>
  <si>
    <t>Multas e Juros de Mora da Contribuição Previdenciária do Segurado Facultativo</t>
  </si>
  <si>
    <t>Registra o valor total da receita com a aplicação de penas pecuniárias impostas aos contribuintes, referentes à Contribuição Previdenciária do Segurado Facultativo.</t>
  </si>
  <si>
    <t>Multas e Juros de Mora da Contribuição Previdenciária do Segurado Especial</t>
  </si>
  <si>
    <t>Registra o valor da receita com a aplicação de penas pecuniárias impostas aos contribuintes, referentes à Contribuição Previdenciária do Segurado Especial.</t>
  </si>
  <si>
    <t>Multas e Juros de Mora da Contribuição Previdenciária do Segurado Obrigatório – Empregado Doméstico</t>
  </si>
  <si>
    <t>Registra o valor da receita com a aplicação de penas pecuniárias impostas aos contribuintes, referentes à Contribuição Previdenciária do Segurado Obrigatório – Empregado Doméstico.</t>
  </si>
  <si>
    <t>Multas e Juros de Mora da Contribuição Previdenciária dos Órgãos do Poder Público</t>
  </si>
  <si>
    <t>Registra o valor da receita com a aplicação de penas pecuniárias impostas aos contribuintes, referentes à Contribuição Previdenciária dos Órgãos do Poder Público.</t>
  </si>
  <si>
    <t>Multas e Juros de Mora da Contribuição Previdenciária das Entidades Filantrópicas</t>
  </si>
  <si>
    <t>Registra o valor da receita com a aplicação de penas pecuniárias impostas aos contribuintes, referentes à Contribuição Previdenciária das Entidades Filantrópicas.</t>
  </si>
  <si>
    <t>Multas e Juros de Mora da Contribuição Previdenciária – Retenção sobre Nota Fiscal – Sub-rogação</t>
  </si>
  <si>
    <t>Registra o valor da receita com a aplicação de penas pecuniárias impostas aos contribuintes, referentes à Contribuição Previdenciária – Retenção sobre Nota Fiscal – Sub-rogação.</t>
  </si>
  <si>
    <t>Multas e Juros de Mora da Arrecadação FIES – Certificados Financeiros do Tesouro Nacional</t>
  </si>
  <si>
    <t>Registra o valor da receita com a aplicação de penas pecuniárias impostas aos contribuintes, referentes à Arrecadação do Fundo de Financiamento ao Estudante de Ensino Superior – FIES – Certificados Financeiros do Tesouro Nacional.</t>
  </si>
  <si>
    <t>Multas e Juros de Mora da Arrecadação FNS – Certificados Financeiros do Tesouro Nacional</t>
  </si>
  <si>
    <t>Registra o valor da receita com a aplicação de penas pecuniárias impostas aos contribuintes, referentes à Arrecadação do Fundo Nacional de Saúde – FNS – Certificados Financeiros do Tesouro Nacional.</t>
  </si>
  <si>
    <t>Multas e Juros de Mora de Certificados da Dívida Pública – CDP</t>
  </si>
  <si>
    <t>Registra o valor da receita com a aplicação de penas pecuniárias impostas aos contribuintes referentes aos Certificados da Dívida Pública.</t>
  </si>
  <si>
    <t>Multas e Juros de Mora da Contribuição Previdenciária na Forma de Depósito Judicial, Recursal e Custas Judiciais</t>
  </si>
  <si>
    <t>Registra o valor da receita com a aplicação de penas pecuniárias impostas aos contribuintes, referentes à Contribuição Previdenciária na Forma de Depósito Judicial, Recursal e Custas Judiciais.</t>
  </si>
  <si>
    <t>Multa e Juros de Mora da Contribuição Previdenciária da Empresa sobre o Segurado Assalariado Incidente sobre a Receita Bruta</t>
  </si>
  <si>
    <t>Registra as multas e juros de mora relativos ao não recolhimento das contribuições relacionadas aos arts 7º e 8º da Medida Provisória nº 540, de 2011.</t>
  </si>
  <si>
    <t>Multas e Juros de Mora de Outras Contribuições Previdenciárias</t>
  </si>
  <si>
    <t>Registra o valor da receita com a aplicação de penas pecuniárias impostas aos contribuintes, referentes a outras contribuições previdenciárias.</t>
  </si>
  <si>
    <t>Multas e Juros de Mora das Contribuições para os Programas de Integração Social e de Formação do Patrimônio do Servidor Público – PIS/PASEP</t>
  </si>
  <si>
    <t>Registra o valor total da receita decorrente de penalidades pecuniárias incidentes sobre as contribuições devidas para os Programas de Integração Social e de Formação do Patrimônio do Servidor Público – PIS/PASEP –,e não recolhidas até a data de seu vencimento.</t>
  </si>
  <si>
    <t>Receita de Multas e Juros de Mora das Contribuições para os Programas de Integração Social e de Formação do Patrimônio do Servidor Público – PIS/PASEP</t>
  </si>
  <si>
    <t>Registra o valor da receita decorrente de penalidades pecuniárias das contribuições devidas para os Programas de Integração Social e de Formação do Patrimônio do Servidor Público – PIS/PASEP –, não recolhidas até a data de seu vencimento.</t>
  </si>
  <si>
    <t>Receita de Parcelamentos – Multas e Juros de Mora das Contribuições para os Programas de Integração Social e de Formação do Patrimônio do Servidor Público – PIS/PASEP</t>
  </si>
  <si>
    <t>Registra o valor decorrente de parcelamentos de Multa e Juros de Mora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</si>
  <si>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Multas e juros de mora da Contribuição Social sobre o Lucro das Pessoas Jurídicas</t>
  </si>
  <si>
    <t>Registra o valor total da arrecadação de receita de multas e juros de mora da Contribuição Social sobre o Lucro das Pessoas Jurídicas não recolhida até a data de seu vencimento.</t>
  </si>
  <si>
    <t>Receita de Multas e Juros de Mora  da Contribuição Social sobre o Lucro das Pessoas Jurídicas</t>
  </si>
  <si>
    <t>Registra o valor da arrecadação de receita de multas e juros de mora  da Contribuição Social sobre o Lucro das Pessoas Jurídicas não recolhida até a data de seu vencimento.</t>
  </si>
  <si>
    <t>Receita de Parcelamentos – Multas e Juros de Mora da Contribuição Social sobre o Lucro das Pessoas Jurídicas</t>
  </si>
  <si>
    <t>Registra o valor decorrente de parcelamentos de Multas e Juros de Mora da Contribuição Social sobre o Lucro das Pessoas Jurídicas, no âmbito do Programa de Recuperação Fiscal - REFIS e do Programa Especial de Parcelamento de Débito – PAES, criados respectivamente por meio das leis nº 9.964/2000 e 10.684/2003.</t>
  </si>
  <si>
    <t>Multas e juros de mora sobre a Contribuição dos Concursos de Prognósticos</t>
  </si>
  <si>
    <t>Registra o valor da arrecadação de receita de multas e juros de mora da Contribuição dos Concursos de Prognósticos não recolhida até a data de seu vencimento.</t>
  </si>
  <si>
    <t>Multas e Juros de Mora  da Contribuição sobre a Receita da Loteria Federal</t>
  </si>
  <si>
    <t>Registra o valor da arrecadação de receita proveniente de penalidades pecuniárias incidentes sobre a CEF pelo não recolhimento, no prazo estabelecido, da Contribuição sobre a Receita da Loteria Federal.</t>
  </si>
  <si>
    <t>Multas e Juros de Mora da Contribuição sobre a Receita de Loterias Esportivas</t>
  </si>
  <si>
    <t>Registra o valor da arrecadação de receita proveniente de penalidades pecuniárias incidentes sobre a CEF pelo não recolhimento, no prazo estabelecido, da Contribuição sobre a Receita de Loterias Esportivas.</t>
  </si>
  <si>
    <t>Multas e Juros de Mora da Contribuição sobre a Receita de Concursos Especiais de Loterias Esportivas</t>
  </si>
  <si>
    <t>Registra o valor da arrecadação de receita proveniente de penalidades pecuniárias incidentes sobre a CEF pelo não recolhimento, no prazo estabelecido, da Contribuição sobre a Receita de Concursos Especiais de Loterias Esportivas.</t>
  </si>
  <si>
    <t>Multas e Juros de Mora da Contribuição sobre a Receita de Loterias de Números</t>
  </si>
  <si>
    <t>Registra o valor da arrecadação de receita proveniente de penalidades pecuniárias incidentes sobre a CEF pelo não recolhimento, no prazo estabelecido, da Contribuição sobre a Receita de Loterias de Números.</t>
  </si>
  <si>
    <t>Multas e Juros de Mora da Contribuição sobre a Receita da Loteria Instantânea</t>
  </si>
  <si>
    <t>Registra o valor da arrecadação de receita proveniente de penalidades pecuniárias incidentes sobre a CEF pelo não recolhimento, no prazo estabelecido, da Contribuição sobre a Receita da Loteria Instantânea.</t>
  </si>
  <si>
    <t>Multas e Juros de Mora de Prêmios Prescritos da Loteria Federal</t>
  </si>
  <si>
    <t>Registra o valor da arrecadação de receita proveniente de penalidades pecuniárias incidentes sobre a CEF pelo não recolhimento, no prazo estabelecido, da Contribuição sobre a Receita de Prêmios Prescritos da Loteria Federal.</t>
  </si>
  <si>
    <t>Multas e Juros de Mora sobre a Receita da Contribuição de Outros Concursos de Prognósticos</t>
  </si>
  <si>
    <t>Registra o valor da arrecadação de receita proveniente de penalidades pecuniárias incidentes sobre a CEF pelo não recolhimento, no prazo estabelecido, da Contribuição sobre a Receita de Outros Concursos de Prognósticos.</t>
  </si>
  <si>
    <t>Multas e Juros de Mora da Contribuição sobre a Receita das Concessionárias de Energia Elétrica</t>
  </si>
  <si>
    <t>Registra o valor das penabilidades pecuniárias pelo não-recolhimento, no prazo estabelecido, da Contribuição sobre a Receita das Concessionárias de Energia Elétrica.</t>
  </si>
  <si>
    <t>Multas e Juros de Mora da Cota-Parte da Contribuição Sindical</t>
  </si>
  <si>
    <t>Registra o valor da receita decorrente de penalidades pecuniárias pelo não-recolhimento, no prazo estabelecido, da Cota-Parte da Contribuição Sindical.</t>
  </si>
  <si>
    <t>Multas e Juros de Mora da Contribuição sobre a Receita de Sorteios Realizados por Entidades Filantrópicas</t>
  </si>
  <si>
    <t>Registra o valor da receita decorrente de penalidades pecuniárias pelo não-recolhimento, no prazo estabelecido, da Contribuição sobre a receita de sorteios realizados por entidades filantrópicas.</t>
  </si>
  <si>
    <t>Multas e Juros de Mora da Contribuição sobre a Aposta em Competições Hípicas</t>
  </si>
  <si>
    <t>Registra o valor da receita com penalidades pecuniárias incidentes sobre a Contribuição sobre Apostas em Competições Hípicas não recolhidas até a data estabelecida.</t>
  </si>
  <si>
    <t>A - Portaria SOF nº 8, de 30 JAN 2014.</t>
  </si>
  <si>
    <t>Multas e Juros de Mora da Cota-Parte do Adicional ao Frete para Renovação da Marinha Mercante</t>
  </si>
  <si>
    <t>Registra o valor da receita com penalidades pecuniárias incidentes sobre as contribuições devidas à Cota-Parte do Adicional ao Frete da Marinha Mercante, não recolhidas até a data estabelecida.</t>
  </si>
  <si>
    <t>Multas e Juros de Mora da Contribuição Relativa à Despedida de Empregado sem Justa Causa</t>
  </si>
  <si>
    <t>Registra o valor da arrecadação de receita de multas e juros de mora da Contribuição Relativa à Despedida de Empregado sem Justa Causa, não recolhidas até a data de seu vencimento.</t>
  </si>
  <si>
    <t>Multas e Juros de Mora da Contribuição sobre a Remuneração Devida ao Trabalhador</t>
  </si>
  <si>
    <t>Registra o valor da arrecadação de receita de multas e juros de mora da Contribuição sobre a Remuneração Devida ao Trabalhador não recolhida até a data de seu vencimento.</t>
  </si>
  <si>
    <t>Juros de Mora do FUNDAF – Receita de Contribuições</t>
  </si>
  <si>
    <t xml:space="preserve">Registra a receita de juros de mora até o limite de 1%, vinculados ao Fundo Especial de Desenvolvimento e Aperfeiçoamento das Atividades de Fiscalização - FUNDAF, incidentes sobre créditos não pagos no vencimento, relativos à receita de Contribuições Sociais administradas pela Secretaria da Receita Federal, excetuando-se as Contribuições Previdenciárias arrecadadas pelo INSS. </t>
  </si>
  <si>
    <t>Juros de Mora do FUNDAF – Receita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</si>
  <si>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relativos à receita da Contribuição para o Financiamento da Seguridade Social.</t>
  </si>
  <si>
    <t>Juros de Mora do FUNDAF - Receita de Parcelamentos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</si>
  <si>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para o Financiamento da Seguridade Social.</t>
  </si>
  <si>
    <t>Juros de Mora do FUNDAF - Receita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</si>
  <si>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relativos à receita da Contribuição sobre Movimentação Financeira.</t>
  </si>
  <si>
    <t>Juros de Mora do FUNDAF - Receita de Parcelamentos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</si>
  <si>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sobre Movimentação Financeira.</t>
  </si>
  <si>
    <t>Juros de Mora do FUNDAF – Receita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</si>
  <si>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das Contribuições para os Programas de Integração Social e de Formação do Patrimônio do Servidor Público.</t>
  </si>
  <si>
    <t>Juros de Mora do FUNDAF - Receita de Parcelamentos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</si>
  <si>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decorrente de Parcelamentos das Contribuições para os Programas de Integração Social e de Formação do Patrimônio do Servidor Público.</t>
  </si>
  <si>
    <t>Juros de Mora do FUNDAF - Receita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</si>
  <si>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da Contribuição Social sobre o Lucro das Pessoas Jurídicas.</t>
  </si>
  <si>
    <t>Juros de Mora do FUNDAF - Receita de Parcelamentos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</si>
  <si>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decorrente de Parcelamentos da Contribuição Social sobre o Lucro das Pessoas Jurídicas.</t>
  </si>
  <si>
    <t>Juros de Mora do FUNDAF – Contribuição sobre a Receita da Loteria Federal</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</si>
  <si>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Federal.</t>
  </si>
  <si>
    <t>Juros de Mora do FUNDAF - Contribuição sobre a Receita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</si>
  <si>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Esportivas.</t>
  </si>
  <si>
    <t>Juros de Mora do FUNDAF - Contribuição sobre a Receita de Concursos Especiais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</si>
  <si>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Concursos Especiais de Loterias Esportivas.</t>
  </si>
  <si>
    <t>Juros de Mora do FUNDAF - Contribuição sobre a Receita de Loterias de Números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</si>
  <si>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de Números.</t>
  </si>
  <si>
    <t>Juros de Mora do FUNDAF - Contribuição sobre a Receita da Loteria Instantânea</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</si>
  <si>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Instantânea.</t>
  </si>
  <si>
    <t>Juros de Mora do FUNDAF – Receita de Prêmios Prescritos de Loterias Federais</t>
  </si>
  <si>
    <t>Registra a receita de juros de mora até o limite de 1%, vinculados ao Fundo Especial de Desenvolvimento e Aperfeiçoamento das Atividades de Fiscalização - FUNDAF, incidentes sobre créditos não pagos no vencimento, relativos à receita de Prêmios Prescritos de Loterias Federais.</t>
  </si>
  <si>
    <t>Multas e Juros de Mora das Compensações Financeiras entre o Regime Geral e os Regimes Próprios de Previdência dos Servidores</t>
  </si>
  <si>
    <t>Registra as receitas decorrentes do resultado da aplicação de penas pecuniárias impostas aos contribuintes referentes a contribuições não recolhidas até o vencimento.</t>
  </si>
  <si>
    <t>Multas e Juros de Mora de Outras Contribuições</t>
  </si>
  <si>
    <t xml:space="preserve">Registra a receita de juros destinada às indenizações pelo atraso no cumprimento da obrigação com contribuições e multas, de caráter punitivo ou moratório, decorrente da inobservância de normas reguladoras, não enquadradas nos itens anteriores.  </t>
  </si>
  <si>
    <t>Multas e Juros de Mora de Outras Contribuições – Principal</t>
  </si>
  <si>
    <t>Registra a receita de juros destinados à indenização pelo atraso no cumprimento da obrigação com contribuições, e multas de caráter punitivo ou moratório, decorrentes da inobservância de normas reguladoras, não enquadrados nos itens anteriores.</t>
  </si>
  <si>
    <t>Parcelamentos – Multas e Juros de Mora de Outras Contribuições</t>
  </si>
  <si>
    <t>Registra o valor decorrente de parcelamentos de Multas e Juros de Mora de Outras Contribuições, no âmbito do Programa de Recuperação Fiscal - REFIS e do Programa Especial de Parcelamento de Débito – PAES, criados respectivamente por meio das leis nº 9.964/2000 e 10.684/2003.</t>
  </si>
  <si>
    <t>Multa e Juros de Mora da Dívida Ativa dos Tributos</t>
  </si>
  <si>
    <t>Registra o valor total da arrecadação da receita de multas e juros de mora incidentes sobre a dívida ativa dos tributos.</t>
  </si>
  <si>
    <t>Multas e Juros de Mora da Dívida Ativa do Imposto sobre a Importação</t>
  </si>
  <si>
    <t xml:space="preserve">Registra o valor total da arrecadação de receita de multas e juros de mora incidentes sobre a dívida ativa do Imposto sobre a Importação. </t>
  </si>
  <si>
    <t>Receita de Multas e Juros de Mora da Dívida Ativa do Imposto sobre a Importação</t>
  </si>
  <si>
    <t>Registra o valor da arrecadação de receita de multas e juros de mora incidentes sobre a dívida ativa do Imposto sobre a Importação.</t>
  </si>
  <si>
    <t>Receita de Parcelamentos – Multas e Juros de Mora da Dívida Ativa do Imposto sobre a Importação</t>
  </si>
  <si>
    <t>Registra o valor decorrente de parcelamentos de Multas e Juros de Mora da Dívida Ativa do Imposto sobre a Importação, no âmbito do Programa de Recuperação Fiscal - REFIS e do Programa Especial de Parcelamento de Débito – PAES, criados respectivamente por meio das leis nº 9.964/2000 e 10.684/2003.</t>
  </si>
  <si>
    <t>Multas e Juros de Mora da Dívida Ativa do Imposto sobre a Renda e Proventos de Qualquer Natureza</t>
  </si>
  <si>
    <t>Registra o valor da arrecadação de receita de multas e juros de mora incidentes sobre a dívida ativa do Imposto sobre a Renda e Proventos de Qualquer Natureza.</t>
  </si>
  <si>
    <t>Multas e Juros de Mora da Dívida Ativa do Imposto sobre a Renda das Pessoas Físicas</t>
  </si>
  <si>
    <t>Registra o valor da arrecadação de receita de multas e juros de mora incidentes sobre a dívida ativa do Imposto sobre a Renda das Pessoas Físicas.</t>
  </si>
  <si>
    <t>A - Portaria SOF nº 16, de 26 FEV 2014.</t>
  </si>
  <si>
    <t>Multas e Juros de Mora da Dívida Ativa do Imposto sobre a Renda das Pessoas Jurídicas</t>
  </si>
  <si>
    <t>Registra o valor da arrecadação de receita de multas e juros de mora incidentes sobre a dívida ativa do Imposto sobre a Renda das Pessoas Jurídicas.</t>
  </si>
  <si>
    <t>Multas e Juros de Mora da Dívida Ativa do Imposto sobre a Renda - Retido nas Fontes</t>
  </si>
  <si>
    <t>Registra o valor da arrecadação de receita de multas e juros de mora incidentes sobre a dívida ativa do Imposto sobre a Renda Retidos nas Fontes.</t>
  </si>
  <si>
    <t>Receita de Parcelamentos – Multas e Juros de Mora da Dívida Ativa do Imposto sobre a Renda - Pessoas Jurídicas</t>
  </si>
  <si>
    <t>Registra o valor decorrente de parcelamentos de Multas e Juros de Mora da Dívida Ativa do Imposto sobre a Renda das Pessoas Jurídicas, no âmbito do Programa de Recuperação Fiscal - REFIS e do Programa Especial de Parcelamento de Débito - PAES, criados respectivamente por meio das Leis nos 9.964/2000 e 10.684/2003.</t>
  </si>
  <si>
    <t>Receita de Parcelamentos - Multas e Juros de Mora da Dívida Ativa do Imposto sobre a Renda - Retido na Fonte</t>
  </si>
  <si>
    <t>Registra o valor decorrente de parcelamentos de Multas e Juros de Mora da Dívida Ativa do Imposto sobre a Renda Retido na Fonte, no âmbito do Programa de Recuperação Fiscal - REFIS e do Programa Especial de Parcelamento de Débito - PAES, criados respectivamente por meio das Leis nos 9.964/2000 e 10.684/2003.</t>
  </si>
  <si>
    <t>Receita de Parcelamentos – Multas e Juros de Mora da Dívida Ativa do Imposto sobre a Renda – Pessoas Físicas</t>
  </si>
  <si>
    <t>Registra o valor decorrente de parcelamentos de Multas e Juros de Mora da Dívida Ativa do Imposto sobre a Renda das Pessoas Físicas, no âmbito do Programa de Recuperação Fiscal - REFIS e do Programa Especial de Parcelamento de Débito - PAES, criados respectivamente por meio das Leis nos 9.964/2000 e 10.684/2003.</t>
  </si>
  <si>
    <t>Multas da Dívida Ativa do Imposto de Renda Pessoa Jurídica - Simples Nacional</t>
  </si>
  <si>
    <t>Resultado de penas pecuniárias impostas aos contribuintes pelo não-cumprimento de obrigações para com a Fazenda Pública no transcurso do prazo exigível, incidente sobre a dívida ativa do Imposto sobre a Renda de Pessoas Jurídicas, na modalidade do Simples Nacional.</t>
  </si>
  <si>
    <t>Juros de Mora da Dívida Ativa do Imposto de Renda Pessoa Jurídica - Simples Nacional</t>
  </si>
  <si>
    <t>Resultado de encargos financeiros impostos aos contribuintes pelo não pagamento de obrigações para com a Fazenda Pública no transcurso do prazo exigível, portanto, incidentes sobre a dívida ativa do Imposto sobre a Renda de Pessoas Jurídicas, na modalidade do Simples Nacional.</t>
  </si>
  <si>
    <t>Multas e Juros de Mora da Dívida Ativa do Imposto sobre Produtos Industrializados</t>
  </si>
  <si>
    <t>Registra o valor total da arrecadação de receita de multas e juros de mora incidentes sobre a dívida ativa do Imposto sobre Produtos Industrializados.</t>
  </si>
  <si>
    <t>Receita de Multas e Juros de Mora da Dívida Ativa do Imposto sobre Produtos Industrializados</t>
  </si>
  <si>
    <t>Registra o valor da arrecadação de receita de multas e juros de mora incidentes sobre a dívida ativa do Imposto sobre Produtos Industrializados.</t>
  </si>
  <si>
    <t>Receita de Parcelamentos – Multas e Juros de Mora da Dívida Ativa do Imposto sobre Produtos Industrializados</t>
  </si>
  <si>
    <t>Registra o valor decorrente de parcelamentos de Multas e Juros de Mora da Dívida Ativa do Imposto sobre Produtos Industrializados, no âmbito do Programa de Recuperação Fiscal - REFIS e do Programa Especial de Parcelamento de Débito – PAES, criados respectivamente por meio das leis nº 9.964/2000 e 10.684/2003.</t>
  </si>
  <si>
    <t>Multas da Dívida Ativa do Imposto sobre Produtos Industrializados - Simples Nacional</t>
  </si>
  <si>
    <t>Resultado de penas pecuniárias impostas aos contribuintes pelo não-cumprimento de obrigações para com a Fazenda Pública no transcurso do prazo exigível, incidente sobre a dívida ativa do Imposto sobre Produtos Industrializados, na modalidade do Simples Nacional.</t>
  </si>
  <si>
    <t>Juros de Mora da Dívida Ativa do Imposto sobre Produtos Industrializados - Simples Nacional</t>
  </si>
  <si>
    <t>Resultado dos encargos financeiros impostos aos contribuintes pelo não pagamento de obrigações para com a Fazenda Pública no transcurso do prazo exigível, incidente sobre a dívida ativa do Imposto sobre Produtos Industrializados, na modalidade do Simples Nacional.</t>
  </si>
  <si>
    <t>Multas e Juros de Mora da Dívida Ativa do Imposto sobre Operações de Crédito, Câmbio e Seguro ou Relativas a Títulos ou Valores Mobiliários</t>
  </si>
  <si>
    <t>Registra o valor total da arrecadação de receita de multas e juros de mora incidentes sobre a dívida ativa do Imposto sobre a Operações de Crédito, Câmbio e Seguro ou Relativas a Títulos ou Valores Mobiliários.</t>
  </si>
  <si>
    <t>Receita de Multas e Juros de Mora da Dívida Ativa do Imposto sobre Operações de Crédito, Câmbio e Seguro ou Relativas a Títulos ou Valores Mobiliários</t>
  </si>
  <si>
    <t>Registra o valor da arrecadação de receita de multas e juros de mora incidentes sobre a dívida ativa do Imposto sobre a Operações de Crédito, Câmbio e Seguro ou Relativas a Títulos ou Valores Mobiliários.</t>
  </si>
  <si>
    <t>Receita de Parcelamentos – Multas e Juros de Mora da Dívida Ativa do Imposto sobre Operações de Crédito, Câmbio e Seguro ou Relativas a Títulos ou Valores Mobiliários</t>
  </si>
  <si>
    <t>Registra o valor decorrente de parcelamentos de Multas e Juros de Mora da Dívida Ativa do Imposto sobre Operações de Crédito, Câmbio e Seguro ou Relativas a Títulos e Valores Mobiliários, no âmbito do Programa de Recuperação Fiscal - REFIS e do Programa Especial de Parcelamento de Débito – PAES, criados respectivamente por meio das leis nº 9.964/2000 e 10.684/2003.</t>
  </si>
  <si>
    <t>Multas e Juros de Mora da Dívida Ativa do Imposto sobre a Exportação</t>
  </si>
  <si>
    <t>Registra o valor total da arrecadação de receitas de multas e juros de mora incidentes sobre a dívida ativa do Imposto sobre a Exportação.</t>
  </si>
  <si>
    <t>Receita de Multas e Juros de Mora da Dívida Ativa do Imposto sobre a Exportação</t>
  </si>
  <si>
    <t>Registra o valor da arrecadação de receitas de multas e juros de mora incidentes sobre a dívida ativa do Imposto sobre a Exportação.</t>
  </si>
  <si>
    <t>Receita de Parcelamentos – Multas e Juros de Mora da Dívida Ativa do Imposto sobre a Exportação</t>
  </si>
  <si>
    <t>Registra o valor decorrente de parcelamentos de Multas e Juros de Mora da Dívida Ativa do Imposto sobre a Exportação, no âmbito do Programa de Recuperação Fiscal - REFIS e do Programa Especial de Parcelamento de Débito – PAES, criados respectivamente por meio das leis nº 9.964/2000 e 10.684/2003.</t>
  </si>
  <si>
    <t>Multas e Juros de Mora da Dívida Ativa do Imposto sobre a Propriedade Territorial Rural</t>
  </si>
  <si>
    <t>Registra o valor da arrecadação de receitas de multas e juros de mora incidentes sobre a dívida ativa do Imposto sobre a Propriedade Territorial Rural.</t>
  </si>
  <si>
    <t>Multas e Juros de Mora da Dívida Ativa do Imposto sobre a Propriedade Territorial Rural - Municípios Conveniados</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</si>
  <si>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devido aos municípios que optarem pela fiscalização e cobrança desse imposto.</t>
  </si>
  <si>
    <t>Multas e Juros de Mora da Dívida Ativa do Imposto sobre a Propriedade Territorial Rural - Municípios Não-Conveniados</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</si>
  <si>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parcialmente devido aos municípios que não optarem pela fiscalização e cobrança desse imposto.</t>
  </si>
  <si>
    <t>Multas e Juros de Mora da Dívida Ativa da Taxa de Fiscalização das Telecomunicações</t>
  </si>
  <si>
    <t>Resultado de penas pecuniárias impostas aos contribuintes pelo não-cumprimento de obrigações para com a Fazenda Pública no transcurso do prazo exigível, incidente sobre a dívida ativa das Taxas de Fiscalização das Telecomunicações.</t>
  </si>
  <si>
    <t>Multas e Juros de Mora da Dívida Ativa da Taxa de Fiscalização de Instalação</t>
  </si>
  <si>
    <t>Resultado de penas pecuniárias impostas aos contribuintes pelo não-cumprimento de obrigações para com a Fazenda Pública no transcurso do prazo exigível, incidente sobre a dívida ativa da Taxa de Fiscalização de Instalação.</t>
  </si>
  <si>
    <t>Multas e Juros de Mora da Dívida Ativa da Taxa de Fiscalização de Funcionamento</t>
  </si>
  <si>
    <t>Resultado de penas pecuniárias impostas aos contribuintes pelo não-cumprimento de obrigações para com a Fazenda Pública no transcurso do prazo exigível, incidente sobre a dívida ativa da Taxa de Fiscalização de Funcionamento.</t>
  </si>
  <si>
    <t>Multas e Juros de Mora da Dívida Ativa da Taxa de Fiscalização dos Produtos Controlados pelo Ministério do Exército</t>
  </si>
  <si>
    <t>Registra o valor da arrecadação de receitas de multas e juros de mora incidentes sobre a dívida ativa da Taxa de Fiscalização dos Produtos Controlados pelo Ministério do Exército. (Decreto-Lei n° 2.025/1983).</t>
  </si>
  <si>
    <t>Multas e Juros de Mora da Dívida Ativa do Imposto sobre a Propriedade Predial e Territorial Urbana – IPTU</t>
  </si>
  <si>
    <t>Registra o valor da arrecadação de receitas de multas e juros de mora incidentes sobre a dívida ativa do Imposto sobre a Propriedade Predial e Territorial Urbana – IPTU.</t>
  </si>
  <si>
    <t>Multas e Juros de Mora da Dívida Ativa do Imposto sobre a Transmissão Inter-Vivos de Bens Imóveis – ITBI</t>
  </si>
  <si>
    <t>Registra o valor da arrecadação de receitas de multas e juros de mora incidentes sobre a dívida ativa do Imposto sobre a Transmissão Inter-Vivos de Bens Imóveis – ITBI.</t>
  </si>
  <si>
    <t>Multas e Juros de Mora da Dívida Ativa do Imposto sobre Serviços de Qualquer Natureza – ISS</t>
  </si>
  <si>
    <t>Registra o valor da arrecadação de receitas de multas e juros de mora incidentes sobre a dívida ativa do Imposto sobre Serviços de Qualquer Natureza – ISS.</t>
  </si>
  <si>
    <t>Multas e Juros de Mora da Dívida Ativa do Imposto sobre a Propriedade de Veículos Automotores – IPVA</t>
  </si>
  <si>
    <t>Registra o valor da arrecadação de receitas de multas e juros de mora incidentes sobre a dívida ativa do Imposto sobre Propriedade de Veículos Automotores – IPVA.</t>
  </si>
  <si>
    <t>Multas e Juros de Mora da Dívida Ativa do Imposto sobre Circulação de Mercadorias e Prestação de Serviços – ICMS</t>
  </si>
  <si>
    <t>Registra o valor da arrecadação de receitas de multas e juros de mora incidentes sobre a dívida ativa do Imposto sobre Circulação de Mercadorias e Prestação de Serviços – ICMS.</t>
  </si>
  <si>
    <t>Multa e Juros de Mora da Dívida Ativa de Custas Judiciais</t>
  </si>
  <si>
    <t xml:space="preserve">Registra o valor da arrecadação de receitas de multas e juros de mora incidentes sobre a dívida ativa de custas judiciais. </t>
  </si>
  <si>
    <t>Multa e Juros de Mora da Dívida Ativa do Imposto sobre Transmissão “Causa Mortis” e Doação de Bens e Direitos</t>
  </si>
  <si>
    <t>Registra o valor da arrecadação de receitas de multas e juros de mora incidentes sobre a dívida ativa do Imposto sobre Transmissão “Causa Mortis” e Doação de Bens e Direitos.</t>
  </si>
  <si>
    <t>Multas e Juros de Mora da Dívida Ativa da Taxa de Fiscalização e Vigilância Sanitária</t>
  </si>
  <si>
    <t>Registra o valor da arrecadação de receitas de multas e juros de mora incidentes sobre a dívida ativa da Taxa de Fiscalização e Vigilância Sanitária.</t>
  </si>
  <si>
    <t>Multas e Juros de mora da Dívida Ativa das Contribuições de Melhoria.</t>
  </si>
  <si>
    <t>Registra o valor da arrecadação de receitas de multas e juros de mora incidentes sobre a dívida ativa das contribuições de melhoria.</t>
  </si>
  <si>
    <t>Multas e Juros de Mora da Dívida Ativa de Outros Tributos</t>
  </si>
  <si>
    <t>Registra o valor da arrecadação de receitas de multas e juros de mora incidentes sobre outros tributos não classificados nos itens anteriores.</t>
  </si>
  <si>
    <t>Multa e Juros de Mora da Dívida Ativa das Contribuições</t>
  </si>
  <si>
    <t>Registra o valor total da arrecadação da receita de multas e juros de mora incidentes sobre a dívida ativa das contribuições.</t>
  </si>
  <si>
    <t>Multas e Juros de Mora da Dívida Ativa da Contribuição para Financiamento da Seguridade Social</t>
  </si>
  <si>
    <t>Registra o valor total da arrecadação de receitas de multas e juros de mora incidentes sobre a dívida ativa da Contribuição para o Financiamento da Seguridade Social.</t>
  </si>
  <si>
    <t>Receita de Multas e Juros de Mora  da Dívida Ativa da Contribuição para Financiamento da Seguridade Social</t>
  </si>
  <si>
    <t>Registra o valor da arrecadação de receitas de multas e juros de mora  da dívida ativa da Contribuição para o Financiamento da Seguridade Social.</t>
  </si>
  <si>
    <t>Receita de Parcelamentos – Multas e Juros de Mora da Dívida Ativa da Contribuição para Financiamento da Seguridade Social</t>
  </si>
  <si>
    <t>Registra o valor decorrente de parcelamentos de Multas e Juros de Mora da Dívida Ativa da Contribuição para o Financiamento da Seguridade Social, no âmbito do Programa de Recuperação Fiscal - REFIS e do Programa Especial de Parcelamento de Débito – PAES, criados respectivamente por meio das leis nº 9.964/2000 e 10.684/2003.</t>
  </si>
  <si>
    <t>Multas e Juros de Mora da Dívida Ativa da Contribuição do Salário-Educação</t>
  </si>
  <si>
    <t>Registra o valor da arrecadação de receitas de multas e juros de mora incidentes sobre a dívida ativa da Contribuição para o Salário-Educação.</t>
  </si>
  <si>
    <t>Multas e Juros de Mora da Dívida Ativa da Contribuição sobre Movimentação ou Transmissão de Valores e de Créditos e Direitos de natureza Financeira</t>
  </si>
  <si>
    <t>Registra o valor total da arrecadação de receitas de multas e juros de mora incidentes sobre a dívida ativa da Contribuição Sobre Movimentação ou Transmissão de Valores e de Créditos e Direitos de Natureza Financeira.</t>
  </si>
  <si>
    <t>Receita de Multas e Juros de Mora da Dívida Ativa da Contribuição sobre Movimentação ou Transmissão de Valores e de Créditos e Direitos de natureza Financeira</t>
  </si>
  <si>
    <t>Registra o valor da arrecadação de receitas de multas e juros de mora  da dívida ativa da contribuição sobre movimentação ou transmissão da Contribuição para o Financiamento da Seguridade Social de Valores e de Créditos e Direitos de Natureza Financeira.</t>
  </si>
  <si>
    <t>Receita de Parcelamentos – Multas e Juros de Mora da Dívida Ativa da Contribuição sobre Movimentação Financeira</t>
  </si>
  <si>
    <t>Registra o valor decorrente de parcelamentos de Multas e Juros de Mora da Dívida Ativa da Contribuição sobre Movimentação Financeira, no âmbito do Programa de Recuperação Fiscal - REFIS e do Programa Especial de Parcelamento de Débito – PAES, criados respectivamente por meio das leis nº 9.964/2000 e 10.684/2003.</t>
  </si>
  <si>
    <t>Multas e Juros de Mora da Dívida Ativa das Contribuições Previdenciárias para o Regime Geral de Previdência Social.</t>
  </si>
  <si>
    <t>Registra o valor da arrecadação de receitas resultado de penas pecuniárias impostas aos contribuintes pelo não cumprimento de obrigações para com a Fazenda Pública no transcurso do prazo exigível, incidentes sobre a dívida ativa das Contribuições Previdenciárias para o Regime Geral de Previdência Social.</t>
  </si>
  <si>
    <t>Multas e Juros de Mora da Dívida Ativa da Contribuição Previdenciária do Segurado Obrigatório – Contribuinte Individual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</si>
  <si>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Contribuinte Individual.</t>
  </si>
  <si>
    <t>Multas e Juros de Mora da Dívida Ativa da Contribuição Previdenciária do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</si>
  <si>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do Segurado Assalariado.</t>
  </si>
  <si>
    <t>Multas e Juros de Mora da Dívida Ativa da Contribuição Previdenciária da Empresa sobre 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</si>
  <si>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sobre o Segurado Assalariado.</t>
  </si>
  <si>
    <t>Multas e Juros de Mora da Dívida Ativa da Contribuição Previdenciária da Empresa Optante pelo SIMPLES</t>
  </si>
  <si>
    <t>Registra o valor da receita resultante de penas pecuniárias impostas aos contribuintes pelo não cumprimento de obrigações para com a Fazenda Pública no transcurso do prazo exigível, incidentes sobre a dívida ativa da Contribuição Previdenciária da Empresa Optante pelo SIMPLES.</t>
  </si>
  <si>
    <t>Multas e Juros de Mora da Dívida Ativa da Contribuição Previdenciária sobre Espetáculo Desportivo</t>
  </si>
  <si>
    <t>Registra o valor da receita resultante de penas pecuniárias impostas aos contribuintes pelo não cumprimento de obrigações para com a Fazenda Pública no transcurso do prazo exigível, incidentes sobre a dívida ativa da Contribuição Previdenciária sobre Espetáculo Desportivo.</t>
  </si>
  <si>
    <t>Multas e Juros de Mora da Dívida Ativa da Contribuição Previdenciária sobre Produção Rural</t>
  </si>
  <si>
    <t>Registra o valor da receita resultante de penas pecuniárias impostas aos contribuintes pelo não cumprimento de obrigações para com a Fazenda Pública no transcurso do prazo exigível, incidentes sobre a dívida ativa da Contribuição Previdenciária sobre Produção Rural.</t>
  </si>
  <si>
    <t>Multas e Juros de Mora da Dívida Ativa da Contribuição Previdenciária em Regime de Parcelamento de Débitos</t>
  </si>
  <si>
    <t>Registra o valor da receita resultante de penas pecuniárias impostas aos contribuintes pelo não cumprimento de obrigações para com a Fazenda Pública no transcurso do prazo exigível, incidentes sobre a dívida ativa da Contribuição Previdenciária em Regime de Parcelamento de Débitos.</t>
  </si>
  <si>
    <t>Multas e Juros de Mora da Dívida Ativa da Contribuição Previdenciária para o Seguro de Acidente do Trabalho</t>
  </si>
  <si>
    <t>Registra o valor da receita resultante de penas pecuniárias impostas aos contribuintes pelo não cumprimento de obrigações para com a Fazenda Pública no transcurso do prazo exigível, incidentes sobre a dívida ativa da Contribuição Previdenciária para o Seguro de Acidente do Trabalho.</t>
  </si>
  <si>
    <t>Multas e Juros de Mora da Dívida Ativa da Contribuição Previdenciária sobre Reclamatória Trabalhista</t>
  </si>
  <si>
    <t>Registra o valor da receita resultante de penas pecuniárias impostas aos contribuintes pelo não cumprimento de obrigações para com a Fazenda Pública no transcurso do prazo exigível, incidentes sobre a dívida ativa da Contribuição Previdenciária sobre Reclamatória Trabalhista.</t>
  </si>
  <si>
    <t>Multas e Juros de Mora da Dívida Ativa da Contribuição Previdenciária do Segurado em Regime de Parcelamento de Débitos dos Municípios</t>
  </si>
  <si>
    <t>Registra o valor da receita resultante de penas pecuniárias impostas aos contribuintes pelo não cumprimento de obrigações para com a Fazenda Pública no transcurso do prazo exigível, incidentes sobre a dívida ativa da Contribuição Previdenciária do Segurado em Regime de Parcelamento de Débitos dos Municípios.</t>
  </si>
  <si>
    <t>Multas e Juros de Mora da Dívida Ativa da Contribuição Previdenciária do Segurado Obrigatório – Empresário</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</si>
  <si>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Empresário.</t>
  </si>
  <si>
    <t>Multas e Juros de Mora da Dívida Ativa da Contribuição Previdenciária do Segurado Facultativo</t>
  </si>
  <si>
    <t>Registra o valor da receita resultante de penas pecuniárias impostas aos contribuintes pelo não cumprimento de obrigações para com a Fazenda Pública no transcurso do prazo exigível, incidentes sobre a dívida ativa da Contribuição Previdenciária do Segurado Facultativo.</t>
  </si>
  <si>
    <t>Multas e Juros de Mora da Dívida Ativa da Contribuição Previdenciária do Segurado Especial</t>
  </si>
  <si>
    <t>Registra o valor da receita resultante de penas pecuniárias impostas aos contribuintes pelo não cumprimento de obrigações para com a Fazenda Pública no transcurso do prazo exigível, incidentes sobre a dívida ativa da Contribuição Previdenciária do Segurado Especial.</t>
  </si>
  <si>
    <t>Multas e Juros de Mora da Dívida Ativa da Contribuição Previdenciária do Segurado Obrigatório – Empregado Doméstico</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</si>
  <si>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Empregado Doméstico.</t>
  </si>
  <si>
    <t>Multas e Juros de Mora da Dívida Ativa da Contribuição Previdenciária dos Órgãos do Poder Público</t>
  </si>
  <si>
    <t>Registra o valor da receita resultante de penas pecuniárias impostas aos contribuintes pelo não cumprimento de obrigações para com a Fazenda Pública no transcurso do prazo exigível, incidentes sobre a dívida ativa da Contribuição Previdenciária dos Órgãos do Poder Público.</t>
  </si>
  <si>
    <t>Multas e Juros de Mora da Dívida Ativa da Contribuição Previdenciária das Entidades Filantrópicas</t>
  </si>
  <si>
    <t>Registra o valor da receita resultante de penas pecuniárias impostas aos contribuintes pelo não cumprimento de obrigações para com a Fazenda Pública no transcurso do prazo exigível, incidentes sobre a dívida ativa da Contribuição Previdenciária das Entidades Filantrópicas.</t>
  </si>
  <si>
    <t>Multas e Juros de Mora da Dívida Ativa da Contribuição Previdenciária – Retenção sobre Nota Fiscal – Sub-rogação</t>
  </si>
  <si>
    <t>Registra o valor da receita resultante de penas pecuniárias impostas aos contribuintes pelo não cumprimento de obrigações para com a Fazenda Pública no transcurso do prazo exigível, incidentes sobre a dívida ativa da Contribuição Previdenciária – Retenção sobre Nota Fiscal – Sub-rogação.</t>
  </si>
  <si>
    <t>Multas e Juros de Mora da Dívida Ativa de Arrecadação FIES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</si>
  <si>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de Financiamento ao Estudante do Ensino Superior FIES – Certificados Financeiros do Tesouro Nacional.</t>
  </si>
  <si>
    <t>Multas e Juros de Mora da Dívida Ativa da Arrecadação FNS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</si>
  <si>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Nacional de Saúde – FNS – Certificados Financeiros do Tesouro Nacional.</t>
  </si>
  <si>
    <t>Multas e Juros de Mora da Dívida Ativa de Certificados da Dívida Pública – CDP</t>
  </si>
  <si>
    <t>Registra o valor da receita resultante de penas pecuniárias impostas aos contribuintes pelo não cumprimento de obrigações para com a Fazenda Pública no transcurso do prazo exigível, incidentes sobre a dívida ativa de Certificados da Dívida Pública.</t>
  </si>
  <si>
    <t>Multas e Juros de Mora da Dívida Ativa da Contribuição Previdenciária na Forma de Depósito Judicial, Recursal e Custas Judiciais</t>
  </si>
  <si>
    <t>Registra o valor da receita resultante de penas pecuniárias impostas aos contribuintes pelo não cumprimento de obrigações para com a Fazenda Pública no transcurso do prazo exigível, incidentes sobre a dívida ativa da Contribuição Previdenciária na Forma de Depósito Judicial, Recursal e Custas Judiciais.</t>
  </si>
  <si>
    <t>Multas e Juros de Mora da Dívida Ativa da Contribuição Previdenciária – Parcelamentos</t>
  </si>
  <si>
    <t>Registra o valor da receita resultante de penas pecuniárias impostas aos contribuintes pelo não-cumprimento de obrigações para com a Fazenda Pública no transcurso do prazo exigível, incidente sobre a dívida ativa da Contribuição Previdenciária decorrente de parcelamentos.</t>
  </si>
  <si>
    <t>Multas e Juros da Dívida Ativa da Contribuição Previdenciária da Empresa Incidente sobre a Receita Bruta</t>
  </si>
  <si>
    <t>Registra a arrecadação decorrente de penas pecuniárias impostas aos contribuintes pelo não-cumprimento de obrigações para com a Fazenda Pública no transcurso do prazo exigível, incidente sobre a dívida ativa da contribuição previdenciária da empresa incidente sobre a receita bruta.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</si>
  <si>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Multas e Juros de Mora da Dívida Ativa de Outras Contribuições Previdenciárias</t>
  </si>
  <si>
    <t>Registra o valor da receita resultante de penas pecuniárias impostas aos contribuintes pelo não cumprimento de obrigações para com a Fazenda Pública no transcurso do prazo exigível, incidentes sobre a dívida ativa de outras contribuições previdenciárias.</t>
  </si>
  <si>
    <t>Multas e Juros de Mora da Dívida Ativa das Contribuições para o PIS/PASEP</t>
  </si>
  <si>
    <t>Registra o valor total da arrecadação de receita de multas e juros de mora da dívida ativa das contribuições para o PIS/PASEP.</t>
  </si>
  <si>
    <t>Receita de Multas e Juros de Mora da Dívida Ativa das Contribuições para o PIS/PASEP</t>
  </si>
  <si>
    <t>Registra o valor da arrecadação de receita de multas e juros de mora  da dívida ativa das contribuições para o PIS/PASEP.</t>
  </si>
  <si>
    <t>Receita de Parcelamentos – Multas e Juros de Mora da Dívida Ativa das Contribuições para o PIS/PASEP</t>
  </si>
  <si>
    <t>Registra o valor decorrente de parcelamentos de Multas e Juros de Mora da Dívida Ativa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</si>
  <si>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Multas e Juros de Mora da Dívida Ativa da Contribuição Social sobre o Lucro das Pessoas Jurídicas</t>
  </si>
  <si>
    <t xml:space="preserve">Registra o valor total da arrecadação de receitas de multas e juros de mora incidentes sobre a dívida ativa da Contribuição Social sobre o Lucro Líquido das Pessoas Jurídicas. </t>
  </si>
  <si>
    <t>Receita de Multas e Juros de Mora da Dívida Ativa da Contribuição Social sobre o Lucro das Pessoas Jurídicas</t>
  </si>
  <si>
    <t>Registra o valor da arrecadação de receitas de multas e juros de mora  da dívida ativa da Contribuição Social sobre o Lucro Líquido das Pessoas Jurídicas.</t>
  </si>
  <si>
    <t>Receita de Parcelamentos – Multas e Juros de Mora da Dívida Ativa da Contribuição Social sobre o Lucro das Pessoas Jurídicas</t>
  </si>
  <si>
    <t>Registra o valor decorrente de parcelamentos de Multas e Juros de Mora da Dívida Ativa da Contribuição Social sobre o Lucro das Pessoas Jurídicas, no âmbito do Programa de Recuperação Fiscal - REFIS e do Programa Especial de Parcelamento de Débito – PAES, criados respectivamente por meio das leis nº 9.964/2000 e 10.684/2003.</t>
  </si>
  <si>
    <t>Multas e Juros de Mora da Dívida Ativa sobre a Contribuição dos Concursos e Prognósticos</t>
  </si>
  <si>
    <t>Registra o valor da arrecadação de receitas de multas e juros de mora incidentes sobre a dívida ativa da Contribuição dos Concursos e Prognósticos.</t>
  </si>
  <si>
    <t>Multas e Juros de Mora da Dívida Ativa da Contribuição sobre a Receita da Loteria Federal</t>
  </si>
  <si>
    <t>Registra o valor da receita advinda de crédito da Fazenda Pública, pelo não recolhimento no transcurso do prazo exigível, incidente sobre a dívida ativa da Contribuição sobre a Receita da Loteria Federal.</t>
  </si>
  <si>
    <t>Multas e Juros de Mora da Dívida Ativa da Contribuição sobre a Receita de Loterias Esportivas</t>
  </si>
  <si>
    <t>Registra o valor da receita advinda de crédito da Fazenda Pública, pelo não recolhimento no transcurso do prazo exigível, incidente sobre a dívida ativa da Contribuição sobre a Receita de Loterias Esportivas.</t>
  </si>
  <si>
    <t>Multas e Juros de Mora da Dívida Ativa da Contribuição sobre a Receita de Concursos Especiais de Loterias Esportivas</t>
  </si>
  <si>
    <t>Registra o valor da receita advinda de crédito da Fazenda Pública, pelo não recolhimento no transcurso do prazo exigível, incidente sobre a dívida ativa da Contribuição sobre a Receita de Concursos Especiais de Loterias Esportivas.</t>
  </si>
  <si>
    <t>Multas e Juros de Mora da Dívida Ativa da Contribuição sobre a Receita de Loterias de Números</t>
  </si>
  <si>
    <t>Registra o valor da receita advinda de crédito da Fazenda Pública, pelo não recolhimento no transcurso do prazo exigível, incidente sobre a dívida ativa da Contribuição sobre a Receita de Loterias de Números.</t>
  </si>
  <si>
    <t>Multas e Juros de Mora da Dívida Ativa da Contribuição sobre a Receita da Loteria Instantânea</t>
  </si>
  <si>
    <t>Registra o valor da receita advinda de crédito da Fazenda Pública, pelo não recolhimento no transcurso do prazo exigível, incidente sobre a dívida ativa da Contribuição sobre a Receita da Loteria Instantânea.</t>
  </si>
  <si>
    <t>Multas e Juros de Mora da Dívida Ativa da Contribuição sobre a Receita de Prêmios Prescritos de Loterias Federais</t>
  </si>
  <si>
    <t>Registra o valor da receita advinda de crédito da Fazenda Pública, pelo não recolhimento no transcurso do prazo exigível, incidente sobre a dívida ativa da Contribuição sobre a Receita de Prêmios Prescritos de Loterias Federais.</t>
  </si>
  <si>
    <t>Multas e Juros de Mora da Dívida Ativa sobre a Contribuição Relativa à Despedida de Empregado sem Justa Causa</t>
  </si>
  <si>
    <t>Registra o valor da arrecadação de receitas de multas e juros de mora incidentes sobre a dívida ativa da Contribuição Relativa à Despedida de Empregado sem Justa Causa.</t>
  </si>
  <si>
    <t>Multas e Juros de Mora da Dívida Ativa sobre a Contribuição sobre a Remuneração Devida ao Trabalhador</t>
  </si>
  <si>
    <t>Registra o valor da arrecadação de receitas de multas e juros de mora incidentes sobre a dívida ativa da Contribuição sobre a Remuneração Devida ao Trabalhador.</t>
  </si>
  <si>
    <t>Multas e Juros de Mora da Dívida Ativa da Cota-Parte do Adicional ao Frete para Renovação da Marinha Mercante</t>
  </si>
  <si>
    <t>Registra o valor da arrecadação de receitas de multas e juros de mora incidentes sobre a dívida ativa da Cota-Parte do Adicional ao Frete para a Renovação da Marinha Mercante.</t>
  </si>
  <si>
    <t>Multas e Juros de Mora da Dívida Ativa da Contribuição Relativa às Atividades de Comercialização de Petróleo e seus Derivados, Gás Natural e Álcool Carburante</t>
  </si>
  <si>
    <t>Registra o valor da arrecadação de receitas de multas e juros de mora incidentes sobre a dívida ativa da Contribuição Relativa às Atividades de Comercialização de Petróleo e seus Derivados, Gás Natural e Álcool Carburante.</t>
  </si>
  <si>
    <t>Receita de Multas e Juros de Mora da Dívida Ativa da Contribuição Relativa às Atividades de Comercialização de Petróleo e seus Derivados, Gás Natural e Álcool Carburante</t>
  </si>
  <si>
    <t>Registra o valor da arrecadação de receita de multas e juros de mora incidentes sobre a dívida ativa da Contribuição Relativa às Atividades de Comercialização de Petróleo e seus Derivados, Gás Natural e Álcool Carburante.</t>
  </si>
  <si>
    <t>Receita de Parcelamentos - Multas e Juros de Mora da Dívida Ativa da Contribuição Relativa às Atividades de Comercialização de Petróleo e seus Derivados, Gás Natural e Álcool Carburante</t>
  </si>
  <si>
    <t>Registra o valor decorrente de parcelamentos de Multas e Juros de Mora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</si>
  <si>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Juros de Mora do FUNDAF – Dívida Ativa das Contribuições</t>
  </si>
  <si>
    <t xml:space="preserve">Registra as receitas advindas de créditos da fazenda Pública, pelo não pagamento dos contribuintes no transcurso do prazo exigível, na forma de juros de mora, até o limite de 1%, incidentes sobre a dívida ativa das contribuições sociais administradas pela Secretaria da Receita Federal, vinculados ao Fundo Especial de Desenvolvimento e Aperfeiçoamento das Atividades de Fiscalização – FUNDAF, excetuando-se as contribuições previdenciárias arrecadadas pelo INSS. </t>
  </si>
  <si>
    <t>Juros de Mora do FUNDAF – Receita da Dívida Ativa da Contribuição para o Financiamento da Seguridade Social</t>
  </si>
  <si>
    <t>Registra as receitas advindas de créditos da fazenda Pública, pelo não pagamento dos contribuintes no transcurso do prazo exigível, na forma de juros de mora, até o limite de 1%, incidentes sobre a dívida ativa da Contribuição para o Financiamento da Seguridade Social, vinculados ao Fundo Especial de Desenvolvimento e Aperfeiçoamento das Atividades de Fiscalização – FUNDAF.</t>
  </si>
  <si>
    <t>Juros de Mora do FUNDAF - Receita de Parcelamentos da Dívida Ativa da Contribuição para o Financiamento da Seguridade Social</t>
  </si>
  <si>
    <t>Registra as receitas advindas de créditos da fazenda Pública, pelo não pagamento dos contribuintes no transcurso do prazo exigível, na forma de juros de mora, até o limite de 1%, decorrentes de parcelamentos da Dívida Ativa da Contribuição para o Financiamento da Seguridade Social, vinculados ao Fundo Especial de Desenvolvimento e Aperfeiçoamento das Atividades de Fiscalização – FUNDAF.</t>
  </si>
  <si>
    <t>Juros de Mora do FUNDAF – Receita da Dívida Ativa da Contribuição sobre Movimentação Financeira</t>
  </si>
  <si>
    <t>Registra as receitas advindas de créditos da fazenda Pública, pelo não pagamento dos contribuintes no transcurso do prazo exigível, na forma de juros de mora, até o limite de 1%, incidentes sobre a dívida ativa da Contribuição sobre Movimentação Financeira, vinculados ao Fundo Especial de Desenvolvimento e Aperfeiçoamento das Atividades de Fiscalização – FUNDAF.</t>
  </si>
  <si>
    <t>Juros de Mora do FUNDAF - Receita de Parcelamentos da Dívida Ativa da Contribuição sobre Movimentação Financeira</t>
  </si>
  <si>
    <t>Registra as receitas advindas de créditos da fazenda Pública, pelo não pagamento dos contribuintes no transcurso do prazo exigível, na forma de juros de mora, até o limite de 1%, decorrentes de Parcelamentos da Dívida Ativa da Contribuição sobre Movimentação Financeira, vinculados ao Fundo Especial de Desenvolvimento e Aperfeiçoamento das Atividades de Fiscalização – FUNDAF.</t>
  </si>
  <si>
    <t>Juros de Mora do FUNDAF – Receita da Dívida Ativa das Contribuições para os Programas de Integração Social e de Formação do Patrimônio do Servidor Público</t>
  </si>
  <si>
    <t>Registra as receitas advindas de créditos da fazenda Pública, pelo não pagamento dos contribuintes no transcurso do prazo exigível, na forma de juros de mora, até o limite de 1%, incidentes sobre a dívida ativa das contribuições para os Programas de Integração Social e de Formação do Patrimônio do Servidor Público, vinculados ao Fundo Especial de Desenvolvimento e Aperfeiçoamento das Atividades de Fiscalização – FUNDAF.</t>
  </si>
  <si>
    <t>Juros de Mora do FUNDAF - Receita de Parcelamentos da Dívida Ativa das Contribuições para os Programas de Integração Social e de Formação do Patrimônio do Servidor Público</t>
  </si>
  <si>
    <t>Registra as receitas advindas de créditos da fazenda Pública, pelo não pagamento dos contribuintes no transcurso do prazo exigível, na forma de juros de mora, até o limite de 1%, decorrentes de Parcelamentos da Dívida Ativa das Contribuições para os Programas de Integração Social e de Formação do Patrimônio do Servidor Público, vinculados ao Fundo Especial de Desenvolvimento e Aperfeiçoamento das Atividades de Fiscalização – FUNDAF.</t>
  </si>
  <si>
    <t>Juros de Mora do FUNDAF - Receita da Dívida Ativa da Contribuição Social sobre o Lucro das Pessoas Jurídicas</t>
  </si>
  <si>
    <t>Registra as receitas advindas de créditos da fazenda Pública, pelo não pagamento dos contribuintes no transcurso do prazo exigível, na forma de juros de mora, até o limite de 1%, incidentes sobre a dívida ativa da contribuição Social sobre o Lucro das Pessoas Jurídicas, vinculados ao Fundo Especial de Desenvolvimento e Aperfeiçoamento das Atividades de Fiscalização – FUNDAF.</t>
  </si>
  <si>
    <t>Juros de Mora do FUNDAF - Receita de Parcelamentos da Dívida Ativa da Contribuição Social sobre o Lucro das Pessoas Jurídicas</t>
  </si>
  <si>
    <t>Registra as receitas advindas de créditos da fazenda Pública, pelo não pagamento dos contribuintes no transcurso do prazo exigível, na forma de juros de mora, até o limite de 1%, decorrentes de parcelamentos da Dívida Ativa da Contribuição Social sobre o Lucro das Pessoas Jurídicas, vinculados ao Fundo Especial de Desenvolvimento e Aperfeiçoamento das Atividades de Fiscalização – FUNDAF.</t>
  </si>
  <si>
    <t>Juros de Mora do FUNDAF – Dívida Ativa da Contribuição sobre a Receita da Loteria Federal</t>
  </si>
  <si>
    <t>Registra as receitas advindas de créditos da fazenda Pública, pelo não pagamento dos contribuintes no transcurso do prazo exigível, na forma de juros de mora, até o limite de 1%, incidentes sobre a dívida ativa da Contribuição sobre a Receita da Loteria Federal, vinculados ao Fundo Especial de Desenvolvimento e Aperfeiçoamento das Atividades de Fiscalização – FUNDAF.</t>
  </si>
  <si>
    <t>Juros de Mora do FUNDAF - Dívida Ativa da Contribuição sobre a Receita de Loterias Esportivas</t>
  </si>
  <si>
    <t>Registra as receitas advindas de créditos da fazenda Pública, pelo não pagamento dos contribuintes no transcurso do prazo exigível, na forma de juros de mora, até o limite de 1%, incidentes sobre a dívida ativa da contribuição sobre a Receita de Loterias Esportivas, vinculados ao Fundo Especial de Desenvolvimento e Aperfeiçoamento das Atividades de Fiscalização – FUNDAF.</t>
  </si>
  <si>
    <t>Juros de Mora do FUNDAF - Dívida Ativa da Contribuição sobre a Receita de Concursos Especiais de Loterias Esportivas</t>
  </si>
  <si>
    <t>Registra as receitas advindas de créditos da fazenda Pública, pelo não pagamento dos contribuintes no transcurso do prazo exigível, na forma de juros de mora, até o limite de 1%, incidentes sobre a dívida ativa da contribuição sobre a Receita de Concursos Especiais de Loterias Esportivas, vinculados ao Fundo Especial de Desenvolvimento e Aperfeiçoamento das Atividades de Fiscalização – FUNDAF.</t>
  </si>
  <si>
    <t>Juros de Mora do FUNDAF - Dívida Ativa da Contribuição sobre a Receita de Loterias de Números</t>
  </si>
  <si>
    <t>Registra as receitas advindas de créditos da fazenda Pública, pelo não pagamento dos contribuintes no transcurso do prazo exigível, na forma de juros de mora, até o limite de 1%, incidentes sobre a dívida ativa da contribuição sobre a Receita de Loterias de Números, vinculados ao Fundo Especial de Desenvolvimento e Aperfeiçoamento das Atividades de Fiscalização – FUNDAF.</t>
  </si>
  <si>
    <t>Juros de Mora do FUNDAF - Dívida Ativa da Contribuição sobre a Receita da Loteria Instantânea</t>
  </si>
  <si>
    <t>Registra as receitas advindas de créditos da fazenda Pública, pelo não pagamento dos contribuintes no transcurso do prazo exigível, na forma de juros de mora, até o limite de 1%, incidentes sobre a dívida ativa da contribuição sobre a Receita da Loteria Instantânea, vinculados ao Fundo Especial de Desenvolvimento e Aperfeiçoamento das Atividades de Fiscalização – FUNDAF.</t>
  </si>
  <si>
    <t>Juros de Mora do FUNDAF – Receita da Dívida Ativa de Prêmios Prescritos de Loterias Federais</t>
  </si>
  <si>
    <t>Registra as receitas advindas de créditos da fazenda Pública, pelo não pagamento dos contribuintes no transcurso do prazo exigível, na forma de juros de mora, até o limite de 1%, incidentes sobre a dívida ativa de Prêmios Prescritos da Loteria Federal, vinculados ao Fundo Especial de Desenvolvimento e Aperfeiçoamento das Atividades de Fiscalização – FUNDAF.</t>
  </si>
  <si>
    <t>Multas e Juros de Mora da Dívida Ativa das Contribuições sobre os Serviços de Telecomunicações</t>
  </si>
  <si>
    <t>Resultado de penas pecuniárias impostas aos contribuintes pelo não-cumprimento de obrigações para com a Fazenda Pública no transcurso do prazo exigível, incidente sobre a dívida ativa das contribuições sobre os serviços de telecomunicações.</t>
  </si>
  <si>
    <t>Multas e Juros de Mora da Dívida Ativa da Contribuição sobre a Receita Operacional Bruta Decorrente de Prestação de Serviços de Telecomunicações</t>
  </si>
  <si>
    <t>Resultado de penas pecuniárias impostas aos contribuintes pelo não-cumprimento de obrigações para com a Fazenda Pública no transcurso do prazo exigível, incidente sobre a dívida ativa da Contribuição sobre a Receita Operacional Bruta Decorrente de Prestação de Serviços de Telecomunicações.</t>
  </si>
  <si>
    <t>Multas e Juros de Mora da Dívida Ativa da Contribuição para o Fomento da Radiodifusão Pública</t>
  </si>
  <si>
    <t>Resultado de penas pecuniárias impostas aos contribuintes pelo não-cumprimento de obrigações para com a Fazenda Pública no transcurso do prazo exigível, incidente sobre a dívida ativa da Contribuição para o Fomento da Radiodifusão Pública.</t>
  </si>
  <si>
    <t>Multas e Juros de Mora da Dívida Ativa de Outras Contribuições</t>
  </si>
  <si>
    <t>Registra o valor total da arrecadação de receitas de multas e juros de mora incidentes sobre a dívida ativa de outras contribuições não classificadas nos itens anteriores.</t>
  </si>
  <si>
    <t>Multas e Juros de Mora da Dívida Ativa de Outras Contribuições – Principal</t>
  </si>
  <si>
    <t>Registra o valor da arrecadação de receitas de multas e juros de mora incidentes sobre a dívida ativa de outras contribuições não classificadas nos itens anteriores.</t>
  </si>
  <si>
    <t>Parcelamentos - Multas e Juros de Mora da Dívida Ativa de Outras Contribuições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</si>
  <si>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</si>
  <si>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Multa e Juros de Mora da Dívida Ativa de Outras Receitas</t>
  </si>
  <si>
    <t>Registra o valor total da arrecadação da receita de multas e juros de mora incidentes sobre a dívida ativa de outras receitas.</t>
  </si>
  <si>
    <t>Multas e Juros de Mora da Dívida Ativa das Multas por Infração à Legislação Trabalhista</t>
  </si>
  <si>
    <t xml:space="preserve">Registra o valor da arrecadação de receita de multas e juros de mora de obrigações para com a Fazenda Pública, pelo não pagamento dos contribuintes no transcurso do prazo exigível, incidente sobre a Dívida de Infração à Legislação Trabalhista. </t>
  </si>
  <si>
    <t>Multas e Juros de Mora da Dívida Ativa da Receita de Exploração de Recursos Minerais</t>
  </si>
  <si>
    <t>Registra o valor da arrecadação da receita advinda de crédito da Fazenda Pública, pelo não pagamento dos contribuintes no transcurso do prazo exigível, incidente sobre a dívida ativa da Receita de Exploração de Recursos Minerais.</t>
  </si>
  <si>
    <t>Multas e Juros de Mora da Dívida Ativa da Receita de Outorga de Direitos de Exploração e Pesquisa Mineral</t>
  </si>
  <si>
    <t>Registra o valor da arrecadação da receita advinda de crédito da Fazenda Pública, pelo não pagamento dos contribuintes no transcurso do prazo exigível, incidente sobre a dívida ativa da Receita de Outorga de Direitos de Exploração e Pesquisa Mineral.</t>
  </si>
  <si>
    <t>Multas e Juros de Mora da Receita da Dívida Ativa das Multas Previstas na Legislação Minerária</t>
  </si>
  <si>
    <t>Registra o valor da arrecadação de receita advinda pelo não-pagamento no transcurso de prazo exigível, incidente sobre a dívida ativa das multas previstas na legislação mineraria.</t>
  </si>
  <si>
    <t>Multas e Juros de Mora da Receita da Dívida Ativa dos Serviços de Inspeção e Fiscalização da Atividade Mineral</t>
  </si>
  <si>
    <t>Registra o valor da arrecadação de receita advinda pelo não-pagamento no transcurso de prazo exigível, incidente sobre a dívida ativa dos serviços de inspeção e fiscalização da atividade mineral.</t>
  </si>
  <si>
    <t>Multas e Juros de Mora da Receita da Dívida Ativa da Multa de Poluição de Águas</t>
  </si>
  <si>
    <t>Registra as receitas advindas do não-pagamento no transcurso de prazo exigível, incidente sobre a dívida ativa da Multa de Poluição de Águas.</t>
  </si>
  <si>
    <t>Multas e Juros de Mora da Receita da Dívida Ativa da Outorga de Direitos de Uso de Recursos Hídricos</t>
  </si>
  <si>
    <t>Registra as receitas advindas do não-pagamento no transcurso de prazo exigível, incidente sobre a dívida ativa da Outorga de Direitos de Uso de Recursos Hídricos.</t>
  </si>
  <si>
    <t>Multas e Juros de Mora da Receita da Dívida Ativa da Multa Prevista no Código Brasileiro de Aeronáutica</t>
  </si>
  <si>
    <t>Registra as receitas advindas do não-pagamento no transcurso de prazo exigível, incidente sobre a dívida ativa da Multa Prevista no Código Brasileiro de Aeronáutica.</t>
  </si>
  <si>
    <t>Multas e Juros de Mora da Receita da Dívida Ativa dos Serviços de Inspeção e Fiscalização</t>
  </si>
  <si>
    <t>Registra as receitas advindas do não-pagamento no transcurso de prazo exigível, incidente sobre a dívida ativa dos Serviços de Inspeção e Fiscalização.</t>
  </si>
  <si>
    <t>Multas e Juros de Mora da Receita da Dívida Ativa das Multas Previstas na Lei Geral das Telecomunicações</t>
  </si>
  <si>
    <t>Registra as receitas advindas do não-pagamento no transcurso de prazo exigível, incidente sobre a dívida ativa das Multas Previstas na Lei Geral das Telecomunicações.</t>
  </si>
  <si>
    <t>Multas e Juros de Mora da Receita da Dívida Ativa de Concessões e Permissões – Serviços de Comunicação</t>
  </si>
  <si>
    <t>Resultado de penas pecuniárias impostas aos contribuintes pelo não-cumprimento de obrigações para com a Fazenda Pública no transcurso do prazo exigível, incidente sobre a dívida ativa de concessões e permissões de serviços de comunicação.</t>
  </si>
  <si>
    <t>Multas e Juros de Mora da Dívida Ativa da Outorga dos Serviços de Telecomunicações</t>
  </si>
  <si>
    <t>Resultado de penas pecuniárias impostas aos contribuintes pelo não-cumprimento de obrigações para com a Fazenda Pública no transcurso do prazo exigível, incidente sobre a dívida ativa da Outorga dos Serviços de Telecomunicações.</t>
  </si>
  <si>
    <t>Multas e Juros de Mora da Dívida Ativa da Outorga dos Serviços de Radiodifusão Sonora e de Sons e Imagens</t>
  </si>
  <si>
    <t>Resultado de penas pecuniárias impostas aos contribuintes pelo não-cumprimento de obrigações para com a Fazenda Pública no transcurso do prazo exigível, incidente sobre a dívida ativa da Outorga dos Serviços de Radiodifusão Sonora e de Sons e Imagens.</t>
  </si>
  <si>
    <t>Multas e Juros de Mora da Dívida Ativa da Outorga do Direito de Uso de Radiofrequência</t>
  </si>
  <si>
    <t>Resultado de penas pecuniárias impostas aos contribuintes pelo não-cumprimento de obrigações para com a Fazenda Pública no transcurso do prazo exigível, incidente sobre a dívida ativa da outorga do direito de uso de radiofrequência.</t>
  </si>
  <si>
    <t>Multas e Juros de Mora da Dívida Ativa da Transferência de Concessão, de Permissão ou de Autorização de Telecomunicações ou de Uso de Radiofrequência</t>
  </si>
  <si>
    <t>Resultado de penas pecuniárias impostas aos contribuintes pelo não-cumprimento de obrigações para com a Fazenda Pública no transcurso do prazo exigível, incidente sobre a dívida ativa da transferência de concessão, de permissão ou de autorização de telecomunicações ou de uso de radiofrequência.</t>
  </si>
  <si>
    <t>Multas e Juros de Mora da Dívida Ativa da Outorga para a Utilização de Posições Orbitais</t>
  </si>
  <si>
    <t>Resultado de penas pecuniárias impostas aos contribuintes pelo não-cumprimento de obrigações para com a Fazenda Pública no transcurso do prazo exigível, incidente sobre a dívida ativa da outorga para a utilização de posições orbitais.</t>
  </si>
  <si>
    <t>Multas e Juros de Mora da Dívida Ativa de Outras Receitas de Concessões e Permissões - Serviços de Comunicação</t>
  </si>
  <si>
    <t>Resultado de penas pecuniárias impostas aos contribuintes pelo não-cumprimento de obrigações para com a Fazenda Pública no transcurso do prazo exigível, incidente sobre a dívida ativa da outorga pelo Poder Público do direito de exploração de serviços públicos de telecomunicações não abrangidos pelas naturezas de receita anteriores.</t>
  </si>
  <si>
    <t>Multas e Juros de Mora da Receita da Dívida Ativa da Contribuição para o Desenvolvimento da Indústria Cinematográfica Nacional</t>
  </si>
  <si>
    <t>Registra as receitas advindas do não-pagamento no transcurso de prazo exigível, incidente sobre a dívida ativa da Contribuição para o Desenvolvimento da Indústria Cinematográfica Nacional.</t>
  </si>
  <si>
    <t>Multas e Juros de Mora da Receita da Dívida Ativa decorrente da Não-Aplicação de Incentivos Fiscais em Projetos Culturais e Indústria Cinematográfica</t>
  </si>
  <si>
    <t>Registra as receitas advindas do não-pagamento no transcurso de prazo exigível, incidente sobre a dívida ativa decorrente da Não-Aplicação de Incentivos Fiscais em Projetos Culturais e Indústria Cinematográfica.</t>
  </si>
  <si>
    <t>Multas e Juros de Mora da Receita da Dívida Ativa das Multas por Infrações à Legislação Cinematográfica</t>
  </si>
  <si>
    <t>Registra as receitas advindas do não-pagamento no transcurso de prazo exigível, incidente sobre a dívida ativa das Multas por Infrações à Legislação Cinematográfica.</t>
  </si>
  <si>
    <t>Multas e Juros de Mora da Receita da Dívida Ativa da Utilização de Recursos Hídricos – Demais Empresas</t>
  </si>
  <si>
    <t>Registra as receitas advindas do não-pagamento no transcurso de prazo exigível, incidente sobre a dívida ativa da Utilização de Recursos Hídricos – Demais Empresas.</t>
  </si>
  <si>
    <t>Multas e Juros de Mora da Receita da Dívida Ativa das Multas Previstas em Lei por Infrações no Setor de Energia Elétrica</t>
  </si>
  <si>
    <t>Registra as receita advindas do não-pagamento no transcurso de prazo exigível, incidente sobre a dívida ativa das Multas Previstas em Lei por Infrações no Setor de Energia Elétrica.</t>
  </si>
  <si>
    <t>Multas e Juros de Mora da Receita da Dívida Ativa da Taxa de Fiscalização de Serviços de Energia Elétrica</t>
  </si>
  <si>
    <t>Registra as receitas advindas do não-pagamento no transcurso de prazo exigível, incidente sobre a dívida ativa da Taxa de Fiscalização de Serviços de Energia Elétrica.</t>
  </si>
  <si>
    <t>Multas e Juros de Mora da Receita da Dívida Ativa  das Multas Previstas na Legislação sobre Lubrificantes e Combustíveis</t>
  </si>
  <si>
    <t>Registra as receitas advindas do não-pagamento no transcurso de prazo exigível, incidente sobre a dívida ativa da Multa das Multas Previstas na Legislação sobre Lubrificantes e Combustíveis.</t>
  </si>
  <si>
    <t>Multas e Juros de Mora da Dívida Ativa das Compensações Financeiras entre o Regime Geral e os Regimes Próprios de Previdência dos Servidores</t>
  </si>
  <si>
    <t>Registra as receitas advindas do não-pagamento no transcurso de prazo exigível, incidente sobre a dívida ativa das Compensações Financeiras entre o Regime Geral e os Regimes Próprios de Previdência dos Servidores.</t>
  </si>
  <si>
    <t>Multas e Juros de Mora da Receita da Dívida Ativa da Taxa de Fiscalização e Autos de Infração no âmbito do Regime de Previdência Complementar Fechada</t>
  </si>
  <si>
    <t>Registra os recursos decorrentes das multas e juros de mora da receita da dívida ativa da taxa de fiscalização e dos autos de infração no âmbito do regime de previdência complementar fechada.</t>
  </si>
  <si>
    <t>Multas e Juros de Mora da Receita da Dívida Ativa da Taxa de Fiscalização – TAFIC</t>
  </si>
  <si>
    <t>Registra os recursos decorrentes das multas e juros de mora da receita da dívida ativa da taxa de fiscalização no âmbito do regime de previdência complementar fechada.</t>
  </si>
  <si>
    <t>Multas e Juros de Mora da Receita da Dívida Ativa do Auto de Infração no âmbito do Regime de Previdência Complementar Fechada</t>
  </si>
  <si>
    <t>Registra os recursos decorrentes das multas e juros de mora da receita da dívida ativa do auto de infração, no âmbito do regime de previdência complementar fechada.</t>
  </si>
  <si>
    <t>Outras Multas e Juros de Mora da Dívida Ativa de Outras Receitas</t>
  </si>
  <si>
    <t>Registra o valor da arrecadação de receita de multas e juros de mora da dívida ativa de outras receitas não classificadas nos itens anteriores.</t>
  </si>
  <si>
    <t>Outras Multas e Juros de Mora da Dívida Ativa de Outras Receitas – Principal</t>
  </si>
  <si>
    <t>Registra o valor da arrecadação do principal da receita de multas e juros de mora da dívida ativa de outras receitas não classificadas nos itens anteriores.</t>
  </si>
  <si>
    <t>Parcelamentos - Outras Multas e Juros de Mora da Dívida Ativa de Outras Receitas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</si>
  <si>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</si>
  <si>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Multas e Juros de Mora de Outras Receitas</t>
  </si>
  <si>
    <t>Registra a arrecadação de multas de caráter punitivo ou moratório e de juros destinados à indenização pelo pagamento em atraso das demais receitas de serviços não classificadas nos itens anteriores.</t>
  </si>
  <si>
    <t>Multas e Juros de Mora de Aluguel</t>
  </si>
  <si>
    <t>Registra o valor total da arrecadação com receitas provenientes de multas e juros de mora aplicados por atraso no pagamento de aluguéis devidos por uso do patrimônio imobiliário, decorrentes de cláusulas contratuais pactuadas.</t>
  </si>
  <si>
    <t>Multas e Juros de Mora de Arrendamentos</t>
  </si>
  <si>
    <t>Registra o valor total da arrecadação de multas e juros de mora aplicados por atraso no pagamento de rendas devidas por uso do patrimônio imobiliário sob a forma de arrendamento, decorrentes de cláusulas contratuais pactuadas.</t>
  </si>
  <si>
    <t>Multas e Juros de Mora de Laudêmios</t>
  </si>
  <si>
    <t>Registra a receita decorrente de multas e juros de mora por atrasos nos recolhimentos das diferenças de laudêmios.</t>
  </si>
  <si>
    <t>Multa e Juros de Mora da Alienação de Bens Imóveis de Domínio da União</t>
  </si>
  <si>
    <t>Registra o valor das receitas de Multa e Juros de Mora da Alienação de Bens Imóveis de Domínio da União.</t>
  </si>
  <si>
    <t>Multa de Mora da Alienação de Bens Imóveis de Domínio da União – Domínio Pleno, Útil e Direto</t>
  </si>
  <si>
    <t>Registra o valor das receitas de Multa de Mora da Alienação de Bens Imóveis de Domínio da União – Domínio Pleno, Útil e Direto.</t>
  </si>
  <si>
    <t>Juros de Mora da Alienação de Bens Imóveis de Domínio da União – Domínio Pleno, Útil e Direto</t>
  </si>
  <si>
    <t>Registra o valor das receitas de Juros de Mora da Alienação de Bens Imóveis de Domínio da União – Domínio Pleno, Útil e Direto.</t>
  </si>
  <si>
    <t>Multas e Juros de Mora da Alienação de Outros Bens Imóveis</t>
  </si>
  <si>
    <t>Registra a receita decorrente de multas e juros de mora de alienação de outros bens imóveis, aplicados por atrasos nos recolhimentos de parcelas referentes à aquisição de domínio útil ou pleno de imóveis.</t>
  </si>
  <si>
    <t>Multas e Juros de Mora do Parcelamento</t>
  </si>
  <si>
    <t>Registra a receita decorrente de multas e juros de mora de parcelamentos, aplicados por atrasos no recolhimento de débitos para com a União de acordo com o artigo 61 da Lei nº 9.430, de 27 de dezembro de 1996, e o parágrafo quarto do art. 36 da Lei nº 9.069, de 29 de julho de 1995.</t>
  </si>
  <si>
    <t>Multas e Juros de Mora de Foros</t>
  </si>
  <si>
    <t>Registra a receita decorrente de multas e juros de mora aplicados por atrasos no recolhimento de débitos de foro para com a União, de acordo com art. 61 da Lei nº 9.430, de 27 de dezembro de 1996, e o parágrafo 4 do art. 36 da Lei nº 9.069, de 29 de julho de 1995.</t>
  </si>
  <si>
    <t>Multas e Juros de Mora da Taxa de Ocupação</t>
  </si>
  <si>
    <t>Registra a receita decorrente de multas e juros mora aplicados por atrasos no recolhimento de débitos de taxa de ocupação para com a União, de acordo com o art. 61 da Lei 9.430, de 27 de dezembro de 1996, e o parágrafo 4º do art. 36 da Lei nº 9.069, de 29 de junho de 1995.</t>
  </si>
  <si>
    <t>Multas e Juros de Mora de Dividendos</t>
  </si>
  <si>
    <t>Registra o valor total da receita proveniente do resultado da aplicação de penas pecuniárias incidentes sobre os valores de dividendos devidos.</t>
  </si>
  <si>
    <t>Multas e Juros de Mora de Participações</t>
  </si>
  <si>
    <t>Registra o valor total da receita proveniente do resultado da aplicação de penas pecuniárias incidentes sobre os valores de participações devidas.</t>
  </si>
  <si>
    <t>Multas e Juros de Mora da Receita dos Direitos “Antidumping” e dos Direitos Compensatórios</t>
  </si>
  <si>
    <t>Registra o valor da arrecadação de receita de multas incidentes sobre Receita dos Direitos “Antidumping” e dos Direitos Compensatórios em atraso.</t>
  </si>
  <si>
    <t>Multas e Juros de Mora da Receita Decorrente de Bens Apreendidos</t>
  </si>
  <si>
    <t>Registra o valor total da receita proveniente do resultado da aplicação de penas pecuniárias incidentes sobre as receitas decorrentes de bens apreendidos.</t>
  </si>
  <si>
    <t>Multas e Juros de Mora dos Financiamentos à Estocagem de Álcool Etílico Combustível</t>
  </si>
  <si>
    <t>Registra o valor da receita proveniente de pagamentos de juros destinados à indenização pelo atraso no cumprimento de obrigações e multas de caráter punitivo ou moratório, decorrentes da inobservância de obrigações contratuais dos financiamentos concedidos de estocagem de álcool etílico combustível.</t>
  </si>
  <si>
    <t>Multas e Juros de Mora da Receita de Exploração de Recursos Minerais</t>
  </si>
  <si>
    <t>Registra o valor da arrecadação de receitas de multas e juros de mora aplicados por atrasos no pagamento da Receita de Exploração de Recursos Minerais.</t>
  </si>
  <si>
    <t>Multas e Juros de Mora da Receita de Outorga de Direitos de Exploração e Pesquisa Mineral</t>
  </si>
  <si>
    <t>Registra o valor da arrecadação da receita de multas e juros de mora aplicados por atrasos no pagamento da Receita de Outorga de Direitos de Exploração e Pesquisa Mineral.</t>
  </si>
  <si>
    <t>Multas e Juros de Mora da Receita de Concessão Florestal</t>
  </si>
  <si>
    <t>Registra o valor da arrecadação de receita de multas e juros de mora em decorrência da falta de pagamento, no prazo previsto, da outorga de direito de exploração de florestas públicas para a produção sustentável.</t>
  </si>
  <si>
    <t>Multa e Juros de Mora pela Cessão de Uso de Bens da União</t>
  </si>
  <si>
    <t>Registra o valor das receitas de Multa e Juros de Mora pela Cessão de Uso de Bens da União.</t>
  </si>
  <si>
    <t>Multa de Mora pela Cessão de Uso de Bens da União</t>
  </si>
  <si>
    <t>Registra o valor das receitas de Multa de Mora pela Cessão de Uso de Bens da União.</t>
  </si>
  <si>
    <t>Juros de Mora pela Cessão de Uso de Bens da União</t>
  </si>
  <si>
    <t>Registra o valor das receitas de Juros de Mora pela Cessão de Uso de Bens da União.</t>
  </si>
  <si>
    <t>Multa e Juros de Mora de Indenização por Posse ou Ocupação Ilícita de Bens da União</t>
  </si>
  <si>
    <t>Registra o valor das receitas de Multa e Juros de Mora de Indenização por Posse ou Ocupação Ilícita de Bens da União.</t>
  </si>
  <si>
    <t>Multa de Mora de Indenização por Posse ou Ocupação Ilícita de Bens da União</t>
  </si>
  <si>
    <t>Registra o valor das receitas de Multa de Mora de Indenização por Posse ou Ocupação Ilícita de Bens da União.</t>
  </si>
  <si>
    <t>Juros de Mora de Indenização por Posse ou Ocupação Ilícita de Bens da União</t>
  </si>
  <si>
    <t>Registra o valor das receitas de Juros de Mora de Indenização por Posse ou Ocupação Ilícita de Bens da União.</t>
  </si>
  <si>
    <t>Multas e Juros de Mora do Auto de Infração no âmbito do Regime de Previdência Complementar Fechada</t>
  </si>
  <si>
    <t>Registra os recursos decorrentes das multas e juros de mora do auto de infração, no âmbito do regime de previdência complementar fechada.</t>
  </si>
  <si>
    <t>Multas e Juros de Mora da Receita Decorrente de Medidas de Suspensão de Concessões dos Direitos de Propriedade Intelectual</t>
  </si>
  <si>
    <t>Registra os recursos decorrentes das multas de mora e de ofício e dos juros de mora da receita de medidas de suspensão de concessões dos direitos de propriedade intelectual.</t>
  </si>
  <si>
    <t>Multas e Juros de Mora do Ressarcimento Decorrente de Ações Regressivas Oriundas da Relação de Trabalho</t>
  </si>
  <si>
    <t>Registra os recursos decorrentes das multas e juros de mora da receita relativa ao ressarcimento de ações regressivas oriundas da relação de trabalho.</t>
  </si>
  <si>
    <t>Multa e Juros de Mora Decorrentes da Restituição de Recursos de Fomento</t>
  </si>
  <si>
    <t>Registra a receita de multa e juros de mora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</si>
  <si>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Multas e Juros de Mora das Receitas de Concessão e Outorga na Área de Telecomunicações</t>
  </si>
  <si>
    <t>Registra recursos decorrentes de multas e juros de mora relativos ao descumprimento de obrigações relacionadas ao recolhimento das receitas de concessão e outorga na área de telecomunicações.</t>
  </si>
  <si>
    <t>Multas e Juros de Mora da Outorga dos Serviços de Telecomunicações</t>
  </si>
  <si>
    <t xml:space="preserve">Registra recursos decorrentes de multas e juros de mora relativos ao descumprimento de obrigações relacionadas ao recolhimento das receitas de outorga dos serviços de telecomunicações. </t>
  </si>
  <si>
    <t>Multas e Juros de Mora da Outorga dos Serviços de Radiodifusão Sonora e de Sons e Imagens</t>
  </si>
  <si>
    <t xml:space="preserve">Registra recursos decorrentes de multas e juros de mora relativos ao descumprimento de obrigações relacionadas ao recolhimento das receitas de outorga dos serviços de radiodifusão sonora e de sons e imagens. </t>
  </si>
  <si>
    <t>Multas e Juros de Mora da Outorga do Direito de Uso de Radiofrequência</t>
  </si>
  <si>
    <t xml:space="preserve">Registra recursos decorrentes de multas e juros de mora relativos ao descumprimento de obrigações relacionadas ao recolhimento das receitas de outorga do direito de uso de radiofrequência. </t>
  </si>
  <si>
    <t>Multas e Juros de Mora da Transferência de Concessão, de Permissão ou de Autorização de Telecomunicações ou de Uso de Radiofrequência</t>
  </si>
  <si>
    <t xml:space="preserve">Registra recursos decorrentes de multas e juros de mora relativos ao descumprimento de obrigações relacionadas ao recolhimento das receitas de transferência de concessão, de permissão ou de autorização de telecomunicações ou de uso de radiofrequência. </t>
  </si>
  <si>
    <t>Multas e Juros de Mora da Outorga para a Utilização de Posições Orbitais</t>
  </si>
  <si>
    <t xml:space="preserve">Registra recursos decorrentes de multas e juros de mora relativos ao descumprimento de obrigações relacionadas ao recolhimento das receitas de outorga para a utilização de posições orbitais. </t>
  </si>
  <si>
    <t>Multas e Juros de Mora de Outras Receitas de Concessões e Permissões - Serviços de Comunicação</t>
  </si>
  <si>
    <t>Registra recursos decorrentes de multas e juros de mora relativos ao descumprimento de obrigações relacionadas ao recolhimento das receitas de outorga para a utilização de posições orbitais.</t>
  </si>
  <si>
    <t>Multas e Juros de Mora Incidentes sobre as Multas Previstas na Lei Geral       das Telecomunicações</t>
  </si>
  <si>
    <t>Registra recursos decorrentes de multas e juros de mora relativos ao descumprimento de obrigações relacionadas ao recolhimento das multas previstas na Lei Geral das Telecomunicações.</t>
  </si>
  <si>
    <t>Multas e Juros de Mora Decorrentes de Multas por Auto de Infração</t>
  </si>
  <si>
    <t>Registra os recursos provenientes do pagamento após o prazo previsto, nos casos de multas punitivas aplicadas pelo não-cumprimento nos casos previstos nos regulamentos ou nos contratos, ou pela reincidência em fatos que tenham gerado advertência.</t>
  </si>
  <si>
    <t>I - Portaria SOF nº 31, de 23 ABR 2013.</t>
  </si>
  <si>
    <t>Multas e Juros de Mora dos Serviços de Certificação e Homologação de Produtos de Telecomunicações</t>
  </si>
  <si>
    <t xml:space="preserve">Registra os recursos provenientes do pagamento após o prazo previsto, nos casos de serviços de certificação e homologação dos produtos de telecomunicações. </t>
  </si>
  <si>
    <t>Outras Multas e Juros de Mora</t>
  </si>
  <si>
    <t>Englobam as receitas de multas e juros de mora que não se enquadram em códigos de natureza de receita específicos.</t>
  </si>
  <si>
    <t>A - Portaria SOF nº 8, de 31 JAN 2014.
A - Portaria SOF nº 78, de 25 AGO 2014.</t>
  </si>
  <si>
    <t>Outras Multas e Juros de Mora - Primárias</t>
  </si>
  <si>
    <t>Englobam as receitas primárias de multas e juros de mora que não se enquadram em códigos de natureza de receita específicos.</t>
  </si>
  <si>
    <t>I - Portaria SOF nº 78, de 25 AGO 2014.</t>
  </si>
  <si>
    <t>Outras Multas e Juros de Mora - Financeiras</t>
  </si>
  <si>
    <t>Englobam as receitas financeiras de multas e juros de mora que não se enquadram em códigos de natureza de receita específicos.</t>
  </si>
  <si>
    <t>Multas de Outras Origens</t>
  </si>
  <si>
    <t>Registra a arrecadação de recursos de outras multas que não as listadas anteriormente, desde que sejam referentes a infrações a regulamentos específicos.</t>
  </si>
  <si>
    <t>Multas Previstas na Legislação de Metrologia</t>
  </si>
  <si>
    <t>Registra o valor da arrecadação de receita de multas de violação da política de metrologia, da normalização industrial e da certificação de qualidade de produtos industriais.</t>
  </si>
  <si>
    <t>Multas do Regulamento para o Tráfego Marítimo</t>
  </si>
  <si>
    <t>Registra o valor da arrecadação de receita de multas devidas por embarcações brasileiras, quando em águas sob jurisdição nacional ou em alto-mar; por embarcações estrangeiras em águas territoriais, navios de guerra estrangeiros e outras embarcações que violem as normas expressas no Regulamento para o Tráfego Marítimo.</t>
  </si>
  <si>
    <t>Multa de Poluição de Águas</t>
  </si>
  <si>
    <t>Registra a receita com penalidades pecuniárias destinadas a punir o infrator pela poluição de águas, como lançamento de óleos, produtos oleosos e substâncias químicas tóxicas nas águas públicas.</t>
  </si>
  <si>
    <t>Multas Previstas em Acordos Internacionais sobre a Pesca</t>
  </si>
  <si>
    <t>Registra a receita com multas e juros de mora aplicados para punir quem infringe o Acordo Internacional de Pesca. As multas são devidas por embarcações estrangeiras, sem contrato de arrendamento com pessoa jurídica nacional, ou autorização legal prevista em acordos internacionais para pesca em águas territoriais.</t>
  </si>
  <si>
    <t>Multas Decorrentes de Apreensão de Embarcações de Pesca</t>
  </si>
  <si>
    <t>Registra a receita de multas e juros de mora aplicados para punir o infrator pela apreensão de embarcação de pesca. As multas são devidas quando da apreensão de embarcações que, por ação ou omissão, violam as normas expressas no código de pesca.</t>
  </si>
  <si>
    <t>Multas do Código Eleitoral e Leis Conexas</t>
  </si>
  <si>
    <t>Registra o valor total da arrecadação com multas e juros de mora aplicados com o fim de punir quem infringe o código eleitoral e leis conexas. Compreende a multa devida pelos eleitores que não compareceram e não justificarem sua ausência perante o juiz eleitoral até 30 dias após a realização da eleição.</t>
  </si>
  <si>
    <t>Multas Previstas no Regulamento do Estrangeiro</t>
  </si>
  <si>
    <t>Registra o valor da arrecadação de receita de multas devidas por estrangeiros, residentes ou não no País, que violem o Regulamento do Estrangeiro.</t>
  </si>
  <si>
    <t>Multas Previstas na Lei do Serviço Militar</t>
  </si>
  <si>
    <t>Registra o valor da receita com multas devidas pelo cidadão brasileiro do sexo masculino que não se alistar até os 19 anos para prestar serviço militar.</t>
  </si>
  <si>
    <t>Multas Previstas na Lei Geral das Telecomunicações</t>
  </si>
  <si>
    <t>Registra o valor da arrecadação de receita de multas cometidas por concessionários de serviços de telecomunicações e de radiodifusão, seja no regime público ou privado.</t>
  </si>
  <si>
    <t>Multas Previstas na Legislação Sanitária</t>
  </si>
  <si>
    <t>Registra o valor total da arrecadação com multas e juros de mora aplicados com o fim de punir a quem transgride o disposto na legislação sanitária. As multas são devidas quando da infração, fraude, falsificação e adulteração das matérias-primas e produtos farmacêuticos, bem como quaisquer produtos ou insumos que interessem à saúde pública.</t>
  </si>
  <si>
    <t>Multas Previstas na Legislação de Registro do Comércio</t>
  </si>
  <si>
    <t>Registra o valor total da arrecadação com multas e juros de mora aplicados com o fim de punir a quem infringe leis ou regulamentos que disciplinam as atividades de agentes auxiliares do comércio, de armazéns gerais e outros sujeitos ao controle e fiscalização dos órgãos de registro do comércio.</t>
  </si>
  <si>
    <t>Multas Previstas na Legislação sobre Lubrificantes e Combustíveis</t>
  </si>
  <si>
    <t>Registra o valor da receita com multas impostas pela Agência Nacional do Petróleo – ANP –, por infrações relativas à regulamentação do mercado de lubrificantes e combustíveis.</t>
  </si>
  <si>
    <t>Multas por Infração à Legislação Trabalhista</t>
  </si>
  <si>
    <t>Registra o valor da arrecadação de receita de multas referentes à Legislação Trabalhista, tais como: extravio ou inutilização de carteira de trabalho, falta de registro de empregado, prorrogação de jornada de trabalho sem acordo, pagamento de salário atrasado, infrações às normas de segurança e medicina do trabalho etc.</t>
  </si>
  <si>
    <t>Multas Previstas na Legislação de Trânsito</t>
  </si>
  <si>
    <t>Registra o valor da arrecadação de multas aplicadas com a finalidade de punir a quem transgride a legislação de trânsito.</t>
  </si>
  <si>
    <t>Multas Previstas na Legislação do Seguro-Desemprego e Abono Salarial</t>
  </si>
  <si>
    <t>Registra o valor da arrecadação de receita de multas referentes à legislação do seguro desemprego e abono salarial.</t>
  </si>
  <si>
    <t>Multas Previstas na Lei Delegada no 04/62</t>
  </si>
  <si>
    <t>Registra o valor da arrecadação de receita de multas decorrentes da intervenção da União no domínio econômico, para assegurar a livre distribuição de mercadorias e serviços essenciais ao consumo e uso do povo, bem como para assegurar o suprimento dos bens necessários às atividades agropecuárias, da pesca, e industriais do País.</t>
  </si>
  <si>
    <t>Multas sobre a Fiscalização da Rede de Produção Orgânica</t>
  </si>
  <si>
    <t>Receita oriunda das ações decorrentes da fiscalização de todas as atividades pertinentes à agricultura orgânica, que envolve segmentos de várias cadeias produtivas, incluindo produção, processamento, distribuição, armazenamento, transporte e comercialização.</t>
  </si>
  <si>
    <t>Multa Prevista na Lei de Prevenção ao Uso de Drogas</t>
  </si>
  <si>
    <t>Registra o valor da arrecadação de receita decorrente da imposição de penalidade pelo descumprimento de medidas educativas aplicadas sobre o infrator que, injustificadamente, se recuse a cumpri-las.</t>
  </si>
  <si>
    <t>Multas Previstas na Legislação sobre Defesa dos Direitos Difusos</t>
  </si>
  <si>
    <t>Registra o valor da arrecadação de receita de multas referentes às infrações previstas em legislações sobre defesa de direitos difusos.</t>
  </si>
  <si>
    <t>Multas Previstas na Legislação sobre Defesa dos Direitos Difusos Trabalhistas</t>
  </si>
  <si>
    <t>Registra o valor das receitas advindas do pagamento de multas referentes às infrações previstas em legislações sobre defesa de direitos difusos trabalhistas, aplicadas pelo Ministério do Trabalho e Emprego, Ministério Público do Trabalho e ações judiciais da Justiça do Trabalho.</t>
  </si>
  <si>
    <t>Multas Previstas na Legislação sobre Defesa dos Direitos Difusos – Outros</t>
  </si>
  <si>
    <t>Registra o valor das receitas advindas de pagamento de multas referentes às infrações previstas em legislações sobre defesa de direitos difusos que não sejam de caráter trabalhista.</t>
  </si>
  <si>
    <t>Multas e Juros Previstos em Contratos</t>
  </si>
  <si>
    <t>Receita decorrente de pagamento de multas de caráter punitivo ou moratório decorrentes da inobservância de obrigações contratuais e de juros destinados à indenização pelo atraso no cumprimento de obrigações.</t>
  </si>
  <si>
    <t>A - Portaria SOF nº 75, de 25 AGO 2014.</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</si>
  <si>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</si>
  <si>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t>
  </si>
  <si>
    <t>Multas Previstas por Infrações à Legislação sobre Transportes Ferroviários</t>
  </si>
  <si>
    <t>Registra o valor total da receita proveniente do recolhimento de multas por infrações a disposições previstas no regulamento de transporte ferroviário e contratos de concessões de serviços de transporte ferroviário de passageiros e cargas.</t>
  </si>
  <si>
    <t>Multas Previstas no Código Brasileiro de Aeronáutica</t>
  </si>
  <si>
    <t>Registra o valor da receita com multas cobradas por infrações previstas no Código Brasileiro de Aeronáutica.</t>
  </si>
  <si>
    <t>Multa de Tarifa Pedágio</t>
  </si>
  <si>
    <t>Registra o valor total da receita proveniente de multas e juros de mora cobrados sobre a tarifa de pedágio.</t>
  </si>
  <si>
    <t>Multas Aplicadas no Âmbito de Processo Judicial</t>
  </si>
  <si>
    <t>Registra o valor da arrecadação da receita de multas que são aplicadas no âmbito de processo judicial.</t>
  </si>
  <si>
    <t>Multas Decorrentes de Sentenças Penais Condenatórias</t>
  </si>
  <si>
    <t>Registra o valor da arrecadação da receita de multas decorrentes de sentenças penais condenatórias.</t>
  </si>
  <si>
    <t>Multas Decorrentes de Sentenças Judiciais</t>
  </si>
  <si>
    <t>Registra o valor da arrecadação da receita de multas decorrentes de sentenças judiciais.</t>
  </si>
  <si>
    <t>Multa de Quebra de Fiança</t>
  </si>
  <si>
    <t>Registra o valor da arrecadação de receita de fiança quebrada ou perdida, em conformidade com o disposto na lei processual penal.</t>
  </si>
  <si>
    <t>Multas Previstas em Lei por Infrações no Setor de Energia elétrica</t>
  </si>
  <si>
    <t>Registra o valor da arrecadação de receita de multas em valores atualizados, nos casos previstos nos regulamentos ou nos contratos, ou pela reincidência em fato que tenha gerado advertência escrita, nas atividades realizadas no setor de energia elétrica.</t>
  </si>
  <si>
    <t>Multas por Danos Ambientais</t>
  </si>
  <si>
    <t>Registra as receitas provenientes de sanções penais e administrativas derivadas de condutas e atividades lesivas ao meio ambiente aplicadas pelo Poder Judiciário ou por órgãos fiscalizadores.</t>
  </si>
  <si>
    <t>Multas Administrativas por Danos Ambientais</t>
  </si>
  <si>
    <t>Registra as receitas provenientes de sanções administrativas derivadas de condutas e atividades lesivas ao meio ambiente aplicadas por órgãos fiscalizadores.</t>
  </si>
  <si>
    <t>Multas Judiciais por Danos Ambientais</t>
  </si>
  <si>
    <t>Registra as receitas provenientes de sanções penais derivadas de condutas e atividades lesivas ao meio ambiente determinadas pelo Poder Judiciário.</t>
  </si>
  <si>
    <t>Multa de Segurança Privada</t>
  </si>
  <si>
    <t>Registra o valor da arrecadação de receita de multas aplicadas por infrações praticadas por empresas particulares que explorem serviços de vigilância e de transporte de valores.</t>
  </si>
  <si>
    <t xml:space="preserve">Multa por Ato Atentatório ao Exercício da Jurisdição </t>
  </si>
  <si>
    <t xml:space="preserve">Registra o valor total da receita decorrente de multa aplicada em função do descumprimento dos provimentos mandamentais ou criação de embaraços à efetivação de provimentos judiciais de natureza antecipatória ou final.                                    </t>
  </si>
  <si>
    <t>Multas e Juros das Operações Oficiais de Crédito</t>
  </si>
  <si>
    <t>Registra o valor da receita decorrente de pagamento de juros destinados à indenização pelo atraso no cumprimento de obrigações e multas de caráter punitivo ou moratório decorrentes da inobservância de obrigações contratuais, de caráter financeiro.</t>
  </si>
  <si>
    <t>Multas por Infrações à Legislação Cinematográfica</t>
  </si>
  <si>
    <t>Registra o valor da receita com recursos provenientes de multas aplicadas pelo descumprimento da obrigatoriedade de que trata a legislação cinematográfica. Os recursos destinam-se à Agência nacional de Cinema – ANCINE.</t>
  </si>
  <si>
    <t>Multas Aplicadas pelos Tribunais de Contas</t>
  </si>
  <si>
    <t>Registra o valor dos recursos provenientes de multas aplicadas pelo Tribunal de Contas da União, Tribunais de Contas dos Estados, Tribunal de Contas do Distrito Federal e Tribunais de Contas dos Municípios, pelo não cumprimento a decisão daqueles Tribunais.</t>
  </si>
  <si>
    <t>Multas Previstas na Legislação sobre Regime de Previdência Privada Complementar</t>
  </si>
  <si>
    <t>Registra o valor da arrecadação de receita de multas aplicadas pelo descumprimento da obrigatoriedade de que trata a legislação sobre regime de previdência privada complementar.</t>
  </si>
  <si>
    <t>Multas por Auto de Infração</t>
  </si>
  <si>
    <t>Registra o valor da arrecadação de receita proveniente de multas punitivas aplicadas pelo não cumprimento nos casos previstos nos regulamentos ou nos contratos, ou pela reincidência em fatos que tenham gerado advertência.</t>
  </si>
  <si>
    <t>Multa pelo Descumprimento de Obrigação Acessória Previdenciária</t>
  </si>
  <si>
    <t xml:space="preserve">Receita proveniente da inobservância ou descumprimento de obrigação acessória prevista na legislação previdenciária. </t>
  </si>
  <si>
    <t>Multas por Atraso de Informações da Guia de Recolhimento do FGTS e Informações à Previdência Social</t>
  </si>
  <si>
    <t>Registra as receitas provenientes de multas relacionadas ao atraso no envio de informações da Guia de Recolhimento do Fundo de Garantia por Tempo de Serviço e Informações à Previdência Social - GFIP.</t>
  </si>
  <si>
    <t>I - Portaria SOF nº 75, de 12 JUL 2013.</t>
  </si>
  <si>
    <t>Multa a Titulares de Cartórios por Descumprimento das Obrigações Previstas na Legislação Previdenciária</t>
  </si>
  <si>
    <t xml:space="preserve">Registra as receitas provenientes de multas relacionadas à falta de envio, pelos titulares de Cartórios de Registro Civil de Pessoas Naturais à Previdência Social do registro dos óbitos ocorridos no mês imediatamente anterior. </t>
  </si>
  <si>
    <t>Multas Aplicadas a Empresa por Não Emissão ou Emissão em Atraso da Comunicação por Acidente de Trabalho</t>
  </si>
  <si>
    <t xml:space="preserve">Registra as receitas provenientes de multas relacionadas à não comunicação, pela empresa, de ocorrência de acidente de trabalho ou morte de seus empregados. </t>
  </si>
  <si>
    <t>Multas Aplicadas por Ausência de Desconto em Folha de Pagamento Proveniente de Benefícios Pagos Indevidamente</t>
  </si>
  <si>
    <t xml:space="preserve">Registra as receitas provenientes de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t>
  </si>
  <si>
    <t>Multas Aplicadas por Litigância de Má-Fé em Processos Judiciais contra o INSS</t>
  </si>
  <si>
    <t xml:space="preserve">Registra as receitas provenientes das multas aplicadas pelo juiz ou tribunal ao litigante de má-fé nos casos em que o INSS figura como parte no processo. </t>
  </si>
  <si>
    <t>Multas Previstas na Legislação Minerária</t>
  </si>
  <si>
    <t>Registra o valor da arrecadação da receita de multas exercidas pelo poder de polícia previstas na legislação mineraria.</t>
  </si>
  <si>
    <t>Multas Decorrentes de Serviços de Migração</t>
  </si>
  <si>
    <t>Registra as receitas provenientes da cobrança de multas pelos serviços de migração prestados pelo Departamento de Polícia Federal, discriminadas no inciso I do art. 3º da Lei Complementar nº 89, de 18 de fevereiro de 1997.</t>
  </si>
  <si>
    <t>Multa por Infração à Legislação de Licitação</t>
  </si>
  <si>
    <t>Registra o valor da arrecadação de receita de multas aplicadas por infrações praticadas em inobservância à legislação aplicada aos procedimentos de licitação.</t>
  </si>
  <si>
    <t>Multas e Indenizações pela Exploração do Patrimônio Genético</t>
  </si>
  <si>
    <t>Registra os recursos decorrentes das multas pela exploração do patrimônio genético em áreas de domínio público.</t>
  </si>
  <si>
    <t>Multas e Indenizações pela Exploração do Patrimônio Genético em Áreas de Domínio da União</t>
  </si>
  <si>
    <t>Registra os recursos decorrentes das multas e indenizações pela exploração do patrimônio genético em áreas de domínio da União.</t>
  </si>
  <si>
    <t>Multas e Indenizações pela Exploração do Patrimônio Genético no Mar Territorial, Zona Econômica Exclusiva ou Plataforma Continental</t>
  </si>
  <si>
    <t>Registra os recursos decorrentes da multas e indenizações pela exploração do patrimônio genético em áreas de domínio da União.</t>
  </si>
  <si>
    <t>Outras Multas</t>
  </si>
  <si>
    <t>Registra os recursos provenientes de outras multas não listadas anteriormente, desde que sejam referentes a infrações a regulamentos específicos.</t>
  </si>
  <si>
    <t>A - Portaria SOF nº 78, de 25 AGO 2014.</t>
  </si>
  <si>
    <t>Indenizações e Restituições</t>
  </si>
  <si>
    <t>Registra o valor total da arrecadação da receita com indenizações e restituições.</t>
  </si>
  <si>
    <t>Indenizações</t>
  </si>
  <si>
    <t>Registra o valor total das receitas recebidas por meio de indenizações pela exploração de recursos minerais, de petróleo, xisto betuminoso e gás; pela produção de energia elétrica; por danos ao patrimônio público; entre outros.</t>
  </si>
  <si>
    <t>Indenizações previstas na Legislação sobre Defesa de Direitos Difusos</t>
  </si>
  <si>
    <t xml:space="preserve">Receitas advindas do pagamento de indenização ou reparação prevista na legislação de defesa dos direitos difusos, inclusive em combinação com o Código de Defesa do Consumidor e com a legislação aplicável às Agências Reguladoras, no que se refere à defesa de direitos difusos. </t>
  </si>
  <si>
    <t>A - Portaria SOF nº 62, de 27 JUN 2013.</t>
  </si>
  <si>
    <t>Indenizações por Danos Causados ao Patrimônio Público</t>
  </si>
  <si>
    <t>Registra o ingresso de recursos recebidos a título de reparação por danos causados ao patrimônio público.</t>
  </si>
  <si>
    <t>Indenização por Posse ou Ocupação Ilícita de Bens da União</t>
  </si>
  <si>
    <t>Registra o valor das receitas de Indenização por Posse ou Ocupação Ilícita de Bens da União.</t>
  </si>
  <si>
    <t>Outras Indenizações</t>
  </si>
  <si>
    <t>Registra a arrecadação de recursos recebidos como ressarcimento por danos causados ao patrimônio público, não classificado nos itens anteriores.</t>
  </si>
  <si>
    <t>Restituições</t>
  </si>
  <si>
    <t>Registra o valor total das receitas recebidas por meio de restituições, por devoluções em decorrência de pagamentos indevidos e reembolso ou retorno de pagamentos efetuados a título de antecipação.</t>
  </si>
  <si>
    <t>Restituições de Convênios</t>
  </si>
  <si>
    <t>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</si>
  <si>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</si>
  <si>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Restituições de Convênios – Primárias</t>
  </si>
  <si>
    <t xml:space="preserve">Receita decorrente da restituição ao concedente ou ao Tesouro Nacional, do saldo de recursos de convênios ou instrumentos congêneres realizados em fontes primárias de recursos, quando da conclusão, denúncia, rescisão ou extinção do convênio. </t>
  </si>
  <si>
    <t>I - Portaria SOF nº 95, de 06 AGO 2013.</t>
  </si>
  <si>
    <t>Restituições de Convênios – Financeira</t>
  </si>
  <si>
    <t>Receita decorrente da restituição ao concedente ou ao Tesouro Nacional, do saldo de recursos de convênios ou instrumentos congêneres realizados em fontes financeiras de recursos, quando da conclusão, denúncia, rescisão ou extinção do convênio.</t>
  </si>
  <si>
    <t>Restituições de Benefícios não Desembolsados</t>
  </si>
  <si>
    <t>Registra a arrecadação de recursos decorrentes de restituições, ao órgão concedente, de benefícios que não foram desembolsados em exercícios anteriores, ou mesmo pago com erro ou fraude.</t>
  </si>
  <si>
    <t>A - Portaria SOF nº 75, de 12 JUL 2013.</t>
  </si>
  <si>
    <t>Restituições de Benefícios Não Desembolsados - Fundo de Amparo ao Trabalhador</t>
  </si>
  <si>
    <t>Registra as receitas provenientes de restituição dos benefícios não desembolsados do Fundo de Amparo ao Trabalhador - FAT.</t>
  </si>
  <si>
    <t>Restituições de Benefícios Não Desembolsados - Recursos Próprios Não-Financeiros</t>
  </si>
  <si>
    <t>Registra as receitas provenientes de restituição dos benefícios não desembolsados quando as despesas com tais benefícios forem executadas por meio da Fonte "50 - Recursos Próprios Não-Financeiros".</t>
  </si>
  <si>
    <t>Restituição de Benefícios Previdenciários Oriundos de Fraude</t>
  </si>
  <si>
    <t xml:space="preserve">Registra as receitas provenientes de restituição dos benefícios previdenciários relacionados a fraude. </t>
  </si>
  <si>
    <t>Restituição de Benefícios Previdenciários Oriundos de Erro</t>
  </si>
  <si>
    <t xml:space="preserve">Registra as receitas provenientes de restituição dos benefícios previdenciários relacionados a erro no seu pagamento. </t>
  </si>
  <si>
    <t>Restituição de Benefícios Pagos Indevidamente pelo Banco Depositário</t>
  </si>
  <si>
    <t xml:space="preserve">Registra as receitas provenientes de restituição dos benefícios previdenciários recebidos indevidamente por beneficiário da previdência social, cujo pagamento tenha sido indevidamente efetuado pelo banco depositário das contas vinculadas. </t>
  </si>
  <si>
    <t>Restituição de Benefícios Previdenciários Mediante Consignação em Folha de Pagamento</t>
  </si>
  <si>
    <t xml:space="preserve">Registra as receitas provenientes de restituição dos benefícios previdenciários recebidos indevidamente e descontados pela empresa da remuneração dos seus empregados a seu serviço, ou do benefício dos próprios segurados, por meio de consignação em folha de pagamento dos mesmos. </t>
  </si>
  <si>
    <t>Restituição de Benefícios Previdenciários Oriundos de Parcelamento de Débito</t>
  </si>
  <si>
    <t xml:space="preserve">Registra as receitas provenientes de restituição dos benefícios previdenciários pagos de forma parcelada, nos termos dos artigos 154 e 244, do Decreto no 3.048, de 6 de maio de 1999. </t>
  </si>
  <si>
    <t>Outras Restituições de Benefícios Não Desembolsados – Demais Fontes</t>
  </si>
  <si>
    <t>Registra a arrecadação de recursos primários decorrentes de restituições, ao órgão concedente, de benefícios não desembolsados em exercícios anteriores, quando financiados, na origem, por fontes de recursos diferentes de 40 - Contribuições para o Programa PIS/PASEP, 50 - Recursos Próprios Não-Financeiros, 51 - Contribuição Social Sobre o Lucro Líquido das Pessoas Jurídicas, 53 - Contribuição para o Financiamento da Seguridade Social - COFINS e 54 - Recursos do Regime Geral de Previdência Social.</t>
  </si>
  <si>
    <t>Outras Restituições de Benefícios</t>
  </si>
  <si>
    <t>Registra as demais receitas provenientes de restituição de benefícios.</t>
  </si>
  <si>
    <t>Restituição de Benefícios Oriundos de Encargos Previdenciários da União</t>
  </si>
  <si>
    <t>Registra receitas provenientes de restituição dos benefícios oriundos de pagamentos de Encargos Previdenciários da União - EPU.</t>
  </si>
  <si>
    <t>Restituições de Benefícios de Prestação Continuada e de Renda Mensal Vitalícia</t>
  </si>
  <si>
    <t xml:space="preserve">Registra as receitas provenientes de restituição dos Benefícios de Prestação Continuada - BPC e de Renda Mensal Vitalícia - RMV, conforme a Lei nº 8.472, de 2007 e o Decreto no 6.214, de 2007. </t>
  </si>
  <si>
    <t>Outras Restituições de Benefícios Previdenciários</t>
  </si>
  <si>
    <t xml:space="preserve">Registra as demais receitas provenientes de restituição dos benefícios previdenciários. </t>
  </si>
  <si>
    <t>Restituição de Contribuições Previdenciárias Complementares</t>
  </si>
  <si>
    <t>Registra o valor da receita arrecadada decorrente de restituição de contribuições previdenciárias complementares pagas pelo BACEN àFundação Banco Central de Previdência Privada – CENTRUS, relativas aos servidores que se aposentem a partir de janeiro de 1991.(Lei nº 9.650, de 27/05/98, Lei nº 8.112 de 11/12/90).</t>
  </si>
  <si>
    <t>Restituições não Reclamadas das Condenações Judiciais</t>
  </si>
  <si>
    <t>Registra o valor da arrecadação de receita de restituições de condenações judiciais por danos causados aos investidores que perderam o direito à reclamação no prazo de dois anos, ocorrendo a prescrição.</t>
  </si>
  <si>
    <t>Ressarcimento por Operadoras de Seguros Privados de Assistência à Saúde</t>
  </si>
  <si>
    <t>Registra o valor da arrecadação de receita de restituições por operadoras de seguros privados de assistência à saúde.</t>
  </si>
  <si>
    <t>Ressarcimento do Custo de Disponibilização de Medicamentos</t>
  </si>
  <si>
    <t>Registra o valor de arrecadação da receita de ressarcimento do custo de disponibilização de medicamentos.</t>
  </si>
  <si>
    <t>Recuperação de Despesas de Exercícios Anteriores</t>
  </si>
  <si>
    <t>Registra o valor de receitas decorrentes de recuperação de despesas efetuadas em exercícios anteriores e canceladas no exercício corrente, provenientes do recebimento de disponibilidades referentes a devoluções de recursos pagos a maior.</t>
  </si>
  <si>
    <t>Ressarcimento de Pagamentos de Honorários Técnico-Periciais</t>
  </si>
  <si>
    <t xml:space="preserve">Registra o valor da receita decorrente do ressarcimento, aos tribunais, das despesas de exames técnico-periciais necessários à conciliação ou ao julgamento da causa, por pessoa habilitada, nomeada pelo juiz, quando vencida na causa a entidade pública. (art.12 da Lei nº 10.259, de 12 de julho de 2001, § 1o).                                      </t>
  </si>
  <si>
    <t>Ressarcimento de Despesas do Porte de Remessa e Retorno dos Autos</t>
  </si>
  <si>
    <t>Receita decorrente do ressarcimento das despesas do porte de remessa e retorno dos autos, recolhidas mediante documento de arrecadação, de conformidade com instruções e tabela expedidas pelo Supremo Tribunal Federal e pelo Superior Tribunal de Justiça. (Lei nº 8.038, de 28 de maio  de 1990, art. 41-B; acrescido pelo art. 3o da Lei nº 9.756, de 17 de dezembro de 1998).</t>
  </si>
  <si>
    <t>Compensações Financeiras entre o Regime Geral e os Regimes Próprios de Previdência dos Servidores</t>
  </si>
  <si>
    <t>Registra o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</si>
  <si>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Compensações Financeiras entre o Regime Geral e os Regimes Próprios de Previdência dos Servidores – Principal</t>
  </si>
  <si>
    <t>Registra a receita decorrente de Compensações Financeiras entre o Regime Geral e os Regimes Próprios de Previdência dos Servidores – Principal</t>
  </si>
  <si>
    <t>Compensações Financeiras entre o Regime Geral e os Regimes Próprios de Previdência dos Servidores – Parcelamentos</t>
  </si>
  <si>
    <t>Registra a receita decorrente de Compensações Financeiras entre o Regime Geral e os Regimes Próprios de Previdência dos Servidores – Parcelamentos</t>
  </si>
  <si>
    <t>Restituição de Parcelas do Seguro Desemprego Recebidas Indevidamente</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</si>
  <si>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</si>
  <si>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Recuperação de Sinistros</t>
  </si>
  <si>
    <t>Registra a receita decorrente do pagamento de prestação inadimplida que já foi objeto de indenização nas operações amparadas pelo Seguro de Crédito à Exportação, com recursos orçamentários e financeiros alocados no Fundo.</t>
  </si>
  <si>
    <t>Ressarcimento de Pagamentos de Despesas pela Deportação</t>
  </si>
  <si>
    <t>Registra o valor da arrecadação de receita proveniente do ressarcimento das despesas havidas com a deportação do estrangeiro do território nacional havidas pelo Tesouro Nacional.</t>
  </si>
  <si>
    <t>Ressarcimento Decorrente de Ações Regressivas Oriundas da Relação de Trabalho</t>
  </si>
  <si>
    <t>Registra os recursos decorrentes do ressarcimento de ações regressivas oriundas da relação de trabalho.</t>
  </si>
  <si>
    <t>Restituição de Recursos de Fomento</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</si>
  <si>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</si>
  <si>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Subvenções ou Subsídios</t>
  </si>
  <si>
    <t>Registra a arrecadação de recursos de restituição de subvenções ou subsídios concedidos e posteriormente devolvidos ou restituídos, no âmbito de programas de concessão de subvenções ou subsídios, nos casos previstos em lei ou regulamento.</t>
  </si>
  <si>
    <t>I - Portaria SOF nº 43, de 21 MAIO 2014.</t>
  </si>
  <si>
    <t>Devoluções de Recursos decorrentes de Restituições Indevidas do Imposto de Renda</t>
  </si>
  <si>
    <t>Registra a receita proveniente de recursos que se originaram da devolução de recursos das seguintes restituições: a) devolução de restituição indevida – Imposto de Renda Pessoa Jurídica – IRPJ código darf 1054; b) devolução de recursos aplicados com redução em investimento – Imposto de Renda Pessoa Jurídica - IRPJ código darf 0733; c) devolução de restituição não paga – Imposto de Renda Pessoa Jurídica – IRPJ código darf 4634; e d) devolução de restituição indevida – Parecer da Procuradoria Geral da Fazenda Nacional – PGFN/CAT no 141 - Imposto de Renda Pessoa Jurídica – IRPJ código DARF 0312.</t>
  </si>
  <si>
    <t>Outras Restituições</t>
  </si>
  <si>
    <t>Registra a receita decorrente de outras restituições que não sejam advindas de convênios ou de benefícios não-desembolsados pelo agente pagador.</t>
  </si>
  <si>
    <t>Retorno de Investimentos Mediante Participação em Empresas e Projetos</t>
  </si>
  <si>
    <t>Registra o retorno de recursos decorrentes da participação em empresas e aquisição de direitos sobre os resultados de projetos.</t>
  </si>
  <si>
    <t>Receita da Dívida Ativa</t>
  </si>
  <si>
    <t xml:space="preserve">Registra o valor total da arrecadação da receita da dívida ativa constituída de créditos da Fazenda Pública, de natureza tributária e não tributária e de contribuições, exigíveis pelo transcurso do prazo para pagamento, inscritos na forma de legislação própria, depois de apurada sua liquidez e certeza </t>
  </si>
  <si>
    <t>Receita da Dívida Ativa Tributária</t>
  </si>
  <si>
    <t>Registra o valor total da arrecadação que constitui créditos de natureza tributária, exigível pelo transcurso do prazo para pagamento, inscritos na forma de legislação própria, depois de apurada sua liquidez e certeza.</t>
  </si>
  <si>
    <t>Receita da Dívida Ativa do Imposto sobre a Renda e Proventos de Qualquer Natureza</t>
  </si>
  <si>
    <t>Registra o valor total das receitas da dívida ativa do Imposto sobre a Renda e Proventos de Qualquer Natureza de Pessoa Física, Jurídica, ou Retido nas Fontes, advindos de crédito da Fazenda Pública, pelo não pagamento dos contribuintes, no transcurso do prazo exigível.</t>
  </si>
  <si>
    <t>Receita da Dívida Ativa do Imposto sobre a Renda das Pessoas Físicas</t>
  </si>
  <si>
    <t>Registra o valor total da arrecadação da receita advinda de crédito da Fazenda Pública, pelo não pagamento dos contribuintes, no transcurso do prazo exigível, do Imposto sobre a Renda e Proventos das Pessoas Físicas.</t>
  </si>
  <si>
    <t>Receita da Dívida Ativa do Imposto sobre a Renda das Pessoas Jurídicas</t>
  </si>
  <si>
    <t>Registra o valor arrecadado da receita advinda de crédito da Fazenda Pública, pelo não pagamento dos contribuintes, no transcurso do prazo exigível, do Imposto sobre a Renda e Proventos das Pessoas Jurídicas.</t>
  </si>
  <si>
    <t>Receita da Dívida Ativa do Imposto sobre a Renda Retido nas Fontes</t>
  </si>
  <si>
    <t>Registra o valor da arrecadação da receita advinda de crédito da Fazenda Pública, pelo não pagamento dos contribuintes, no transcurso do prazo exigível, do Imposto sobre a Renda Retido nas Fontes.</t>
  </si>
  <si>
    <t>Receita de Parcelamentos – Dívida Ativa do Imposto sobre a Renda das Pessoas Jurídicas</t>
  </si>
  <si>
    <t>Registra o valor decorrente de parcelamentos da Dívida Ativa do Imposto sobre a Renda das Pessoas Jurídicas, no âmbito do Programa de Recuperação Fiscal - REFIS e do Programa Especial de Parcelamento de Débito – PAES, criados respectivamente por meio das leis nº 9.964/2000 e 10.684/2003.</t>
  </si>
  <si>
    <t>Receita de Parcelamentos – Dívida Ativa do Imposto sobre a Renda Retido na Fonte</t>
  </si>
  <si>
    <t>Registra o valor decorrente de parcelamentos da Dívida Ativa do Imposto sobre a Renda Retido na Fonte, no âmbito do Programa de Recuperação Fiscal - REFIS e do Programa Especial de Parcelamento de Débito – PAES, criados, respectivamente, por meio das leis nº 9.964/2000 e 10.684/2003.</t>
  </si>
  <si>
    <t>Receita de Parcelamentos – Dívida Ativa do Imposto sobre a Renda das Pessoas Físicas</t>
  </si>
  <si>
    <t>Registra o valor decorrente de parcelamentos da Dívida Ativa do Imposto sobre a Renda das Pessoas Físicas, no âmbito do Programa de Recuperação Fiscal - REFIS e do Programa Especial de Parcelamento de Débito – PAES, criados, respectivamente, por meio das leis nº 9.964/2000 e 10.684/2003.</t>
  </si>
  <si>
    <t>Receita da Dívida Ativa do Imposto de Renda Pessoa Jurídica - Simples Nacional</t>
  </si>
  <si>
    <t>A receita de crédito do Imposto sobre a Renda e Proventos das Pessoas Jurídicas – Simples Nacional, constante no Livro de Inscrição da Dívida Ativa, assim inscrito em razão do não pagamento da obrigação no transcurso do prazo exigível.</t>
  </si>
  <si>
    <t>Receita da Dívida Ativa do Imposto sobre Produtos Industrializados</t>
  </si>
  <si>
    <t>Registra o valor total das receitas advindas de crédito da Fazenda Pública, pelo não pagamento dos contribuintes, no transcurso do prazo exigível, do Imposto sobre Produtos Industrializados.</t>
  </si>
  <si>
    <t>Receita do Principal da Dívida Ativa do Imposto sobre Produtos Industrializados</t>
  </si>
  <si>
    <t>Registra o valor das receitas advindas de crédito da Fazenda Pública, pelo não pagamento dos contribuintes, no transcurso do prazo exigível, do Imposto sobre Produtos Industrializados.</t>
  </si>
  <si>
    <t>Receita de Parcelamentos – Dívida Ativa do Imposto sobre Produtos Industrializados</t>
  </si>
  <si>
    <t>Registra o valor decorrente de parcelamentos da Dívida Ativa do Imposto sobre Produtos Industrializados, no âmbito do Programa de Recuperação Fiscal - REFIS e do Programa Especial de Parcelamento de Débito – PAES, criados, respectivamente, por meio das leis nº 9.964/2000 e 10.684/2003.</t>
  </si>
  <si>
    <t>Receita da Dívida Ativa do Imposto sobre Produtos Industrializados - Simples Nacional</t>
  </si>
  <si>
    <t>A receita de crédito do Imposto sobre Produtos Industrializados – Simples Nacional, constante no Livro de Inscrição da Dívida Ativa, assim inscrito em razão do não pagamento da obrigação no transcurso do prazo exigível.</t>
  </si>
  <si>
    <t>Receita da Dívida Ativa do Imposto sobre Operações de Crédito, Câmbio e Seguro, ou Relativas a Títulos ou Valores Mobiliários</t>
  </si>
  <si>
    <t>Registra o valor total das receitas advindas de créditos da fazenda pública, pelo não pagamento dos contribuintes, no transcurso do prazo exigível, do Imposto sobre Operações de Crédito, Câmbio e Seguro, ou Relativas a Títulos ou Valores Mobiliários.</t>
  </si>
  <si>
    <t>Receita do Principal da Dívida Ativa do Imposto sobre Operações de Crédito, Câmbio e Seguro, ou Relativas a Títulos ou Valores Mobiliários</t>
  </si>
  <si>
    <t>Registra o valor das receitas advindas de créditos da fazenda pública, pelo não pagamento dos contribuintes, no transcurso do prazo exigível, do Imposto sobre Operações de Crédito, Câmbio e Seguro, ou Relativas a Títulos ou Valores Mobiliários.</t>
  </si>
  <si>
    <t>Receita de Parcelamentos – Dívida Ativa do Imposto sobre Operações de Crédito, Câmbio e Seguro, ou Relativas a Títulos ou Valores Mobiliários</t>
  </si>
  <si>
    <t>Registra o valor decorrente de parcelamentos da Dívida Ativa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</si>
  <si>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Receita da Dívida Ativa do Imposto sobre a Propriedade Territorial Rural</t>
  </si>
  <si>
    <t>Registra o valor total das receitas advindas de créditos da Fazenda Pública, pelo não pagamento dos contribuintes, no transcurso do prazo exigível do Imposto Territorial Rural.</t>
  </si>
  <si>
    <t>Receita da Dívida Ativa do Imposto sobre a Propriedade Territorial Rural - Municípios Conveniados</t>
  </si>
  <si>
    <t>Registra a receita de crédito do Imposto sobre a Propriedade Territorial Rural constante no Livro de Inscrição da Dívida Ativa, assim inscrito em razão do não-pagamento da obrigação no transcurso do prazo exigível, devido aos municípios que optarem pela fiscalização e cobrança desse imposto.</t>
  </si>
  <si>
    <t>Receita da Dívida Ativa do Imposto sobre a Propriedade Territorial Rural - Municípios Não-Conveniados</t>
  </si>
  <si>
    <t>Registra a receita de crédito do Imposto sobre a Propriedade Territorial Rural constante no Livro de Inscrição da Dívida Ativa, assim inscrito em razão do não-pagamento da obrigação no transcurso do prazo exigível, parcialmente devido aos municípios que não optarem pela fiscalização e cobrança desse imposto.</t>
  </si>
  <si>
    <t>Receita da Dívida Ativa do Imposto sobre a Importação</t>
  </si>
  <si>
    <t>Registra o valor total das receitas advindas de créditos da Fazenda Pública, pelo não pagamento dos contribuintes, no transcurso do prazo exigível, do Imposto sobre a Importação.</t>
  </si>
  <si>
    <t>Receita do Principal da Dívida Ativa do Imposto sobre a Importação</t>
  </si>
  <si>
    <t>Registra o valor das receitas advindas de créditos da Fazenda Pública, pelo não pagamento dos contribuintes, no transcurso do prazo exigível, do Imposto sobre a Importação.</t>
  </si>
  <si>
    <t>Receita de Parcelamentos – Dívida Ativa do Imposto sobre a Importação</t>
  </si>
  <si>
    <t>Registra o valor decorrente de parcelamentos da Dívida Ativa do Imposto sobre a Importação, no âmbito do Programa de Recuperação Fiscal - REFIS e do Programa Especial de Parcelamento de Débito – PAES, criados, respectivamente, por meio das leis nº 9.964/2000 e 10.684/2003.</t>
  </si>
  <si>
    <t>Receita da Dívida Ativa do Imposto sobre a Exportação</t>
  </si>
  <si>
    <t>Registra o valor total das receitas advindas de créditos da Fazenda Pública, pelo não pagamento dos contribuintes, no transcurso do prazo exigível, do Imposto sobre a Exportação.</t>
  </si>
  <si>
    <t>Receita do Principal da Dívida Ativa do Imposto sobre a Exportação</t>
  </si>
  <si>
    <t>Registra o valor das receitas advindas de créditos da Fazenda Pública, pelo não pagamento dos contribuintes, no transcurso do prazo exigível, do Imposto sobre a Exportação.</t>
  </si>
  <si>
    <t>Receita de Parcelamentos – Dívida Ativa do Imposto sobre a Exportação</t>
  </si>
  <si>
    <t>Registra o valor decorrente de parcelamentos da Dívida Ativa do Imposto sobre a Exportação, no âmbito do Programa de Recuperação Fiscal - REFIS e do Programa Especial de Parcelamento de Débito – PAES, criados, respectivamente, por meio das leis nº 9.964/2000 e 10.684/2003.</t>
  </si>
  <si>
    <t>Receita da Dívida Ativa de Custas Judiciais</t>
  </si>
  <si>
    <t>Registra o valor da arrecadação de receita da dívida ativa, pelo não pagamento de custas judiciais no transcurso do prazo exigível.</t>
  </si>
  <si>
    <t>Receita da Dívida Ativa da Taxa de Fiscalização de Telecomunicações</t>
  </si>
  <si>
    <t>Agrega os registros da receita de crédito das Taxas de Fiscalização das Telecomunicações constante no Livro de Inscrição da Dívida Ativa, assim inscrito em razão do não-pagamento da obrigação no transcurso do prazo exigível.</t>
  </si>
  <si>
    <t>Receita da Dívida Ativa da Taxa de Fiscalização de Instalação</t>
  </si>
  <si>
    <t>Registra a receita de crédito das Taxas de Fiscalização de Instalação constante no Livro de Inscrição da Dívida Ativa, assim inscrito em razão do não-pagamento da obrigação no transcurso do prazo exigível.</t>
  </si>
  <si>
    <t>Receita da Dívida Ativa da Taxa de Fiscalização de Funcionamento</t>
  </si>
  <si>
    <t>Registra a receita de crédito das Taxas de Fiscalização de Funcionamento constante no Livro de Inscrição da Dívida Ativa, assim inscrito em razão do não-pagamento da obrigação no transcurso do prazo exigível.</t>
  </si>
  <si>
    <t>Receita da Dívida Ativa decorrente da Taxa de Fiscalização – TAFIC</t>
  </si>
  <si>
    <t>Registra a receita decorrente do pagamento da Dívida Ativa da Taxa de Fiscalização TAFIC.</t>
  </si>
  <si>
    <t>Receita da Dívida Ativa do Imposto sobre a Propriedade Predial e Territorial Urbana – IPTU</t>
  </si>
  <si>
    <t>Registra o valor da arrecadação de receita da dívida ativa, pelo não pagamento do Imposto sobre a Propriedade Predial e Territorial Urbana – IPTU – no transcurso do prazo exigível.</t>
  </si>
  <si>
    <t>Receita da Dívida Ativa do Imposto sobre a Transmissão Inter-Vivos de Bens Imóveis – ITBI</t>
  </si>
  <si>
    <t>Registra o valor da arrecadação de receita da dívida ativa, pelo não pagamento do Imposto sobre a Transmissão Inter-Vivos de Bens Imóveis – ITBI – no transcurso do prazo exigível.</t>
  </si>
  <si>
    <t>Receita da Dívida Ativa do Imposto sobre Serviços de Qualquer Natureza – ISS</t>
  </si>
  <si>
    <t>Registra o valor da arrecadação de receita da dívida ativa, pelo não pagamento do Imposto sobre Serviços de Qualquer Natureza – ISS – no transcurso do prazo exigível.</t>
  </si>
  <si>
    <t>Receita da Dívida Ativa do Imposto sobre a Propriedade de Veículos Automotores – IPVA</t>
  </si>
  <si>
    <t>Registra o valor da arrecadação de receita de dívida ativa, pelo não pagamento do Imposto sobre Propriedade de Veículos Automotores – IPVA – no transcurso do prazo exigível.</t>
  </si>
  <si>
    <t>Receita da Dívida Ativa do Imposto sobre Circulação de Mercadorias e Prestação de Serviços – ICMS</t>
  </si>
  <si>
    <t>Registra o valor da arrecadação de receita da dívida ativa, pelo não pagamento do Imposto sobre Circulação de Mercadorias e Prestação de Serviços – ICMS – no transcurso do prazo exigível.</t>
  </si>
  <si>
    <t>Receita da Dívida Ativa do Imposto sobre Transmissão “Causa Mortis” e Doação de Bens e Direitos</t>
  </si>
  <si>
    <t>Registra o valor da arrecadação de receitas da dívida ativa, pelo não pagamento do Imposto sobre Transmissão “Causa Mortis” e Doação de Bens e Direitos.</t>
  </si>
  <si>
    <t>Receita da Dívida Ativa da Taxa de Fiscalização e Vigilância Sanitária</t>
  </si>
  <si>
    <t>Registra o valor da arrecadação de receitas da dívida ativa referente à Taxa de Fiscalização e Vigilância Sanitária.</t>
  </si>
  <si>
    <t>Receita da Dívida Ativa da Taxa de Saúde Suplementar</t>
  </si>
  <si>
    <t>Registra o valor da arrecadação de receitas da dívida ativa referente à Taxa de Saúde Suplementar.</t>
  </si>
  <si>
    <t>Receita da Dívida Ativa das Contribuições de Melhoria.</t>
  </si>
  <si>
    <t>Registra o valor da arrecadação de receitas da dívida ativa das contribuições de melhoria.</t>
  </si>
  <si>
    <t>Receita da Dívida Ativa de Outros Tributos</t>
  </si>
  <si>
    <t>Registra o valor da arrecadação de receita da dívida ativa referente a outros tributos não classificados nos itens acima, devidos e não pagos, que foram inscritos em dívida ativa.</t>
  </si>
  <si>
    <t>Receita da Dívida Ativa de Outros Tributos – Principal</t>
  </si>
  <si>
    <t>Registra o valor da arrecadação do principal da receita da dívida ativa referente a outros tributos não classificados nos itens acima, devidos e não pagos, que foram inscritos em dívida ativa.</t>
  </si>
  <si>
    <t>Parcelamentos - Receita da Dívida Ativa de Outros Tributos</t>
  </si>
  <si>
    <t>Registra o valor decorrente de parcelamentos da Dívida Ativa de Outros Tributos, no âmbito do Programa de Recuperação Fiscal - REFIS e do Programa Especial de Parcelamento de Débito – PAES, criados, respectivamente, por meio das leis nº 9.964/2000 e 10.684/2003.</t>
  </si>
  <si>
    <t>Receita da Dívida Ativa não tributária</t>
  </si>
  <si>
    <t>Registra o valor total da arrecadação de receita da dívida ativa não tributária de demais créditos da Fazenda Pública, tais como os provenientes de receitas patrimoniais, agropecuárias, industriais e de serviços, referentes a infrações e regulamentos específicos e outros. Exigível pelo transcurso do prazo de pagamento, inscrita na forma de legislação própria, depois de apurada sua liquidez e certeza.</t>
  </si>
  <si>
    <t>Receita da Dívida Ativa das Contribuições Previdenciárias para o Regime Geral de Previdência Social</t>
  </si>
  <si>
    <t>Registra o valor da receita advinda de crédito da Fazenda Pública, pelo não pagamento dos contribuintes no curso do prazo exigível, das Contribuições Previdenciárias para o Regime Geral de Previdência Social.</t>
  </si>
  <si>
    <t>Receita da Dívida Ativa da Contribuição Previdenciária do Segurado Obrigatório – Contribuinte Individual</t>
  </si>
  <si>
    <t>Registra o valor da receita advinda de crédito da Fazenda Pública, pelo não pagamento dos contribuintes, no curso do prazo exigível, da Contribuição Previdenciária do Segurado Obrigatório – Contribuinte Individual.</t>
  </si>
  <si>
    <t>Receita da Dívida Ativa da Contribuição Previdenciária do Segurado Assalariado</t>
  </si>
  <si>
    <t>Registra o valor da receita advinda de crédito da Fazenda Pública, pelo não pagamento dos contribuintes, no curso do prazo exigível, da Contribuição Previdenciária do Segurado Assalariado.</t>
  </si>
  <si>
    <t>Receita da Dívida Ativa da Contribuição Previdenciária da Empresa sobre o Segurado Assalariado</t>
  </si>
  <si>
    <t>Registra o valor da receita advinda de crédito da Fazenda Pública, pelo não pagamento dos contribuintes, no curso do prazo exigível, da Contribuição Previdenciária da Empresa sobre o Segurado Assalariado.</t>
  </si>
  <si>
    <t>Receita da Dívida Ativa da Contribuição Previdenciária da Empresa Optante pelo SIMPLES</t>
  </si>
  <si>
    <t>Registra o valor da receita advinda de crédito da Fazenda Pública, pelo não pagamento dos contribuintes, no curso do prazo exigível, da Contribuição Previdenciária da Empresa Optante pelo SIMPLES.</t>
  </si>
  <si>
    <t>Receita da Dívida Ativa da Contribuição Previdenciária sobre Espetáculo Desportivo</t>
  </si>
  <si>
    <t>Registra o valor da receita advinda de crédito da Fazenda Pública, pelo não pagamento dos contribuintes, no curso do prazo exigível, da Contribuição Previdenciária sobre Espetáculo Desportivo.</t>
  </si>
  <si>
    <t>Receita da Dívida Ativa da Contribuição Previdenciária sobre Produção Rural</t>
  </si>
  <si>
    <t>Registra o valor da receita advinda de crédito da Fazenda Pública, pelo não pagamento dos contribuintes, no curso do prazo exigível, da Contribuição Previdenciária sobre Produção Rural.</t>
  </si>
  <si>
    <t>Receita da Dívida Ativa da Contribuição Previdenciária em Regime de Parcelamento de Débitos</t>
  </si>
  <si>
    <t>Registra o valor da receita advinda de crédito da Fazenda Pública, pelo não pagamento dos contribuintes, no curso do prazo exigível, da Contribuição Previdenciária em Regime de Parcelamento de Débitos.</t>
  </si>
  <si>
    <t>Receita da Dívida Ativa da Contribuição Previdenciária para o Seguro de Acidente do Trabalho</t>
  </si>
  <si>
    <t>Registra o valor da receita advinda de crédito da Fazenda Pública, pelo não pagamento dos contribuintes, no curso do prazo exigível, da Contribuição Previdenciária para o Seguro de Acidente do Trabalho.</t>
  </si>
  <si>
    <t>Receita de Mora da Dívida Ativa da Contribuição Previdenciária sobre Reclamatória Trabalhista</t>
  </si>
  <si>
    <t>Registra o valor da receita advinda de crédito da Fazenda Pública, pelo não pagamento dos contribuintes, no curso do prazo exigível, da Contribuição Previdenciária sobre Reclamatória Trabalhista.</t>
  </si>
  <si>
    <t>Receita da Dívida Ativa da Contribuição Previdenciária do Segurado em Regime de Parcelamento de Débitos dos Municípios</t>
  </si>
  <si>
    <t>Registra o valor da receita advinda de crédito da Fazenda Pública, pelo não pagamento dos contribuintes, no curso do prazo exigível, da Contribuição Previdenciária do Segurado em Regime de Parcelamento de Débitos dos Municípios.</t>
  </si>
  <si>
    <t>Receita da Dívida Ativa da Contribuição Previdenciária do Segurado Obrigatório – Empresário</t>
  </si>
  <si>
    <t>Registra o valor da receita advinda de crédito da Fazenda Pública, pelo não pagamento dos contribuintes, no curso do prazo exigível, da Contribuição Previdenciária do Segurado Obrigatório.</t>
  </si>
  <si>
    <t>Receita da Dívida Ativa da Contribuição Previdenciária do Segurado Facultativo</t>
  </si>
  <si>
    <t>Registra o valor da receita advinda de crédito da Fazenda Pública, pelo não pagamento dos contribuintes, no curso do prazo exigível, da Contribuição Previdenciária do Segurado Facultativo.</t>
  </si>
  <si>
    <t>Receita da Dívida Ativa da Contribuição Previdenciária do Segurado Especial</t>
  </si>
  <si>
    <t>Registra o valor da receita advinda de crédito da Fazenda Pública, pelo não pagamento dos contribuintes, no curso do prazo exigível, da Contribuição Previdenciária do Segurado Especial.</t>
  </si>
  <si>
    <t>Receita da Dívida Ativa da Contribuição Previdenciária do Segurado Obrigatório – Empregado Doméstico</t>
  </si>
  <si>
    <t>Registra o valor da receita advinda de crédito da Fazenda Pública, pelo não pagamento dos contribuintes, no curso do prazo exigível, da Contribuição Previdenciária do Segurado Obrigatório – Empregado Doméstico.</t>
  </si>
  <si>
    <t>Receita da Dívida Ativa da Contribuição Previdenciária dos Órgãos do Poder Público</t>
  </si>
  <si>
    <t>Registra o valor da receita advinda de crédito da Fazenda Pública, pelo não pagamento dos contribuintes, no curso do prazo exigível, da Contribuição Previdenciária dos Órgãos do Poder Público.</t>
  </si>
  <si>
    <t>Receita da Dívida Ativa da Contribuição Previdenciária das Entidades Filantrópicas</t>
  </si>
  <si>
    <t>Registra o valor da receita advinda de crédito da Fazenda Pública, pelo não pagamento dos contribuintes, no curso do prazo exigível, da Contribuição Previdenciária das Entidades Filantrópicas.</t>
  </si>
  <si>
    <t>Receita da Dívida Ativa da Contribuição Previdenciária – Retenção sobre Nota Fiscal – Sub-rogação</t>
  </si>
  <si>
    <t>Registra o valor da receita advinda de crédito da Fazenda Pública, pelo não pagamento dos contribuintes, no curso do prazo exigível, da Contribuição Previdenciária – Retenção sobre Nota Fiscal – Sub-rogação.</t>
  </si>
  <si>
    <t>Receita da Dívida Ativa da Arrecadação FIES – Certificados Financeiros do Tesouro Nacional</t>
  </si>
  <si>
    <t>Registra o valor da receita advinda de crédito da Fazenda Pública, pelo não pagamento dos contribuintes, no curso do prazo exigível, da Arrecadação do Fundo de Financiamento ao Estudante do Ensino Superior – FIES – Certificados Financeiros do Tesouro Nacional.</t>
  </si>
  <si>
    <t>Receita da Dívida Ativa da Arrecadação FNS – Certificados Financeiros do Tesouro Nacional</t>
  </si>
  <si>
    <t>Registra o valor da receita advinda de crédito da Fazenda Pública, pelo não pagamento dos contribuintes, no curso do prazo exigível, da Arrecadação do Fundo Nacional de Saúde – FNS – Certificados Financeiros do Tesouro Nacional.</t>
  </si>
  <si>
    <t>Receita da Dívida Ativa de Certificados da Dívida Pública – CDP</t>
  </si>
  <si>
    <t>Registra o valor da receita advinda de crédito da Fazenda Pública, pelo não pagamento dos contribuintes, no curso do prazo exigível, de Certificados da Dívida Pública – CDP.</t>
  </si>
  <si>
    <t>Receita da Dívida Ativa da Contribuição Previdenciária na Forma de Depósito Judicial, Recursal e Custas Judiciais</t>
  </si>
  <si>
    <t>Registra o valor da receita advinda de crédito da Fazenda Pública, pelo não pagamento dos contribuintes, no curso do prazo exigível, da Contribuição Previdenciária na Forma de Depósito Judicial, Recursal e Custas Judiciais.</t>
  </si>
  <si>
    <t>Receita da Dívida Ativa da Contribuição Previdenciária – Parcelamentos</t>
  </si>
  <si>
    <t>Registra o valor da receita de crédito da Contribuição Previdenciária na Forma de Parcelamentos, constante no Livro de Inscrição da Dívida Ativa, assim inscrito em razão do não pagamento da obrigação no transcurso do prazo exigível.</t>
  </si>
  <si>
    <t>Receita da Dívida Ativa da Contribuição Previdenciária da Empresa Incidente sobre a Receita Bruta</t>
  </si>
  <si>
    <t>Registra a receita decorrente do crédito da Contribuição Previdenciária da Empresa Incidente sobre a Receita Bruta constante no Livro de Inscrição da Dívida Ativa, assim inscrito em razão do não-pagamento da obrigação no transcurso do prazo exigível.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</si>
  <si>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Receita da Dívida Ativa de Outras Contribuições Previdenciárias</t>
  </si>
  <si>
    <t>Registra o valor da receita advinda de crédito da Fazenda Pública, pelo não pagamento dos contribuintes, no curso do prazo exigível, de outras contribuições previdenciárias.</t>
  </si>
  <si>
    <t>Receita da Dívida Ativa da Contribuição para o Financiamento da Seguridade Social</t>
  </si>
  <si>
    <t>Registra o valor total da arrecadação da receita de dívida ativa, pelo não pagamento da Contribuição para o Financiamento da Seguridade Social, no transcurso do prazo exigível.</t>
  </si>
  <si>
    <t>Receita do Principal da Dívida Ativa da Contribuição para o Financiamento da Seguridade Social</t>
  </si>
  <si>
    <t>Registra o valor da arrecadação da receita de dívida ativa, pelo não pagamento da contribuição para o financiamento da seguridade social, no transcurso do prazo exigível.</t>
  </si>
  <si>
    <t>Receita de Parcelamentos – Dívida Ativa da Contribuição para o Financiamento da Seguridade Social</t>
  </si>
  <si>
    <t>Registra o valor da arrecadação de receitas decorrentes de Parcelamentos da dívida ativa da Contribuição para o Financiamento da Seguridade Social.</t>
  </si>
  <si>
    <t>Receita da Dívida Ativa da Contribuição do Salário-Educação</t>
  </si>
  <si>
    <t>Registra o valor da arrecadação de receita de dívida ativa, pelo não pagamento da Contribuição do Salário Educação.</t>
  </si>
  <si>
    <t>Receita da Dívida Ativa da Contribuição sobre Movimentação ou Transmissão de Valores e de Créditos e Direitos de Natureza Financeira</t>
  </si>
  <si>
    <t>Registra o valor total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</si>
  <si>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Receita do Principal da Dívida Ativa da Contribuição sobre Movimentação ou Transmissão de Valores e de Créditos e Direitos de Natureza Financeira</t>
  </si>
  <si>
    <t>Registra o valor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</si>
  <si>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Receita de Parcelamentos – Dívida Ativa da Contribuição sobre Movimentação ou Transmissão de Valores e de Créditos e Direitos de Natureza Financeira</t>
  </si>
  <si>
    <t>Registra o valor da arrecadação de receita decorrente de parcelamentos da dívida ativa da contribuição para o Financiamento da Seguridade Social de Valores e de Créditos e Direitos de Natureza Financeira.</t>
  </si>
  <si>
    <t>Receita da Dívida Ativa da Contribuição para o PIS/PASEP</t>
  </si>
  <si>
    <t>Registra o valor total da arrecadação de receita de dívida ativa, pelo não pagamento da Contribuição para o PIS/PASEP.</t>
  </si>
  <si>
    <t>Receita do Principal da Dívida Ativa da Contribuição para o PIS/PASEP</t>
  </si>
  <si>
    <t>Registra o valor da arrecadação de receita de dívida ativa, pelo não pagamento da Contribuição para o PIS/PASEP.</t>
  </si>
  <si>
    <t>Receita de Parcelamentos - Dívida Ativa da Contribuição para o PIS/PASEP</t>
  </si>
  <si>
    <t>Registra o valor decorrente de parcelamentos da Dívida Ativa da Contribuição para o PIS/PASEP, no âmbito do Programa de Recuperação Fiscal - REFIS e do Programa Especial de Parcelamento de Débito – PAES, criados, respectivamente, por meio das leis nº 9.964/2000 e 10.684/2003.</t>
  </si>
  <si>
    <t>Receita da Dívida Ativa da Contribuição Social sobre o Lucro Líquido das Pessoas Jurídicas</t>
  </si>
  <si>
    <t>Registra o valor total da arrecadação de receita de dívida ativa, pelo não pagamento da Contribuição Social sobre o Lucro Líquido das Pessoas Jurídicas, no transcurso do prazo exigível.</t>
  </si>
  <si>
    <t>Receita do Principal da Dívida Ativa da Contribuição Social sobre o Lucro Líquido das Pessoas Jurídicas</t>
  </si>
  <si>
    <t>Registra o valor da arrecadação de receita de dívida ativa, pelo não pagamento da Contribuição Social sobre o Lucro Líquido das Pessoas Jurídicas, no transcurso do prazo exigível.</t>
  </si>
  <si>
    <t>Receita de Parcelamentos - Dívida Ativa da Contribuição Social sobre o Lucro das Pessoas Jurídicas</t>
  </si>
  <si>
    <t>Registra o valor decorrente de parcelamentos da Dívida Ativa da Contribuição Social sobre o Lucro das Pessoas Jurídicas, no âmbito do Programa de Recuperação Fiscal - REFIS e do Programa Especial de Parcelamento de Débito – PAES, criados, respectivamente, por meio das leis nº 9.964/2000 e 10.684/2003.</t>
  </si>
  <si>
    <t>Receita da Dívida Ativa da Contribuição dos Concursos e Prognósticos</t>
  </si>
  <si>
    <t>Registra o valor da arrecadação de receita de dívida ativa, pelo não pagamento da Contribuição dos Concursos e Prognósticos, no transcurso do prazo exigível.</t>
  </si>
  <si>
    <t>Receita da Dívida Ativa da Contribuição sobre a Receita da Loteria Federal</t>
  </si>
  <si>
    <t>Registra o valor da receita advinda de crédito da Fazenda Pública, pelo não recolhimento, no transcurso do prazo exigível, das Contribuições sobre a Receita da Loteria Federal.</t>
  </si>
  <si>
    <t>Receita da Dívida Ativa da Contribuição sobre a Receita de Loterias Esportivas</t>
  </si>
  <si>
    <t>Registra o valor da receita advinda de crédito da Fazenda Pública, pelo não recolhimento, no transcurso do prazo exigível, das Contribuições sobre a Receita de Loterias Esportivas.</t>
  </si>
  <si>
    <t>Receita da Dívida Ativa da Contribuição sobre a Receita de Concursos Especiais de Loterias Esportivas</t>
  </si>
  <si>
    <t>Registra o valor da receita advinda de crédito da Fazenda Pública, pelo não recolhimento, no transcurso do prazo exigível, das Contribuições sobre a Receita de Concursos Especiais de Loterias Esportivas.</t>
  </si>
  <si>
    <t>Receita da Dívida Ativa da Contribuição sobre a Receita da Loteria de Números</t>
  </si>
  <si>
    <t>Registra o valor da receita advinda de crédito da Fazenda Pública, pelo não recolhimento, no transcurso do prazo exigível, das Contribuições sobre a Receita da Loteria de Números.</t>
  </si>
  <si>
    <t>Receita da Dívida Ativa da Contribuição sobre a Receita da Loteria Instantânea</t>
  </si>
  <si>
    <t>Registra o valor da receita advinda de crédito da Fazenda Pública, pelo não recolhimento, no transcurso do prazo exigível, das Contribuições sobre a Receita da Loteria Instantânea.</t>
  </si>
  <si>
    <t>Receita da Dívida Ativa de Prêmios Prescritos de Loterias Federais</t>
  </si>
  <si>
    <t>Registra o valor da receita advinda de crédito da Fazenda Pública, pelo não recolhimento, no transcurso do prazo exigível, de Prêmios de Loterias Federais.</t>
  </si>
  <si>
    <t>Receita da Dívida Ativa das Multas do Código Eleitoral e Leis Conexas</t>
  </si>
  <si>
    <t>Registra o valor da arrecadação da receita da dívida ativa de multas do Código Eleitoral e Leis Conexas.</t>
  </si>
  <si>
    <t>Receita da Dívida Ativa da Cota-Parte do Adicional ao Frete para a Renovação da Marinha Mercante</t>
  </si>
  <si>
    <t>Registra o valor da arrecadação da receita advinda de crédito da Fazenda Pública, pelo não pagamento dos contribuintes, no transcurso prazo exigível, da Cota-Parte do Adicional ao Frete para a Renovação da Marinha Mercante.</t>
  </si>
  <si>
    <t>Receita da Dívida Ativa da Contribuição sobre Aposta em Competições Hípicas</t>
  </si>
  <si>
    <t>Registra o valor da arrecadação de receita de dívida ativa, pelo não pagamento da Contribuição sobre Aposta em Competições Hípicas, no transcurso do prazo exigível.</t>
  </si>
  <si>
    <t>Receita da Dívida Ativa de Aluguéis</t>
  </si>
  <si>
    <t>Registra o valor da arrecadação da receita da dívida ativa de aluguéis.</t>
  </si>
  <si>
    <t>Receita da Dívida Ativa de Foros</t>
  </si>
  <si>
    <t>Registra o valor da arrecadação da receita da dívida ativa de foros.</t>
  </si>
  <si>
    <t>Receita da Dívida Ativa de Taxa de Ocupação</t>
  </si>
  <si>
    <t>Registra o valor da arrecadação da receita da dívida ativa de taxa de ocupação.</t>
  </si>
  <si>
    <t>Receita da Dívida Ativa de Arrendamento</t>
  </si>
  <si>
    <t>Registra o valor da arrecadação da receita da dívida ativa de arrendamento.</t>
  </si>
  <si>
    <t>Receita da Dívida Ativa de Laudêmios</t>
  </si>
  <si>
    <t>Registra o valor da arrecadação da receita da dívida ativa de laudêmios.</t>
  </si>
  <si>
    <t>Receita da Dívida Ativa de Outras Contribuições</t>
  </si>
  <si>
    <t>Registra o valor da arrecadação de receita de dívida ativa, pelo não pagamento de outras contribuições não classificadas nos itens anteriores, no transcurso do prazo exigível.</t>
  </si>
  <si>
    <t>Receita da Dívida Ativa de Outras Contribuições - Principal</t>
  </si>
  <si>
    <t>Registra o valor da arrecadação do principal da receita de dívida ativa, pelo não pagamento de outras contribuições não classificadas nos itens anteriores, no transcurso do prazo exigível.</t>
  </si>
  <si>
    <t>Receita de Parcelamentos - Dívida Ativa de Outras Contribuições</t>
  </si>
  <si>
    <t>Registra o valor decorrente de parcelamentos da Dívida Ativa de Outras Contribuições, no âmbito do Programa de Recuperação Fiscal - REFIS e do Programa Especial de Parcelamento de Débito – PAES, criados, respectivamente, por meio das leis nº 9.964/2000 e 10.684/2003.</t>
  </si>
  <si>
    <t>Receita da Dívida Ativa da Contribuição sobre a Receita Operacional Bruta Decorrente de Prestação de Serviços de Telecomunicações</t>
  </si>
  <si>
    <t>Registra a receita de crédito da Contribuição sobre a Receita Operacional Bruta Decorrente de Prestação de Serviços de Telecomunicações constante no Livro de Inscrição da Dívida Ativa, assim inscrito em razão do não-pagamento da obrigação no transcurso do prazo exigível.</t>
  </si>
  <si>
    <t>Receita da Dívida Ativa da Contribuição para o Fomento da Radiodifusão Pública</t>
  </si>
  <si>
    <t>Registra a receita de crédito Contribuição para o Fomento da Radiodifusão Pública constante no Livro de Inscrição da Dívida Ativa, assim inscrito em razão do não-pagamento da obrigação no transcurso do prazo exigível.</t>
  </si>
  <si>
    <t>Receita da Dívida Ativa das Multas por Infração à Legislação Trabalhista</t>
  </si>
  <si>
    <t>Registra o valor da arrecadação de receita de dívida ativa de créditos não tributários, pelo não pagamento das Multas por Infração à Legislação Trabalhista, no transcurso do prazo exigível.</t>
  </si>
  <si>
    <t>Receita da Dívida Ativa da Contribuição Relativa à Despedida de Empregado sem Justa Causa</t>
  </si>
  <si>
    <t>Registra o valor da arrecadação de receita de dívida ativa, pelo não pagamento da Contribuição Relativa à Despedida de Empregado sem Justa Causa, no transcurso do prazo exigível.</t>
  </si>
  <si>
    <t>Receita da Dívida Ativa da Contribuição sobre a Remuneração Devida ao Trabalhador</t>
  </si>
  <si>
    <t>Registra o valor da arrecadação de receita de dívida ativa, pelo não pagamento da Contribuição sobre a Remuneração Devida ao Trabalhador, no transcurso do prazo exigível.</t>
  </si>
  <si>
    <t>Receita da Dívida Ativa da Contribuição Relativa às Atividades de Comercialização de Petróleo e seus Derivados, Gás Natural e Álcool Carburante</t>
  </si>
  <si>
    <t>Registra o valor da arrecadação de receita de dívida ativa, pelo não pagamento da Contribuição Relativa às Atividades de Comercialização de Petróleo e seus Derivados, Gás Natural e Álcool Carburante, no transcurso do prazo exigível.</t>
  </si>
  <si>
    <t>Receita da Dívida Ativa da Contribuição Relativa às Atividades de Comercialização de Petróleo e seus Derivados, Gás Natural e Álcool Carburante – Principal</t>
  </si>
  <si>
    <t>Registra o valor da arrecadação do principal da receita de dívida ativa, pelo não pagamento da Contribuição Relativa às Atividades de Comercialização de Petróleo e seus Derivados, Gás Natural e Álcool Carburante, no transcurso do prazo exigível.</t>
  </si>
  <si>
    <t xml:space="preserve">Receita de Parcelamentos - Dívida Ativa da Contribuição Relativa às Atividades de Comercialização de Petróleo e seus Derivados, Gás Natural e Álcool Carburante </t>
  </si>
  <si>
    <t>Registra o valor decorrente de parcelamentos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</si>
  <si>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Receita da Dívida Ativa da Atividade Mineral</t>
  </si>
  <si>
    <t>Registra o valor da arrecadação de receita de créditos decorrentes da atividade mineral, constantes no Livro de Inscrição da Dívida Ativa, assim inscritos em razão do não-pagamento das obrigações no transcurso do prazo exigível.</t>
  </si>
  <si>
    <t>Receita da Dívida Ativa da Exploração de Recursos Minerais</t>
  </si>
  <si>
    <t>Registra o valor da arrecadação de Receita da Dívida Ativa da Exploração de Recursos Minerais.</t>
  </si>
  <si>
    <t>Receita da Dívida Ativa da Outorga de Direitos de Exploração e Pesquisa Mineral</t>
  </si>
  <si>
    <t>Registra o valor da arrecadação de Receita da Dívida Ativa da Outorga de Direitos de Exploração e Pesquisa Mineral.</t>
  </si>
  <si>
    <t>Receita da Dívida Ativa das Multas Previstas na Legislação Minerária</t>
  </si>
  <si>
    <t>Registra o valor da arrecadação de Receita da Dívida Ativa das Multas Previstas na Legislação Mineraria.</t>
  </si>
  <si>
    <t>Receita da Dívida Ativa dos Serviços de Inspeção e Fiscalização da Atividade Mineral</t>
  </si>
  <si>
    <t>Registra o valor da arrecadação de Receita da Dívida Ativa dos Serviços de Inspeção e Fiscalização da Atividade Mineral.</t>
  </si>
  <si>
    <t>Receita da Dívida Ativa da Multa de Poluição de Águas</t>
  </si>
  <si>
    <t>Registra a receita de créditos decorrentes da Multa de Poluição de Águas, constantes no Livro de Inscrição da Dívida Ativa, assim inscritos em razão do não-pagamento das obrigações no transcurso do prazo exigível.</t>
  </si>
  <si>
    <t>Receita da Dívida Ativa da Outorga de Direitos de Uso de Recursos Hídricos</t>
  </si>
  <si>
    <t>Registra a receita de créditos decorrentes da Outorga de Direitos de Uso de Recursos Hídricos, constantes no Livro de Inscrição da Dívida Ativa, assim inscritos em razão do não-pagamento das obrigações no transcurso do prazo exigível.</t>
  </si>
  <si>
    <t>Receita da Dívida Ativa da Multa Prevista no Código Brasileiro de Aeronáutica</t>
  </si>
  <si>
    <t xml:space="preserve">Registra a receita de créditos decorrentes da Multa Prevista no Código Brasileiro de Aeronáutica, constantes no Livro de Inscrição da Dívida Ativa, assim inscritos em razão do não-pagamento das obrigações no transcurso do prazo exigível. </t>
  </si>
  <si>
    <t>Receita da Dívida Ativa dos Serviços de Inspeção e Fiscalização</t>
  </si>
  <si>
    <t>Registra a receita de créditos decorrentes dos Serviços de Inspeção e Fiscalização, constantes no Livro de Inscrição da Dívida Ativa, assim inscritos em razão do não pagamento das obrigações no transcurso do prazo exigível.</t>
  </si>
  <si>
    <t>Receita da Dívida Ativa das Multas Previstas na Lei Geral das Telecomunicações</t>
  </si>
  <si>
    <t>Registra a receita de créditos decorrentes das Multas Previstas na Lei Geral das Telecomunicações, constantes no Livro de Inscrição da Dívida Ativa, assim inscritos em razão do não-pagamento das obrigações no transcurso do prazo exigível.</t>
  </si>
  <si>
    <t>Receita da Dívida Ativa de Concessões e Permissões – Serviços de Comunicação</t>
  </si>
  <si>
    <t>Agrega os registros da receita de créditos decorrentes de concessões e permissões de serviços de comunicação, constantes no Livro de Inscrição da Dívida Ativa, assim inscritos em razão do não-pagamento das obrigações no transcurso do prazo exigível.</t>
  </si>
  <si>
    <t>Receita da Dívida Ativa da Outorga dos Serviços de Telecomunicações</t>
  </si>
  <si>
    <t xml:space="preserve">Registra a receita de créditos decorrentes da outorga dos serviços de telecomunicações, constantes no Livro de Inscrição da Dívida Ativa, assim inscritos em razão do não-pagamento das obrigações no transcurso do prazo exigível. </t>
  </si>
  <si>
    <t>Receita da Dívida Ativa da Outorga dos Serviços de Radiodifusão Sonora e de Sons e Imagens</t>
  </si>
  <si>
    <t xml:space="preserve">Registra a receita de créditos decorrentes da outorga dos serviços de radiodifusão sonora e de sons e imagens, constantes no Livro de Inscrição da Dívida Ativa, assim inscritos em razão do não-pagamento das obrigações no transcurso do prazo exigível. </t>
  </si>
  <si>
    <t>Receita da Dívida Ativa da Outorga do Direito de Uso de Radiofrequência</t>
  </si>
  <si>
    <t xml:space="preserve">Registra a receita de créditos decorrentes da outorga do direito de uso de radiofrequência, constantes no Livro de Inscrição da Dívida Ativa, assim inscritos em razão do não-pagamento das obrigações no transcurso do prazo exigível. </t>
  </si>
  <si>
    <t>Receita da Dívida Ativa da Transferência de Concessão, de Permissão ou de Autorização de Telecomunicações ou de Uso de Radiofrequência</t>
  </si>
  <si>
    <t xml:space="preserve">Registra a receita de créditos decorrentes da transferência de concessão, de permissão ou de autorização de telecomunicações ou de uso de radiofrequência, constantes no Livro de Inscrição da Dívida Ativa, assim inscritos em razão do não-pagamento das obrigações no transcurso do prazo exigível. </t>
  </si>
  <si>
    <t>Receita da Dívida Ativa da Outorga para a Utilização de Posições Orbitais</t>
  </si>
  <si>
    <t xml:space="preserve">Registra a receita de créditos decorrentes da outorga para a utilização de posições orbitais, constantes no Livro de Inscrição da Dívida Ativa, assim inscritos em razão do não-pagamento das obrigações no transcurso do prazo exigível. </t>
  </si>
  <si>
    <t>Receita da Dívida Ativa de Outras Receitas de Concessões e Permissões - Serviços de Comunicação</t>
  </si>
  <si>
    <t xml:space="preserve">Registra a receita de créditos decorrentes da outorga pelo Poder Público do direito de exploração de serviços públicos de telecomunicações não abrangidos pelas naturezas de receita anteriores, constantes no Livro de Inscrição da Dívida Ativa, assim inscritos em razão do não-pagamento das obrigações no transcurso do prazo exigível. </t>
  </si>
  <si>
    <t>Receita da Dívida Ativa da Contribuição para o Desenvolvimento da Indústria Cinematográfica Nacional</t>
  </si>
  <si>
    <t>Registra a receita de créditos decorrentes da Contribuição para o Desenvolvimento da Indústria Cinematográfica Nacional, constantes no Livro de Inscrição da Dívida Ativa, assim inscritos em razão do não-pagamento das obrigações no transcurso do prazo exigível.</t>
  </si>
  <si>
    <t>Receita da Dívida Ativa da Receita decorrente da Não-Aplicação de Incentivos Fiscais em Projetos Culturais e Indústria Cinematográfica</t>
  </si>
  <si>
    <t>Registra a receita de créditos decorrentes da Não-Aplicação de Incentivos Fiscais em Projetos Culturais e da Indústria Cinematográfica, constantes no Livro de Inscrição da Dívida Ativa, assim inscritos em razão do não-pagamento das obrigações no transcurso do prazo exigível.</t>
  </si>
  <si>
    <t>Dívida Ativa das Multas por Infrações à Legislação Cinematográfica</t>
  </si>
  <si>
    <t>Registra a receita de créditos decorrentes das Multas por Infrações à Legislação Cinematográfica, constantes no Livro de Inscrição da Dívida Ativa, assim inscritos em razão do não-pagamento das obrigações no transcurso do prazo exigível.</t>
  </si>
  <si>
    <t>Receita da Dívida Ativa da Utilização de Recursos Hídricos – Demais Empresas</t>
  </si>
  <si>
    <t>Registra a receita de créditos decorrentes da Utilização de Recursos Hídricos – Demais Empresas, constantes no Livro de Inscrição da Dívida Ativa, assim inscritos em razão do não-pagamento das obrigações no transcurso do prazo exigível.</t>
  </si>
  <si>
    <t>Receita da Dívida Ativa das Multas Previstas em Lei por Infrações no Setor de Energia Elétrica</t>
  </si>
  <si>
    <t>Registra a receita de créditos decorrentes das Multas Previstas em Lei por infrações no Setor de Energia Elétrica, constantes no Livro de Inscrição da Dívida Ativa, assim inscritos em razão do não-pagamento das obrigações no transcurso do prazo exigível.</t>
  </si>
  <si>
    <t>Receita da Dívida Ativa da Taxa de Fiscalização de Serviços de Energia Elétrica</t>
  </si>
  <si>
    <t>Registra a receita de créditos decorrentes da Taxa de Fiscalização de Serviços de Energia Elétrica, constantes no Livro de Inscrição da Dívida Ativa, assim inscritos em razão do não-pagamento das obrigações no transcurso do prazo exigível.</t>
  </si>
  <si>
    <t>Receita da Dívida Ativa das Multas Previstas na Legislação sobre Lubrificantes e Combustíveis</t>
  </si>
  <si>
    <t>Registra a receita de créditos decorrentes das Multas Previstas na Legislação sobre Lubrificantes e Combustíveis, constantes no Livro de Inscrição da Dívida Ativa, assim inscritos em razão do não-pagamento das obrigações no transcurso do prazo exigível.</t>
  </si>
  <si>
    <t>Receita da Dívida Ativa das Compensações Financeiras entre o Regime Geral e os Regimes Próprios de Previdência dos Servidores</t>
  </si>
  <si>
    <t>Registra a receita de créditos decorrentes das Compensações Financeiras entre o Regime Geral e os Regimes Próprios de Previdência dos Servidores, constantes no Livro de Inscrição da Dívida Ativa, assim inscritos em razão do não-pagamento das obrigações no transcurso do prazo exigível.</t>
  </si>
  <si>
    <t>Receita da Dívida Ativa de Multas por Infração - Contrato Administrativo</t>
  </si>
  <si>
    <t>Registra o valor das receitas de Receita da Dívida Ativa de Multas por Infração - Contrato Administrativo.</t>
  </si>
  <si>
    <t>Receita da Dívida Ativa de Reposição ou Indenização de Servidor</t>
  </si>
  <si>
    <t>Registra o valor das receitas de Receita da Dívida Ativa de Reposição ou Indenização de Servidor.</t>
  </si>
  <si>
    <t>Receita da Dívida Ativa de Ressarcimento ao Erário</t>
  </si>
  <si>
    <t>Registra o valor das receitas de Receita da Dívida Ativa de Ressarcimento ao Erário.</t>
  </si>
  <si>
    <t>Receita da Dívida Ativa do Ressarcimento ao Erário Decorrente de Decisão do Tribunal de Contas da União</t>
  </si>
  <si>
    <t>Registra o valor das receitas de Receita da Dívida Ativa do Ressarcimento ao Erário Decorrente de Decisão do Tribunal de Contas da União.</t>
  </si>
  <si>
    <t>Receita da Dívida Ativa de Ressarcimento ao Sistema Único de Saúde</t>
  </si>
  <si>
    <t>Registra o valor das receitas de Receita da Dívida Ativa de Ressarcimento ao Sistema Único de Saúde.</t>
  </si>
  <si>
    <t>Receita da Dívida Ativa de Multas por Infração da Ordem Econômica</t>
  </si>
  <si>
    <t>Registra o valor das receitas de Receita da Dívida Ativa de Multas por Infração da Ordem Econômica.</t>
  </si>
  <si>
    <t>Receita da Dívida Ativa por Multa de Trânsito</t>
  </si>
  <si>
    <t>Registra o valor das receitas de Receita da Dívida Ativa por Multa de Trânsito.</t>
  </si>
  <si>
    <t>Receita da Dívida Ativa de Multas por Infração à Lei Complementar nº 109/01 – Previdência Privada</t>
  </si>
  <si>
    <t>Registra o valor das receitas de Receita da Dívida Ativa de Multas por Infração à Lei Complementar nº 109/01 – Previdência Privada.</t>
  </si>
  <si>
    <t>Receita da Dívida Ativa por Infração Administrativa</t>
  </si>
  <si>
    <t>Registra o valor das receitas de Receita da Dívida Ativa por Infração Administrativa.</t>
  </si>
  <si>
    <t>Receita da Dívida Ativa de Outros Serviços</t>
  </si>
  <si>
    <t>Registra as receitas provenientes de sanções legais ou contratuais e devidamente inscritas na dívida ativa por entidades competente e aplicadas pela Administração Pública. Tem por objetivo registrar a arrecadação dos recursos inscritos na dívida ativa e recolhidos junto a Procuradoria Geral da Fazenda em atendimento aos mais diversos órgãos da Administração Pública Federal.</t>
  </si>
  <si>
    <t>Receita da Dívida Ativa das Multas Previstas na Legislação sobre Regime de Previdência Privada Complementar</t>
  </si>
  <si>
    <t>Registra a receita decorrente do pagamento da dívida ativa das multas previstas na legislação referentes ao regime de previdência privada complementar.</t>
  </si>
  <si>
    <t>Receita da Dívida Ativa de Multas Aplicadas no Âmbito de Processo Judicial</t>
  </si>
  <si>
    <t>Registra a receita decorrente do pagamento da dívida ativa das multas aplicadas no âmbito de processo judicial.</t>
  </si>
  <si>
    <t>Receita da Dívida Ativa de Multas Decorrentes de Sentenças Penais Condenatórias</t>
  </si>
  <si>
    <t>Registra a receita decorrente do pagamento da dívida ativa das multas decorrentes de sentenças penais condenatórias.</t>
  </si>
  <si>
    <t>Receita da Dívida Ativa de Multas Decorrentes de Sentenças Judiciais</t>
  </si>
  <si>
    <t>Registra a receita decorrente do pagamento da dívida ativa das multas decorrentes de sentenças judiciais.</t>
  </si>
  <si>
    <t>Receita da Dívida Ativa Não Tributária de Outras Receitas</t>
  </si>
  <si>
    <t>Registra o valor da arrecadação da receita da dívida ativa não tributária de outras receitas não classificadas nos itens anteriores.</t>
  </si>
  <si>
    <t>Receita da Dívida Ativa Não-Tributária de Outras Receitas – Principal</t>
  </si>
  <si>
    <t>Registra o valor da arrecadação do principal da receita da dívida ativa não tributária de outras receitas não classificadas nos itens anteriores.</t>
  </si>
  <si>
    <t>Parcelamentos - Receita da Dívida Ativa Não-Tributária de Outras Receitas</t>
  </si>
  <si>
    <t>Registra o valor decorrente de parcelamentos da Dívida Ativa Não Tributária de Outras Receitas, no âmbito do Programa de Recuperação Fiscal - REFIS e do Programa Especial de Parcelamento de Débito – PAES, criados, respectivamente, por meio das leis nº 9.964/2000 e 10.684/2003.</t>
  </si>
  <si>
    <t xml:space="preserve">Receitas Decorrentes de Aportes Periódicos para Amortização de Déficit Atuarial do RPPS </t>
  </si>
  <si>
    <t>Registra as receitas decorrentes de Aportes Periódicos para Amortização de Déficit Atuarial do RPPS.</t>
  </si>
  <si>
    <t>Receitas Decorrentes de Compensações ao RGPS</t>
  </si>
  <si>
    <t>Registra a receita decorrente da compensação devida pela União ao Fundo do Regime Geral da Previdência Social pela renúncia previdenciária decorrente da desoneração da folha de pagamentos.</t>
  </si>
  <si>
    <t>I - Portaria SOF nº 71, de 30 JUL 2012.</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</si>
  <si>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</si>
  <si>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</si>
  <si>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Receita de Parcelamentos – Outras Receitas</t>
  </si>
  <si>
    <t>Registra o valor decorrente de parcelamentos de Outras Receitas, no âmbito do Programa de Recuperação Fiscal - REFIS e do Programa Especial de Parcelamento de Débito – PAES, criados, respectivamente, por meio das leis nº 9.964/2000 e 10.684/2003.</t>
  </si>
  <si>
    <t>Encargos Legais pela Inscrição em Dívida Ativa e Receitas de Ônus de Sucumbência</t>
  </si>
  <si>
    <t>Registra o valor total da arrecadação decorrente de custas do processo de apuração, inscrição e cobrança de dívida ativa, bem como pela defesa judicial paga pelo devedor da ação. No caso da União, o produto dessa arrecadação constitui receita vinculada ao Fundo Especial de Desenvolvimento e Aperfeiçoamento das Atividades de Fiscalização - FUNDAF.</t>
  </si>
  <si>
    <t>A - Portaria SOF nº 21, de 26 de MAI 2015</t>
  </si>
  <si>
    <t>Encargos Legais pela Inscrição em Dívida Ativa</t>
  </si>
  <si>
    <t>Corresponde a até 20% do débito inscrito como dívida ativa, atualizado monetariamente e acrescido dos juros e multa de mora. Será de 10% no caso do débito a ser pago antes do ajuizamento da execução. No caso da União, o produto da arrecadação é recolhido ao FUNDAF, em subconta especial, destinada a atender a despesas com o Programa de Incentivo à Arrecadação da Dívida Ativa da União, a cargo da Procuradoria-Geral da Fazenda Nacional.</t>
  </si>
  <si>
    <t>Decreto-Lei nº 1.025/1969, Decreto-Lei nº 1.437/1975 e Lei nº 7.711/1988</t>
  </si>
  <si>
    <t>Receita de Ônus de Sucumbência</t>
  </si>
  <si>
    <t>Receita advinda de sentença condenatória paga pelo vencido ao vencedor referente às despesas que antecipou. (Lei nº 5.869, de 11/01/73, art. 20).</t>
  </si>
  <si>
    <t>Receita Decorrente de Alienação de Bens Apreendidos</t>
  </si>
  <si>
    <t xml:space="preserve">Registra o valor total das receitas geradas pela alienação de mercadorias, objeto da pena de perdimento. </t>
  </si>
  <si>
    <t>Receita de Leilões de Mercadorias Apreendidas</t>
  </si>
  <si>
    <t>Registra o valor da arrecadação de receita de leilão de mercadorias apreendidas pelos órgãos fiscalizadores, objeto de perdimento em favor da União, Estado ou Município. O produto da arrecadação tem a seguinte destinação: 60% ao Fundo Especial de Desenvolvimento e Aperfeiçoamento das Atividades de Fiscalização – FUNDAF, e 40% ao Fundo Nacional de Assistência Social - Ministério da Previdência e Assistência Social.</t>
  </si>
  <si>
    <t>Receita de Alienação de Bens Apreendidos</t>
  </si>
  <si>
    <t>Registra o valor da arrecadação de receita de alienações de bens, direitos e valores, objeto do crime de tráfico ilícito de substâncias entorpecentes ou drogas afins. Os valores advindos de apreensão de bens e valores em crimes de tráfico ilícito e uso indevido de substâncias entorpecentes, bem como de apreensão de produtos químicos que direta ou indiretamente possam ser destinados à elaboração ilícita de substâncias entorpecentes, são destinados ao Fundo Nacional Antidrogas – FUNAD, (Lei nº 6.368 de 21/10/76; Lei nº 7.460 de 19/12/86, Lei nº 9.804 de 30/06/99).</t>
  </si>
  <si>
    <t>Receita de Alienação de Bens Caucionados</t>
  </si>
  <si>
    <t>Registra o valor da receita com caução equivalente ao montante e aos valores depositados, que ainda estão sub judice, em certificados de emissão do Tesouro Nacional.</t>
  </si>
  <si>
    <t>Receita de Alienação de Bens Apreendidos Associados ao Tráfico Ilícito de Entorpecentes e Drogas Afins</t>
  </si>
  <si>
    <t>Registra o valor da arrecadação de receita proveniente da alienação de bens e valores que tenham sido objeto de perdimento em favor da União, associados ao tráfico ilícito de entorpecentes e drogas afins, inclusive as glebas de qualquer região do país onde forem localizadas culturas ilegais de plantas psicotrópicas.</t>
  </si>
  <si>
    <t>Receita de Valores Apreendidos Associados ao Tráfico Ilícito de Entorpecentes e Drogas Afins</t>
  </si>
  <si>
    <t>Registra recursos oriundos do perdimento em favor da União de valores numerários (como, por exemplo, moeda, cheques ou títulos) objeto do crime de tráfico ilícito de substâncias entorpecentes ou drogas afins, previstos tanto no inciso I do art. 1º da Lei nº 9.613/98, quanto nos arts. 33 a 39 da Lei nº 11.343/2006.</t>
  </si>
  <si>
    <t>Produtos de Depósitos Abandonados (Dinheiro ou Objetos de Valor)</t>
  </si>
  <si>
    <t>Registra o valor total da arrecadação decorrente do produto de depósitos abandonados (dinheiro ou objetos de valor) sendo originária da extinção de contratos de depósito regular e voluntário de bens de qualquer espécie por rescisão de prazo.</t>
  </si>
  <si>
    <t>Receita de Bens e Valores Perdidos em Favor da União</t>
  </si>
  <si>
    <t>Registra o valor da arrecadação de Receita gerada pela alienação de bens, direitos e valores, objeto da pena de perdimento em favor da União.</t>
  </si>
  <si>
    <t>Receita de Bens e Valores Alienados em Favor da União</t>
  </si>
  <si>
    <t>Registra a receita gerada pela alienação de bens, direitos e valores, objeto da pena de perdimento em favor da União.</t>
  </si>
  <si>
    <t>Receita de Reversão de Garantias em Favor da União</t>
  </si>
  <si>
    <t>Registra a receita gerada pela incorporação de valores perdidos em favor da União, quando nos casos de reversão de depósito de garantias, ou outros assemelhados, nos casos relacionados a contratos administrativos.</t>
  </si>
  <si>
    <t>Receita Decorrente da Não Aplicação de Incentivos Fiscais em Projetos Culturais e pela Indústria Cinematográfica</t>
  </si>
  <si>
    <t>Registra o valor da receita proveniente da não aplicação ou não comprometimento integral de incentivos fiscais em projetos culturais, e por contribuintes da indústria cinematográfica nacional.</t>
  </si>
  <si>
    <t>A - Portaria SOF nº 189, de 22 DEZ 2014.</t>
  </si>
  <si>
    <t>Receita Decorrente da Não Aplicação de Incentivos Fiscais Relativos à Lei Rouanet</t>
  </si>
  <si>
    <t>Registra as receitas advindas da devolução de recursos referentes ao abatimento de Imposto de Renda concedido pela Lei Rouanet (Lei nº 8.313, de 23 de dezembro de 1991), no caso de não aplicação dos referidos recursos no desenvolvimento de projetos culturais, produção de obras audiovisuais e cinematográficas brasileiras no devido prazo legal.</t>
  </si>
  <si>
    <t>I - Portaria SOF nº 189, de 22 DEZ 2014.</t>
  </si>
  <si>
    <t>Receita Decorrente da Não Aplicação de Incentivos Fiscais Relativos à Lei do Audiovisual</t>
  </si>
  <si>
    <t>Registra as receitas advindas da devolução de recursos referentes ao abatimento de Imposto de Renda concedido pela Lei do Audiovisual (Lei nº 8.685, de 20 de julho de
1993), no caso de não aplicação dos referidos recursos no desenvolvimento de projetos culturais, produção de obras audiovisuais e cinematográficas brasileiras no devido prazo legal.</t>
  </si>
  <si>
    <t>Receita de Direitos “Antidumping” e dos Direitos Compensatórios</t>
  </si>
  <si>
    <t>Registra a receita decorrente da imposição de direitos “antidumping” e de direitos compensatórios, cobrada mediante a aplicação de percentual da margem de “dumping” ou do montante de subsídios suficiente para sanar dano ou ameaça de dano à indústria doméstica brasileira.</t>
  </si>
  <si>
    <t>Demais Receitas para o Desenvolvimento do Desporto</t>
  </si>
  <si>
    <t>Registra o valor das demais receitas para o desenvolvimento do desporto, tais como doações, legados e patrocínios; penalidades disciplinares pecuniárias aplicadas aos atletas profissionais; 1%  do valor da indenização fixada pela entidade cedente, no caso de cessão de atleta a entidade estrangeira; 1%  do valor do contrato do atleta profissional pertencente ao Sistema Federal de Desporto, devido e recolhido pela entidade contratante; 1%  da arrecadação proveniente das competições organizadas pelas entidades federais de administração do desporto profissional etc.</t>
  </si>
  <si>
    <t>Receita Decorrente de Medidas de Suspensão de Concessões dos Direitos de Propriedade Intelectual</t>
  </si>
  <si>
    <t>Registra os recursos decorrentes das medidas de suspensão de concessões dos direitos de propriedade intelectual.</t>
  </si>
  <si>
    <t>Receita de Participação do Seguro – DPVAT – Sistema Nacional de Trânsito</t>
  </si>
  <si>
    <t>Registra o valor da arrecadação de receita de participação do Seguro Obrigatório de Danos Pessoais Causados por Veículos Automotores de Via Terrestre - DPVAT -,pela rede bancária e repassados diretamente e sem qualquer retenção.</t>
  </si>
  <si>
    <t>A - Portaria SOF nº 57, de 25 JUN 2012.
A - Portaria SOF nº 68, de 26 JUL 2012.</t>
  </si>
  <si>
    <t>Receita de Reserva Global de Reversão</t>
  </si>
  <si>
    <t>Registra o valor da receita com recursos oriundos de reserva global de reversão de 2% destinados à ANEEL para custear seus dispêndios com projetos e atividades relativos a hidrologia, hidrometeorologia, operação de rede hidrometeorológica e fiscalização nacional, e fiscalização de energia elétrica.</t>
  </si>
  <si>
    <t>Recolhimento do Beneficiário ao Fundo de Saúde Militar</t>
  </si>
  <si>
    <t>Registra o valor da receita incidente sobre a remuneração dos militares e destina-se à constituição de Fundos de Saúde, em cada uma das Forças Armadas, que visem ao custeio do atendimento médico-hospitalar de militares e de seus dependentes (MP nº 2.215-10, de 31/08/01).</t>
  </si>
  <si>
    <t>Contribuição Voluntária – Montepio Civil</t>
  </si>
  <si>
    <t>Contribuição efetuada por funcionários públicos civis inscritos no montepio. É calculada com base nos vencimentos e acréscimos percebidos mensalmente pelo servidor.</t>
  </si>
  <si>
    <t>Receita de Seguros decorrente da Indenização por Sinistro</t>
  </si>
  <si>
    <t xml:space="preserve">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 </t>
  </si>
  <si>
    <t>A - Portaria SOF nº 122, de 12 NOV 2012.</t>
  </si>
  <si>
    <t>Receita de Leilão de Cotas de Importação</t>
  </si>
  <si>
    <t>Receita decorrente da realização de leilão de cotas de importação, medida de salvaguarda destinada a proteger a produção nacional, por meio da imposição de quotas quantitativas definidas em leilão. Tal receita destina-se ao Ministério do Desenvolvimento, Indústria e Comércio Exterior.</t>
  </si>
  <si>
    <t>Recolhimento e Transferência de Depósitos Judiciais e Extrajudiciais</t>
  </si>
  <si>
    <t xml:space="preserve">Receita decorrente dos depósitos judiciais e extrajudiciais, em dinheiro, de valores referentes a tributos e contribuições federais, inclusive seus acessórios, administrados pela Secretaria da Receita Federal do Brasil do Ministério da Fazenda recolhidos nas instituições financeiras. </t>
  </si>
  <si>
    <t>Recursos Decorrentes da Prestação de Contas de Campanha Eleitoral</t>
  </si>
  <si>
    <t>Registra recursos, em dinheiro ou estimáveis em dinheiro – inclusive na forma de publicidade de qualquer espécie – recebidos por partido político, comitê financeiro ou candidato, cuja origem advenha de fontes vedadas ou fontes não identificadas.</t>
  </si>
  <si>
    <t>Recursos Decorrentes da Prestação de Contas eleitorais – Fontes Vedadas</t>
  </si>
  <si>
    <t>Registra recursos, em dinheiro ou estimáveis em dinheiro – inclusive na forma de publicidade de qualquer espécie – recebidos por partido político, comitê financeiro ou candidato, cuja origem advenha de fontes vedadas, discriminadas pelo arts. 24 da Lei nº 9.504/97 e art. 15 da Resolução TSE nº 23.217/2010, e no art. 12 da Resolução TSE nº 23.432/2014.</t>
  </si>
  <si>
    <t>Portaria SOF nº 14, de 13 de ABR 2015</t>
  </si>
  <si>
    <t>Recursos Decorrentes da Prestação de Contas Eleitorais – Fontes não Identificadas</t>
  </si>
  <si>
    <t>Registra recursos, de origem não identificadas recebidos por partido político, comitê financeiro ou candidato, conforme art. 24 da Resolução TSE nº 23.217/2010, e no art. 13 da Resolução TSE nº 23.432/2014.</t>
  </si>
  <si>
    <t>Portaria SOF nº 14, de 13 de ABR  2015</t>
  </si>
  <si>
    <t>Recursos Decorrentes da Prestação de Contas de Campanha Eleitoral - Sobras de Campanha Plebiscitária</t>
  </si>
  <si>
    <t>Recolhimento dos valores apurados como sobras de campanha plebiscitária, conforme estabelece, por exemplo, o art. 13 da Resolução TSE no 23.348, de 18 de agosto de 2011, que dispõe sobre a arrecadação e a aplicação de recursos e sobre a prestação de contas nos plebiscitos do Estado do Pará.</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</si>
  <si>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</si>
  <si>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</si>
  <si>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Receita de Contrapartida de Subvenções ou Subsídios</t>
  </si>
  <si>
    <t>Registra a arrecadação de recursos decorrentes de contrapartida por parte de beneficiários de programas de concessão de subvenções ou subsídios.</t>
  </si>
  <si>
    <t>Receita de Variação Cambial</t>
  </si>
  <si>
    <t>Registra o valor total da receita arrecadada relativa às diferenças, para maior, de câmbio ocorridas em depósitos bancários ou transferências de recursos financeiros em moeda estrangeira.</t>
  </si>
  <si>
    <t>Outras Receitas Eventuais</t>
  </si>
  <si>
    <t>Registra o valor total da receita auferida em caráter não permanente ou eventual pelos órgãos e demais entidades da administração pública.</t>
  </si>
  <si>
    <t>Outras Receitas</t>
  </si>
  <si>
    <t>Englobam as demais receitas que não se enquadram nos itens anteriores.</t>
  </si>
  <si>
    <t>Outras Receitas - Primárias</t>
  </si>
  <si>
    <t>Registra a arrecadação das receitas primárias que não se enquadram nos itens anteriores.</t>
  </si>
  <si>
    <t>I - Portaria SOF nº 75, de 25 AGO 2014.</t>
  </si>
  <si>
    <t>Outras Receitas - Financeiras</t>
  </si>
  <si>
    <t>Registra a arrecadação das receitas financeiras que não se enquadram nos itens anteriores.</t>
  </si>
  <si>
    <t>Receitas de Capital</t>
  </si>
  <si>
    <t>Registra o valor total da categoria econômica que compreende as operações de crédito, alienação de bens, amortização de empréstimos, transferências de capital e outras.</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</si>
  <si>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</si>
  <si>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</si>
  <si>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</si>
  <si>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 da colocação no mercado interno de títulos públicos, ou de empréstimos obtidos junto a entidades estatais ou particulares.</t>
  </si>
  <si>
    <t>Títulos de Responsabilidade do Tesouro</t>
  </si>
  <si>
    <t>Registra o valor da arrecadação de receita decorrente da colocação no mercado interno de títulos do governo federal, estadual ou municipal.</t>
  </si>
  <si>
    <t>Títulos de Responsabilidade do Tesouro – Refinanciamento da Dívida Pública</t>
  </si>
  <si>
    <t>Registra o valor da arrecadação de receita decorrente da colocação no mercado interno de títulos do governo federal, estadual ou municipal, para a dívida pública.</t>
  </si>
  <si>
    <t>Títulos da Dívida Agrária - TDA</t>
  </si>
  <si>
    <t>Emitidos pelo Tesouro Nacional, destinados ao cumprimento das indenizações por desapropriações de imóveis rurais para fins de colonização e reforma agrária, dentro das ações previstas no Plano Nacional de Reforma Agrária.</t>
  </si>
  <si>
    <t>Títulos de Responsabilidade do Tesouro – Outras Aplicações</t>
  </si>
  <si>
    <t>Registra o valor da arrecadação de receita decorrente da colocação no mercado interno de títulos do governo federal, estadual ou municipal, oriundos de outras aplicações.</t>
  </si>
  <si>
    <t>Obrigações do Fundo Nacional de Desenvolvimento – FND</t>
  </si>
  <si>
    <t xml:space="preserve">Registra o valor da receita do FND proveniente da emissão de obrigações de longo prazo, com o objetivo de captar recursos junto a investidores, pessoas jurídicas de direito público ou privado, ou pessoas naturais. </t>
  </si>
  <si>
    <t>Empréstimos Compulsórios</t>
  </si>
  <si>
    <t>Registra o valor da arrecadação de receita referente a recursos retidos para o atendimento de necessidade emergencial, obtidos com os empréstimos compulsórios.</t>
  </si>
  <si>
    <t>Operações de Crédito Internas - Contratuais</t>
  </si>
  <si>
    <t>Registra o valor total da arrecadação de receita com operações de crédito internas contratuais.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</si>
  <si>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</si>
  <si>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</si>
  <si>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</si>
  <si>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</si>
  <si>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</si>
  <si>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</si>
  <si>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</si>
  <si>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</si>
  <si>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</si>
  <si>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</si>
  <si>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</si>
  <si>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</si>
  <si>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</si>
  <si>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</si>
  <si>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Internas – Contratuais</t>
  </si>
  <si>
    <t>Registra o valor total da arrecadação de receita com outras operações de crédito internas contratuais.</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</si>
  <si>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</si>
  <si>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</si>
  <si>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Operações de Crédito Externas</t>
  </si>
  <si>
    <t>Registra o valor total da arrecadação da receita decorrente da colocação de títulos públicos ou de empréstimos obtidos junto a organizações estatais ou particulares, sediadas no exterior.</t>
  </si>
  <si>
    <t>Registra o valor da arrecadação de receita de títulos do governo federal, estadual ou municipal colocados no mercado externo.</t>
  </si>
  <si>
    <t>Registra o valor da arrecadação de receita de títulos públicos, colocados no mercado para refinanciamento da dívida pública.</t>
  </si>
  <si>
    <t>Títulos de Responsabilidade do Tesouro - Outras Aplicações</t>
  </si>
  <si>
    <t>Registra o valor da arrecadação de receita de títulos públicos colocados no mercado para outras aplicações.</t>
  </si>
  <si>
    <t>Operações de Crédito Externas – Contratuais</t>
  </si>
  <si>
    <t>Registra o valor total da arrecadação de receita com operações de crédito externas contratuais.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</si>
  <si>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</si>
  <si>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</si>
  <si>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</si>
  <si>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</si>
  <si>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</si>
  <si>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</si>
  <si>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</si>
  <si>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</si>
  <si>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</si>
  <si>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</si>
  <si>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</si>
  <si>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</si>
  <si>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Externas - Contratuais</t>
  </si>
  <si>
    <t>Registra o valor total da arrecadação de receita com outras operações de crédito externas contratuais.</t>
  </si>
  <si>
    <t>Outras Operações de Crédito Externas</t>
  </si>
  <si>
    <t>Registra o valor total da arrecadação de receita com as demais operações de crédito externas não contempladas no plano de contas.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</si>
  <si>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</si>
  <si>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</si>
  <si>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</si>
  <si>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</si>
  <si>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</si>
  <si>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</si>
  <si>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Estoques</t>
  </si>
  <si>
    <t>Registra o valor total da receita proveniente da venda de estoques públicos ou privados, em consonância com a política agrícola nacional.</t>
  </si>
  <si>
    <t>Alienação de Estoques da Política de Garantia de Preços Mínimos – PGPM</t>
  </si>
  <si>
    <t>Registra o valor da arrecadação de receitas proveniente da venda de produtos agrícolas contemplados pela Política de Garantia de Preços Mínimos – PGPM.</t>
  </si>
  <si>
    <t>Alienação de Estoques Reguladores – PGPM</t>
  </si>
  <si>
    <t>Registra o valor da arrecadação de receita proveniente da venda de produtos agrícolas contemplados pela Política de Garantia de Preços Mínimos - PGPM, com prioridade para os produtos básicos.</t>
  </si>
  <si>
    <t>Alienação de Estoques Estratégicos – PGPM</t>
  </si>
  <si>
    <t>Registra o valor da arrecadação da receita proveniente da alienação de Estoques Estratégicos Vinculados à Política de Garantia de Preços Mínimos – PGPM.</t>
  </si>
  <si>
    <t>Alienação de Estoques Destinados a Vendas em Balcão – PGPM</t>
  </si>
  <si>
    <t>Registra o valor da arrecadação de receita originária das vendas dos produtos agrícolas disponíveis nos estoques governamentais, aos pequenos e médios produtores, a preços compatíveis com os praticados em leilões públicos.</t>
  </si>
  <si>
    <t>Alienação de Estoques Comerciais e Sociais – Comercialização</t>
  </si>
  <si>
    <t>Registra o valor da arrecadação de receita proveniente da venda de produtos destinados a atender programas de abastecimento alimentar.</t>
  </si>
  <si>
    <t>Alienação de Estoques Destinados a Programas Sociais e Institucionais – Comercialização</t>
  </si>
  <si>
    <t>Registra o valor da arrecadação de receita proveniente da venda de produtos alimentícios, higiene e limpeza, destinados ao atendimento de programas institucionais de abastecimento alimentar.</t>
  </si>
  <si>
    <t>Alienação de Estoques por Atacado – Comercialização</t>
  </si>
  <si>
    <t>Registra o valor da arrecadação da receita proveniente da venda de produtos diversos, de caráter emergencial, objeto de parcerias com entidades públicas ou privadas, para atender a programas assistenciais na área alimentar.</t>
  </si>
  <si>
    <t>Alienação de Estoques Adquiridos em Consignação – Comercialização</t>
  </si>
  <si>
    <t>Registra o valor da arrecadação de receitas provenientes da venda de estoques comerciais e sociais de produtos adquiridos em consignação.</t>
  </si>
  <si>
    <t>Alienação de Estoques do Programa de Aquisição de Alimentos – PAA</t>
  </si>
  <si>
    <t xml:space="preserve">Registra o valor da arrecadação de receitas provenientes da venda de produtos agropecuários adquiridos à conta do Programa de aquisição de alimentos - PAA. </t>
  </si>
  <si>
    <t>Alienação de Estoques Adquiridos para Combate à Fome e Segurança Alimentar</t>
  </si>
  <si>
    <t>Registra o valor da arrecadação de receitas de alienação de estoques de alimentos pela Companhia Nacional de Abastecimento - CONAB cujos produtos foram adquiridos mediante recursos transferidos pelo Ministério do Desenvolvimento Social - MDS.</t>
  </si>
  <si>
    <t>Alienação de Estoques Adquiridos da Agricultura Familiar</t>
  </si>
  <si>
    <t>Registra o valor da arrecadação de receitas de Alienação de estoques de alimentos pela Companhia Nacional de Abastecimento - CONAB cujos produtos foram adquiridos mediante recursos transferidos pelo Ministério do Desenvolvimento Agrário - MDA.</t>
  </si>
  <si>
    <t>Alienação de Estoques de Café – FUNCAFÉ</t>
  </si>
  <si>
    <t>Registra o valor da arrecadação de receitas de alienação de estoques do Fundo de Defesa da Economia Cafeeira – FUNCAFÉ.</t>
  </si>
  <si>
    <t>Alienação de Estoques do Tesouro Afetos ao FUNCAFÉ</t>
  </si>
  <si>
    <t>Registra o valor da arrecadação de receitas de alienação de estoques de café do Tesouro Nacional que estão sob guarda do Fundo de Defesa da Economia Cafeeira - FUNCAFÉ.</t>
  </si>
  <si>
    <t>Alienação de Estoques Próprios do FUNCAFÉ</t>
  </si>
  <si>
    <t>Registra o valor da arrecadação de receita de alienação de estoques de café próprios do Fundo de Defesa da Economia Cafeeira - FUNCAFÉ.</t>
  </si>
  <si>
    <t>Outras Aplicações de Estoques</t>
  </si>
  <si>
    <t>Registra o valor da receita de outras alienações de estoques, não classificadas nos itens anteriores.</t>
  </si>
  <si>
    <t>Alienação de Animais Reprodutores e Matrizes</t>
  </si>
  <si>
    <t>Registra o valor da arrecadação de receita de alienação de animais reprodutores e matrizes.</t>
  </si>
  <si>
    <t>Alienação de Veículos</t>
  </si>
  <si>
    <t>Receita proveniente da alienação de veículos.</t>
  </si>
  <si>
    <t>Alienação de Móveis e Utensílios</t>
  </si>
  <si>
    <t>Receita proveniente da alienação de móveis e utensílios.</t>
  </si>
  <si>
    <t>Alienação de Equipamentos</t>
  </si>
  <si>
    <t>Receita proveniente da alienação de equipamentos.</t>
  </si>
  <si>
    <t>Alienação de Outros Bens Móveis</t>
  </si>
  <si>
    <t>Registra o valor total da arrecadação com alienação de outros bens móveis que não se enquadram nos itens anteriores.</t>
  </si>
  <si>
    <t>Alienação de Bens Imóveis</t>
  </si>
  <si>
    <t>Registra o valor total da arrecadação da receita de alienação de bens imóveis, residenciais ou não, de propriedade da União, Estados ou Municípios.</t>
  </si>
  <si>
    <t>Alienação de Imóveis Rurais para Colonização e Reforma Agrária</t>
  </si>
  <si>
    <t>Registra o valor da arrecadação de receita de alienação de bens imóveis rurais para colonização e reforma agrária.</t>
  </si>
  <si>
    <t>Alienação de Bens Imóveis de Domínio da União</t>
  </si>
  <si>
    <t>Registra as receitas oriundas da alienação de domínio útil ou pleno de imóveis da União.</t>
  </si>
  <si>
    <t>Alienação de Bens Imóveis de Domínio da União – Domínio Pleno</t>
  </si>
  <si>
    <t>Registra o valor das receitas de Alienação de Bens Imóveis de Domínio da União – Domínio Pleno.</t>
  </si>
  <si>
    <t>Alienação de Bens Imóveis de Domínio da União – Domínio Útil</t>
  </si>
  <si>
    <t>Registra o valor das receitas de Alienação de Bens Imóveis de Domínio da União – Domínio Útil.</t>
  </si>
  <si>
    <t>Alienação de Bens Imóveis de Domínio da União – Domínio Direto</t>
  </si>
  <si>
    <t>Registra o valor das receitas de Alienação de Bens Imóveis de Domínio da União – Domínio Direto.</t>
  </si>
  <si>
    <t>Receita da Alienação de Bens Imóveis Residenciais de Propriedade da União, e dos Vinculados ou Incorporados ao FRHB, situados no Distrito Federal</t>
  </si>
  <si>
    <t>Registra a receita decorrente do pagamento pela alienação de bens imóveis residenciais de propriedade da União situados no DF.</t>
  </si>
  <si>
    <t>Alienação de Embarcações</t>
  </si>
  <si>
    <t>Registra o valor da arrecadação de receita de alienação de embarcações que forem consideradas como bens imóveis.</t>
  </si>
  <si>
    <t>Alienação de Imóveis Rurais</t>
  </si>
  <si>
    <t>Registra o valor da arrecadação de receita de alienação de imóveis rurais.</t>
  </si>
  <si>
    <t>Alienação de Imóveis Urbanos</t>
  </si>
  <si>
    <t>Registra o valor da arrecadação de receita de alienação de imóveis urbanos.</t>
  </si>
  <si>
    <t>Alienação de Outros Bens Imóveis</t>
  </si>
  <si>
    <t>Registra o valor total da arrecadação com alienação de outros bens imóveis não classificados nos itens anteriores.</t>
  </si>
  <si>
    <t>Amortização de Empréstimos</t>
  </si>
  <si>
    <t>Registra o valor total da receita relativa à amortização de empréstimos concedidos em títulos e contratos.</t>
  </si>
  <si>
    <t>Amortização de Empréstimos – BEA/BIB</t>
  </si>
  <si>
    <t xml:space="preserve">Registra o valor da arrecadação de receitas provenientes do programa de renegociação da dívida externa brasileira realizado em 1989, para reescalonamento da inadimplência de Bônus do Governo Brasileiro (Brazil Investiment Bond – BIB), com a finalidade de financiar a parcela da dívida dos três níveis do setor público junto aos bancos privados estrangeiros que não se interessaram em participar do referido acordo. </t>
  </si>
  <si>
    <t>Amortização Proveniente da Execução de Garantia – Operações de Crédito</t>
  </si>
  <si>
    <t>Registra o valor total da arrecadação de receita proveniente da execução de garantia de operações de crédito.</t>
  </si>
  <si>
    <t>Amortização Proveniente da Execução de Garantia – Operações de Crédito Internas</t>
  </si>
  <si>
    <t>Registra o valor da arrecadação de receita proveniente da execução de garantia de operações de crédito internas.</t>
  </si>
  <si>
    <t>Amortização Proveniente da Execução de Garantia – Operações de Crédito Externas</t>
  </si>
  <si>
    <t>Registra o valor da arrecadação de receita proveniente da execução de garantia de operações de crédito externas.</t>
  </si>
  <si>
    <t>Amortização de Empréstimos – Estados e Municípios</t>
  </si>
  <si>
    <t xml:space="preserve">Registra o valor total da arrecadação das receitas provenientes da amortização de empréstimos aos Estados e Municípios. </t>
  </si>
  <si>
    <t>Amortização de Empréstimos – Refinanciamento de Dívida de Médio e Longo Prazo</t>
  </si>
  <si>
    <t>Registra o valor total da receita auferida com a amortização, financiamento e refinanciamento de empréstimos.</t>
  </si>
  <si>
    <t>Amortizações de Empréstimos – POOC</t>
  </si>
  <si>
    <t>Registra o valor das receita provenientes de retornos das operações de crédito; os valores provenientes da venda dos produtos agropecuários adquiridos; os recursos oriundos de outras fontes internas e externas que se destinem ao financiamento de tais operações; os rendimentos das operações de empréstimos; o resultado financeiro de exercício anterior; os ressarcimentos dos subsídios diretos ou indiretos concedidos na realização dessas operações; o ressarcimento das despesas relativas a comissões, taxas, armazenamento e remoção de produtos agropecuários adquiridos. Esses recursos destinam-se, no âmbito das operações oficiais de crédito, às despesas relacionadas com o financiamento de programas de custeio e ao investimento agropecuário e de investimento agroindustrial; à aquisição e ao financiamento da comercialização de produtos agrícolas; ao financiamento para a formação de estoques reguladores de produtos agropecuários e ao financiamento de exportações.</t>
  </si>
  <si>
    <t>Outras Amortizações de Empréstimos</t>
  </si>
  <si>
    <t>Registra o valor total da receita proveniente de pagamento de parcelas de outros empréstimos, financiamentos e refinanciamentos que não se enquadram nos itens anteriores.</t>
  </si>
  <si>
    <t>Amortização de Empréstimos – Em Títulos</t>
  </si>
  <si>
    <t>Registra o valor dos recursos recebidos como amortização de empréstimos em títulos.</t>
  </si>
  <si>
    <t>Amortização de Empréstimos – Em Contratos</t>
  </si>
  <si>
    <t>Registra o valor total da receita decorrente de amortização em contratos de financiamento celebrados entre a União e as unidades da federação, ou entre os entes da federação, estando a União autorizada a receber bens, direitos e ações. Os Estados poderão utilizar os créditos não repassados pela União, relativos à atualização monetária do IPI -Exportação.</t>
  </si>
  <si>
    <t>Amortização de Financiamentos</t>
  </si>
  <si>
    <t>Registra o valor total da receita proveniente de retornos de refinanciamentos da dívida interna de Estados, do Distrito Federal e de Municípios, bem como de suas autarquias, fundações públicas e empresas nas quais detenham, direta ou indiretamente, o controle acionário. Esses recursos serão destinados, exclusivamente, ao pagamento de amortizações, juros e encargos da dívida assumida pela União na forma da Lei nº 8.388, de 30 de dezembro de 1991. Retornos de refinanciamentos da dívida externa do setor público brasileiro, na forma estabelecida pela Resolução nº 20, de 20 de junho de 1991, do Senado Federal. Serão aplicados, exclusivamente, nos pagamentos de amortizações e encargos resultantes de operações de crédito externas contraídas pela União para atender esses refinanciamentos. Em ambos os casos, os recursos depositados junto ao Banco Central do Brasil, para pagamento dessas dívidas, foram transferidos para o Tesouro Nacional e utilizados na amortização da dívida pública federal interna.</t>
  </si>
  <si>
    <t>Amortização de Financiamentos de Bens</t>
  </si>
  <si>
    <t>Registra o valor total receita decorrente de amortização de bens.</t>
  </si>
  <si>
    <t>Amortização de Financiamentos de Projetos</t>
  </si>
  <si>
    <t>Registra o valor total receita decorrente de amortização de projetos.</t>
  </si>
  <si>
    <t>Amortização de Financiamento do Fundo de Financiamento ao Estudante do Ensino Superior – FIES</t>
  </si>
  <si>
    <t>Registra o valor da receita proveniente de amortização de financiamento do Fundo de Financiamento ao Estudante do Ensino Superior.</t>
  </si>
  <si>
    <t>Amortização de Financiamentos à Estocagem de Álcool Etílico Combustível</t>
  </si>
  <si>
    <t>Registra o valor da receita decorrente de amortização de financiamentos à estocagem de álcool etílico combustível.</t>
  </si>
  <si>
    <t>Amortização de Empréstimos Diversos</t>
  </si>
  <si>
    <t>Transferências de Capital</t>
  </si>
  <si>
    <t xml:space="preserve">Registra o valor total das transferências de capital para outra esfera de governo (intergovernamentais), instituições privadas, exterior e/ou pessoas, tendo por finalidade concorrer para a formação de um bem de capital, estando vinculadas à constituição ou aquisição do mesmo. </t>
  </si>
  <si>
    <t>Registra o valor total das receitas recebidas por meio de transferências de capital da União recebidas pelas entidades da administração Federal, Estadual, do Distrito Federal e Municipal inclusive suas fundações instituídas pelo poder público.</t>
  </si>
  <si>
    <t>Registra o valor das transferências de capital da União recebidas pelos Estados, Distrito Federal e Municípios, referentes ao Sistema Único de Saúde – SUS, oriundas do Fundo Nacional de Saúde.</t>
  </si>
  <si>
    <t>Transferências de Recursos Destinados a Programas de Educação</t>
  </si>
  <si>
    <t>Registra o valor das transferências de capital da União recebidas pelos Estados, Distrito Federal e Municípios, referentes a programas de educação.</t>
  </si>
  <si>
    <t>Registra o valor das transferências de capital da União recebidas pelos consórcios públicos, mediante contrato ou outro instrumento.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</si>
  <si>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</si>
  <si>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 xml:space="preserve">Registra o valor total dos recursos recebidos pelas demais esferas de governo e respectivas entidades da administração descentralizada, transferidos pelos Estados. </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</si>
  <si>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</si>
  <si>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</si>
  <si>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das transferências de capital dos Estados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</si>
  <si>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</si>
  <si>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Registra o valor total dos recursos recebidos pelas demais esferas de governo e de suas entidades da administração descentralizada, transferidos pelos Municípios.</t>
  </si>
  <si>
    <t>Transferências de Recursos Destinados a Programas de Saúde</t>
  </si>
  <si>
    <t>Registra o valor total dos recursos recebidos pelas demais esferas de governo e de suas entidades da administração descentralizada, destinados a programas de saúde, transferidos pelos Municípios.</t>
  </si>
  <si>
    <t>Registra o valor total dos recursos recebidos pelas demais esferas de governo e de suas entidades da administração descentralizada, destinados a programas de educação, transferidos pelos Municípios.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</si>
  <si>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</si>
  <si>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</si>
  <si>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das receitas recebidas por meio de transferências de instituições privadas que identificam recursos de incentivos fiscais tais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</si>
  <si>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total dos recursos recebidos de organismos e fundos internacionais, de governos estrangeiros e instituições privadas internacionais.</t>
  </si>
  <si>
    <t>Registra o valor total das receitas recebidas por meio de transferências de pessoas físicas referentes a doações a governos e entidades da administração descentralizada.</t>
  </si>
  <si>
    <t>Transferência de Outras Instituições Públicas</t>
  </si>
  <si>
    <t>Registra o valor total das receitas recebidas por meio de transferências de outras instituições públicas.</t>
  </si>
  <si>
    <t>Registra o valor total dos recursos oriundos de convênios firmados, com ou sem contraprestações de serviços, por entidades públicas de qualquer espécie, ou entre estas e organizações particulares, para a realização de objetivos de interesse comum dos partícipes, destinados a custear despesas de capital.</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</si>
  <si>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</si>
  <si>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</si>
  <si>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</si>
  <si>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</si>
  <si>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</si>
  <si>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</si>
  <si>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</si>
  <si>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</si>
  <si>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</si>
  <si>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</si>
  <si>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</si>
  <si>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</si>
  <si>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</si>
  <si>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</si>
  <si>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</si>
  <si>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</si>
  <si>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</si>
  <si>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</si>
  <si>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</si>
  <si>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</si>
  <si>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</si>
  <si>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</si>
  <si>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</si>
  <si>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</si>
  <si>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</si>
  <si>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</si>
  <si>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</si>
  <si>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</si>
  <si>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</si>
  <si>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</si>
  <si>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</si>
  <si>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</si>
  <si>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</si>
  <si>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de Instituições Privadas</t>
  </si>
  <si>
    <t>Registra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</si>
  <si>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do Exterior</t>
  </si>
  <si>
    <t>Registra o valor total das receitas recebidas por meio de transferências de capital para o combate à fome.</t>
  </si>
  <si>
    <t>Registra o valor total das receitas recebidas por meio de transferências de capital provenientes do exterior para o combate à fome.</t>
  </si>
  <si>
    <t>Registra o valor total das receitas recebidas por meio de transferências de capital provenientes de pessoas jurídicas para o combate à fome.</t>
  </si>
  <si>
    <t>Registra o valor total das receitas recebidas por meio de transferências de capital provenientes de pessoas físicas para o combate à fome.</t>
  </si>
  <si>
    <t>Registra o valor total das receitas recebidas por meio de transferências de capital provenientes de depósitos não identificados destinados ao combate à fome.</t>
  </si>
  <si>
    <t>Outras Receitas de Capital</t>
  </si>
  <si>
    <t xml:space="preserve">Registra o valor total arrecadado com outras receitas vinculadas ao acréscimo patrimonial da unidade. </t>
  </si>
  <si>
    <t>Integralização do Capital Social</t>
  </si>
  <si>
    <t>Registra o valor total dos recursos recebidos pelas empresas públicas, ou sociedades de economia mista, como participação em seu capital social.</t>
  </si>
  <si>
    <t>Integralização com Recursos do Tesouro</t>
  </si>
  <si>
    <t>Registra o valor da arrecadação de receita da integralização de recursos do Tesouro recebidos pelas empresas públicas ou sociedades de economia mista, como participação em seu capital social.</t>
  </si>
  <si>
    <t>Integralização com Recursos de Outras Fontes</t>
  </si>
  <si>
    <t>Registra o valor da arrecadação de receita de integralização de recursos de outras fontes recebidos pelas empresas públicas ou sociedades de economia mista, como participação em seu capital social.</t>
  </si>
  <si>
    <t>Resultado do Banco Central do Brasil</t>
  </si>
  <si>
    <t>Registra o valor da receita com os resultados positivos do Banco Central do Brasil operados em seus balanços semestrais. Os recursos destinam-se à amortização da dívida pública federal.</t>
  </si>
  <si>
    <t>Resultado do Banco Central – Operações com Reservas e Derivativos Cambiais</t>
  </si>
  <si>
    <t>Registra as receitas decorrentes do resultado positivo apurado no balanço semestral do Banco Central do Brasil, decorrente das operações com Reservas e Derivativos Cambiais, após computadas eventuais constituições ou reversões de reservas.</t>
  </si>
  <si>
    <t>Resultado do Banco Central – Demais Operações</t>
  </si>
  <si>
    <t>Registra as receitas decorrentes do resultado positivo apurado no balanço semestral do Banco Central do Brasil, decorrente das demais operações.</t>
  </si>
  <si>
    <t>Remuneração das Disponibilidades do Tesouro Nacional</t>
  </si>
  <si>
    <t>Registra o valor da remuneração do saldo diário dos depósitos da União existentes no Banco Central, Banco do Brasil e Caixa Econômica Federal pela Taxa Referencial – TR.</t>
  </si>
  <si>
    <t>Receita da Dívida Ativa Proveniente de Amortização de Empréstimos e Financiamentos</t>
  </si>
  <si>
    <t>Registra o valor da arrecadação com receita da dívida ativa proveniente de amortização de empréstimos e financiamentos.</t>
  </si>
  <si>
    <t xml:space="preserve">Receita da Dívida Ativa da Alienação de Estoques de Café - FUNCAFÉ </t>
  </si>
  <si>
    <t>Inscrição em dívida ativa das receitas decorrentes da alienação de estoques de café.</t>
  </si>
  <si>
    <t>Receita Auferida por Detentores de Títulos do Tesouro Nacional Resgatados</t>
  </si>
  <si>
    <t>Registra o valor correspondente ao principal das receitas auferidas por detentores de títulos do Tesouro Nacional resgatados.</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</si>
  <si>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</si>
  <si>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</si>
  <si>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</si>
  <si>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Registra o valor da arrecadação de receitas de capital que não atendam às especificações anteriores. Deve ser empregado apenas no caso de impossibilidade de utilização dos demais títulos.</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</si>
  <si>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</si>
  <si>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</si>
  <si>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I - Portaria STN/SOF nº 2, de 10 DEZ 2014.</t>
  </si>
  <si>
    <t>CE</t>
  </si>
  <si>
    <t>O</t>
  </si>
  <si>
    <t>D1</t>
  </si>
  <si>
    <t>DD2</t>
  </si>
  <si>
    <t>D3</t>
  </si>
  <si>
    <t>T</t>
  </si>
  <si>
    <t>NR</t>
  </si>
  <si>
    <t>Destinação Legal</t>
  </si>
  <si>
    <t>Valorizável</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</si>
  <si>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</si>
  <si>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Esta natureza é agregadora. Verificar os códigos de natureza de receita específicos.</t>
  </si>
  <si>
    <t>Portaria Interministerial MF/MP, de 2015.</t>
  </si>
  <si>
    <t>Não</t>
  </si>
  <si>
    <t>Impostos, Taxas e Contribuições de Melhoria</t>
  </si>
  <si>
    <t>Agrega as receitas originadas de impostos, taxas e contribuições de melhoria.</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</si>
  <si>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</si>
  <si>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Agrega as receitas que se originaram de impostos cobrados sobre a exportação e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</si>
  <si>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</si>
  <si>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</si>
  <si>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Imposto sobre a Importação - Principal</t>
  </si>
  <si>
    <t>Registra as receitas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</si>
  <si>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</si>
  <si>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Sim</t>
  </si>
  <si>
    <t>Imposto sobre a Importação - Multas e Juros</t>
  </si>
  <si>
    <t>Vide código de receita principal.</t>
  </si>
  <si>
    <t>Imposto sobre a Importação - Dívida Ativa</t>
  </si>
  <si>
    <t>Imposto sobre a Importação - Dívida Ativa - Multas e Juros</t>
  </si>
  <si>
    <t>Agrega as receitas que se originaram dos impostos sobre a exportação.
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</si>
  <si>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</si>
  <si>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Imposto sobre a Exportação - Principal</t>
  </si>
  <si>
    <t>Registra as receitas dos impostos sobre a exportação e que não decorrem de parcelamentos ou outros institutos que facilitem seu pagamento.</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</si>
  <si>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</si>
  <si>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</si>
  <si>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</si>
  <si>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</si>
  <si>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</si>
  <si>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</si>
  <si>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</si>
  <si>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</si>
  <si>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</si>
  <si>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</si>
  <si>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</si>
  <si>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</si>
  <si>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</si>
  <si>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Agrega as receitas que se originaram de Impostos sobre a Propriedade Territorial Rural em municípios que não possuem convênio com a União para fiscalização do referido tributo.</t>
  </si>
  <si>
    <t>Imposto sobre a Propriedade Territorial Rural - Municípios Não-Conveniados - Principal</t>
  </si>
  <si>
    <t>Registra as receitas de Impostos sobre a Propriedade Territorial Rural em municípios que não possuem convênio com a União para fiscalização do referido tributo.</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</si>
  <si>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</si>
  <si>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Imposto sobre a Propriedade Territorial Rural - Municípios Não-Conveniados - Multas e Juros</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</si>
  <si>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</si>
  <si>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</si>
  <si>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</si>
  <si>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</si>
  <si>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</si>
  <si>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</si>
  <si>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</si>
  <si>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</si>
  <si>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</si>
  <si>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
Lei no 8.981, de 20 de janeiro de 1995;
Lei no 11.119, de 25 de maio de 2005 ;
Lei no 11.311, de 13 de junho de 2006;
Lei 11.482, de 31 de maio de 2007; e
Medida Provisória nº 451, de 15 de dezembro de 2008</t>
  </si>
  <si>
    <t>Imposto sobre a Renda de Pessoa Física - IRPF - Multas e Juros</t>
  </si>
  <si>
    <t>Imposto sobre a Renda de Pessoa Física - IRPF - Dívida Ativa</t>
  </si>
  <si>
    <t>Imposto sobre a Renda de Pessoa Física - IRPF - Dívida Ativa - Multas e Juros</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</si>
  <si>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</si>
  <si>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</si>
  <si>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</si>
  <si>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</si>
  <si>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</si>
  <si>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</si>
  <si>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</si>
  <si>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</si>
  <si>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</si>
  <si>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</si>
  <si>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</si>
  <si>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</si>
  <si>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</si>
  <si>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</si>
  <si>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</si>
  <si>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Imposto sobre a Renda - Retido na Fonte - Trabalho - Multas e Juros</t>
  </si>
  <si>
    <t>Imposto sobre a Renda - Retido na Fonte - Trabalho - Dívida Ativa</t>
  </si>
  <si>
    <t>Imposto sobre a Renda - Retido na Fonte - Trabalho - Dívida Ativa - Multas e Juros</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</si>
  <si>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</si>
  <si>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</si>
  <si>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</si>
  <si>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</si>
  <si>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Decreto no 3.000, de 26 de março de 1999.</t>
  </si>
  <si>
    <t>Imposto sobre a Renda - Retido na Fonte - Capital - Multas e Juros</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</si>
  <si>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</si>
  <si>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</si>
  <si>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</si>
  <si>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</si>
  <si>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</si>
  <si>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</si>
  <si>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</si>
  <si>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</si>
  <si>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</si>
  <si>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</si>
  <si>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</si>
  <si>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</si>
  <si>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</si>
  <si>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</si>
  <si>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Multas e Juros</t>
  </si>
  <si>
    <t>Imposto sobre a Renda - Retido na Fonte - Outros Rendimentos - Dívida Ativa</t>
  </si>
  <si>
    <t>Imposto sobre a Renda - Retido na Fonte - Outros Rendimentos - Dívida Ativa - Multas e Juros</t>
  </si>
  <si>
    <t>Impostos sobre a Produção</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</si>
  <si>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</si>
  <si>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</si>
  <si>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</si>
  <si>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</si>
  <si>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</si>
  <si>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</si>
  <si>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</si>
  <si>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</si>
  <si>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</si>
  <si>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</si>
  <si>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</si>
  <si>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</si>
  <si>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</si>
  <si>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</si>
  <si>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</si>
  <si>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</si>
  <si>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</si>
  <si>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</si>
  <si>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</si>
  <si>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Multas e Juros</t>
  </si>
  <si>
    <t>Imposto sobre Produtos Industrializados - IPI - Automóveis - Dívida Ativa</t>
  </si>
  <si>
    <t>Imposto sobre Produtos Industrializados - IPI - Automóveis - Dívida Ativa - Multas e Juros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</si>
  <si>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</si>
  <si>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</si>
  <si>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</si>
  <si>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</si>
  <si>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</si>
  <si>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</si>
  <si>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</si>
  <si>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</si>
  <si>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</si>
  <si>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</si>
  <si>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</si>
  <si>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Imposto sobre Produtos Industrializados - IPI - Outros Produtos - Multas e Juros</t>
  </si>
  <si>
    <t>Imposto sobre Produtos Industrializados - IPI - Outros Produtos - Dívida Ativa</t>
  </si>
  <si>
    <t>Imposto sobre Produtos Industrializados - IPI - Outros Produtos - Dívida Ativa - Multas e Juros</t>
  </si>
  <si>
    <t>Impostos sobre Operações de Crédito, Câmbio e Seguro, ou Relativas a Títulos ou Valores Mobiliários</t>
  </si>
  <si>
    <t>Agrega as receitas originadas do Imposto sobre Operações Financeiras.</t>
  </si>
  <si>
    <t>Imposto sobre Operações Financeiras - IOF</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</si>
  <si>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</si>
  <si>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</si>
  <si>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</si>
  <si>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</si>
  <si>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</si>
  <si>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</si>
  <si>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Imposto sobre Operações Financeiras - IOF - Ouro - Multas e Juros</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</si>
  <si>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</si>
  <si>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</si>
  <si>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</si>
  <si>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</si>
  <si>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</si>
  <si>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</si>
  <si>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</si>
  <si>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</si>
  <si>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Imposto sobre Operações Financeiras - IOF - Demais Operações - Multas e Juros</t>
  </si>
  <si>
    <t>Imposto sobre Operações Financeiras - IOF - Demais Operações - Dívida Ativa</t>
  </si>
  <si>
    <t>Imposto sobre Operações Financeiras - IOF - Demais Operações - Dívida Ativa - Multas e Juros</t>
  </si>
  <si>
    <t>Outros Impostos</t>
  </si>
  <si>
    <t>Agrega receitas de impostos não classificados nos itens anteriores.</t>
  </si>
  <si>
    <t>Outros Impostos - Principal</t>
  </si>
  <si>
    <t>Registra receitas de impostos não classificados nos itens anteriores.</t>
  </si>
  <si>
    <t>Conforme dispuser a legislação específica.</t>
  </si>
  <si>
    <t>Lei nº 5.172, de 25 de outubro de 1966 (CTN).</t>
  </si>
  <si>
    <t>Outros Impostos - Multas e Juros</t>
  </si>
  <si>
    <t>Outros Impostos - Dívida Ativa</t>
  </si>
  <si>
    <t>Outros Impostos - Dívida Ativa - Multas e Juros</t>
  </si>
  <si>
    <t>Agrega as receitas que relacionadas às taxas decorrentes do exercício do poder de polícia ou decorrentes da utilização efetiva ou potencial de serviço público específico e divisível, prestado ao contribuinte ou posto à sua disposição.</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</si>
  <si>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</si>
  <si>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</si>
  <si>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</si>
  <si>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</si>
  <si>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</si>
  <si>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</si>
  <si>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</si>
  <si>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Taxas de Inspeção, Controle e Fiscalização - Multas e Juros</t>
  </si>
  <si>
    <t>Taxas de Inspeção, Controle e Fiscalização - Dívida Ativa</t>
  </si>
  <si>
    <t>Taxas de Inspeção, Controle e Fiscalização - Dívida Ativa - Multas e Juros</t>
  </si>
  <si>
    <t>Taxas de Fiscalização das Telecomunicações</t>
  </si>
  <si>
    <t>Agrega receitas que se originaram da Taxa de Fiscalização de Telecomunicações.</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</si>
  <si>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</si>
  <si>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</si>
  <si>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</si>
  <si>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</si>
  <si>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</si>
  <si>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</si>
  <si>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Taxa de Fiscalização de Instalação - TFI - Multas e Juros</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</si>
  <si>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</si>
  <si>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</si>
  <si>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</si>
  <si>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</si>
  <si>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</si>
  <si>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</si>
  <si>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Multas e Juros</t>
  </si>
  <si>
    <t>Taxa de Fiscalização de Funcionamento - TFF - Dívida Ativa</t>
  </si>
  <si>
    <t>Taxa de Fiscalização de Funcionamento - TFF - Dívida Ativa - Multas e Juros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</si>
  <si>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</si>
  <si>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</si>
  <si>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</si>
  <si>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</si>
  <si>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</si>
  <si>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Taxa de Controle e Fiscalização de Produtos Químicos - Multas e Juros</t>
  </si>
  <si>
    <t>Taxa de Controle e Fiscalização de Produtos Químicos - Dívida Ativa</t>
  </si>
  <si>
    <t>Taxa de Controle e Fiscalização de Produtos Químicos - Dívida Ativa - Multas e Juros</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</si>
  <si>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</si>
  <si>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</si>
  <si>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</si>
  <si>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</si>
  <si>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</si>
  <si>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Taxa de Controle e Fiscalização Ambiental - Multas e Juros</t>
  </si>
  <si>
    <t>Taxa de Controle e Fiscalização Ambiental - Dívida Ativa</t>
  </si>
  <si>
    <t>Taxa de Controle e Fiscalização Ambiental - Dívida Ativa - Multas e Juros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</si>
  <si>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</si>
  <si>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</si>
  <si>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</si>
  <si>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</si>
  <si>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</si>
  <si>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</si>
  <si>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Taxa de Controle e Fiscalização da Pesca e Aquicultura - Multas e Juros</t>
  </si>
  <si>
    <t>Taxa de Controle e Fiscalização da Pesca e Aquicultura - Dívida Ativa</t>
  </si>
  <si>
    <t>Taxa de Controle e Fiscalização da Pesca e Aquicultura - Dívida Ativa - Multas e Juros</t>
  </si>
  <si>
    <t>Agrega receitas que se originaram de taxas pela utilização efetiva ou potencial de serviço público específico e divisível, prestado ao contribuinte ou posto à sua disposição.</t>
  </si>
  <si>
    <t>Taxas pela Prestação de Serviços - Principal</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</si>
  <si>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</si>
  <si>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</si>
  <si>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Taxas pela Prestação de Serviços - Multas e Juros</t>
  </si>
  <si>
    <t>Taxas pela Prestação de Serviços - Dívida Ativa</t>
  </si>
  <si>
    <t>Taxas pela Prestação de Serviços - Dívida Ativa - Multas e Juros</t>
  </si>
  <si>
    <t>Agrega as receitas relacionadas à contribuição de melhoria, decorrente de obras públicas.</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</si>
  <si>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</si>
  <si>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</si>
  <si>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</si>
  <si>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</si>
  <si>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</si>
  <si>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</si>
  <si>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Agrega as receitas originadas de contribuições sociais e de interesse de categorias profissionais ou econômicas</t>
  </si>
  <si>
    <t>Contribuição para o Financiamento da Seguridade Social - COFINS</t>
  </si>
  <si>
    <t>Agrega as Receitas que se originam da Contribuição para o Financiamento da Seguridade Social - COFINS.</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</si>
  <si>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</si>
  <si>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</si>
  <si>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</si>
  <si>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deo 2003;
Medida Provisória nº 2.158-35, de 24 de agosto de 2001;
Lei nº 10.865, de 30 de abril de 2004;
Lei nº 10.925, de 23 de julho de 2004;
Lei nº 11.196, de 21 de novembro de 2005;
LC nº 123, de 14 de dezembro de 2006</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</si>
  <si>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</si>
  <si>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</si>
  <si>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</si>
  <si>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</si>
  <si>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</si>
  <si>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</si>
  <si>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</si>
  <si>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</si>
  <si>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</si>
  <si>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</si>
  <si>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</si>
  <si>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</si>
  <si>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</si>
  <si>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</si>
  <si>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</si>
  <si>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</si>
  <si>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</si>
  <si>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</si>
  <si>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</si>
  <si>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Contribuições para o Regime Geral de Previdência Social - RGPS - Multas e Juros</t>
  </si>
  <si>
    <t>Contribuições para o Regime Geral de Previdência Social - RGPS - Dívida Ativa</t>
  </si>
  <si>
    <t>Contribuições para o Regime Geral de Previdência Social - RGPS - Dívida Ativa - Multas e Juros</t>
  </si>
  <si>
    <t>Contribuição Patronal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</si>
  <si>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</si>
  <si>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</si>
  <si>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</si>
  <si>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</si>
  <si>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</si>
  <si>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</si>
  <si>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Contribuição Patronal de Servidor Ativo Civil para o RPPS - Multas e Juros</t>
  </si>
  <si>
    <t>Contribuição Patronal de Servidor Ativo Civil para o RPPS - Dívida Ativa</t>
  </si>
  <si>
    <t>Contribuição Patronal de Servidor Ativo Civil para o RPPS - Dívida Ativa - Multas e Juros</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</si>
  <si>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</si>
  <si>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</si>
  <si>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</si>
  <si>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</si>
  <si>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Recolhida integralmente ao Tesouro Nacional, com a finalidade de custear o Plano de Seguridade Social do Servidor, mantido pela União.</t>
  </si>
  <si>
    <t>CF/88, art. 40; Lei nº 10.887, de 18 de junho de 2004, art. 4º.</t>
  </si>
  <si>
    <t>Contribuição do Servidor Ativo Civil para o RPPS - Multas e Juros</t>
  </si>
  <si>
    <t>Contribuição do Servidor Ativo Civil para o RPPS - Dívida Ativa</t>
  </si>
  <si>
    <t>Contribuição do Servidor Ativo Civil para o RPPS - Dívida Ativa - Multas e Juros</t>
  </si>
  <si>
    <t>CF/88, art. 40;
Lei nº. 10.887, de 18 de junho de 2004, art. 5º.</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</si>
  <si>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</si>
  <si>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</si>
  <si>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</si>
  <si>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</si>
  <si>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CF/88, art. 40;
Lei nº. 10.887, de 18 de junho de 2004, art. 16-A.</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</si>
  <si>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</si>
  <si>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</si>
  <si>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</si>
  <si>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Agrega receitas originadas da contribuição para o Plano de Seguridade do Servidor Público decorrente de valores pagos em cumprimento de decisão judicial.</t>
  </si>
  <si>
    <t>Contribuição do Servidor Ativo Civil ao RPPS Oriunda de Sentenças Judiciais - Principal</t>
  </si>
  <si>
    <t>Registra as receitas da contribuição para o Plano de Seguridade do Servidor Público decorrente de valores pagos em cumprimento de decisão judicial.</t>
  </si>
  <si>
    <t>Agrega receitas originadas da contribuição de Servidores Inativos e Pensionistas para o Plano de Seguridade do Servidor Público decorrente de valores pagos em cumprimento de decisão judicial.</t>
  </si>
  <si>
    <t>Registra as receitas da contribuição de Servidores Inativos e Pensionistas para o Plano de Seguridade do Servidor Público decorrente de valores pagos em cumprimento de decisão judicial.</t>
  </si>
  <si>
    <t>Contribuição para o Custeio das Pensões Militares</t>
  </si>
  <si>
    <t>Agrega receitas originadas da contribuição paga por militares das Forças Armadas para o custeio das Pensões Militares.</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</si>
  <si>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</si>
  <si>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</si>
  <si>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</si>
  <si>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</si>
  <si>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Contribuição para o Custeio das Pensões Militares - Multas e Juros</t>
  </si>
  <si>
    <t>Contribuição para o Custeio das Pensões Militares - Dívida Ativa</t>
  </si>
  <si>
    <t>Contribuição para o Custeio das Pensões Militares - Dívida Ativa - Multas e Juros</t>
  </si>
  <si>
    <t>Destina-se ao Fundo de Sáude da Corporação para a assistência médico-hospitalar, médico-domiciliar, odontológica, psicológica e social ao militar e seus dependentes.</t>
  </si>
  <si>
    <t>Lei nº 10.486, de 04 de julho de 2002, art. 33.</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</si>
  <si>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</si>
  <si>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</si>
  <si>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</si>
  <si>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</si>
  <si>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</si>
  <si>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</si>
  <si>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</si>
  <si>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</si>
  <si>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</si>
  <si>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</si>
  <si>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</si>
  <si>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</si>
  <si>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</si>
  <si>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</si>
  <si>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</si>
  <si>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</si>
  <si>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</si>
  <si>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</si>
  <si>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</si>
  <si>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</si>
  <si>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</si>
  <si>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</si>
  <si>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</si>
  <si>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</si>
  <si>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</si>
  <si>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Contribuição sobre Concursos Especiais de Loterias Esportivas - Multas e Juros</t>
  </si>
  <si>
    <t>Contribuição sobre Concursos Especiais de Loterias Esportivas - Dívida Ativa</t>
  </si>
  <si>
    <t>Contribuição sobre Concursos Especiais de Loterias Esportivas - Dívida Ativa - Multas e Juros</t>
  </si>
  <si>
    <t>Contribuição sobre Loterias de Números</t>
  </si>
  <si>
    <t>Agrega as receitas originadas da Contribuição sobre Loterias de Números</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</si>
  <si>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</si>
  <si>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</si>
  <si>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</si>
  <si>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</si>
  <si>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</si>
  <si>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</si>
  <si>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</si>
  <si>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</si>
  <si>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</si>
  <si>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</si>
  <si>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</si>
  <si>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</si>
  <si>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Loteria Instantânea - Multas e Juros</t>
  </si>
  <si>
    <t>Contribuição sobre Loteria Instantânea - Dívida Ativa</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</si>
  <si>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</si>
  <si>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</si>
  <si>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</si>
  <si>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</si>
  <si>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</si>
  <si>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</si>
  <si>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</si>
  <si>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Concursos de Prognóstico - Modalidade Futebol - Multas e Juros</t>
  </si>
  <si>
    <t>Contribuição sobre Concursos de Prognóstico - Modalidade Futebol - Dívida Ativa</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</si>
  <si>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</si>
  <si>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</si>
  <si>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</si>
  <si>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</si>
  <si>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</si>
  <si>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</si>
  <si>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</si>
  <si>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</si>
  <si>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</si>
  <si>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</si>
  <si>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</si>
  <si>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</si>
  <si>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</si>
  <si>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</si>
  <si>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</si>
  <si>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</si>
  <si>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</si>
  <si>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</si>
  <si>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Contribuição para os Programas de Integração Social e de Formação do Patrimônio do Servidor Público - PIS e PASEP - Dívida Ativa - Multas e Juros</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</si>
  <si>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</si>
  <si>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</si>
  <si>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</si>
  <si>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</si>
  <si>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</si>
  <si>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</si>
  <si>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</si>
  <si>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</si>
  <si>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Agrega as receitas originadas da contribuição devida pelos empregadores em caso de despedida de empregado sem justa causa.</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</si>
  <si>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</si>
  <si>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</si>
  <si>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</si>
  <si>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</si>
  <si>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Contribuição Relativa à Despedida de Empregado sem Justa Causa - Multas e Juros</t>
  </si>
  <si>
    <t>Contribuição Relativa à Despedida de Empregado sem Justa Causa - Dívida Ativa</t>
  </si>
  <si>
    <t>Contribuição Relativa à Despedida de Empregado sem Justa Causa - Dívida Ativa - Multas e Juros</t>
  </si>
  <si>
    <t>Agrega as receitas da contribuição sobre a remuneração devida ao trabalhador.</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</si>
  <si>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</si>
  <si>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</si>
  <si>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</si>
  <si>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Contribuição sobre a Remuneração Devida ao Trabalhador - Multas e Juros</t>
  </si>
  <si>
    <t>Contribuição sobre a Remuneração Devida ao Trabalhador - Dívida Ativa</t>
  </si>
  <si>
    <t>Contribuição sobre a Remuneração Devida ao Trabalhador - Dívida Ativa - Multas e Juros</t>
  </si>
  <si>
    <t>Agrega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</si>
  <si>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</si>
  <si>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</si>
  <si>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</si>
  <si>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</si>
  <si>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Contribuição Social do Salário-Educação - Multas e Juros</t>
  </si>
  <si>
    <t>Contribuição Social do Salário-Educação - Dívida Ativa</t>
  </si>
  <si>
    <t>Contribuição Social do Salário-Educação - Dívida Ativa - Multas e Juros</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</si>
  <si>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</si>
  <si>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</si>
  <si>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</si>
  <si>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Ensino Aeroviário - Multas e Juros</t>
  </si>
  <si>
    <t>Contribuição para o Ensino Aeroviário - Dívida Ativa</t>
  </si>
  <si>
    <t>Contribuição para o Ensino Aeroviário - Dívida Ativa - Multas e Juros</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</si>
  <si>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</si>
  <si>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</si>
  <si>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</si>
  <si>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</si>
  <si>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</si>
  <si>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Contribuição para o Desenvolvimento do Ensino Profissional Marítimo - Multas e Juros</t>
  </si>
  <si>
    <t>Contribuição para o Desenvolvimento do Ensino Profissional Marítimo - Dívida Ativa</t>
  </si>
  <si>
    <t>Contribuição para o Desenvolvimento do Ensino Profissional Marítimo - Dívida Ativa - Multas e Juros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</si>
  <si>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</si>
  <si>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Contribuição sobre a Arrecadação dos Fundos de Investimentos Regionais - Principal</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</si>
  <si>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</si>
  <si>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</si>
  <si>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</si>
  <si>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Agrega as receitas oriundas de contribuições pagas por produtores rurais.</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</si>
  <si>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</si>
  <si>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</si>
  <si>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</si>
  <si>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</si>
  <si>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</si>
  <si>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</si>
  <si>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</si>
  <si>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</si>
  <si>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empragadores rurais.</t>
  </si>
  <si>
    <t>Adicional à Contribuição Previdenciária Rural - Principal</t>
  </si>
  <si>
    <t>Registra as receitas oriundas de adicional de 2,6% sobre o total de salários pagos, a título de contribuição previdenciária devido pelos empragadores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</si>
  <si>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</si>
  <si>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</si>
  <si>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Adicional à Contribuição Previdenciária Rural - Multas e Juros</t>
  </si>
  <si>
    <t>Adicional à Contribuição Previdenciária Rural - Dívida Ativa</t>
  </si>
  <si>
    <t>Adicional à Contribuição Previdenciária Rural - Dívida Ativa - Multas e Juros</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</si>
  <si>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</si>
  <si>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</si>
  <si>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</si>
  <si>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</si>
  <si>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</si>
  <si>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</si>
  <si>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</si>
  <si>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</si>
  <si>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Agrega quaisquer outras contribuições sociais que não se enquadrem nos itens anteriores.</t>
  </si>
  <si>
    <t>Outras Contribuições Sociais - Principal</t>
  </si>
  <si>
    <t>Registra quaisquer outras contribuições sociais que não se enquadrem nos itens anteriores.</t>
  </si>
  <si>
    <t>Legislação específica.</t>
  </si>
  <si>
    <t>Outras Contribuições Sociais - Multas e Juros</t>
  </si>
  <si>
    <t>Outras Contribuições Sociais - Dívida Ativa</t>
  </si>
  <si>
    <t>Outras Contribuições Sociais - Dívida Ativa - Multas e Juros</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</si>
  <si>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</si>
  <si>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</si>
  <si>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</si>
  <si>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</si>
  <si>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</si>
  <si>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</si>
  <si>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Integração Nacional - PIN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</si>
  <si>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</si>
  <si>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</si>
  <si>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</si>
  <si>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Contribuição para o Programa de Integração Nacional - PIN - Multas e Juros</t>
  </si>
  <si>
    <t>Contribuição para o Programa de Integração Nacional - PIN - Dívida Ativa</t>
  </si>
  <si>
    <t>Contribuição para o Programa de Integração Nacional - PIN - Dívida Ativa - Multas e Juros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</si>
  <si>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</si>
  <si>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</si>
  <si>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para o Programa de Redistribuição de Terras e de Estímulo à Agroindústria do Norte e do Nordeste - PROTERRA - Principal</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</si>
  <si>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</si>
  <si>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</si>
  <si>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para o Programa de Redistribuição de Terras e de Estímulo à Agroindústria do Norte e do Nordeste - PROTERRA - Dívida Ativa - Multas e Juros</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</si>
  <si>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</si>
  <si>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</si>
  <si>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</si>
  <si>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</si>
  <si>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</si>
  <si>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</si>
  <si>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</si>
  <si>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</si>
  <si>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</si>
  <si>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</si>
  <si>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</si>
  <si>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</si>
  <si>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</si>
  <si>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</si>
  <si>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</si>
  <si>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Contribuição sobre Apostas em Competições Hípicas - Multas e Juros</t>
  </si>
  <si>
    <t>Contribuição sobre Apostas em Competições Hípicas - Dívida Ativa</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</si>
  <si>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</si>
  <si>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</si>
  <si>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</si>
  <si>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</si>
  <si>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</si>
  <si>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</si>
  <si>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</si>
  <si>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</si>
  <si>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</si>
  <si>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</si>
  <si>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</si>
  <si>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</si>
  <si>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</si>
  <si>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</si>
  <si>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</si>
  <si>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</si>
  <si>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</si>
  <si>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</si>
  <si>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</si>
  <si>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</si>
  <si>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</si>
  <si>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</si>
  <si>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</si>
  <si>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</si>
  <si>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</si>
  <si>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</si>
  <si>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</si>
  <si>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</si>
  <si>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</si>
  <si>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</si>
  <si>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</si>
  <si>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</si>
  <si>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</si>
  <si>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</si>
  <si>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</si>
  <si>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</si>
  <si>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Lei no 10.866, de 4 de maio de 2004.</t>
  </si>
  <si>
    <t>Contribuição de Intervenção no Domínio Econômico - CIDE-Combustíveis - Importação - Multas e Juros</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</si>
  <si>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</si>
  <si>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</si>
  <si>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</si>
  <si>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</si>
  <si>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</si>
  <si>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</si>
  <si>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Emenda Constitucional no 33, de 11 de dezembro de 2001;
Emenda constitucional no 44, de 30 de junho de 2004;
Lei no 10.336, de 19 de dezembro de 2001;
Lei no 10.636, de 30 de dezembro de 2002; e
Lei no 10.866, de 4 de maio de 2004.</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</si>
  <si>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</si>
  <si>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</si>
  <si>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</si>
  <si>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</si>
  <si>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</si>
  <si>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</si>
  <si>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</si>
  <si>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</si>
  <si>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</si>
  <si>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</si>
  <si>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</si>
  <si>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</si>
  <si>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</si>
  <si>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</si>
  <si>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</si>
  <si>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</si>
  <si>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</si>
  <si>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</si>
  <si>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</si>
  <si>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</si>
  <si>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</si>
  <si>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Agrega as receitas originadas da Contribuição para Fomento da Radiodifusão Pública.</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</si>
  <si>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</si>
  <si>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</si>
  <si>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</si>
  <si>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</si>
  <si>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Contribuição para o Fomento da Radiodifusão Pública - Multas e Juros</t>
  </si>
  <si>
    <t>Contribuição para o Fomento da Radiodifusão Pública - Dívida Ativa</t>
  </si>
  <si>
    <t>Contribuição para o Fomento da Radiodifusão Pública - Dívida Ativa - Multas e Juros</t>
  </si>
  <si>
    <t>Agrega as receitas originadas de contribuições econômicas que não se enquadram nos itens anteriores.</t>
  </si>
  <si>
    <t>Outras Contribuições Econômicas - Principal</t>
  </si>
  <si>
    <t>Registra as receitas originadas de contribuições econômicas que não se enquadram nos itens anteriores.</t>
  </si>
  <si>
    <t>Outras Contribuições Econômicas - Multas e Juros</t>
  </si>
  <si>
    <t>Outras Contribuições Econômicas - Dívida Ativa</t>
  </si>
  <si>
    <t>Outras Contribuições Econômicas - Dívida Ativa - Multas e Juros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</si>
  <si>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</si>
  <si>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</si>
  <si>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</si>
  <si>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</si>
  <si>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</si>
  <si>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</si>
  <si>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</si>
  <si>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</si>
  <si>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</si>
  <si>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</si>
  <si>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</si>
  <si>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</si>
  <si>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</si>
  <si>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Portaria SOF nº 10, de 01.02.2016.</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</si>
  <si>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</si>
  <si>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</si>
  <si>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</si>
  <si>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</si>
  <si>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Aluguéis e Arrendamentos - Multas e Juros</t>
  </si>
  <si>
    <t>Aluguéis e Arrendamentos - Dívida Ativa</t>
  </si>
  <si>
    <t>Aluguéis e Arrendamentos - Dívida Ativa - Multas e Juros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</si>
  <si>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</si>
  <si>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</si>
  <si>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</si>
  <si>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</si>
  <si>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</si>
  <si>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</si>
  <si>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Foros, Laudêmios e Tarifas de Ocupação - Multas e Juros</t>
  </si>
  <si>
    <t>Foros, Laudêmios e Tarifas de Ocupação - Dívida Ativa</t>
  </si>
  <si>
    <t>Foros, Laudêmios e Tarifas de Ocupação - Dívida Ativa - Multas e Juros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</si>
  <si>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</si>
  <si>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</si>
  <si>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</si>
  <si>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</si>
  <si>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</si>
  <si>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</si>
  <si>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Concessão, Permissão, Autorização ou Cessão do Direito de Uso de Bens Imóveis Públicos - Multas e Juros</t>
  </si>
  <si>
    <t>Concessão, Permissão, Autorização ou Cessão do Direito de Uso de Bens Imóveis Públicos - Dívida Ativa</t>
  </si>
  <si>
    <t>Concessão, Permissão, Autorização ou Cessão do Direito de Uso de Bens Imóveis Públicos - Dívida Ativa - Multas e Juros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</si>
  <si>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</si>
  <si>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</si>
  <si>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</si>
  <si>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Lei nº 4.320, de 17 de março de 1964, art. 11, § 4º.</t>
  </si>
  <si>
    <t>Outras Receitas Imobiliárias - Multas e Juros</t>
  </si>
  <si>
    <t>Outras Receitas Imobiliárias - Dívida Ativa</t>
  </si>
  <si>
    <t>Outras Receitas Imobiliárias - Dívida Ativa - Multas e Juros</t>
  </si>
  <si>
    <t>Valores Mobiliários</t>
  </si>
  <si>
    <t>Agrega as receitas decorrentes de valores mobiliários.</t>
  </si>
  <si>
    <t>Juros e Correções Monetárias</t>
  </si>
  <si>
    <t>Agrega as receitas decorrentes de juros e correções monetárias</t>
  </si>
  <si>
    <t>Agrega as receitas decorrentes de juros e correções monetárias incidentes sobre depósitos bancários</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</si>
  <si>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</si>
  <si>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</si>
  <si>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</si>
  <si>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Registra a receita oriunda de juros e correções monetárias auferidos sobre depósitos especiais.</t>
  </si>
  <si>
    <t>Remuneração de Depósitos Especiais - Principal</t>
  </si>
  <si>
    <t>Remuneração de Saldos de Recursos Não-Desembolsados</t>
  </si>
  <si>
    <t>Registra a receita oriunda de juros e correções monetárias auferidos sobre saldos de recursos não desembolsados.</t>
  </si>
  <si>
    <t>Remuneração de Saldos de Recursos Não-Desembolsados - Principal</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</si>
  <si>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</si>
  <si>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</si>
  <si>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</si>
  <si>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</si>
  <si>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</si>
  <si>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</si>
  <si>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</si>
  <si>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</si>
  <si>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</si>
  <si>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Art. 164, § 3º da Constituição Federal eNormativos da CVM e Banco Central.</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</si>
  <si>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</si>
  <si>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</si>
  <si>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</si>
  <si>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</si>
  <si>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Agrega as receitas decorrente de dividendos.</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</si>
  <si>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</si>
  <si>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</si>
  <si>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</si>
  <si>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</si>
  <si>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Dividendos - Multas e Juros</t>
  </si>
  <si>
    <t>Dividendos - Dívida Ativa</t>
  </si>
  <si>
    <t>Dividendos - Dívida Ativa - Multas e Juros</t>
  </si>
  <si>
    <t>Agrega receitas atribuíveis à União, provenientes da participação societária nos resultados de empresas.</t>
  </si>
  <si>
    <t>Participações - Principal</t>
  </si>
  <si>
    <t>Registra as receitas atribuíveis à União, provenientes da participação societária nos resultados de empresas.</t>
  </si>
  <si>
    <t>Amortização da dívida pública federal.</t>
  </si>
  <si>
    <t>Participações - Multas e Juros</t>
  </si>
  <si>
    <t>Participações - Dívida Ativa</t>
  </si>
  <si>
    <t>Participações - Dívida Ativa - Multas e Juros</t>
  </si>
  <si>
    <t>Outros Valores Mobiliários</t>
  </si>
  <si>
    <t>Agrega as receitas de valores mobiliários não classificadas nos itens anteriores.</t>
  </si>
  <si>
    <t>Outros Valores Mobiliários - Principal</t>
  </si>
  <si>
    <t>Registra as receitas de valores mobiliários não classificadas nos itens anteriores.</t>
  </si>
  <si>
    <t>Outros Valores Mobiliários - Multas e Juros</t>
  </si>
  <si>
    <t>Outros Valores Mobiliários - Dívida Ativa</t>
  </si>
  <si>
    <t>Outros Valores Mobiliários - Dívida Ativa - Multas e Juros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</si>
  <si>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</si>
  <si>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</si>
  <si>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</si>
  <si>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</si>
  <si>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</si>
  <si>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</si>
  <si>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</si>
  <si>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</si>
  <si>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</si>
  <si>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</si>
  <si>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Delegação para a Prestação dos Serviços de Transporte Rodoviário - Multas e Juros</t>
  </si>
  <si>
    <t>Delegação para a Prestação dos Serviços de Transporte Rodoviário - Dívida Ativa</t>
  </si>
  <si>
    <t>Delegação para a Prestação dos Serviços de Transporte Rodoviário - Dívida Ativa - Multas e Juros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</si>
  <si>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</si>
  <si>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</si>
  <si>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</si>
  <si>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</si>
  <si>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CF, art. 21, inciso XII, alínea "d";
Lei nº 10.233, de 2001, art. 12, inciso I; art. 13, inciso I;
Decreto no 2.521, de 20 de março de 1998;
Medida Provisória no 2.217, de 4 de setembro de 2001.</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</si>
  <si>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</si>
  <si>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</si>
  <si>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</si>
  <si>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</si>
  <si>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</si>
  <si>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</si>
  <si>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</si>
  <si>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Delegação para a Prestação dos Serviços de Transporte Metroviário - Multas e Juros</t>
  </si>
  <si>
    <t>Delegação para a Prestação dos Serviços de Transporte Metroviário - Dívida Ativa</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</si>
  <si>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</si>
  <si>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</si>
  <si>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</si>
  <si>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</si>
  <si>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</si>
  <si>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</si>
  <si>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</si>
  <si>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</si>
  <si>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</si>
  <si>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</si>
  <si>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</si>
  <si>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</si>
  <si>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</si>
  <si>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Receita inexistente.</t>
  </si>
  <si>
    <t>Código reservado.
CF, art. 21, inciso XII, alínea "c";
Lei nº 6.009, de 26 de dezembro de 1973.</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</si>
  <si>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</si>
  <si>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</si>
  <si>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</si>
  <si>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</si>
  <si>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</si>
  <si>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</si>
  <si>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</si>
  <si>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</si>
  <si>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</si>
  <si>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</si>
  <si>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</si>
  <si>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</si>
  <si>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</si>
  <si>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</si>
  <si>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</si>
  <si>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</si>
  <si>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</si>
  <si>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</si>
  <si>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</si>
  <si>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</si>
  <si>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</si>
  <si>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</si>
  <si>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</si>
  <si>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</si>
  <si>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</si>
  <si>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</si>
  <si>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</si>
  <si>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</si>
  <si>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</si>
  <si>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Delegação para Exploração da Infraestrutura de Transporte Ferroviário - Multas e Juros</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</si>
  <si>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</si>
  <si>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</si>
  <si>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</si>
  <si>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</si>
  <si>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</si>
  <si>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</si>
  <si>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Delegação para Exploração da Infraestrutura de Transporte Aquaviário - Multas e Juros</t>
  </si>
  <si>
    <t>Delegação para Exploração da Infraestrutura de Transporte Aquaviário - Dívida Ativa</t>
  </si>
  <si>
    <t>Delegação para Exploração da Infraestrutura de Transporte Aquaviário - Dívida Ativa - Multas e Juros</t>
  </si>
  <si>
    <t>Delegação para Exploração da Infraestrutura Aeroportuária</t>
  </si>
  <si>
    <t>Agrega as receitas de outorga de infraestrutura aeroportuária.</t>
  </si>
  <si>
    <t>Delegação para Exploração da Infraestrutura Aeroportuária - Principal</t>
  </si>
  <si>
    <t>Registra as receitas de outorga de infraestrutura aeroportuária.</t>
  </si>
  <si>
    <t>Fundo Nacional de Aviação Civil - FNAC</t>
  </si>
  <si>
    <t>Lei nº 12.462, de 4 de agosto de 2011, art. 63, inciso III.</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</si>
  <si>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</si>
  <si>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</si>
  <si>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</si>
  <si>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</si>
  <si>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</si>
  <si>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</si>
  <si>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</si>
  <si>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</si>
  <si>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</si>
  <si>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</si>
  <si>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“c”, e 3º da Lei nº 5.070, de 7 de julho de 1966;
Art. 48 da Lei nº 9.472, de 16 julho de 1997;
Art. 6º, inciso II, da Lei nº 9.998, de 17 de agosto de 2000; e
Art. 2º, inciso VII, da Lei nº 11.437, de 28 de dezembro de 2006.</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</si>
  <si>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</si>
  <si>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</si>
  <si>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</si>
  <si>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</si>
  <si>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</si>
  <si>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</si>
  <si>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</si>
  <si>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Art. 2º, alínea “d”, e 3º da Lei nº 5.070, de 7 de julho de 1966;
Art. 48 da Lei nº 9.472, de 16 julho de 1997;
Art. 6º, inciso II, da Lei nº 9.998, de 17 de agosto de 2000; e
Art. 2º, inciso VII, da Lei nº 11.437, de 28 de dezembro de 2006.</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</si>
  <si>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</si>
  <si>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</si>
  <si>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</si>
  <si>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</si>
  <si>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</si>
  <si>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</si>
  <si>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</si>
  <si>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</si>
  <si>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Delegação dos Serviços de Radiodifusão Sonora e de Sons e Imagens - Multas e Juros</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</si>
  <si>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</si>
  <si>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</si>
  <si>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</si>
  <si>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</si>
  <si>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</si>
  <si>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</si>
  <si>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</si>
  <si>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</si>
  <si>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Cessão do Direito de Uso de Radiofrequência - Multas e Juros</t>
  </si>
  <si>
    <t>Cessão do Direito de Uso de Radiofrequência - Dívida Ativa</t>
  </si>
  <si>
    <t>Cessão do Direito de Uso de Radiofrequência - Dívida Ativa - Multas e Juros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</si>
  <si>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</si>
  <si>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</si>
  <si>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</si>
  <si>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</si>
  <si>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</si>
  <si>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</si>
  <si>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Cessão do Direito de Exploração de Satélite Brasileiro - Multas e Juros</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</si>
  <si>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</si>
  <si>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</si>
  <si>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</si>
  <si>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</si>
  <si>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</si>
  <si>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</si>
  <si>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</si>
  <si>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</si>
  <si>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</si>
  <si>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</si>
  <si>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</si>
  <si>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</si>
  <si>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</si>
  <si>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</si>
  <si>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</si>
  <si>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</si>
  <si>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Concessão de Licenças e Autorizações da Agência Espacial Brasileira - Multas e Juros</t>
  </si>
  <si>
    <t>Concessão de Licenças e Autorizações da Agência Espacial Brasileira - Dívida Ativa</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</si>
  <si>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</si>
  <si>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</si>
  <si>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</si>
  <si>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</si>
  <si>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</si>
  <si>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</si>
  <si>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</si>
  <si>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</si>
  <si>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</si>
  <si>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</si>
  <si>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</si>
  <si>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</si>
  <si>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Demais Delegações de Serviços Públicos - Principal</t>
  </si>
  <si>
    <t>Demais Delegações de Serviços Públicos - Multas e Juros</t>
  </si>
  <si>
    <t>Demais Delegações de Serviços Públicos - Dívida Ativa</t>
  </si>
  <si>
    <t>Demais Delegações de Serviços Públicos - Dívida Ativa - Multas e Juros</t>
  </si>
  <si>
    <t>Outras Delegações de Serviços Públicos</t>
  </si>
  <si>
    <t>Agrega receitas decorrentes da delegação para prestação de serviços públicos não abarcadas por códigos específicos.</t>
  </si>
  <si>
    <t>Outras Delegações de Serviços Públicos - Principal</t>
  </si>
  <si>
    <t>Registra receitas decorrentes da delegação para prestação de serviços públicos não abarcadas por códigos específicos.</t>
  </si>
  <si>
    <t>Outras Delegações de Serviços Públicos - Multas e Juros</t>
  </si>
  <si>
    <t>Outras Delegações de Serviços Públicos - Dívida Ativa</t>
  </si>
  <si>
    <t>Outras Delegações de Serviços Públicos - Dívida Ativa - Multas e Juros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</si>
  <si>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</si>
  <si>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</si>
  <si>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</si>
  <si>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</si>
  <si>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</si>
  <si>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</si>
  <si>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</si>
  <si>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</si>
  <si>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</si>
  <si>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</si>
  <si>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</si>
  <si>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</si>
  <si>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Agrega as receitas auferidas em função do pagamento anual pela retenção de área para exploração, desenvolvimento ou produção de petróleo e gás natural.</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</si>
  <si>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</si>
  <si>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</si>
  <si>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</si>
  <si>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</si>
  <si>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Royalties Mínimos pela Produção de Petróleo - Contrato de Concessão</t>
  </si>
  <si>
    <t>Agrega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</si>
  <si>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</si>
  <si>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</si>
  <si>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</si>
  <si>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</si>
  <si>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</si>
  <si>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</si>
  <si>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</si>
  <si>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</si>
  <si>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3o e art. 2o, III.</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</si>
  <si>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</si>
  <si>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</si>
  <si>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</si>
  <si>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</si>
  <si>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</si>
  <si>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</si>
  <si>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</si>
  <si>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</si>
  <si>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7.990, de 28 de dezembro de 1989, art. 7o;
Lei no 9.478, de 06 de agosto de 1997, art. 48 (redação anterior à Lei no 12.734/2012);
Lei no 12.351, de 22 de dezembro de 2010; e
Lei no 12.858, de 9 de setembro de 2013, art 2o, I e §3o.</t>
  </si>
  <si>
    <t>Royalties Excedentes pela Produção de Petróleo - Contrato de Concessão</t>
  </si>
  <si>
    <t>Agrega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</si>
  <si>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</si>
  <si>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</si>
  <si>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</si>
  <si>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</si>
  <si>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</si>
  <si>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</si>
  <si>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</si>
  <si>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</si>
  <si>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</si>
  <si>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inciso II (redação anterior à Lei n 12.734/2012);
Lei no 12.351, de 22 de dezembro de 2010;
Lei no 12.858, de 9 de setembro de 2013, art. 2o, III  e art. 3o.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</si>
  <si>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</si>
  <si>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</si>
  <si>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</si>
  <si>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49, II (redação anterior à Lei n 12.734/2012);
Lei no 12.351, de 22 de dezembro de 2010; e
Lei no 12.858, de 9 de setembro de 2013, art. 2o, III, e art. 3o.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</si>
  <si>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</si>
  <si>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</si>
  <si>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</si>
  <si>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</si>
  <si>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</si>
  <si>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</si>
  <si>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</si>
  <si>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</si>
  <si>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</si>
  <si>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</si>
  <si>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</si>
  <si>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</si>
  <si>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</si>
  <si>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</si>
  <si>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</si>
  <si>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</si>
  <si>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</si>
  <si>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</si>
  <si>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</si>
  <si>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</si>
  <si>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</si>
  <si>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</si>
  <si>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</si>
  <si>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</si>
  <si>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</si>
  <si>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</si>
  <si>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</si>
  <si>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</si>
  <si>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</si>
  <si>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</si>
  <si>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</si>
  <si>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</si>
  <si>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</si>
  <si>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</si>
  <si>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</si>
  <si>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</si>
  <si>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</si>
  <si>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</si>
  <si>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</si>
  <si>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</si>
  <si>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</si>
  <si>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</si>
  <si>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</si>
  <si>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</si>
  <si>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</si>
  <si>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</si>
  <si>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</si>
  <si>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</si>
  <si>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</si>
  <si>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</si>
  <si>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</si>
  <si>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</si>
  <si>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</si>
  <si>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</si>
  <si>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</si>
  <si>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</si>
  <si>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</si>
  <si>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</si>
  <si>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</si>
  <si>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</si>
  <si>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</si>
  <si>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</si>
  <si>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</si>
  <si>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</si>
  <si>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</si>
  <si>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</si>
  <si>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</si>
  <si>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</si>
  <si>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</si>
  <si>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</si>
  <si>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</si>
  <si>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</si>
  <si>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</si>
  <si>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</si>
  <si>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</si>
  <si>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</si>
  <si>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</si>
  <si>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</si>
  <si>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Agrega receitas decorrentes da extração mineral</t>
  </si>
  <si>
    <t>Outorga de Direitos de Exploração e Pesquisa Mineral</t>
  </si>
  <si>
    <t>Agrega receitas decorrentes da outorga do Alvará de Pesquisa Mineral.</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</si>
  <si>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</si>
  <si>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</si>
  <si>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</si>
  <si>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</si>
  <si>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</si>
  <si>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</si>
  <si>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</si>
  <si>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</si>
  <si>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</si>
  <si>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</si>
  <si>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</si>
  <si>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</si>
  <si>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</si>
  <si>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</si>
  <si>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</si>
  <si>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</si>
  <si>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</si>
  <si>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</si>
  <si>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</si>
  <si>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</si>
  <si>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</si>
  <si>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</si>
  <si>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</si>
  <si>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</si>
  <si>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Outorga de Direitos de Uso de Recursos Hídricos - Multas e Juros</t>
  </si>
  <si>
    <t>Outorga de Direitos de Uso de Recursos Hídricos - Dívida Ativa</t>
  </si>
  <si>
    <t>Outorga de Direitos de Uso de Recursos Hídricos - Dívida Ativa - Multas e Juros</t>
  </si>
  <si>
    <t>Concessão de Uso do Potencial de Energia Hidráulica</t>
  </si>
  <si>
    <t>Agrega as receitas decorrentes da autorização ou concessão, por parte da União, para exploração e aproveitamento dos potenciais de energia hidráulica.</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</si>
  <si>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</si>
  <si>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</si>
  <si>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</si>
  <si>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</si>
  <si>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Concessão de Uso do Potencial de Energia Hidráulica - Multas e Juros</t>
  </si>
  <si>
    <t>Concessão de Uso do Potencial de Energia Hidráulica - Dívida Ativa</t>
  </si>
  <si>
    <t>Concessão de Uso do Potencial de Energia Hidráulica - Dívida Ativa - Multas e Juros</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</si>
  <si>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</si>
  <si>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</si>
  <si>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</si>
  <si>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</si>
  <si>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</si>
  <si>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</si>
  <si>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</si>
  <si>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</si>
  <si>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Utilização de Recursos Hídricos - Itaipu - Multas e Juros</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</si>
  <si>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</si>
  <si>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</si>
  <si>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</si>
  <si>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</si>
  <si>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</si>
  <si>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</si>
  <si>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</si>
  <si>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</si>
  <si>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Utilização de Recursos Hídricos - Demais Empresas - Multas e Juros</t>
  </si>
  <si>
    <t>Utilização de Recursos Hídricos - Demais Empresas - Dívida Ativa</t>
  </si>
  <si>
    <t>Utilização de Recursos Hídricos - Demais Empresas - Dívida Ativa - Multas e Juros</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</si>
  <si>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</si>
  <si>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</si>
  <si>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</si>
  <si>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</si>
  <si>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</si>
  <si>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</si>
  <si>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</si>
  <si>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</si>
  <si>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counduzir o processo de outorga da concessão florestal, conforme determina o inciso I do § 1º do art. 39 da Lei nº 11.284, de 2006, c/c inciso XIII do art. 3º  dessa mesma Lei.</t>
  </si>
  <si>
    <t>Lei nº 11.284, de 2006, art. 20, inciso XII; art. 39, § 1º, inciso I.</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</si>
  <si>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</si>
  <si>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</si>
  <si>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</si>
  <si>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</si>
  <si>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</si>
  <si>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</si>
  <si>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</si>
  <si>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</si>
  <si>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</si>
  <si>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Concessão de Florestas Nacionais - Demais Valores - Multas e Juros</t>
  </si>
  <si>
    <t>Concessão de Florestas Nacionais - Demais Valores - Dívida Ativa</t>
  </si>
  <si>
    <t>Concessão de Florestas Nacionais - Demais Valores - Dívida Ativa - Multas e Juros</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</si>
  <si>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</si>
  <si>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</si>
  <si>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</si>
  <si>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</si>
  <si>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</si>
  <si>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</si>
  <si>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</si>
  <si>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</si>
  <si>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Outras Concessões Florestais - Valor Mínimo - Multas e Juros</t>
  </si>
  <si>
    <t>Outras Concessões Florestais - Valor Mínimo - Dívida Ativa</t>
  </si>
  <si>
    <t>Outras Concessões Florestais - Valor Mínimo - Dívida Ativa - Multas e Juros</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</si>
  <si>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</si>
  <si>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</si>
  <si>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</si>
  <si>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</si>
  <si>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</si>
  <si>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</si>
  <si>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</si>
  <si>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</si>
  <si>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</si>
  <si>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</si>
  <si>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</si>
  <si>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</si>
  <si>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</si>
  <si>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</si>
  <si>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</si>
  <si>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</si>
  <si>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</si>
  <si>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Custos de Edital de Concessão Florestal - Multas e Juros</t>
  </si>
  <si>
    <t>Custos de Edital de Concessão Florestal - Dívida Ativa</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</si>
  <si>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</si>
  <si>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</si>
  <si>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</si>
  <si>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</si>
  <si>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</si>
  <si>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</si>
  <si>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Contratos de Transição de Concessão Florestal - Multas e Juros</t>
  </si>
  <si>
    <t>Contratos de Transição de Concessão Florestal - Dívida Ativa</t>
  </si>
  <si>
    <t>Contratos de Transição de Concessão Florestal - Dívida Ativa - Multas e Juros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</si>
  <si>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</si>
  <si>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</si>
  <si>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</si>
  <si>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</si>
  <si>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</si>
  <si>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</si>
  <si>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</si>
  <si>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</si>
  <si>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</si>
  <si>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</si>
  <si>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</si>
  <si>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</si>
  <si>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</si>
  <si>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</si>
  <si>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</si>
  <si>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</si>
  <si>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</si>
  <si>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Compensações Ambientais - Multas e Juros</t>
  </si>
  <si>
    <t>Compensações Ambientais - Dívida Ativa</t>
  </si>
  <si>
    <t>Compensações Ambientais - Dívida Ativa - Multas e Juros</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</si>
  <si>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</si>
  <si>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</si>
  <si>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</si>
  <si>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</si>
  <si>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</si>
  <si>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Outras Delegações para Exploração de Recursos Naturais - Multas e Juros</t>
  </si>
  <si>
    <t>Outras Delegações para Exploração de Recursos Naturais - Dívida Ativa</t>
  </si>
  <si>
    <t>Outras Delegações para Exploração de Recursos Naturais - Dívida Ativa - Multas e Juros</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</si>
  <si>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</si>
  <si>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</si>
  <si>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</si>
  <si>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</si>
  <si>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</si>
  <si>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</si>
  <si>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</si>
  <si>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</si>
  <si>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</si>
  <si>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</si>
  <si>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</si>
  <si>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</si>
  <si>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</si>
  <si>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</si>
  <si>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</si>
  <si>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</si>
  <si>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</si>
  <si>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Esta natureza é agregadora. Verificar os códigos de natureza de receita específicos</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</si>
  <si>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</si>
  <si>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</si>
  <si>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</si>
  <si>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</si>
  <si>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</si>
  <si>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</si>
  <si>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</si>
  <si>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</si>
  <si>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</si>
  <si>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Destinam-se à unidade gestora dos respectivos recursos.</t>
  </si>
  <si>
    <t>Constituição Federal de 1988, art. 37, XXI;
Lei nº 8.666, de 21 de junho de 1993; e
Lei nº 10.406, de 10 de janeiro de 2002 - Código Civil.</t>
  </si>
  <si>
    <t>Cessão do Direito de Operacionalização de Pagamentos - Multas e Juros</t>
  </si>
  <si>
    <t>Cessão do Direito de Operacionalização de Pagamentos - Dívida Ativa</t>
  </si>
  <si>
    <t>Cessão do Direito de Operacionalização de Pagamentos - Dívida Ativa - Multas e Juros</t>
  </si>
  <si>
    <t>Demais Receitas Patrimoniais</t>
  </si>
  <si>
    <t>Agrega as receitas patrimoniais não classificadas nos itens anteriores, inclusive receitas de aluguéis de bens móveis.</t>
  </si>
  <si>
    <t>Demais Receitas Patrimoniais - Principal</t>
  </si>
  <si>
    <t>Registra as receitas patrimoniais não classificadas nos itens anteriores, inclusive receitas de aluguéis de bens móveis.</t>
  </si>
  <si>
    <t>Lei nº 10.406, de 10 de janeiro de 2002.</t>
  </si>
  <si>
    <t>Demais Receitas Patrimoniais - Multas e Juros</t>
  </si>
  <si>
    <t>Demais Receitas Patrimoniais - Dívida Ativa</t>
  </si>
  <si>
    <t>Demais Receitas Patrimoniais - Dívida Ativa - Multas e Juros</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</si>
  <si>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</si>
  <si>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</si>
  <si>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</si>
  <si>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</si>
  <si>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Constituição Federal, art. 173;
Lei no 4.320, de 17 de março de 1964, art. 11, §§ 1o e 4o.</t>
  </si>
  <si>
    <t>Receita Agropecuária - Multas e Juros</t>
  </si>
  <si>
    <t>Receita Agropecuária - Dívida Ativa</t>
  </si>
  <si>
    <t>Receita Agropecuária - Dívida Ativa - Multas e Juros</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</si>
  <si>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</si>
  <si>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</si>
  <si>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</si>
  <si>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</si>
  <si>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Industrial - Multas e Juros</t>
  </si>
  <si>
    <t>Receita Industrial - Dívida Ativa</t>
  </si>
  <si>
    <t>Receita Industrial - Dívida Ativa - Multas e Juros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</si>
  <si>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</si>
  <si>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</si>
  <si>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</si>
  <si>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t>
  </si>
  <si>
    <t>Serviços Administrativos e Comerciais Gerais - Principal</t>
  </si>
  <si>
    <t>Registra as receitas decorrentes da prestação de serviços administrativos e de serviços comerciais nas diversas áreas de atividade econômica.</t>
  </si>
  <si>
    <t>Serviços Administrativos e Comerciais Gerais - Multas e Juros</t>
  </si>
  <si>
    <t>Serviços Administrativos e Comerciais Gerais - Dívida Ativa</t>
  </si>
  <si>
    <t>Serviços Administrativos e Comerciais Gerais - Dívida Ativa - Multas e Juros</t>
  </si>
  <si>
    <t>Inscrição em Concursos e Processos Seletivos - Principal</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</si>
  <si>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</si>
  <si>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</si>
  <si>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</si>
  <si>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Registro, Certificação e Fiscalização - Principal</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</si>
  <si>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</si>
  <si>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</si>
  <si>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</si>
  <si>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Serviços de Registro, Certificação e Fiscalização - Multas e Juros</t>
  </si>
  <si>
    <t>Serviços de Registro, Certificação e Fiscalização - Dívida Ativa</t>
  </si>
  <si>
    <t>Serviços de Registro, Certificação e Fiscalização - Dívida Ativa - Multas e Juros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</si>
  <si>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</si>
  <si>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</si>
  <si>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</si>
  <si>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</si>
  <si>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</si>
  <si>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</si>
  <si>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Serviços de Informação e Tecnologia - Multas e Juros</t>
  </si>
  <si>
    <t>Serviços de Informação e Tecnologia - Dívida Ativa</t>
  </si>
  <si>
    <t>Serviços de Informação e Tecnologia - Dívida Ativa - Multas e Juros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</si>
  <si>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</si>
  <si>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</si>
  <si>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</si>
  <si>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</si>
  <si>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</si>
  <si>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</si>
  <si>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</si>
  <si>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</si>
  <si>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Serviços de Navegação - Multas e Juros</t>
  </si>
  <si>
    <t>Serviços de Navegação - Dívida Ativa</t>
  </si>
  <si>
    <t>Serviços de Navegação - Dívida Ativa - Multas e Juros</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</si>
  <si>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</si>
  <si>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</si>
  <si>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de Transporte - Principal</t>
  </si>
  <si>
    <t>Registra as receitas provenientes da prestação de serviços de transporte. Compreende as atividades de transporte de passageiros ou mercadorias, em todas as modalidades viárias.</t>
  </si>
  <si>
    <t>Serviços de Transporte - Multas e Juros</t>
  </si>
  <si>
    <t>Serviços de Transporte - Dívida Ativa</t>
  </si>
  <si>
    <t>Serviços de Transporte - Dívida Ativa - Multas e Juros</t>
  </si>
  <si>
    <t>Agrega as receitas originadas na exploração dos portos, terminais marítimos, atracadouros e ancoradouros.</t>
  </si>
  <si>
    <t>Agrega as receitas pela exploração dos portos, terminais marítimos, atracadouros e ancoradouros.</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</si>
  <si>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</si>
  <si>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</si>
  <si>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</si>
  <si>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</si>
  <si>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</si>
  <si>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</si>
  <si>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</si>
  <si>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</si>
  <si>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</si>
  <si>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</si>
  <si>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</si>
  <si>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</si>
  <si>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</si>
  <si>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Tarifa Aeroportuária - Multas e Juros</t>
  </si>
  <si>
    <t>Tarifa Aeroportuária - Dívida Ativa</t>
  </si>
  <si>
    <t>Tarifa Aeroportuária - Dívida Ativa - Multas e Juros</t>
  </si>
  <si>
    <t>Agrega as receitas originadas do adicional sobre as tarifas aeroportuárias referidas no art. 3º da Lei nº 6.009, de 26 de dezembro de 1973.</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</si>
  <si>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</si>
  <si>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</si>
  <si>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</si>
  <si>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</si>
  <si>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</si>
  <si>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</si>
  <si>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</si>
  <si>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</si>
  <si>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</si>
  <si>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</si>
  <si>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</si>
  <si>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</si>
  <si>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</si>
  <si>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</si>
  <si>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</si>
  <si>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</si>
  <si>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</si>
  <si>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</si>
  <si>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</si>
  <si>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</si>
  <si>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</si>
  <si>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</si>
  <si>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</si>
  <si>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</si>
  <si>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Atendimento à Saúde - Multas e Juros</t>
  </si>
  <si>
    <t>Serviços de Atendimento à Saúde - Dívida Ativa</t>
  </si>
  <si>
    <t>Serviços de Atendimento à Saúde - Dívida Ativa - Multas e Juros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</si>
  <si>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</si>
  <si>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</si>
  <si>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Agrega as receitas decorrentes da contribuição dos servidores públicos civis ativos, inativos e pensionistas, destinada ao custeio da Assistência à Saúde Suplementar do Servidor Civil.</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</si>
  <si>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</si>
  <si>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</si>
  <si>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</si>
  <si>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</si>
  <si>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Serviços de Assistência à Saúde Suplementar do Servidor Civil - Multas e Juros</t>
  </si>
  <si>
    <t>Serviços de Assistência à Saúde Suplementar do Servidor Civil - Dívida Ativa</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</si>
  <si>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</si>
  <si>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</si>
  <si>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</si>
  <si>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</si>
  <si>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</si>
  <si>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</si>
  <si>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</si>
  <si>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Serviços de Assistência Médico-Hospitalar do Militar - Multas e Juros</t>
  </si>
  <si>
    <t>Serviços de Assistência Médico-Hospitalar do Militar - Dívida Ativa</t>
  </si>
  <si>
    <t>Serviços de Assistência Médico-Hospitalar do Militar - Dívida Ativa - Multas e Juros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</si>
  <si>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</si>
  <si>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</si>
  <si>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</si>
  <si>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</si>
  <si>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</si>
  <si>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</si>
  <si>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</si>
  <si>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Retorno de Operações, Juros e Encargos Financeiros - Multas e Juros</t>
  </si>
  <si>
    <t>Retorno de Operações, Juros e Encargos Financeiros - Dívida Ativa</t>
  </si>
  <si>
    <t>Retorno de Operações, Juros e Encargos Financeiros - Dívida Ativa - Multas e Juros</t>
  </si>
  <si>
    <t>Concessão de Avais, Garantias e Seguros</t>
  </si>
  <si>
    <t>Agrega as receitas de natureza não-financeira originadas da concessão de garantias, avais e seguros nas operações de crédito.</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</si>
  <si>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</si>
  <si>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</si>
  <si>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</si>
  <si>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</si>
  <si>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</si>
  <si>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</si>
  <si>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</si>
  <si>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</si>
  <si>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</si>
  <si>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</si>
  <si>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</si>
  <si>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</si>
  <si>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Agrega as receitas decorrentes de serviços não relacionados nos itens anteriores.</t>
  </si>
  <si>
    <t>Outros Serviços - Principal</t>
  </si>
  <si>
    <t>Registra as receitas decorrentes de serviços não relacionados nos itens anteriores.</t>
  </si>
  <si>
    <t>Outros Serviços - Multas e Juros</t>
  </si>
  <si>
    <t>Outros Serviços - Dívida Ativa</t>
  </si>
  <si>
    <t>Outros Serviços - Dívida Ativa - Multas e Juros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</si>
  <si>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</si>
  <si>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</si>
  <si>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</si>
  <si>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Art. 10 do Decreto-Lei nº 200, de 25 de fevereiro de 1967;
Art. 116 da Lei nº 8.666, de 21 de junho de 1993;
Art. 25 da Lei Complementar nº 101, de 4 de maio de 2000;
Decreto nº 6.170, de 25 de julho de 2007;
Decreto nº 4.564, de 1º de janeiro de 2003.</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</si>
  <si>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</si>
  <si>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</si>
  <si>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</si>
  <si>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</si>
  <si>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</si>
  <si>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Instituições Privadas - Principal</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</si>
  <si>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</si>
  <si>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</si>
  <si>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Outras Instituições Públicas - Principal</t>
  </si>
  <si>
    <t>Agrega as receitas provenientes de recursos financeiros recebidos do exterior, decorrentes de doações, contratos, acordos, ajustes ou outros instrumentos, quando destinados a atender despesas classificáveis como correntes.</t>
  </si>
  <si>
    <t>Transferências do Exterior - Principal</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</si>
  <si>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</si>
  <si>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</si>
  <si>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Principal</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</si>
  <si>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</si>
  <si>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</si>
  <si>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</si>
  <si>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</si>
  <si>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</si>
  <si>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</si>
  <si>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</si>
  <si>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</si>
  <si>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</si>
  <si>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</si>
  <si>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</si>
  <si>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</si>
  <si>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Multas Previstas em Legislação Específica - Multas e Juros</t>
  </si>
  <si>
    <t>Multas Previstas em Legislação Específica - Dívida Ativa</t>
  </si>
  <si>
    <t>Multas Previstas em Legislação Específica - Dívida Ativa - Multas e Juros</t>
  </si>
  <si>
    <t>Agrega receitas decorrentes de multas aplicadas por infração à Lei Geral de Telecomunicações - LGT e cometidas por concessionários de serviços de telecomunicações e de radiodifusão.</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</si>
  <si>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</si>
  <si>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</si>
  <si>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</si>
  <si>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</si>
  <si>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Multas Previstas na Lei Geral das Telecomunicações - Multas e Juros</t>
  </si>
  <si>
    <t>Multas Previstas na Lei Geral das Telecomunicações - Dívida Ativa</t>
  </si>
  <si>
    <t>Multas Previstas na Lei Geral das Telecomunicações - Dívida Ativa - Multas e Juros</t>
  </si>
  <si>
    <t>Agrega receitas decorrentes de multas aplicadas por infração à legislação do seguro desemprego e abono salarial.</t>
  </si>
  <si>
    <t>Multas Previstas na Legislação do Seguro-Desemprego e Abono Salarial - Principal</t>
  </si>
  <si>
    <t>Registra receitas decorrentes de multas aplicadas por infração à legislação do seguro desemprego e abono salarial.</t>
  </si>
  <si>
    <t>Lei no 7.998, de 11 de janeiro de 1990 (Art. 25).</t>
  </si>
  <si>
    <t>Agrega receitas oriundas de multas aplicadas por infrações à legislação sobre defesa de direitos difusos.</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</si>
  <si>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</si>
  <si>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</si>
  <si>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</si>
  <si>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</si>
  <si>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Multas Previstas em Lei por Infrações no Setor de Energia Elétrica</t>
  </si>
  <si>
    <t>Agrega Multas aplicadas pela ANEEL (auto de infração) a Concessionárias, Permissionárias e Autorizadas de Energia Elétrica</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</si>
  <si>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</si>
  <si>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</si>
  <si>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</si>
  <si>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Agrega receitas provenientes de multas aplicadas por condutas e atividades lesivas ao meio ambiente.</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</si>
  <si>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</si>
  <si>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</si>
  <si>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</si>
  <si>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</si>
  <si>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</si>
  <si>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Multas Administrativas por Danos Ambientais - Multas e Juros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</si>
  <si>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</si>
  <si>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</si>
  <si>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</si>
  <si>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</si>
  <si>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</si>
  <si>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Agrega multas aplicadas por Tribunais de Contas pelo não cumprimento a decisão daqueles Tribunais.</t>
  </si>
  <si>
    <t>Multas Aplicadas pelos Tribunais de Contas - Principal</t>
  </si>
  <si>
    <t>Registra multas aplicadas por Tribunais de Contas pelo não cumprimento a decisão daqueles Tribunais.</t>
  </si>
  <si>
    <t>Lei nº 8.443, de 16 de julho de 1992.</t>
  </si>
  <si>
    <t>Agrega receitas decorrentes de multas aplicadas no âmbito de processos judiciais.</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</si>
  <si>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</si>
  <si>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</si>
  <si>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</si>
  <si>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</si>
  <si>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Multas Decorrentes de Sentenças Judiciais - Dívida Ativa</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</si>
  <si>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</si>
  <si>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</si>
  <si>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</si>
  <si>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e Juros Previstos em Contratos - Dívida Ativa</t>
  </si>
  <si>
    <t>Agrega receitas decorrentes de multas aplicadas pelo descumprimento da obrigatoriedade de que trata a legislação sobre regime de previdência privada complementar.</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</si>
  <si>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</si>
  <si>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</si>
  <si>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</si>
  <si>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</si>
  <si>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Multas Previstas na Legislação sobre Regime de Previdência Privada Complementar - Multas e Juros</t>
  </si>
  <si>
    <t>Multas Previstas na Legislação sobre Regime de Previdência Privada Complementar - Dívida Ativa</t>
  </si>
  <si>
    <t>Multas Previstas na Legislação sobre Regime de Previdência Privada Complementar - Dívida Ativa - Multas e Juros</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</si>
  <si>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</si>
  <si>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</si>
  <si>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</si>
  <si>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</si>
  <si>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</si>
  <si>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Indenizações, Restituições e Ressarcimentos</t>
  </si>
  <si>
    <t>Agrega as receitas oriundas de indenizações, restituições e ressarcimentos ao ente público.</t>
  </si>
  <si>
    <t>Agrega as receitas advindas da reparação por perdas ou danos causados ao ente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</si>
  <si>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</si>
  <si>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</si>
  <si>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</si>
  <si>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Se Indenização por danos causados ao patrimônio público, o destino será o órgão/entidade lesionado. Se indenização por posse/ocupação ilícita de bens da União, o destino será a União.</t>
  </si>
  <si>
    <t>Lei no 10.406, de 10 de janeiro de 2002; eLei no 5.869, de 11 de janeiro de 1973.</t>
  </si>
  <si>
    <t>Indenização por Posse ou Ocupação Ilícita de Bens Públicos</t>
  </si>
  <si>
    <t>Agrega o valor das receitas de Indenização por Posse ou Ocupação Ilícita de Bens da União.</t>
  </si>
  <si>
    <t>Indenização por Posse ou Ocupação Ilícita de Bens Públicos - Principal</t>
  </si>
  <si>
    <t>Art. 10 § único da Lei nº 9.636/98.</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</si>
  <si>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</si>
  <si>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</si>
  <si>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</si>
  <si>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</si>
  <si>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</si>
  <si>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</si>
  <si>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</si>
  <si>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</si>
  <si>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</si>
  <si>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Art. 11, §§ 1º e 4º, da Lei nº 4.320, de 17 de março de 1964.</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</si>
  <si>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</si>
  <si>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</si>
  <si>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</si>
  <si>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</si>
  <si>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</si>
  <si>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</si>
  <si>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</si>
  <si>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</si>
  <si>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</si>
  <si>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</si>
  <si>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</si>
  <si>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</si>
  <si>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</si>
  <si>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</si>
  <si>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</si>
  <si>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Fundo de Amparo ao Trabalhador - FAT.</t>
  </si>
  <si>
    <t>Parágrafo único do art.15 da Lei nº 7998, de 11 de janeiro de 1990;
Art. 38 da Lei nº 4.320, de 17 de março de 1964.</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</si>
  <si>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</si>
  <si>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</si>
  <si>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</si>
  <si>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</si>
  <si>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Arts. 154, 244 e 365 do Decreto nº 3.048, de 6 de maio de 1999.</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</si>
  <si>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</si>
  <si>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</si>
  <si>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</si>
  <si>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</si>
  <si>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</si>
  <si>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Agrega receitas relativas à restituição de contribuições previdenciárias complementares, como no caso de pagamentos por parte da Administração às fundações de previdência privada, relativas aos servidores que se aposentam.</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</si>
  <si>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</si>
  <si>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</si>
  <si>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</si>
  <si>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</si>
  <si>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</si>
  <si>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</si>
  <si>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de Exercícios Anteriores - Principal</t>
  </si>
  <si>
    <t>Arts. 38 e 39 da Lei nº 4.320, de 17 de março de 1964.</t>
  </si>
  <si>
    <t>Restituição de Despesas de Exercícios Anteriores - Multas e Juros</t>
  </si>
  <si>
    <t>Portaria Interministerial MP/MF, de 2015.</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</si>
  <si>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</si>
  <si>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Parcelas do Seguro Desemprego Recebidas Indevidamente - Principal</t>
  </si>
  <si>
    <t>Art. 7º. da Constituição da República Federativa do Brasil.Artigos 3º, 7º e 8º, da Lei nº 7.998, de 11 de janeiro de 1990. Lei nº. 6.830, de 22 de setembro de 1980.Código Processo Civil.</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</si>
  <si>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</si>
  <si>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</si>
  <si>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</si>
  <si>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</si>
  <si>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</si>
  <si>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</si>
  <si>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</si>
  <si>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</si>
  <si>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</si>
  <si>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</si>
  <si>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</si>
  <si>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</si>
  <si>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</si>
  <si>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</si>
  <si>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</si>
  <si>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</si>
  <si>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</si>
  <si>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</si>
  <si>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</si>
  <si>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</si>
  <si>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</si>
  <si>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</si>
  <si>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</si>
  <si>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</si>
  <si>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</si>
  <si>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</si>
  <si>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</si>
  <si>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</si>
  <si>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</si>
  <si>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</si>
  <si>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Lei nº 9.096/1995, art. 30 e seguintes;
Lei nº 9.504/1997, art. 30, 30-A e 105;
Resolução TSE nº 21.841, de 22.6.2004, art. 34;
Resolução TSE nº 23.432, de 30.12.2014, art. 62, I, b e §§1º e 2º, e;
Resolução TSE nº 23.406, de 27.2.2014, art. 57, parágrafo único.</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</si>
  <si>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</si>
  <si>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</si>
  <si>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</si>
  <si>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Agrega receitas decorrentes de restituições não classificadas nos itens anteriores.</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</si>
  <si>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</si>
  <si>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</si>
  <si>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</si>
  <si>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Outras Restituições - Multas e Juros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</si>
  <si>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</si>
  <si>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</si>
  <si>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</si>
  <si>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</si>
  <si>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</si>
  <si>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</si>
  <si>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</si>
  <si>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</si>
  <si>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Ressarcimento por Operadoras de Seguros Privados de Assistência a Saúde - Dívida Ativa</t>
  </si>
  <si>
    <t>Ressarcimento de Custos</t>
  </si>
  <si>
    <t>Agrega receitas oriundas do ressarcimento de custos</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</si>
  <si>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</si>
  <si>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</si>
  <si>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</si>
  <si>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Reversão de Garantias</t>
  </si>
  <si>
    <t>Agrega as receitas relativas à incorporação de valores perdidos em favor da União, quando nos casos de reversão de depósito de garantias, ou outros assemelhados, nos casos relacionados a contratos administrativos.</t>
  </si>
  <si>
    <t>Reversão de Garantias - Principal</t>
  </si>
  <si>
    <t>Nas contratações de obras, serviços e compras, os recursos reverterão ao órgão contratante (FTE 50); nos demais casos, ao Tesouro Nacional (FTE 00)</t>
  </si>
  <si>
    <t>Art. 56 da Lei nº 8.666, de 21 de junho de 1993;
Arts. 1º e 7º do Decreto-Lei nº 1.737, de dezembro de 1979.</t>
  </si>
  <si>
    <t>Ressarcimento ao Regime Geral de Previdência Social - RGPS</t>
  </si>
  <si>
    <t>Agrega os recursos decorrentes do ressarcimento de ações regressivas oriundas da relação de trabalho.</t>
  </si>
  <si>
    <t>Ressarcimento ao Regime Geral de Previdência Social - RGPS - Principal</t>
  </si>
  <si>
    <t>Lei nº 8.213, de 24 de julho de 1991, arts. 120 e 121; e Constituição Federal de 1988, art. 114, VI.</t>
  </si>
  <si>
    <t>Ressarcimento ao Regime Geral de Previdência Social - RGPS - Multas e Juros</t>
  </si>
  <si>
    <t>Outros Ressarcimentos</t>
  </si>
  <si>
    <t>Agrega receitas oriundas de ressarcimentos não previstos nos itens anteriores</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</si>
  <si>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</si>
  <si>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</si>
  <si>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</si>
  <si>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Outros Ressarcimentos - Dívida Ativa</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</si>
  <si>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</si>
  <si>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</si>
  <si>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</si>
  <si>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</si>
  <si>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</si>
  <si>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</si>
  <si>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</si>
  <si>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</si>
  <si>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</si>
  <si>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</si>
  <si>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</si>
  <si>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</si>
  <si>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</si>
  <si>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</si>
  <si>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</si>
  <si>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</si>
  <si>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</si>
  <si>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Alienação de Bens e Mercadorias Apreendidos - Multas e Juros</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</si>
  <si>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</si>
  <si>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</si>
  <si>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</si>
  <si>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</si>
  <si>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</si>
  <si>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</si>
  <si>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</si>
  <si>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</si>
  <si>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</si>
  <si>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</si>
  <si>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</si>
  <si>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</si>
  <si>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Prêmios Prescritos de Concursos de Prognósticos</t>
  </si>
  <si>
    <t>Agrega receitas decorrentes de prêmios de concursos de prognósticos não procurados pelos contemplados dentro de prazo de prescrição.</t>
  </si>
  <si>
    <t>Prêmios Prescritos de Concursos de Prognósticos - Principal</t>
  </si>
  <si>
    <t>Registra receitas decorrentes de prêmios de concursos de prognósticos não procurados pelos contemplados dentro de prazo de prescrição.</t>
  </si>
  <si>
    <t>Fundo de Financiamento ao Estudante do Ensino Superior - FIES.</t>
  </si>
  <si>
    <t>Lei nº 10.260, de 12 de julho de 2001, art. 2º, inciso II.</t>
  </si>
  <si>
    <t>Prêmios Prescritos de Concursos de Prognósticos - Multas e Juros</t>
  </si>
  <si>
    <t>Prêmios Prescritos de Concursos de Prognósticos - Dívida Ativa</t>
  </si>
  <si>
    <t>Prêmios Prescritos de Concursos de Prognósticos - Dívida Ativa - Multas e Juros</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</si>
  <si>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</si>
  <si>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</si>
  <si>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</si>
  <si>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</si>
  <si>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</si>
  <si>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</si>
  <si>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</si>
  <si>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Aportes Periódicos para Compensações ao RGPS</t>
  </si>
  <si>
    <t>Agrega as receitas relativas à compensação devida pela União ao Fundo do Regime Geral da Previdência Social pela renúncia previdenciária decorrente da desoneração da folha de pagamentos.</t>
  </si>
  <si>
    <t>Aportes Periódicos para Compensações ao RGPS - Principal</t>
  </si>
  <si>
    <t>Arts. 7o a 9o da Lei no 12.546, de 2011.</t>
  </si>
  <si>
    <t>Agrega as receitas relativas a compensações financeiras entre o Regime Geral e os Regimes Próprios de Previdência dos Servidores.</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</si>
  <si>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</si>
  <si>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</si>
  <si>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</si>
  <si>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</si>
  <si>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Compensações Financeiras entre o Regime Geral e os Regimes Próprios de Previdência dos Servidores - Multas e Juros</t>
  </si>
  <si>
    <t>Compensações Financeiras entre o Regime Geral e os Regimes Próprios de Previdência dos Servidores - Dívida Ativa</t>
  </si>
  <si>
    <t>Compensações Financeiras entre o Regime Geral e os Regimes Próprios de Previdência dos Servidores - Dívida Ativa - Multas e Juros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</si>
  <si>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</si>
  <si>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</si>
  <si>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</si>
  <si>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</si>
  <si>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</si>
  <si>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</si>
  <si>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Barreiras Técnicas ao Comércio Exterior</t>
  </si>
  <si>
    <t>Agrega receita decorrente da realização de leilão de cotas de importação, medida de salvaguarda destinada a proteger a produção nacional, por meio da imposição de quotas quantitativas definidas em leilão.</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</si>
  <si>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</si>
  <si>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</si>
  <si>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</si>
  <si>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</si>
  <si>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Barreiras Técnicas ao Comércio Exterior - Multas e Juros</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</si>
  <si>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</si>
  <si>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</si>
  <si>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</si>
  <si>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</si>
  <si>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</si>
  <si>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</si>
  <si>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Disponibilidades de Recursos do Fundo Social - Principal</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</si>
  <si>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</si>
  <si>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</si>
  <si>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</si>
  <si>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</si>
  <si>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</si>
  <si>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</si>
  <si>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</si>
  <si>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</si>
  <si>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</si>
  <si>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</si>
  <si>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</si>
  <si>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</si>
  <si>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</si>
  <si>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</si>
  <si>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</si>
  <si>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</si>
  <si>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</si>
  <si>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</si>
  <si>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</si>
  <si>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</si>
  <si>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</si>
  <si>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</si>
  <si>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</si>
  <si>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</si>
  <si>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Agrega as receitas relativas a encargos legais pela inscrição em Dívida Ativa e as receitas de ônus de sucumbência.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</si>
  <si>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</si>
  <si>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</si>
  <si>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</si>
  <si>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</si>
  <si>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</si>
  <si>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</si>
  <si>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</si>
  <si>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</si>
  <si>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</si>
  <si>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</si>
  <si>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Agrega receitas que não se enquadram nos itens anteriores.</t>
  </si>
  <si>
    <t>Agrega receitas primárias que não se enquadram nos itens anteriores.</t>
  </si>
  <si>
    <t>Outras Receitas - Primárias - Principal</t>
  </si>
  <si>
    <t>Registra receitas primárias que não se enquadram nos itens anteriores.</t>
  </si>
  <si>
    <t>Art. 11, §§ 1º e 4º, da Lei nº 4.320, de 17 de março de 1964; 
Parágrafo único do art. 8º da Lei Complementar nº 101, de 4 de maio de 2000 -  Lei de Responsabilidade Fiscal - LRF.</t>
  </si>
  <si>
    <t>Outras Receitas - Primárias - Multas e Juros</t>
  </si>
  <si>
    <t>Outras Receitas - Primárias - Dívida Ativa</t>
  </si>
  <si>
    <t>Outras Receitas - Primárias - Dívida Ativa - Multas e Juros</t>
  </si>
  <si>
    <t>Agrega receitas financeiras que não se enquadram nos itens anteriores.</t>
  </si>
  <si>
    <t>Outras Receitas - Financeiras - Principal</t>
  </si>
  <si>
    <t>Registra receitas financeiras que não se enquadram nos itens anteriores.</t>
  </si>
  <si>
    <t>Outras Receitas - Financeiras - Multas e Juros</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</si>
  <si>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</si>
  <si>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</si>
  <si>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</si>
  <si>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</si>
  <si>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</si>
  <si>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</si>
  <si>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</si>
  <si>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</si>
  <si>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</si>
  <si>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</si>
  <si>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</si>
  <si>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</si>
  <si>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</si>
  <si>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</si>
  <si>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</si>
  <si>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Pagamento da Dívida Pública Federal.</t>
  </si>
  <si>
    <t>Lei Complementar no 101, de 4 de maio de 2000 (LRF);Lei no 10.179, de 6 de fevereiro de 2001; e Decreto no 3.859, de 4 de julho de 2001.</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</si>
  <si>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</si>
  <si>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</si>
  <si>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</si>
  <si>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</si>
  <si>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</si>
  <si>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</si>
  <si>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</si>
  <si>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</si>
  <si>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</si>
  <si>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</si>
  <si>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Lei Complementar no 101, de 4 de maio de 2000</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</si>
  <si>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</si>
  <si>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</si>
  <si>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</si>
  <si>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</si>
  <si>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</si>
  <si>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</si>
  <si>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</si>
  <si>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</si>
  <si>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Os recursos provenientes dessas operações de crédito serão vinculados à despesa que fundamentou sua instituição</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</si>
  <si>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</si>
  <si>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</si>
  <si>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</si>
  <si>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</si>
  <si>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</si>
  <si>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</si>
  <si>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</si>
  <si>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</si>
  <si>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Lei Complementar no 101, de 4 de maio de 2000; e Resolução no 74, de 2000, do Senado Federal.</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</si>
  <si>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</si>
  <si>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</si>
  <si>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</si>
  <si>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</si>
  <si>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</si>
  <si>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</si>
  <si>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</si>
  <si>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</si>
  <si>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</si>
  <si>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Os recursos captados através dessas operações de crédito são destinados aos respectivos programas de governo.</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</si>
  <si>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</si>
  <si>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</si>
  <si>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</si>
  <si>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</si>
  <si>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Agrega os recursos provenientes da venda de bens móveis e imóveis e da alienação ou resgate de títulos.</t>
  </si>
  <si>
    <t>Agrega o valor da receita de alienação de bens móveis tais como: mercadorias, bens inservíveis ou desnecessários, dentre outros.</t>
  </si>
  <si>
    <t>Agrega o valor da receita obtida com a alienação ou resgate de títulos e valores mobiliários.</t>
  </si>
  <si>
    <t>Alienação de Títulos Mobiliários - Principal</t>
  </si>
  <si>
    <t>Registra o valor da receita obtida com a alienação ou resgate de títulos e valores mobiliários.</t>
  </si>
  <si>
    <t>Tesouro Nacional, quando se tratar de receitas administradas pelo Ministério da Fazenda, ou à respectiva unidade orçamentária, quando se tratar de recursos próprios.</t>
  </si>
  <si>
    <t>Arts. 17 a 19 da Lei nº 8.666, de 21 de junho de 1993, e Decreto nº 99.658, de 30 de outubro de 1990.</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</si>
  <si>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</si>
  <si>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</si>
  <si>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</si>
  <si>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</si>
  <si>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</si>
  <si>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</si>
  <si>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</si>
  <si>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</si>
  <si>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</si>
  <si>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</si>
  <si>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</si>
  <si>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</si>
  <si>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</si>
  <si>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</si>
  <si>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</si>
  <si>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</si>
  <si>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</si>
  <si>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</si>
  <si>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</si>
  <si>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Alienação de Estoques de Café - FUNCAFÉ</t>
  </si>
  <si>
    <t>Agrega as receitas provenientes da venda de estoques de café, contemplados pela política de garantia de preços mínimos, adquiridos com recursos do Tesouro Nacional.</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</si>
  <si>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</si>
  <si>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</si>
  <si>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</si>
  <si>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</si>
  <si>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</si>
  <si>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</si>
  <si>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</si>
  <si>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</si>
  <si>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Alienação de Bens Imóveis - Principal</t>
  </si>
  <si>
    <t>Arts. 24 a 29 da Lei nº 9.636, de 15 de maio de 1998, e Lei nº 8.025, de 12 de abril de 1990.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</si>
  <si>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</si>
  <si>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</si>
  <si>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</si>
  <si>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</si>
  <si>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</si>
  <si>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Portaria SOF nº 32, de 30/06/2015.</t>
  </si>
  <si>
    <t>Lei no 4.320, de 17 de março de 1964, art. 11, §§ 2o e 4o.</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</si>
  <si>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</si>
  <si>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</si>
  <si>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</si>
  <si>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</si>
  <si>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</si>
  <si>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</si>
  <si>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</si>
  <si>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</si>
  <si>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</si>
  <si>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</si>
  <si>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</si>
  <si>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</si>
  <si>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</si>
  <si>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</si>
  <si>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</si>
  <si>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Lei no 7.976, de 27 de dezembro de 1989;Lei no 8.727, de 5 de novembro de 1993; eLei no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</si>
  <si>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</si>
  <si>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</si>
  <si>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</si>
  <si>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</si>
  <si>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Resolução do Senado Federal no 98, de 1992, alterada pelas Resoluções nos 90 e 132, ambas de 1993.</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</si>
  <si>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</si>
  <si>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</si>
  <si>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</si>
  <si>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</si>
  <si>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</si>
  <si>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</si>
  <si>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</si>
  <si>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</si>
  <si>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</si>
  <si>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 receita proveniente de pagamento de parcelas de empréstimos, financiamentos e refinanciamentos que não se enquadram em categorias específicas.</t>
  </si>
  <si>
    <t>Agrega as receitas provenientes da amortização de financiamentos concedidos.</t>
  </si>
  <si>
    <t>Amortização de Financiamentos - Principal</t>
  </si>
  <si>
    <t>Registra a receita proveniente da amortização de financiamentos concedidos.</t>
  </si>
  <si>
    <t>Amortização de Financiamento do Fundo de Financiamento ao Estudante do Ensino Superior - FIES</t>
  </si>
  <si>
    <t>Agrega as receitas provenientes de amortização de financiamento concedido pelo Fundo de Financiamento ao Estudante do Ensino Superior.</t>
  </si>
  <si>
    <t>Amortização de Financiamento do Fundo de Financiamento ao Estudante do Ensino Superior - FIES - Principal</t>
  </si>
  <si>
    <t>Registra a receita proveniente de amortização de financiamento concedido pelo Fundo de Financiamento ao Estudante do Ensino Superior.</t>
  </si>
  <si>
    <t>Lei no 10.260, de 12 julho de 2001</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</si>
  <si>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</si>
  <si>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</si>
  <si>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</si>
  <si>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</si>
  <si>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</si>
  <si>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</si>
  <si>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</si>
  <si>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de pessoas físicas, decorrentes de doações, contratos, acordos, ajustes ou outros instrumentos, quando destinados a atender despesas classificáveis como de capital.</t>
  </si>
  <si>
    <t>Agrega as receitas provenientes de depósitos não identificados, decorrentes de doações, quando destinados a atender despesas classificáveis como de capital.</t>
  </si>
  <si>
    <t>Transferências Provenientes de Depósito Não Identificados - Principal</t>
  </si>
  <si>
    <t>Registra as receitas provenientes de depósitos não identificados, decorrentes de doações, quando destinados a atender despesas classificáveis como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</si>
  <si>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</si>
  <si>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</si>
  <si>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</si>
  <si>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</si>
  <si>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</si>
  <si>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</si>
  <si>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</si>
  <si>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</si>
  <si>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</si>
  <si>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</si>
  <si>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</si>
  <si>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</si>
  <si>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Pagamento da Dívida Pública Mobiliária Federal, devendo ser amortizada, prioritariamente, aquela existente junto ao Banco Central.</t>
  </si>
  <si>
    <t>Lei nº 11.803, de 5 de novembro de 2008.</t>
  </si>
  <si>
    <t>Resultado do Banco Central - Demais Operações</t>
  </si>
  <si>
    <t>Agrega receitas decorrentes do resultado positivo apurado no balanço semestral do Banco Central, decorrente de operações não relacionadas a reservas e derivativos cambiais.</t>
  </si>
  <si>
    <t>Resultado do Banco Central - Demais Operações - Principal</t>
  </si>
  <si>
    <t>Registra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</si>
  <si>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</si>
  <si>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</si>
  <si>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</si>
  <si>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</si>
  <si>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</si>
  <si>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</si>
  <si>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</si>
  <si>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</si>
  <si>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</si>
  <si>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Lei no 9.491, de 9 de setembro de 1997;
Lei no 10.179, de 6 de fevereiro de 2001;
Decreto no 1.019, de 23 de dezembro de 1993;
Decreto no 1.068, de 2 de março de 1994; e
Decreto no 3.859, de 4 de julho de 2001.</t>
  </si>
  <si>
    <t>Demais Receitas de Capital</t>
  </si>
  <si>
    <t>Agrega as receitas de capital que não atendem às especificações anteriores. Deve ser empregada apenas no caso de impossibilidade de utilização dos demais títulos.</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</si>
  <si>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</si>
  <si>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</si>
  <si>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</si>
  <si>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Nova Classificação</t>
  </si>
  <si>
    <t>Observação</t>
  </si>
  <si>
    <t>Nova Especificação</t>
  </si>
  <si>
    <t>Não haverá PARA</t>
  </si>
  <si>
    <t>Não terá - Inativa no Ementário Anterior</t>
  </si>
  <si>
    <t>Item incluído, não constava no Ementário Anterior</t>
  </si>
  <si>
    <t>Imposto sobre a Propriedade Predial e Territorial Urbana - Principal</t>
  </si>
  <si>
    <t>Imposto sobre a Propriedade Predial e Territorial Urbana - Multas e Juros</t>
  </si>
  <si>
    <t>Imposto sobre a Propriedade Predial e Territorial Urbana - Dívida Ativa</t>
  </si>
  <si>
    <t>Imposto sobre a Propriedade Predial e Territorial Urbana - Dívida Ativa - Multas e Juros</t>
  </si>
  <si>
    <t>Imposto sobre a Propriedade de Veículos Automotores - Principal</t>
  </si>
  <si>
    <t>Imposto sobre a Propriedade de Veículos Automotores - Multas e Juros</t>
  </si>
  <si>
    <t>Imposto sobre a Propriedade de Veículos Automotores - Dívida Ativa</t>
  </si>
  <si>
    <t>Imposto sobre a Propriedade de Veículos Automotores - Dívida Ativa - Multas e Juros</t>
  </si>
  <si>
    <t>Imposto sobre Transmissão “Causa Mortis” e Doação de Bens e Direitos - Principal</t>
  </si>
  <si>
    <t>Imposto sobre Transmissão “Causa Mortis” e Doação de Bens e Direitos - Multas e Juros</t>
  </si>
  <si>
    <t>Imposto sobre Transmissão “Causa Mortis” e Doação de Bens e Direitos - Dívida Ativa</t>
  </si>
  <si>
    <t>Imposto sobre Transmissão “Causa Mortis” e Doação de Bens e Direitos - Dívida Ativa - Multas e Juros</t>
  </si>
  <si>
    <t>Imposto sobre Transmissão “Inter Vivos” de Bens Imóveis e de Direitos Reais sobre Imóveis - Principal</t>
  </si>
  <si>
    <t>Imposto sobre Transmissão “Inter Vivos” de Bens Imóveis e de Direitos Reais sobre Imóveis - Multas e Juros</t>
  </si>
  <si>
    <t>Imposto sobre Transmissão “Inter Vivos” de Bens Imóveis e de Direitos Reais sobre Imóveis - Dívida Ativa</t>
  </si>
  <si>
    <t>Imposto sobre Transmissão “Inter Vivos” de Bens Imóveis e de Direitos Reais sobre Imóveis - Dívida Ativa - Multas e Juros</t>
  </si>
  <si>
    <t>Imposto sobre Produtos Industrializados - IPI- Bebidas - Principal</t>
  </si>
  <si>
    <t>Imposto sobre Produtos Industrializados - IPI- Bebidas - Multas e Juros</t>
  </si>
  <si>
    <t>Imposto sobre Produtos Industrializados - IPI- Bebidas - Dívida Ativa</t>
  </si>
  <si>
    <t>Imposto sobre Produtos Industrializados - IPI- Bebidas - Dívida Ativa - Multas e Juros</t>
  </si>
  <si>
    <t>Imposto sobre Operações Relativas à Circulação de Mercadorias e sobre Prestações de Serviços de Transporte Interestadual e Intermunicipal e de Comunicação - Principal</t>
  </si>
  <si>
    <t>Imposto sobre Operações Relativas à Circulação de Mercadorias e sobre Prestações de Serviços de Transporte Interestadual e Intermunicipal e de Comunicação - Multas e Juros</t>
  </si>
  <si>
    <t>Imposto sobre Operações Relativas à Circulação de Mercadorias e sobre Prestações de Serviços de Transporte Interestadual e Intermunicipal e de Comunicação - Dívida Ativa</t>
  </si>
  <si>
    <t>Imposto sobre Operações Relativas à Circulação de Mercadorias e sobre Prestações de Serviços de Transporte Interestadual e Intermunicipal e de Comunicação - Dívida Ativa - Multas e Juros</t>
  </si>
  <si>
    <t>Adicional ICMS - Fundo Estadual de Combate à Pobreza - Principal</t>
  </si>
  <si>
    <t>Imposto sobre Serviços de Qualquer Natureza - Principal</t>
  </si>
  <si>
    <t>Imposto sobre Serviços de Qualquer Natureza - Multas e Juros</t>
  </si>
  <si>
    <t>Imposto sobre Serviços de Qualquer Natureza - Dívida Ativa</t>
  </si>
  <si>
    <t>Imposto sobre Serviços de Qualquer Natureza - Dívida Ativa - Multas e Juros</t>
  </si>
  <si>
    <t>Adicional ISS - Fundo Municipal de Combate à Pobreza - Principal</t>
  </si>
  <si>
    <t>Emolumentos e Custas Extrajudiciais - Principal</t>
  </si>
  <si>
    <t>Contribuição de Melhoria - Multas e Juros</t>
  </si>
  <si>
    <t>Contribuição de Melhoria - Dívida Ativa</t>
  </si>
  <si>
    <t>Contribuição de Melhoria - Dívida Ativa - Multas e Juros</t>
  </si>
  <si>
    <t>Contribuição de Melhoria para Expansão da Rede de Água Potável e Esgoto Sanitário - Principal</t>
  </si>
  <si>
    <t>Contribuição de Melhoria para Expansão da Rede de Iluminação Pública na Cidade - Principal</t>
  </si>
  <si>
    <t>Contribuição de Melhoria para Expansão de Rede de Iluminação Pública Rural - Principal</t>
  </si>
  <si>
    <t>Contribuição de Melhoria para Pavimentação e Obras Complementares - Principal</t>
  </si>
  <si>
    <t>Outras Contribuições de Melhoria - Principal</t>
  </si>
  <si>
    <t>Contribuição Previdenciária para Amortização do Déficit Atuarial - Principal</t>
  </si>
  <si>
    <t>Contribuições de Servidor Inativo Militar - Principal</t>
  </si>
  <si>
    <t>Contribuição sobre as Receitas de Concessionárias e Permissionárias de Energia Elétrica - Principal</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</si>
  <si>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</si>
  <si>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</si>
  <si>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</si>
  <si>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Contribuição pela Licença de Uso, Aquisição ou Transferência de Tecnologia - CIDE - Remessas ao Exterior - Principal</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</si>
  <si>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</si>
  <si>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</si>
  <si>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</si>
  <si>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para o Custeio do Serviço de Iluminação Pública - Principal</t>
  </si>
  <si>
    <t>Direito de Uso da Imagem e de Reprodução dos Bens do Acervo Patrimonial - Principal</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</si>
  <si>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</si>
  <si>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</si>
  <si>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</si>
  <si>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Cota-Parte do Fundo de Participação dos Estados e do Distrito Federal - Principal</t>
  </si>
  <si>
    <t>Cota-Parte do Fundo de Participação dos Municípios - Cota Mensal - Principal</t>
  </si>
  <si>
    <t>Cota-Parte do Fundo de Participação do Municípios – 1% Cota entregue no mês de dezembro - Principal</t>
  </si>
  <si>
    <t>Cota-Parte do Fundo de Participação dos Municípios - 1% Cota entregue no mês de julho - Principal</t>
  </si>
  <si>
    <t>Cota-Parte do Imposto Sobre a Propriedade Territorial Rural - Principal</t>
  </si>
  <si>
    <t>Cota-Parte do Imposto Sobre Produtos Industrializados – Estados Exportadores de Produtos Industrializados - Principal</t>
  </si>
  <si>
    <t>Cota-Parte da Contribuição de Intervenção no Domínio Econômico - Principal</t>
  </si>
  <si>
    <t>Cota-Parte do Imposto Sobre Operações de Crédito, Câmbio e Seguro, ou Relativas a Títulos ou Valores Mobiliários – Comercialização do Ouro - Principal</t>
  </si>
  <si>
    <t>Cota-parte da Compensação Financeira de Recursos Hídricos - Principal</t>
  </si>
  <si>
    <t>Cota-parte da Compensação Financeira de Recursos Minerais - CFEM - Principal</t>
  </si>
  <si>
    <t>Cota-parte Royalties – Compensação Financeira pela Produção de Petróleo – Lei nº 7.990/89 - Principal</t>
  </si>
  <si>
    <t>Cota-parte Royalties pelo Excedente da Produção do Petróleo – Lei nº 9.478/97, artigo 49, I e II - Principal</t>
  </si>
  <si>
    <t>Cota-parte Royalties pela Participação Especial – Lei nº 9.478/97, artigo 50 - Principal</t>
  </si>
  <si>
    <t>Cota-Parte do Fundo Especial do Petróleo – FEP - Principal</t>
  </si>
  <si>
    <t>Outras Transferências decorrentes de Compensação Financeira pela Exploração de Recursos Naturais - Principal</t>
  </si>
  <si>
    <t>Transferência de Recursos do Sistema Único de Saúde – SUS – Repasses Fundo a Fundo - Principal</t>
  </si>
  <si>
    <t>Transferências de Recursos do Fundo Nacional de Assistência Social – FNAS - Principal</t>
  </si>
  <si>
    <t>Transferências do Salário-Educação - Principal</t>
  </si>
  <si>
    <t>Transferências Diretas do FNDE referentes ao Programa Dinheiro Direto na Escola – PDDE - Principal</t>
  </si>
  <si>
    <t>Transferências Diretas do FNDE referentes ao Programa Nacional de Alimentação Escolar – PNAE - Principal</t>
  </si>
  <si>
    <t>Transferências Diretas do FNDE referentes ao Programa Nacional de Apoio ao Transporte do Escolar – PNATE - Principal</t>
  </si>
  <si>
    <t>Outras Transferências Diretas do Fundo Nacional do Desenvolvimento da Educação – FNDE - Principal</t>
  </si>
  <si>
    <t>Transferência Financeira do ICMS – Desoneração – L.C. Nº 87/96 - Principal</t>
  </si>
  <si>
    <t>Transferências da União a Consórcios Públicos - Principal</t>
  </si>
  <si>
    <t>Transferências de Convênios da União para o Sistema Único de Saúde – SUS - Principal</t>
  </si>
  <si>
    <t>Transferências de Convênios da União Destinadas a Programas de Educação - Principal</t>
  </si>
  <si>
    <t>Transferências de Convênios da União Destinadas a Programas de Assistência Social - Principal</t>
  </si>
  <si>
    <t>Transferências de Convênios da União Destinadas a Programas de Combate à Fome - Principal</t>
  </si>
  <si>
    <t>Transferências de Convênios da União Destinadas a Programas de Saneamento Básico - Principal</t>
  </si>
  <si>
    <t>Outras Transferências de Convênios da União - Principal</t>
  </si>
  <si>
    <t>Outras Transferências da União - Principal</t>
  </si>
  <si>
    <t>Cota-Parte do ICMS - Principal</t>
  </si>
  <si>
    <t>Cota-Parte do IPVA - Principal</t>
  </si>
  <si>
    <t>Cota-Parte do IPI - Municípios - Principal</t>
  </si>
  <si>
    <t>Outras Participações na Receita dos Estados - Principal</t>
  </si>
  <si>
    <t>Outras Transferências dos Estados - Principal</t>
  </si>
  <si>
    <t>Cota-parte Royalties – Compensação Financeira pela Produção do Petróleo – Lei nº 7.990/89, artigo 9º - Principal</t>
  </si>
  <si>
    <t>Outras Transferências Decorrentes de Compensações Financeiras - Principal</t>
  </si>
  <si>
    <t>Transferência de Recursos do Estado para Programas de Saúde – Repasse Fundo a Fundo - Principal</t>
  </si>
  <si>
    <t>Transferências de Estados a Consórcios Públicos - Principal</t>
  </si>
  <si>
    <t>Transferências de Convênio dos Estados para o Sistema Único de Saúde – SUS - Principal</t>
  </si>
  <si>
    <t>Transferências de Convênio dos Estados Destinadas a Programas de Educação - Principal</t>
  </si>
  <si>
    <t>Outras Transferências de Convênio dos Estados - Principal</t>
  </si>
  <si>
    <t>Transferências de Recursos do Sistema Único de Saúde – SUS - Principal</t>
  </si>
  <si>
    <t>Transferências de Municípios a Consórcios Públicos - Principal</t>
  </si>
  <si>
    <t>Transferências de Convênio dos Municípios para o Sistema Único de Saúde – SUS - Principal</t>
  </si>
  <si>
    <t>Transferências de Convênio dos Municípios destinadas a Programas de Educação - Principal</t>
  </si>
  <si>
    <t>Outras Transferências de Convênios dos Municípios - Principal</t>
  </si>
  <si>
    <t>Outras Transferências dos Municípios - Principal</t>
  </si>
  <si>
    <t>Transferência de Convênios de Instituições Privadas - Principal</t>
  </si>
  <si>
    <t>Provenientes de Pessoas Jurídicas - Principal</t>
  </si>
  <si>
    <t>Transferências de Recursos do Fundo de Manutenção e Desenvolvimento da Educação Básica e de Valorização dos Profissionais da Educação – FUNDEB - Principal</t>
  </si>
  <si>
    <t>Transferências de Recursos da Complementação da União ao Fundo de Manutenção e Desenvolvimento da Educação Básica e de Valorização dos Profissionais da Educação – FUNDEB - Principal</t>
  </si>
  <si>
    <t>Outras Transferências Multigovernamentais - Principal</t>
  </si>
  <si>
    <t>Transferência de Convênios do Exterior - Principal</t>
  </si>
  <si>
    <t>Provenientes do Exterior - Principal</t>
  </si>
  <si>
    <t>Provenientes de Pessoas Físicas - Principal</t>
  </si>
  <si>
    <t>Multas Previstas em Lei por Infrações no Setor de Energia Elétrica - Principal</t>
  </si>
  <si>
    <t>Multas Previstas em Lei por Infrações no Setor de Energia Elétrica - Dívida Ativa</t>
  </si>
  <si>
    <t>Multas Previstas em Lei por Infrações no Setor de Energia Elétrica - Dívida Ativa - Multas e Juros</t>
  </si>
  <si>
    <t>Operações de Crédito Internas para Programas de Educação - Principal</t>
  </si>
  <si>
    <t>Operações de Crédito Internas para Programas de Saúde - Principal</t>
  </si>
  <si>
    <t>Operações de Crédito Internas para Programas de Saneamento - Principal</t>
  </si>
  <si>
    <t>Operações de Crédito Internas para Programas de Meio Ambiente - Principal</t>
  </si>
  <si>
    <t>Operações de Crédito Internas para Programas de Modernização da Administração Pública - Principal</t>
  </si>
  <si>
    <t>Operações de Crédito Internas para Refinanciamento da Dívida Contratual - Principal</t>
  </si>
  <si>
    <t>Operações de Crédito Internas para Programas de Moradia Popular - Principal</t>
  </si>
  <si>
    <t>Operações de Crédito Externas para Programas de Educação - Principal</t>
  </si>
  <si>
    <t>Operações de Crédito Externas para Programas de Saúde - Principal</t>
  </si>
  <si>
    <t>Operações de Crédito Externas para Programas de Saneamento - Principal</t>
  </si>
  <si>
    <t>Operações de Crédito Externas para Programas de Meio Ambiente - Principal</t>
  </si>
  <si>
    <t>Operações de Crédito Externas para Programas de Modernização da Administração Pública - Principal</t>
  </si>
  <si>
    <t>Operações de Crédito Externas para Refinanciamento da Dívida Contratual - Principal</t>
  </si>
  <si>
    <t>Alienação de Estoques de Café - FUNCAFÉ - Dívida Ativa</t>
  </si>
  <si>
    <t>Transferências de Recursos Destinados a Programas de Educação - Principal</t>
  </si>
  <si>
    <t>Transferências de Convênio da União para o Sistema Único de Saúde – SUS - Principal</t>
  </si>
  <si>
    <t>Transferências de Convênio da União destinadas a Programas de Educação - Principal</t>
  </si>
  <si>
    <t>Transferências de Convênios da União destinadas a Programas de Saneamento Básico - Principal</t>
  </si>
  <si>
    <t>Transferências de Convênios da União destinadas a Programas de Meio Ambiente - Principal</t>
  </si>
  <si>
    <t>Transferências de Convênios da União destinadas a Programas de Infra-Estrutura em Transporte - Principal</t>
  </si>
  <si>
    <t>Transferências de Convênios dos Estados para o Sistema Único de Saúde – SUS - Principal</t>
  </si>
  <si>
    <t>Transferências de Convênios dos Estados destinadas a Programas de Educação - Principal</t>
  </si>
  <si>
    <t>Transferências de Convênios dos Estados destinadas a Programas de Saneamento Básico - Principal</t>
  </si>
  <si>
    <t>Transferências de Convênios dos Estados destinadas a Programas de Meio Ambiente - Principal</t>
  </si>
  <si>
    <t>Transferências de Convênios dos Estados destinadas a Programas de Infra-Estrutura em Transporte - Principal</t>
  </si>
  <si>
    <t>Transferências de Convênios dos Municípios destinados a Programas de Saúde - Principal</t>
  </si>
  <si>
    <t>Transferências de Convênios dos Municípios destinadas a Programas de Educação - Principal</t>
  </si>
  <si>
    <t>Transferências de Convênios de Instituições Privadas - Principal</t>
  </si>
  <si>
    <t>Integralização de Capital Social - Principal</t>
  </si>
  <si>
    <t>Receitas de Alienação de Certificados de Potencial Adicional de Construção - CEPAC - Principal</t>
  </si>
  <si>
    <t>Operações de Crédito Internas para Refinanciamento da Dívida Contratual de Estados DF e Municípios - Principal</t>
  </si>
  <si>
    <t>Operações de Crédito Externas para Refinanciamento da Dívida Contratual de Estados, Distrito Federal e Municípios- Principal</t>
  </si>
  <si>
    <t>EXCLUÍDA</t>
  </si>
  <si>
    <t>Delegação para Prestação dos Serviços de Transporte Rodoviários- Principal</t>
  </si>
  <si>
    <t>Contribuição para fundos de assistência médica</t>
  </si>
  <si>
    <t>Contribuição para fundos de assistência médica - Policiais Militares</t>
  </si>
  <si>
    <t>Contribuição para fundos de assistência médica- Bombeiros Militares</t>
  </si>
  <si>
    <t>Contribuição dos Pensionistas Civis para o RPPS - Principal</t>
  </si>
  <si>
    <t>Contribuição do Servidores Inativos Civis para o RPPS - Principal</t>
  </si>
  <si>
    <t>Contribuições para o Regime Geral de Previdência Social - RGPS- Dívida Ativa - Multas e Juros</t>
  </si>
  <si>
    <t>Impostos sobre o Patrimônio para Estados/DF/Municípios</t>
  </si>
  <si>
    <t>Operações de Crédito Internas de Estados/DF/Municípios</t>
  </si>
  <si>
    <t>Operações de Crédito Externas - Estados/DF/ Municípios</t>
  </si>
  <si>
    <t>Operações de Crédito - Mercado Interno - Estados/DF/Municípios</t>
  </si>
  <si>
    <t>Operação de Crédito Externas - Estados/DF/Municípios</t>
  </si>
  <si>
    <t>Contribuição para o Regime Próprio de Previdência Social - RPPS</t>
  </si>
  <si>
    <t>Agrega as receitas provenientes da contribuição dos servidores públicos civis inativos da União, Estados, DF e Municípios, das autarquias, inclusive as em regime especial e das fundações públicas.</t>
  </si>
  <si>
    <t>Registra as receitas da contribuição dos servidores públicos civis inativos da União, Estados, DF e Municípios, das autarquias, inclusive as em regime especial e das fundações públicas.</t>
  </si>
  <si>
    <t xml:space="preserve">Agrega as receitas provenientes da contribuição dos pensionistas da União, Estados, DF e Municípios, das autarquias, inclusive as em regime especial e das fundações públicas. </t>
  </si>
  <si>
    <t>Registra as receitas da contribuição dos servidores públicos civis inativos ou pensionistas da União, Estados, DF e Municípios, das autarquias, inclusive as em regime especial e das fundações públicas.</t>
  </si>
  <si>
    <t>Contribuição do Servidor Inativo Civil ao RPPS Oriunda de Sentenças Judiciais - Principal</t>
  </si>
  <si>
    <t>Contribuição do Pensionista Civil ao RPPS Oriunda de Sentenças Judiciais - Principal</t>
  </si>
  <si>
    <t>Agrega receitas originadas da contribuição de Pensionistas para o Plano de Seguridade do Servidor Público decorrente de valores pagos em cumprimento de decisão judicial.</t>
  </si>
  <si>
    <t>Contribuições para o Regime Próprio de Previdência Social - RPPS de Estados/DF/Municípios</t>
  </si>
  <si>
    <t>Agrega as receitas decorrentes da aplicação, durante determinado período, de alíquota suplementar prevista em Lei, para a amortização do déficit atuarial do Regime Próprio de Previdência do Servidor – RPPS, a fim de equilibrar o plano de previdência.</t>
  </si>
  <si>
    <t>Agrega a participação dos Estados, Df e Municípios, e fundações públicas para o custeio do Plano de Seguridade Social do Servidor</t>
  </si>
  <si>
    <t>Contribuição do Militar Ativo</t>
  </si>
  <si>
    <t>Contribuição do Militar Inativo</t>
  </si>
  <si>
    <t>Contribuição do Militar Ativo - Principal</t>
  </si>
  <si>
    <t>Contribuição do Militar Inativo - Principal</t>
  </si>
  <si>
    <t>Agrega as receitas decorrentes de contribuições para Previdência Militar.</t>
  </si>
  <si>
    <t>Agrega as contribuiçoes sociais e de interesse das categorias profissionais ou econômicas, de arrecadação específica de estados/DF e municípios.</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</si>
  <si>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</si>
  <si>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</si>
  <si>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</si>
  <si>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odontológica,psicológica e social ao militar, seus dependentes e pensionistas.</t>
  </si>
  <si>
    <t>Contribuição para Fundos de Assistência Médica -Policiais Militares - Principal</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</si>
  <si>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</si>
  <si>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</si>
  <si>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</si>
  <si>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Registra as receitas da contribuição para a Assistência Médico-Hospitalar dos Bombeiros Militares.</t>
  </si>
  <si>
    <t>Agrega as receitas da contribuição para a Assistência Médico-Hospitalar dos Bombeiros Militares.</t>
  </si>
  <si>
    <t>Registra as receitas originadas de recursos que integram o Fundo de Saúde da Polícia Militar, destinado ao atendimento médico-hospitalar, médico-domiciliar, odontológica,psicológica e social ao militar, seus dependentes e pensionistas.</t>
  </si>
  <si>
    <t>Contribuição para Fundos de Assistência Médica dos Bombeiros Militares</t>
  </si>
  <si>
    <t>Contribuição para Fundos de Assistência Médica dos Bombeiros Militares - Principal</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</si>
  <si>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</si>
  <si>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</si>
  <si>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</si>
  <si>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</si>
  <si>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Contribuição para Fundos de Assistência Médica dos  Servidores Civis - Principal</t>
  </si>
  <si>
    <t>Contribuição para Fundos de Assistência Médica dos  Servidores Civis - Multas e Juros</t>
  </si>
  <si>
    <t>Contribuição para Fundos de Assistência Médica dos Servidores Civis - Dívida Ativa</t>
  </si>
  <si>
    <t>Contribuição para Fundos de Assistência Médica dos  Servidores Civis - Dívida Ativa - Multas e Juros</t>
  </si>
  <si>
    <t>Registra as receitas da contribuição para a Assistência Médico-Hospitalar dos  Servidores Civis.</t>
  </si>
  <si>
    <t>Agrega as receitas da contribuição para a Assistência Médico-Hospitalar dos  Servidores Civis.</t>
  </si>
  <si>
    <t>Contribuição para Fundos de Assistência Médica de Outros Beneficiários</t>
  </si>
  <si>
    <t>Contribuição para Fundos de Assistência Médica de Outros Beneficiários - Principal</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</si>
  <si>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</si>
  <si>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</si>
  <si>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</si>
  <si>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Agrega as receitas da contribuição para a Assistência Médico-Hospitalar de Outros Beneficiários.</t>
  </si>
  <si>
    <t>Registra as receitas da contribuição para a Assistência Médico-Hospitalar de Outros Beneficiários.</t>
  </si>
  <si>
    <t>Registra o valor da arrecadação de receita de contribuições patronais dos militares para institutos de previdência social.</t>
  </si>
  <si>
    <t>Contribuição dos Pensionistas Militares</t>
  </si>
  <si>
    <t>Contribuição dos Pensionaistas Militares - Principal</t>
  </si>
  <si>
    <t>Contribuição para Previdência Militar de Estados, DF e Municípios</t>
  </si>
  <si>
    <t>Contribuição Patronal de Militares - Principal</t>
  </si>
  <si>
    <t>Contribuição de Militar Ativo - Principal</t>
  </si>
  <si>
    <t xml:space="preserve">Imposto sobre a Importação </t>
  </si>
  <si>
    <t xml:space="preserve">Imposto sobre a Propriedade de Veículos Automotores </t>
  </si>
  <si>
    <t xml:space="preserve">Imposto sobre Transmissão “Inter Vivos” de Bens Imóveis e de Direitos Reais sobre Imóveis </t>
  </si>
  <si>
    <t xml:space="preserve">Imposto sobre Operações Financeiras - IOF - Ouro </t>
  </si>
  <si>
    <t xml:space="preserve">Contribuição sobre Movimentação ou Transmissão de Valores e de Créditos e Direitos de Natureza Financeira </t>
  </si>
  <si>
    <t xml:space="preserve">Contribuição para o Desenvolvimento da Indústria Cinematográfica Nacional - CONDECINE </t>
  </si>
  <si>
    <t xml:space="preserve">Serviços de Transporte </t>
  </si>
  <si>
    <t>Inscrição em Concursos e Processos Seletivos</t>
  </si>
  <si>
    <t>Agrega as receitas de inscrição em concursos e processos seletivos, inclusive vestibulares realizados pelas instituições de ensino.</t>
  </si>
  <si>
    <t>Inscrição em Concursos e Processos Seletivos - Multas e Juros</t>
  </si>
  <si>
    <t>Inscrição em Concursos e Processos Seletivos - Dívida Ativa</t>
  </si>
  <si>
    <t>Inscrição em Concursos e Processos Seletivos - Dívida Ativa - Multas e Juros</t>
  </si>
  <si>
    <t>Registra as receitas decorrentes de tarifas de inscrição em concursos e processos seletivos, inclusive vestibulares realizados pelas instituições de ensino.</t>
  </si>
  <si>
    <t xml:space="preserve">Alienação de Estoques Comerciais Destinados a Programas Sociais </t>
  </si>
  <si>
    <t>Transferências dos Estados, Distrito Federal, e de suas Entidades</t>
  </si>
  <si>
    <t>Transferências dos Estados e Distrito Federal a Consórcios Públicos</t>
  </si>
  <si>
    <t>Transferências dos Estados e Distrito Federal a Consórcios Públicos - Principal</t>
  </si>
  <si>
    <t>Registra o valor das transferências de capital dos Estados, Distrito Federal, e de suas entidades, recebidas pelos consórcios públicos, mediante contrato ou outro instrumento.</t>
  </si>
  <si>
    <t>Agrega as transferências de capital dos Estados, Distrito Federal, e de suas entidades, recebidas pelos consórcios públicos, mediante contrato ou outro instrumento.</t>
  </si>
  <si>
    <t>Transferências de Estados, Distrito Federal, e de suas Entidades  a Consórcios Públicos</t>
  </si>
  <si>
    <t xml:space="preserve">Transferências de Municípios a Consórcios Públicos </t>
  </si>
  <si>
    <t xml:space="preserve">Transferências do Exterior </t>
  </si>
  <si>
    <t>Transferências de Convênio da União destinadas a Programas de Educação -  - Principal</t>
  </si>
  <si>
    <t xml:space="preserve">Integralização de Capital Social </t>
  </si>
  <si>
    <t xml:space="preserve">Transferências Provenientes de Depósitos Não Identificados </t>
  </si>
  <si>
    <t>Registra o valor total da arrecadação dos impostos de competência dos Estados, Distrito Federal e Municípios.</t>
  </si>
  <si>
    <t>Registra o valor total da arrecadação dos impostos incidentes sobre o patrimônio, de competência dos Estados, Distrito Federal e Municípios.</t>
  </si>
  <si>
    <t>Registra o valor total da arrecadação dos impostos incidentes sobre a produção, circulação de mercadorias e serviços, de competência dos Estados, Distrito Federal e Municípios.</t>
  </si>
  <si>
    <t>Emolumentos e Custas Judiciais - Principal</t>
  </si>
  <si>
    <t>Portaria SOF nº 01/2017</t>
  </si>
  <si>
    <t>Transferências Provenientes de Depósito Não Identificados - Específica E/M</t>
  </si>
  <si>
    <t>Registra o princiapal das receitas provenientes de depósitos não identificados, decorrentes de doações, quando destinados a atender despesas classificáveis como de capital.</t>
  </si>
  <si>
    <t>Transferências Provenientes de Depósito Não Identificados - Específica E/M - Principal</t>
  </si>
  <si>
    <t>Agrega o valor total das receitas recebidas por meio de transferências de capital provenientes de pessoas físicas .</t>
  </si>
  <si>
    <t>Registra o valor total do principal das receitas recebidas por meio de transferências de capital provenientes de pessoas físicas .</t>
  </si>
  <si>
    <t>Registra o principal das receitas provenientes de recursos financeiros recebidos do exterior, decorrentes de doações, contratos, acordos, ajustes ou outros instrumentos, quando destinados a atender despesas classificáveis como de capital.</t>
  </si>
  <si>
    <t>Registra o principal das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</si>
  <si>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Demais Receitas de Capital Específicas de E/DF/M</t>
  </si>
  <si>
    <t>Agrega as receitas de capital que não atendem às especificações anteriores. Deve ser empregada apenas no caso de impossibilidade de utilização dos demais títulos. Específica para Estados, Distrito Federal e Municípios.</t>
  </si>
  <si>
    <t>Contribuição do Servidor Inativo para o RPPS</t>
  </si>
  <si>
    <t>Contribuição do Servidor Inativo para o RPPS - Principal</t>
  </si>
  <si>
    <t>Contribuição do Servidor Inativo para o RPPS - Multas e Juros</t>
  </si>
  <si>
    <t>Contribuição do Servidor Inativos para o RPPS - Dívida Ativa</t>
  </si>
  <si>
    <t>Contribuição do Servidor Inativo para o RPPS - Dívida Ativa - Multas e Juros</t>
  </si>
  <si>
    <t>Contribuição do Pensionista para o RPPS</t>
  </si>
  <si>
    <t>Contribuição do Pensionista para o RPPS - Principal</t>
  </si>
  <si>
    <t>Contribuição do Pensionista para o RPPS - Multas e Juros</t>
  </si>
  <si>
    <t>Contribuição do Pensionista para o RPPS - Dívida Ativa</t>
  </si>
  <si>
    <t>Contribuição do Pensionista para o RPPS - Dívida Ativa - Multas e Juros</t>
  </si>
  <si>
    <t>Contribuição do Servidor Ativo ao RPPS Oriunda de Sentenças Judiciais</t>
  </si>
  <si>
    <t>Contribuição do Servidor Ativo ao RPPS Oriunda de Sentenças Judiciais - Principal</t>
  </si>
  <si>
    <t>Contribuição do Servidor Ativo ao RPPS Oriunda de Sentenças Judiciais - Multas e Juros</t>
  </si>
  <si>
    <t>Contribuição do Servidor Ativo ao RPPS Oriunda de Sentenças Judiciais - Dívida Ativa</t>
  </si>
  <si>
    <t>Contribuição do Servidor Ativo ao RPPS Oriunda de Sentenças Judiciais - Dívida Ativa - Multas e Juros</t>
  </si>
  <si>
    <t>Contribuição do Servidor Inativo ao RPPS Oriunda de Sentenças Judiciais</t>
  </si>
  <si>
    <t>Contribuição do Servidor Inativo ao RPPS Oriunda de Sentenças Judiciais - Principal</t>
  </si>
  <si>
    <t>Contribuição do Servidor Inativo ao RPPS Oriunda de Sentenças Judiciais - Multas e Juros</t>
  </si>
  <si>
    <t>Contribuição do Servidor Inativo ao RPPS Oriunda de Sentenças Judiciais - Dívida Ativa</t>
  </si>
  <si>
    <t>Contribuição do Servidor Inativo ao RPPS Oriunda de Sentenças Judiciais - Dívida Ativa - Multas e Juros</t>
  </si>
  <si>
    <t>Contribuição do Pensionista ao RPPS Oriunda de Sentenças Judiciais</t>
  </si>
  <si>
    <t>Contribuição do Pensionista ao RPPS Oriunda de Sentenças Judiciais - Principal</t>
  </si>
  <si>
    <t>Contribuição do Pensionista ao RPPS Oriunda de Sentenças Judiciais - Multas e Juros</t>
  </si>
  <si>
    <t>Contribuição do Pensionista ao RPPS Oriunda de Sentenças Judiciais - Dívida Ativa</t>
  </si>
  <si>
    <t>Contribuição do Pensionista ao RPPS Oriunda de Sentenças Judiciais - Dívida Ativa - Multas e Juros</t>
  </si>
  <si>
    <t>Norma Correspondente</t>
  </si>
  <si>
    <t>Portaria Interministerial STN/SOF nº 163, de 2001.</t>
  </si>
  <si>
    <t>NR a ser incluída na Portaria STN/SOF</t>
  </si>
  <si>
    <t>Portaria Interministerial STN/SOF nº 5/2015</t>
  </si>
  <si>
    <t>Contribuição de Melhoria - Específica de Estados, DF e Municípios</t>
  </si>
  <si>
    <t>Impostos Específicos de Estados, DF e Municípios</t>
  </si>
  <si>
    <t>Contribuições Sociais Específicas de Estados, DF e Municípios</t>
  </si>
  <si>
    <t>Transferências da União - Específicas de Estados, DF e Municípios</t>
  </si>
  <si>
    <t>Transferências dos Estados - Específicas de Estados, DF e Municípios</t>
  </si>
  <si>
    <t>Transferências dos Municípios -Específicas de Estados, DF e Municípios</t>
  </si>
  <si>
    <t>Transferências de Instituições Privadas - Específicas de Estados, DF e Municípios</t>
  </si>
  <si>
    <t>Transferências de Outras Instituições Públicas - Específicas de Estados, DF e Municípios</t>
  </si>
  <si>
    <t>Transferências do Exterior - Específicas de Estados, DF e Municípios</t>
  </si>
  <si>
    <t>Transferências de Pessoas Físicas - Específicas de Estados, DF e Municípios</t>
  </si>
  <si>
    <t>Transferências Provenientes de Depósito Não Identificados - Específica E/DF/M</t>
  </si>
  <si>
    <t>Demais Receitas de Capital Específicas de Estados, DF e Municípios</t>
  </si>
  <si>
    <t>Agrega as receitas relacionadas à contribuição de melhoria de competência dos Estados, Distrito Federal e Municípios, decorrente de obras públicas.</t>
  </si>
  <si>
    <t>Registra o valor total das receitas recebidas por meio de transferências da União para Estados, Distrito Federal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</si>
  <si>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</si>
  <si>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</si>
  <si>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</si>
  <si>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</si>
  <si>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</si>
  <si>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</si>
  <si>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Registra o valor total das receitas recebidas por meio de transferências de capital da União recebidas pelas entidades da administração Estadual, do Distrito Federal e Municipal inclusive suas fundações instituídas pelo poder público.</t>
  </si>
  <si>
    <t xml:space="preserve">Registra o valor total dos recursos recebidos pelas demais esferas de governo e respectivas entidades da administração descentralizada, transferidos pelos Estados e Distrito Federal. </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</si>
  <si>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</si>
  <si>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</si>
  <si>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</si>
  <si>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</si>
  <si>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as receitas provenientes de depósitos não identificados, decorrentes de doações, quando destinados a atender despesas classificáveis como de capital. Específica para transferências aos Estados, Distrito Federal e Municípios.</t>
  </si>
  <si>
    <t>Registra o valor da arrecadação de receita com operações de crédito externas realizadas pelos Estados, Distrito Federal e Municípios.</t>
  </si>
  <si>
    <t>Impostos sobre a Produção, Circulação de Mercadorias e Serviços</t>
  </si>
  <si>
    <t>Transferências Provenientes de Depósito Não Identificados</t>
  </si>
  <si>
    <t>Portaria Interministerial STN/SOF nº 419/2016</t>
  </si>
  <si>
    <t>Em breve NR específica</t>
  </si>
  <si>
    <t xml:space="preserve">Operações de Crédito Contratuais - Mercado Externo </t>
  </si>
  <si>
    <t>Corrigido "de-para"-05/2017</t>
  </si>
  <si>
    <t>Registra as receitas provenientes de recursos financeiros recebidos de pessoas físicas, decorrentes de doações, contratos, acordos, ajustes ou outros instrumentos, quando destinados a atender despesas classificáveis como correntes.</t>
  </si>
  <si>
    <t>Registra as receitas provenientes de recursos financeiros recebidos do exterior, decorrentes de doações, contratos, acordos, ajustes ou outros instrumentos, quando destinados a atender despesas classificáveis como correntes.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</si>
  <si>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</si>
  <si>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</si>
  <si>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</si>
  <si>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</si>
  <si>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</si>
  <si>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</si>
  <si>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</si>
  <si>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</si>
  <si>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</si>
  <si>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</si>
  <si>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</si>
  <si>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</si>
  <si>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</si>
  <si>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t>
  </si>
  <si>
    <t>Registra as receitas provenientes de recursos financeiros recebidos de pessoas físicas, decorrentes de doações, contratos, acordos, ajustes ou outros instrumentos, quando destinados a atender despesas classificáveis como de capital.</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</si>
  <si>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</si>
  <si>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</si>
  <si>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Imposto sobre Vendas a Varejo de Combustíveis Líquidos e Gasosos (IVVC) - Principal</t>
  </si>
  <si>
    <t>Imposto instituído pela Constituição Federal de 1988, art. 156, IV, extinto pela Emenda Constitucional nº 3/1993. Entretatno, ainda há arrecadação de saldos remanescentes do período em que o referido imposto vigorou.</t>
  </si>
  <si>
    <t>Imposto sobre Vendas a Varejo de Combustíveis Líquidos e Gasosos (IVVC) - Multas e Juros</t>
  </si>
  <si>
    <t>Imposto sobre Vendas a Varejo de Combustíveis Líquidos e Gasosos (IVVC) - Dívida Ativa</t>
  </si>
  <si>
    <t>Imposto sobre Vendas a Varejo de Combustíveis Líquidos e Gasosos (IVVC) - Dívida Ativa - Multas e Juros</t>
  </si>
  <si>
    <t>Contribuição Patronal dos Servidores Civis Inativos</t>
  </si>
  <si>
    <t>Registra o valor da arrecadação da receita de contribuições patronais dos servidores civis inativos para institutos de previdência social.</t>
  </si>
  <si>
    <t>Contribuição Patronal dos Servidores Civis Inativos - Principal</t>
  </si>
  <si>
    <t>Contribuição Patronal dos Pensionistas Civis</t>
  </si>
  <si>
    <t>Registra o valor da arrecadação da receita de contribuições patronais do pensionista civil.</t>
  </si>
  <si>
    <t>Contribuição Patronal dos Pensionistas Civis - Principal</t>
  </si>
  <si>
    <t>Contribuição Patronal do Militar Ativo</t>
  </si>
  <si>
    <t>Registra o valor da arrecadação de receita de contribuições patronais dos militares ativos para institutos de previdência social.</t>
  </si>
  <si>
    <t>Contribuição Patronal do Militar Ativo - Principal</t>
  </si>
  <si>
    <t>Contribuição Patronal do Militar Inativo</t>
  </si>
  <si>
    <t>Registra o valor da arrecadação da receita de contribuições patronais do militar inativo para institutos de previdência social.</t>
  </si>
  <si>
    <t>Contribuição Patronal do Militar Inativo - Principal</t>
  </si>
  <si>
    <t>Contribuição Patronal dos Pensionistas Militares</t>
  </si>
  <si>
    <t>Registra o valor da arrecadação da receita de contribuições patronais do pensionista militar.</t>
  </si>
  <si>
    <t>Contribuição Patronal dos Pensionistas Militares - Principal</t>
  </si>
  <si>
    <t>Portaria Interministerial SOF nº 45/2015</t>
  </si>
  <si>
    <t>Contribuição sobre o Faturamento das Empresas de Informática instaladas na Amazônia</t>
  </si>
  <si>
    <t xml:space="preserve">Contribuição sobre o Faturamento das Empresas de Informática instaladas nas Demais Regiões </t>
  </si>
  <si>
    <t>Contribuições Econômicas Específicas de Estados e Municípios</t>
  </si>
  <si>
    <t>Agrega as receitas originadas de contribuições econômicas específicas de Estados e Municípios.</t>
  </si>
  <si>
    <t>Contribuições Econômicas sobre Commodities</t>
  </si>
  <si>
    <t>Agrega as receitas originadas de contribuições econômicas sobre commodities, específicas de Estados e Municípios</t>
  </si>
  <si>
    <t>Contribuição Econômica destinada ao Fethab</t>
  </si>
  <si>
    <t>Agrega as receitas decorrentes de contribuições arrecadadas, coforme Lei Estadual do Estado do Mato Grosso nº 10.353/2015.</t>
  </si>
  <si>
    <t>Leis Estaduais do MT nº 7.253/200 e nº 10.353/2015</t>
  </si>
  <si>
    <t>Contribuição Econômica destinada ao Fethab - Principal</t>
  </si>
  <si>
    <t>Registra as receitas decorrentes de contribuições arrecadadas, coforme Lei Estadual do Estado do Mato Grosso nº 10.353/2015.</t>
  </si>
  <si>
    <t>Leis Estaduais do MT nº 7.253/200 e nº 10.353/2016</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</si>
  <si>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</si>
  <si>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</si>
  <si>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Transferências Advindas de Emendas Parlamentares Individuais - Principal</t>
  </si>
  <si>
    <t>Outras Transferências de Recursos Fundo a Fundo</t>
  </si>
  <si>
    <t>Registra o valor da receita de outras transferências de recursos Fundo a Fundo da União para Estados, Distrito Federal e  Municípios, não compreendidas nos itens anteriores.</t>
  </si>
  <si>
    <t>Transferência de Recursos do Fundo Penitenciário Nacional - Fupen</t>
  </si>
  <si>
    <t>Registra o valor da receita das transferências de recursos do Fundo Penitenciário Nacional - Fupen, a título de transferência obrigatória aos Estados, Distrito Federal e Municípios.</t>
  </si>
  <si>
    <t>Portaria MJC nº 1.414 de 26/12/2016</t>
  </si>
  <si>
    <t>Transferência de Recursos Fundo a Fundo do Depen - Principal</t>
  </si>
  <si>
    <t>Transferências de Estados destinadas à Assistência Social</t>
  </si>
  <si>
    <t>Registra a receita repassada pelos Estados aos demais entes destinadas à Assistência Social.</t>
  </si>
  <si>
    <t>Transferências de Estados destinadas à Assistência Social - Princiapal</t>
  </si>
  <si>
    <t>Restituição de Depósitos de Setenças Judiciais não Sacados</t>
  </si>
  <si>
    <t>Portaria SOF nº 3, de 27/03/2017.</t>
  </si>
  <si>
    <t>Agrega o valor da arrecadação com operação de crédito internas de Estados, Distrito Federal e Municípios.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</si>
  <si>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</si>
  <si>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</si>
  <si>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</si>
  <si>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</si>
  <si>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Agrega as receitas provenientes da alientação de títulos mobiliários classificados como investimentos temporários.</t>
  </si>
  <si>
    <t>Alienação de Investimentos Temporários - Principal</t>
  </si>
  <si>
    <t>Alienação de Investimentos Permanentes</t>
  </si>
  <si>
    <t>Agrega as receitas provenientes da alientação de títulos mobiliários classificados como investimentos permanentes.</t>
  </si>
  <si>
    <t>Alienação de Investimentos Permanentes - Principal</t>
  </si>
  <si>
    <t>Registra as receitas provenientes da alientação de títulos mobiliários classificados como investimentos permanentes.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</si>
  <si>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</si>
  <si>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</si>
  <si>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Registra as receitas provenientes da alienação de bens imóveis, de propriedade da União, Estados, Distrito Federal e Municípios.</t>
  </si>
  <si>
    <t>Alientação de Bens Imóveis, Programa de Administração Imobiliária da União</t>
  </si>
  <si>
    <t>Registra a receita proveniente da alienação de bens imóveis, conforme Programa de Administração Imobiliária da União.</t>
  </si>
  <si>
    <t>Portaria SOF nº 61, de 20 de Maio de 2016</t>
  </si>
  <si>
    <t>Registra a receita de capital repassada pela União , decorrente de emedas parlamentares individuais, na forma prevista do parágrafo 9º do art. 166, da CF/88, acrescido pela Emenda Constitucional nº 86/2015.</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</si>
  <si>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</si>
  <si>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</si>
  <si>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 - Principal</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</si>
  <si>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</si>
  <si>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</si>
  <si>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CÓDIGO</t>
  </si>
  <si>
    <t>ESPECIFICAÇÃO</t>
  </si>
  <si>
    <t>Portaria SEAFI-SOF-MPDG nº 01/2017</t>
  </si>
  <si>
    <t>Portaria SEAFI-SOF-MPGD nº 01/2017</t>
  </si>
  <si>
    <t>Descrição da Alteração em relação à versão publicada em Set-2017 do Ementário de NR</t>
  </si>
  <si>
    <t>Taxas - Específicas de Estados, DF e Municípios</t>
  </si>
  <si>
    <t>Taxas de Inspeção, Controle e Fiscalização - Outras</t>
  </si>
  <si>
    <t>Agrega as receitas relacionadas às taxas de competência dos Estados, Distrito Federal e Municípios.</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</si>
  <si>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</si>
  <si>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</si>
  <si>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</si>
  <si>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</si>
  <si>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Transferência de Recursos do SUS – Outros Programas Financiados por Transferências Fundo a Fundo</t>
  </si>
  <si>
    <t>Transferência de Recursos do SUS – Atenção Básica</t>
  </si>
  <si>
    <t>Transferência de Recursos do SUS – Atenção de Média e Alta Complexidade Ambulatorial e Hospitalar</t>
  </si>
  <si>
    <t>Transferência de Recursos do SUS – Vigilância em Saúde</t>
  </si>
  <si>
    <t>Transferência de Recursos do SUS – Assistência Farmacêutica</t>
  </si>
  <si>
    <t>Transferência de Recursos do SUS – Gestão do SUS</t>
  </si>
  <si>
    <t>Agrega o valor total das receitas recebidas por meio de cota-parte do fundo participação dos Estados e Distrito Federal.</t>
  </si>
  <si>
    <t>Agrega o valor total das receitas recebidas por meio de cota-parte do Fundo de Participação dos Municípios (FPM), referente à alínea “b” do inciso I do art. 159 da Constituição Federal.</t>
  </si>
  <si>
    <t>Agrega o valor total das receitas recebidas por meio de cota-parte do Fundo de Participação dos Municípios (FPM), referente à alínea “d” do inciso I do art. 159 da Constituição Federal.</t>
  </si>
  <si>
    <t>Agrega o valor total das receitas recebidas por meio de cota-parte do Fundo de Participação dos Municípios (FPM), referente à alínea “e” do inciso I do art. 159 da Constituição Federal e Emenda Constitucional nº 84, de 2014.</t>
  </si>
  <si>
    <t>Agrega o valor total das receitas recebidas por meio de transferências do imposto sobre a propriedade territorial rural.</t>
  </si>
  <si>
    <t>Agrega recebidos em decorrência da transferência constitucional do imposto sobre produtos industrializados.</t>
  </si>
  <si>
    <t xml:space="preserve">Agrega o valor das receitas recebidas pelos Estados por meio de transferências constitucionais da contribuição de intervenção no domínio econômico (Emenda Constitucional nº 42, de 19/12/2003). </t>
  </si>
  <si>
    <t>Agrega o valor total das receitas recebidas por meio de cota-parte imposto sobre operações crédito câmbio e seguros.</t>
  </si>
  <si>
    <t>Agrega o valor da arrecadação de receita de transferência da compensação financeira pela exploração de recursos naturais.</t>
  </si>
  <si>
    <t>Agrega o valor da arrecadação da receita da cota-parte da compensação financeira de recursos hídricos, para fins de geração de energia elétrica.</t>
  </si>
  <si>
    <t>Agrega o valor da arrecadação da receita da cota-parte da compensação financeira de recursos minerais, para fins de aproveitamento econômico.</t>
  </si>
  <si>
    <t>Agrega o valor da arrecadação da receita com a cota-parte royalties – compensação financeira pela produção de petróleo.</t>
  </si>
  <si>
    <t>Agrega o valor da arrecadação de receita com a cota-parte royalties pelo excedente da produção do petróleo.</t>
  </si>
  <si>
    <t>Agrega o valor da arrecadação de receita com a cota-parte royalties pela participação especial prevista na Lei nº 9.478/97, art. 50.</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</si>
  <si>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</si>
  <si>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</si>
  <si>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NR incluída para conferir maior detalhamento à receita de taxas de E/DF/M;</t>
  </si>
  <si>
    <t>Alteração no título da conta para melhor adequação à finalidade da conta.</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</si>
  <si>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</si>
  <si>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</si>
  <si>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 de Convênios de Instituições Privadas para EST/DF/MUN</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</si>
  <si>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</si>
  <si>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</si>
  <si>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</si>
  <si>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Recursos de Complementação da União ao Fundo de Manutenção e Desenvolvimento da Educação Básica e de Valorização dos Profissionais da Educação – FUNDEB</t>
  </si>
  <si>
    <t>Agrega o valor total dos recursos de transferências da União para complementação do FUNDEB, recebidos pelos Estados, Distrito Federal e Municípios, não podendo ser utilizado este item para o registro do ganho apurado nas operações do FUNDEB.</t>
  </si>
  <si>
    <t>Alteração no título da conta para inclusão de detalhamento mais apropriado à definição da origem dos recursos;</t>
  </si>
  <si>
    <t>Inclusão de conta para detalhamento mais apropriado à definição da origem dos recursos;</t>
  </si>
  <si>
    <t>Trata-se de recursos recebidos diretamente da União. Assim, a localação mais correta no Ementário de NR é no grupo 1.7.1.8.xx.x.x;</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</si>
  <si>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</si>
  <si>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</si>
  <si>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Transferência de Convênios do Exterior - Programas de Saúde</t>
  </si>
  <si>
    <t>Agrega o valor total dos recursos oriundos de convênios firmados com organismos e fundos internacionais, governos estrangeiros e instituições privadas internacionais.</t>
  </si>
  <si>
    <t>Agrega o valor total dos recursos oriundos de convênios firmados com organismos e fundos internacionais, governos estrangeiros e instituições privadas internacionais, especificamente destinados a programas de saúde.</t>
  </si>
  <si>
    <t>Outras Transferência de Convênios do Exterior - Específicas de E/DF/M - Não Especificadas Anteriormente</t>
  </si>
  <si>
    <t>Transferências de Pessoas Físicas - Específicas de E/DF/M - Programas de Saúde</t>
  </si>
  <si>
    <t>Transferências de Pessoas Físicas - Específicas de E/DF/M</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</si>
  <si>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</si>
  <si>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</si>
  <si>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Indenizações, Restituições e Ressarcimentos - Específicas para Estados/DF/Municípios</t>
  </si>
  <si>
    <t>Agrega as receitas oriundas de indenizações, restituições e ressarcimentos ao ente público, específicas para Estados, DF e Municípios.</t>
  </si>
  <si>
    <t>Indenizações- Específicas para Estados/DF/Municípios</t>
  </si>
  <si>
    <t>Indenizações - Específicas para Estados/DF/Municípios</t>
  </si>
  <si>
    <t>Restituições - Específicas para Estados/DF/Municípios</t>
  </si>
  <si>
    <t>Ressarcimentos - Específicas para Estados/DF/Municípios</t>
  </si>
  <si>
    <t>Ressarcimento - Específicas para Estados/DF/Municípios</t>
  </si>
  <si>
    <t>Outras Restituições - Específicas para Estados/DF/Municípios - Não Especificadas Anteriormente</t>
  </si>
  <si>
    <t>Restituições de Recursos Recebidos do SUS - Específicas para Estados/DF/Municípios</t>
  </si>
  <si>
    <t>Agrega as receitas oriundas de indenizações ao ente público, específicas para Estados, DF e Municípios.</t>
  </si>
  <si>
    <t>Agrega as receitas oriundas de restituições ao ente público, específicas para Estados, DF e Municípios.</t>
  </si>
  <si>
    <t>Agrega outras receitas oriundas de restituições ao ente público, específicas para Estados, DF e Municípios, não detalhadas anteriormente.</t>
  </si>
  <si>
    <t>Agrega as receitas oriundas de ressarcimentos ao ente público, específicas para Estados, DF e Municípios.</t>
  </si>
  <si>
    <t>Outras Transferências de Recursos do Sistema Único de Saúde – SUS, não detalhadas anteriormente</t>
  </si>
  <si>
    <t>Transferências de Recursos do Sistema Único de Saúde – SUS destinados à Atenção Básica</t>
  </si>
  <si>
    <t>Transferências de Recursos do Sistema Único de Saúde – SUS destinados à Atenção Especializada</t>
  </si>
  <si>
    <t>Transferências de Recursos do Sistema Único de Saúde – SUS destinados à Vigilância em Saúde</t>
  </si>
  <si>
    <t>Transferências de Recursos do Sistema Único de Saúde – SUS destinados à Gestão e Desenvolvimento de Tecnologias em Saúde no SUS</t>
  </si>
  <si>
    <t>Transferências de Recursos do Sistema Único de Saúde – SUS destinados à Gestão do SUS</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</si>
  <si>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</si>
  <si>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</si>
  <si>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Transferências de Recursos do Sistema Único de Saúde – SUS - Bloco Investimentos na Rede de Serviços Públicos de Saúde</t>
  </si>
  <si>
    <t>Transferências de Convênios de Instituições Privadas Destinados a Programas de Saúde</t>
  </si>
  <si>
    <t>Outras Transferências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</si>
  <si>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</si>
  <si>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</si>
  <si>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Agrega o valor total dos recursos oriundos de convênios firmados, com ou sem contraprestações de serviços, com instituições privadas, para a realização de objetivos de interesse comum dos partícipes, destinados a custear despesas de capital, não especificadas anteriormente.</t>
  </si>
  <si>
    <t>Transferências do Exterior para Programas de Saúde</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</si>
  <si>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</si>
  <si>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específicas para Programas de Saúde.</t>
  </si>
  <si>
    <t>Agrega as receitas provenientes de recursos financeiros recebidos do exterior, decorrentes de doações, contratos, acordos, ajustes ou outros instrumentos, quando destinados a atender despesas classificáveis como de capital, não especificadas anteriormente.</t>
  </si>
  <si>
    <t>Outras Transferências de Pessoas Físicas Não Especificadas Anteriormente</t>
  </si>
  <si>
    <t>Transferências de Pessoas Físicas para Programas de Saúde</t>
  </si>
  <si>
    <t>Agrega o valor total das receitas recebidas por meio de transferências de capital provenientes de pessoas físicas, específicas para Programas de Saúde.</t>
  </si>
  <si>
    <t>Agrega o valor total das receitas recebidas por meio de transferências de capital provenientes de pessoas físicas, não especificadas anteriormente.</t>
  </si>
  <si>
    <t>Imposto sobre a Importação - Multas e Juros de Mora</t>
  </si>
  <si>
    <t>Imposto sobre a Importação - Dívida Ativa - Multas e Juros de Mora da Dívida Ativa</t>
  </si>
  <si>
    <t>Imposto sobre a Importação - Multas</t>
  </si>
  <si>
    <t>Imposto sobre a Importação - Juros de Mora</t>
  </si>
  <si>
    <t>Imposto sobre a Importação - Dívida Ativa - Multas da Dívida Ativa</t>
  </si>
  <si>
    <t>Imposto sobre a Importação - Juros de Mora da Dívida Ativa</t>
  </si>
  <si>
    <t>Utilização de Recursos Hídricos - Demais Empresas - Prorrogação de Outorga</t>
  </si>
  <si>
    <t>Agrega as receitas de compensação financeira pela utilização de recursos hídricos para geração de energia elétrica por parte de outras empresas, exceto Itaipu, nos casos de prorrogação de outorga de que trata o art. 2º, da Lei 12.783, de 11 de janeiro de 2013.</t>
  </si>
  <si>
    <t>Portaria SOF nº 5.250, de maio de 2018.</t>
  </si>
  <si>
    <t>Lei nº 7.990, de 28 de dezembro de 1989, art. 1º;
Lei nº 12.783, de 11 de janeiro de 2013, art. 2º, caput e § 1º-A;</t>
  </si>
  <si>
    <t>Contribuição para Financiamento da Seguridade Social - COFINS</t>
  </si>
  <si>
    <t>Contribuição para Financiamento da Seguridade Social - COFINS sobre o Faturamento</t>
  </si>
  <si>
    <t>Contribuição para Financiamento da Seguridade Social - COFINS sobre o Faturamento - SIMPLES</t>
  </si>
  <si>
    <t>Contribuição para Financiamento da Seguridade Social - COFINS sobre o Faturamento - Parcelamentos</t>
  </si>
  <si>
    <t>Contribuição para o Programa de Integração Social e para Programa de Formação de Patrimônio do Servidor Público PIS/PASEP</t>
  </si>
  <si>
    <t>Contribuição para o PIS/PASEP sobre o Faturamento</t>
  </si>
  <si>
    <t>Contribuição para o PIS/PASEP sobre o Faturamento - SIMPLES</t>
  </si>
  <si>
    <t>Contribuição para o PIS/PASEP sobre a Folha de Salários - Templos de Qualquer Culto</t>
  </si>
  <si>
    <t>Contribuição para o PIS/PASEP sobre a Folha de Salários - Partidos Políticos</t>
  </si>
  <si>
    <t>Contribuição para o PIS/PASEP sobre a Folha de Salários - Instituições de Educação e de Assistência Social (Art. 12 da Lei nº 9.532, de 1997)</t>
  </si>
  <si>
    <t>Contribuição para o PIS/PASEP sobre a Folha de Salários - Instituições de Caráter Filantrópico, Recreativo, Cultural, Científico e as Associações (Art. 15 da Lei nº 9.532, de 1997)</t>
  </si>
  <si>
    <t>Contribuição para o PIS/PASEP sobre a Folha de Salários - Sindicados, Federações e Confederações</t>
  </si>
  <si>
    <t>Contribuição para o PIS/PASEP sobre a Folha de Salários - Serviços Sociais Autônomos</t>
  </si>
  <si>
    <t>Contribuição para o PIS/PASEP sobre a Folha de Salários - Conselhos de Fiscalização de Profissões Regulamentadas</t>
  </si>
  <si>
    <t>Contribuição para o PIS/PASEP sobre a Folha de Salários - Fundações de Direito Privado</t>
  </si>
  <si>
    <t>Contribuição para o PIS/PASEP sobre a Folha de Salários - Condomínio de Proprietários de Imóveis Residenciais ou Comerciais</t>
  </si>
  <si>
    <t>Contribuição para o PIS/PASEP sobre a Folha de Salários - Organização das Cooperativas Brasileiras e as Organizações Estaduais de Cooperativas (Lei nº 5.764, de 1971)</t>
  </si>
  <si>
    <t>Contribuição para o PIS/PASEP - Parcelamentos</t>
  </si>
  <si>
    <t>Contribuição Social sobre o Lucro Líquido - CSLL - SIMPLES</t>
  </si>
  <si>
    <t>Contribuição Social sobre o Lucro Líquido - CSLL - Pessoas Jurídicas Não Financeiras</t>
  </si>
  <si>
    <t>Contribuição Social sobre o Lucro Líquido - CSLL - Entidades Financeiras, de Seguros Privados e de Capitalização</t>
  </si>
  <si>
    <t>Contribuição Social sobre o Lucro Líquido - CSLL - Parcelamentos</t>
  </si>
  <si>
    <t>Contribuição Social sobre o Lucro Líquido - CSLL - Outros Contribuintes</t>
  </si>
  <si>
    <t>Contribuição Previdenciária da Empresa</t>
  </si>
  <si>
    <t>Contribuição Previdenciária do Empregador Doméstico</t>
  </si>
  <si>
    <t>Contribuição Previdenciária do Segurado Obrigatório</t>
  </si>
  <si>
    <t>Conbrituição Previdenciária do Empregado</t>
  </si>
  <si>
    <t>Conbrituição Previdenciária do Empregado Doméstico</t>
  </si>
  <si>
    <t>Conbrituição Previdenciária do Contribuinte Individual</t>
  </si>
  <si>
    <t>Contribuição Previdenciária do Trabalhador Avulso</t>
  </si>
  <si>
    <t>Conbrituição Previdenciária do Segurado Especial</t>
  </si>
  <si>
    <t>Conbrituição Previdenciária do Segurado Facultativo</t>
  </si>
  <si>
    <t>Contribuições para o Regime Geral de Previdência Social - RGPS - Parcelamentos</t>
  </si>
  <si>
    <t>Contribuição para o Plano de Seguridade Social do Servidor Público - CPSSS</t>
  </si>
  <si>
    <t>CPSSS do Servidor Civil Ativo</t>
  </si>
  <si>
    <t>CPSSS do Servidor Civil Inativo</t>
  </si>
  <si>
    <t>CPSSS - Servidor Civil</t>
  </si>
  <si>
    <t>CPSSS - Servidor Civil Ativo</t>
  </si>
  <si>
    <t>CPSSS - Servidor Civil Inativo</t>
  </si>
  <si>
    <t>CPSSS - Servidor Civil - Pensionistas</t>
  </si>
  <si>
    <t>CPSSS Oriunda de Sentenças Judiciais - Servidor Civil Ativo</t>
  </si>
  <si>
    <t>CPSSS Oriunda de Sentenças Judiciais - Servidor Civil Inativo</t>
  </si>
  <si>
    <t>CPSSS Oriunda de Sentenças Judiciais - Servidor Civil - Pensionistas</t>
  </si>
  <si>
    <t>CPSSS Patronal</t>
  </si>
  <si>
    <t>CPSSS Patronal - Servidor Civil</t>
  </si>
  <si>
    <t>CPSSS Oriunda de Sentenças Judiciais - Patronal - Servidor Civil</t>
  </si>
  <si>
    <t>CPSSS - Parcelamentos</t>
  </si>
  <si>
    <t>Contribuição para Fundos de Assistência Médica</t>
  </si>
  <si>
    <t>Contribuição para Fundos de Assistência Médica - Policiais Militares</t>
  </si>
  <si>
    <t>Contribuição para Fundos de Assistência Médica - Policiais Militares - Parcelamentos</t>
  </si>
  <si>
    <t>Contribuição para Fundos de Assistência Médica - Bombeiros Militares</t>
  </si>
  <si>
    <t>Contribuição para Fundos de Assistência Médica - Bombeiros Militares - Parcelamentos</t>
  </si>
  <si>
    <t>Contribuição para Fundos de Assistência Médica - Servidores Civis</t>
  </si>
  <si>
    <t>Contribuição para Fundos de Assistência Médica - Servidores Civis - Parcelamentos</t>
  </si>
  <si>
    <t>Contribuição para Fundos de Assistência Médica - Outros Beneficiários</t>
  </si>
  <si>
    <t>Contribuição para Fundos de Assistência Médica - Outros Beneficiários - Parcelamentos</t>
  </si>
  <si>
    <t>Contribuição sobre a Loteria Federal - Parcelamentos</t>
  </si>
  <si>
    <t>Contribuição sobre Loterias Esportivas - Parcelamentos</t>
  </si>
  <si>
    <t>Contribuição sobre Concursos Especiais de Loterias Esportivas - Parcelamentos</t>
  </si>
  <si>
    <t>Contribuição sobre Loterias de Números - Parcelamentos</t>
  </si>
  <si>
    <t>Contribuição sobre a Loteria Instantânea</t>
  </si>
  <si>
    <t>Contribuição sobre a Loteria Instantânea - Parcelamentos</t>
  </si>
  <si>
    <t>Contribuição sobre Concursos de Prognósticos - Modalidade Futebol</t>
  </si>
  <si>
    <t>Contribuição sobre Concursos de Prognósticos - Modalidade Futebol - Parcelamentos</t>
  </si>
  <si>
    <t>Contribuição sobre Sorteios Realizados por Entidades Filantrópicas - Parcelamentos</t>
  </si>
  <si>
    <t>Cota-Parte da Contribuição Sindical - Parcelamentos</t>
  </si>
  <si>
    <t>Contribuições Referentes ao Fundo de Garantia do Tempo de Serviço - FGTS - Parcelamentos</t>
  </si>
  <si>
    <t>Contribuição Social do Salário-Educação - Parcelamentos</t>
  </si>
  <si>
    <t>Contribuição para o Ensino Aeroviário - Parcelamentos</t>
  </si>
  <si>
    <t>Contribuição para o Desenvolvimento do Ensino Profissional Marítimo - Parcelamentos</t>
  </si>
  <si>
    <t>Contribuição sobre a Arrecadação dos Fundos de Investimentos Regionais - Parcelamentos</t>
  </si>
  <si>
    <t>Contribuição Industrial Rural - Parcelamentos</t>
  </si>
  <si>
    <t>Adicional à Contribuição Previdenciária Rural - Parcelamentos</t>
  </si>
  <si>
    <t>Contribuição sobre Movimentação ou Transmissão de Valores e de Créditos e Direitos de Natureza Financeira - Parcelamentos</t>
  </si>
  <si>
    <t>Contribuição para Custeio das Pensões Militares das Forças Armadas</t>
  </si>
  <si>
    <t>Contribuição para Custeio das Pensões Militares das Forças Armadas - Parcelamentos</t>
  </si>
  <si>
    <t>Demais Contribuições Sociais</t>
  </si>
  <si>
    <t>Demais Contribuições Sociais - Parcelamentos</t>
  </si>
  <si>
    <t>Bônus de Assinatura de Contrato de Partilha de Produção - Parcela do Fundo Social</t>
  </si>
  <si>
    <t>Bônus de Assinatura de Contrato de Partilha de Produção - Parcela da Empresa Gestora do Contrato</t>
  </si>
  <si>
    <t>Bônus de Assinatura de Contrato de Partilha de Produção - Parcela da União</t>
  </si>
  <si>
    <t>Alteração de nomenclatura para melhor detalhar a conta.</t>
  </si>
  <si>
    <t>ALTERAÇÕES ESPECÍFICAS PARA ESTADOS/DF E MUNICÍPIOS</t>
  </si>
  <si>
    <t>ALTERAÇÕES GERAIS</t>
  </si>
  <si>
    <t>CPSSS Patronal - Servidor Civil Inativo</t>
  </si>
  <si>
    <t>CPSSS Patronal - Servidor Civil - Pensionistas</t>
  </si>
  <si>
    <t>CPSSS Patronal - Oriunda de Sentenças Judiciais - Servidor Civil Ativo</t>
  </si>
  <si>
    <t>CPSSS Patronal - Oriunda de Sentenças Judiciais - Servidor Civil Inativo</t>
  </si>
  <si>
    <t>CPSSS Patronal - Oriunda de Sentenças Judiciais - Servidor Civil - Pensionistas</t>
  </si>
  <si>
    <t>CPSSS Patronal - Servidor Civil - Específico de EST/DF/MUN</t>
  </si>
  <si>
    <t>CPSSS Patronal - Servidor Civil Ativo</t>
  </si>
  <si>
    <t>Contribuição do Servidor Civil para o Plano de Seguridade Social - CPSSS - Específico de EST/DF/MUN</t>
  </si>
  <si>
    <t>CPSSS do Servidor Civil - Pensionistas</t>
  </si>
  <si>
    <t>Agrega a receita de contribuição dos militares e pensionistas militares dos Estados e DF para o custeio da Previdência Militar.</t>
  </si>
  <si>
    <t>Agrega a receita de contribuição dos servidores públicos e pensionistas civis correlatos dos Estados, DF e Municípios para o custeio do Plano de Seguridade Social do Serviço Público.</t>
  </si>
  <si>
    <t>Agrega a receita de contribuição dos entes, específica para Estados, DF e Municípios, bem como seus órgãos e entidades obrigadas, para o custeio do Plano de Seguridade Social do Serviço Público.</t>
  </si>
  <si>
    <t>Agrega as contribuiçoes sociais e de interesse das categorias profissionais ou econômicas, de arrecadação específica de Estados, DF e Municípios.</t>
  </si>
  <si>
    <t>Contribuição dos Militares e Pensionistas para Previdência Militar de Estados e DF</t>
  </si>
  <si>
    <t>Contribuição Patronal para Previdência Militar de Estados e DF</t>
  </si>
  <si>
    <t>Contribuição Patronal - Militar Ativo</t>
  </si>
  <si>
    <t>Contribuição Patronal - Militar Inativo</t>
  </si>
  <si>
    <t>Contribuição Patronal - Pensionistas Militares</t>
  </si>
  <si>
    <t>CPSSS  - Parcelamentos - do Servidor Civil Ativo</t>
  </si>
  <si>
    <t>CPSSS  - Parcelamentos - do Servidor Civil Inativo</t>
  </si>
  <si>
    <t>CPSSS  - Parcelamentos - Pensionistas</t>
  </si>
  <si>
    <t>CPSSS  - Parcelamentos - Oriunda de Sentenças Judiciais - Servidor Civil Ativo</t>
  </si>
  <si>
    <t>CPSSS  - Parcelamentos - Oriunda de Sentenças Judiciais - Servidor Civil Inativo</t>
  </si>
  <si>
    <t>CPSSS  - Parcelamentos - Oriunda de Sentenças Judiciais - Servidor Civil - Pensionistas</t>
  </si>
  <si>
    <t>CPSSS Patronal - Parcelamentos - Servidor Civil Ativo</t>
  </si>
  <si>
    <t>CPSSS Patronal - Parcelamentos - Servidor Civil Inativo</t>
  </si>
  <si>
    <t>CPSSS Patronal - Parcelamentos - Servidor Civil - Pensionistas</t>
  </si>
  <si>
    <t>CPSSS Patronal - Parcelamentos - Oriunda de Sentenças Judiciais - Servidor Civil Ativo</t>
  </si>
  <si>
    <t>CPSSS Patronal - Parcelamentos - Oriunda de Sentenças Judiciais - Servidor Civil Inativo</t>
  </si>
  <si>
    <t>CPSSS Patronal - Parcelamentos - Oriunda de Sentenças Judiciais - Servidor Civil - Pensionistas</t>
  </si>
  <si>
    <t>CPSSS - Parcelamentos - Específico de EST/DF/MUN</t>
  </si>
  <si>
    <t>CPSSS Patronal - Parcelamentos - Específico de EST/DF/MUN</t>
  </si>
  <si>
    <t>Contribuição dos Militares e Pensionistas para Previdência Militar - Parcelamentos - Específico de EST/DF/MUN</t>
  </si>
  <si>
    <t>Contribuição dos Militares e Pensionistas para Previdência Militar - Parcelamentos - Militar Ativo</t>
  </si>
  <si>
    <t>Contribuição dos Militares e Pensionistas para Previdência Militar - Parcelamentos - Militar Inativo</t>
  </si>
  <si>
    <t>Contribuição dos Militares e Pensionistas para Previdência Militar - Parcelamentos - Pensionistas Militares</t>
  </si>
  <si>
    <t>Contribuição Patronal - Parcelamentos - Militar Ativo</t>
  </si>
  <si>
    <t>Contribuição Patronal - Parcelamentos - Militar Inativo</t>
  </si>
  <si>
    <t>Contribuição Patronal - Parcelamentos - Pensionistas Militares</t>
  </si>
  <si>
    <t>Agrega o valor da arrecadação da receita de contribuições previdenciárias dos servidores civis ativos para institutos de previdência social.</t>
  </si>
  <si>
    <t>Agrega o valor da arrecadação da receita de contribuições previdenciárias dos servidores civis inativos para institutos de previdência social.</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</si>
  <si>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</si>
  <si>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</si>
  <si>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</si>
  <si>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</si>
  <si>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Agrega a receita de parcelamentos de contribuição dos servidores públicos e pensionistas civis correlatos dos Estados, DF e Municípios para o custeio do Plano de Seguridade Social do Serviço Público.</t>
  </si>
  <si>
    <t>Agrega o valor da arrecadação por meio de parcelamento da receita de contribuições previdenciárias dos servidores civis ativos para institutos de previdência social.</t>
  </si>
  <si>
    <t>Agrega o valor da arrecadação por meio de parcelamento da receita de contribuições previdenciárias dos servidores civis inativos para institutos de previdência social.</t>
  </si>
  <si>
    <t>Agrega o valor da arrecadação por meio de parcelamento da receita de contribuições previdenciárias dos pensionistas civis públicos para institutos de previdência social.</t>
  </si>
  <si>
    <t>Agrega o valor da arrecadação por meio de parcelamento da receita de contribuições previdenciárias oriunda de sentenças judiciais relativas a servidores civis ativos para institutos de previdência social.</t>
  </si>
  <si>
    <t>Agrega o valor da arrecadação por meio de parcelamento da receita de contribuições previdenciárias oriunda de sentenças judiciais relativas a servidores civis inativos para institutos de previdência social.</t>
  </si>
  <si>
    <t>Agrega o valor da arrecadação por meio de parcelamento da receita de contribuições previdenciárias oriunda de sentenças judiciais relativas a pensionistas civis públicos para institutos de previdência social.</t>
  </si>
  <si>
    <t>Agrega o valor da arrecadação da receita de contribuições patronais relativas aos servidores civis ativos para institutos de previdência social.</t>
  </si>
  <si>
    <t>Agrega o valor da arrecadação da receita de contribuições patronais relativas aos servidores civis inativos para institutos de previdência social.</t>
  </si>
  <si>
    <t>Agrega o valor da arrecadação da receita de contribuições patronais relativas aos pensionistas civis públicos para institutos de previdência social.</t>
  </si>
  <si>
    <t>Agrega o valor da arrecadação da receita de contribuições patronais oriundas de sentenças judiciais relativas aos servidores civis ativos para institutos de previdência social.</t>
  </si>
  <si>
    <t>Agrega o valor da arrecadação da receita de contribuições patronais oriundas de sentenças judiciais relativas aos servidores civis inativos para institutos de previdência social.</t>
  </si>
  <si>
    <t>Agrega o valor da arrecadação da receita de contribuições patronais oriundas de sentenças judiciais relativas aos pensionistas civis públicos para institutos de previdência social.</t>
  </si>
  <si>
    <t>Agrega a receita de parcelamentos de contribuição dos entes, específica para Estados, DF e Municípios, bem como seus órgãos e entidades obrigadas, para o custeio do Plano de Seguridade Social do Serviço Público.</t>
  </si>
  <si>
    <t>Agrega o valor da arrecadação por meio de parcelamento da receita de contribuições patronais relativas aos servidores civis ativos para institutos de previdência social.</t>
  </si>
  <si>
    <t>Agrega o valor da arrecadação por meio de parcelamento da receita de contribuições patronais relativas aos servidores civis inativos para institutos de previdência social.</t>
  </si>
  <si>
    <t>Agrega o valor da arrecadação por meio de parcelamento da receita de contribuições patronais relativas aos pensionistas civis públicos para institutos de previdência social.</t>
  </si>
  <si>
    <t>Agrega o valor da arrecadação por meio de parcelamento da receita de contribuições patronais oriundas de sentenças judiciais relativas aos servidores civis ativos para institutos de previdência social.</t>
  </si>
  <si>
    <t>Agrega o valor da arrecadação por meio de parcelamento da receita de contribuições patronais oriundas de sentenças judiciais relativas aos servidores civis inativos para institutos de previdência social.</t>
  </si>
  <si>
    <t>Agrega o valor da arrecadação por meio de parcelamento da receita de contribuições patronais oriundas de sentenças judiciais relativas aos pensionistas civis públicos para institutos de previdência social.</t>
  </si>
  <si>
    <t>Agrega o valor da arrecadação da receita de contribuições dos militares ativos para a Previdência Militar.</t>
  </si>
  <si>
    <t>Agrega o valor da arrecadação da receita de contribuições dos militares inativos para a Previdência Militar.</t>
  </si>
  <si>
    <t>Agrega o valor da arrecadação da receita de contribuições dos pensionistas militares para a Previdência Militar.</t>
  </si>
  <si>
    <t>Agrega a receita de contribuição dos entes, específica dos Estados e DF, para a Previdência Militar.</t>
  </si>
  <si>
    <t>Agrega o valor da arrecadação da receita de contribuições patronais relativas aos militares ativos para a Previdência Militar.</t>
  </si>
  <si>
    <t>Agrega o valor da arrecadação da receita de contribuições patronais relativas aos militares inativos para a Previdência Militar.</t>
  </si>
  <si>
    <t>Agrega o valor da arrecadação da receita de contribuições patronais relativas aos pensionistas militares para a Previdência Militar.</t>
  </si>
  <si>
    <t>Agrega a receita de parcelamentos de contribuição dos militares e pensoinistas correlatos correlatos dos Estados e DF para a Previdência Militar.</t>
  </si>
  <si>
    <t>Contribuição Patronal para Previdência Militar de Estados e DF - Parcelamentos</t>
  </si>
  <si>
    <t>Agrega a receita de parcelamentos de contribuição dos entes, específica dos Estados e DF, para a Previdência Militar.</t>
  </si>
  <si>
    <t>Agrega o valor da arrecadação por meio de parcelamento da receita de contribuições dos militares ativos para a Previdência Militar.</t>
  </si>
  <si>
    <t>Agrega o valor da arrecadação por meio de parcelamento da receita de contribuições dos militares inativos para a Previdência Militar.</t>
  </si>
  <si>
    <t>Agrega o valor da arrecadação por meio de parcelamento da receita de contribuições dos pensionistas militares para a Previdência Militar.</t>
  </si>
  <si>
    <t>Agrega o valor da arrecadação por meio de parcelamento da receita de contribuições patronais relativas aos militares ativos para a Previdência Militar.</t>
  </si>
  <si>
    <t>Agrega o valor da arrecadação por meio de parcelamento da receita de contribuições patronais relativas aos militares inativos para a Previdência Militar.</t>
  </si>
  <si>
    <t>Agrega o valor da arrecadação por meio de parcelamento da receita de contribuições patronais relativas aos pensionistas militares para a Previdência Militar.</t>
  </si>
  <si>
    <t>Agrega as receitas oriundas da Contribuição para o Financiamento da Seguridade
Social sobre o faturamento de pessoas jurídicas ou a elas equiparadas pela legislação
do imposto de renda.</t>
  </si>
  <si>
    <t>Agrega as receitas oriundas da Contribuição para o Financiamento da Seguridade Social sobre o faturamento de pessoas jurídicas ou a elas equiparadas pela legislação do imposto de renda.</t>
  </si>
  <si>
    <t>Registra receitas originadas da Contribuição para o Financiamento da Seguridade
Social sobre o faturamento das pessoas jurídicas, exclusive as optantes pelo SIMPLES.</t>
  </si>
  <si>
    <t>Financiamento da Seguridade Social.</t>
  </si>
  <si>
    <t>Alínea b, inciso I do art. 195 da Constituição Federal de 1988; Art. 1º da Lei
Complementar nº 70, de 30/12/1991; Art. 3º do Decreto nº 4.524, de 17/12/2002.</t>
  </si>
  <si>
    <t>Registra receitas originadas da Contribuição para o Financiamento da Seguridade
Social sobre o faturamento das pessoas jurídicas optantes pelo SIMPLES.</t>
  </si>
  <si>
    <t>Registra receitas originadas do parcelamento de débitos da Contribuição para o
Financiamento da Seguridade Social sobre o faturamento das pessoas jurídicas ou a
elas equiparadas pela legislação do imposto de renda.</t>
  </si>
  <si>
    <t/>
  </si>
  <si>
    <t>Leis que permitem o parcelamento dos débitos em atraso ou inscritos em dívida ativa.</t>
  </si>
  <si>
    <t>Agrega as receitas originadas das Contribuições para os Programas de Integração
Social e de Formação do Patrimônio do Servidor Público.</t>
  </si>
  <si>
    <t>Registra receitas originadas das Contribuições para os Programas de Integração
Social e de Formação do Patrimônio do Servidor Público sobre o faturamento das
pessoas jurídicas, exclusive as optantes pelo SIMPLES.</t>
  </si>
  <si>
    <t>Registra receitas originadas das Contribuições para os Programas de Integração
Social e de Formação do Patrimônio do Servidor Público sobre o faturamento das
pessoas jurídicas optantes pelo SIMPLES.</t>
  </si>
  <si>
    <t>Art. 239 da Constituição Federal de 1988; Art. 3º do Decreto nº 4.524, de
17/12/2002.</t>
  </si>
  <si>
    <t>Registram receitas originadas da Contribuições para os Programas de Integração Social e de Formação do Patrimônio do Servidor Público sobre a folha de salários,
respectivamente, das seguintes entidades: Templos de Qualquer Culto;</t>
  </si>
  <si>
    <t>Registram receitas originadas da Contribuições para os Programas de Integração Social e de Formação do Patrimônio do Servidor Público sobre a folha de salários,
respectivamente, das seguintes entidades: Partidos Políticos;</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</si>
  <si>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</si>
  <si>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</si>
  <si>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 Sindicados, Federações e Confederações;</t>
  </si>
  <si>
    <t>Registram receitas originadas da Contribuições para os Programas de Integração Social e de Formação do Patrimônio do Servidor Público sobre a folha de salários,
respectivamente, das seguintes entidades: Serviços Sociais Autônomos;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</si>
  <si>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</si>
  <si>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Registram receitas originadas da Contribuições para os Programas de Integração Social e de Formação do Patrimônio do Servidor Público sobre a folha de salários,
respectivamente, das seguintes entidades: Fundações de Direito Privado;</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</si>
  <si>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</si>
  <si>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</si>
  <si>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Art. 239 da Constituição Federal de 1988; Art. 9º do Decreto nº 4.524, de
17/12/2002.</t>
  </si>
  <si>
    <t>Agrega as receitas originadas dos parcelamentos de débitos da Contribuição para o
PIS/PASEP.</t>
  </si>
  <si>
    <t>Agrega as receitas originadas da Contribuição Social sobre o Lucro Líquido.</t>
  </si>
  <si>
    <t>Registra receitas originadas da Contribuição Social sobre o Lucro Líquido das
empresas optantes pelo SIMPLES.</t>
  </si>
  <si>
    <t>Registra receitas originadas da Contribuição Social sobre o Lucro Líquido das empresas optantes pelo SIMPLES.</t>
  </si>
  <si>
    <t>Alínea “c” do inciso I do art. 195 da Constituição Federal de 1988; Art. 1º da Lei nº
7.689, de 15/12/1988.</t>
  </si>
  <si>
    <t>Registra receitas originadas da Contribuição Social sobre o Lucro Líquido das
pessoas jurídicas não financeiras.</t>
  </si>
  <si>
    <t>Registra receitas originadas da Contribuição Social sobre o Lucro Líquido das
entidades financeiras, de seguros privados e de capitalização.</t>
  </si>
  <si>
    <t>Alínea c do inciso I do art. 195 da Constituição Federal de 1988; Art. 1º da Lei nº
7.689, de 15/12/1988.</t>
  </si>
  <si>
    <t>Registra receitas originadas do parcelamento de débitos da Contribuição Social sobre o Lucro Líquido.</t>
  </si>
  <si>
    <t>Registra receitas originadas do parcelamento de débitos da Contribuição Social sobre
o Lucro Líquido.</t>
  </si>
  <si>
    <t>Registra receitas originadas da Contribuição Social sobre o Lucro Líquido dos demais
contribuintes.</t>
  </si>
  <si>
    <t>Agrega as receitas originadas da Contribuição para o Regime Geral de Previdência
Social.</t>
  </si>
  <si>
    <t>Registra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</si>
  <si>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Registra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</si>
  <si>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Art. 195 da Constituição Federal de 1988; Art. 11 da Lei nº 8.212, de 24/07/1991.</t>
  </si>
  <si>
    <t>Registra receitas originadas da Contribuição Previdenciária para o RGPS do
empregador doméstico.</t>
  </si>
  <si>
    <t>Agrega as receitas originadas da Contribuição Previdenciária para o RGPS dos
segurados obrigatórios.</t>
  </si>
  <si>
    <t>Registram as receitas originadas, respectivamente, da Contribuição Previdenciária
para o RGPS dos seguintes segurados obrigatórios: empregado;</t>
  </si>
  <si>
    <t>Registram as receitas originadas, respectivamente, da Contribuição Previdenciária
para o RGPS dos seguintes segurados obrigatórios: empregado doméstico;</t>
  </si>
  <si>
    <t>Registram as receitas originadas, respectivamente, da Contribuição Previdenciária
para o RGPS dos seguintes segurados obrigatórios: contribuinte individual;</t>
  </si>
  <si>
    <t>Registram as receitas originadas, respectivamente, da Contribuição Previdenciária
para o RGPS dos seguintes segurados obrigatórios: trabalhador avulso;</t>
  </si>
  <si>
    <t>Registram as receitas originadas, respectivamente, da Contribuição Previdenciária
para o RGPS dos seguintes segurados obrigatórios: segurado especial;</t>
  </si>
  <si>
    <t>Registra receitas originadas da Contribuição Previdenciária para o RGPS dos
segurados facultativos.</t>
  </si>
  <si>
    <t>Registra receitas originadas do parcelamento de débitos da Contribuição
Previdenciária para o RGPS.</t>
  </si>
  <si>
    <t>Agrega as receitas provenientes da Contribuição para o Plano de Seguridade Social
do Servidor Público, recolhidas dos servidores, da União, das Autarquias e das
Fundações.</t>
  </si>
  <si>
    <t>Agrega as receitas provenientes da Contribuição para o Plano de Seguridade Social
do Servidor Público, recolhidas dos servidores.</t>
  </si>
  <si>
    <t>Registram as receitas provenientes da Contribuição para o Plano de Seguridade
Social do Servidor Público, recolhidas, dos servidores civis ativos.</t>
  </si>
  <si>
    <t>Registram as receitas provenientes da Contribuição para o Plano de Seguridade
Social do Servidor Público, recolhidas, dos servidores civis inativos.</t>
  </si>
  <si>
    <t>Registram as receitas provenientes da Contribuição para o Plano de Seguridade
Social do Servidor Público, recolhidas, dos pensionistas civis - servdiores públicos.</t>
  </si>
  <si>
    <t>Art. 40 da Constituição Federal de 1988; Art. 4º da Lei nº 10.887, de 18/06/2004.</t>
  </si>
  <si>
    <t>Registram as receitas provenientes da Contribuição para o Plano de Seguridade
Social do Servidor Público, recolhidas, oriundas de sentenças judiciais, dos servidores civis ativos.</t>
  </si>
  <si>
    <t>Registram as receitas provenientes da Contribuição para o Plano de Seguridade
Social do Servidor Público, recolhidas, oriundas de sentenças judiciais, dos servidores civis inativos.</t>
  </si>
  <si>
    <t>Registram as receitas provenientes da Contribuição para o Plano de Seguridade
Social do Servidor Público, recolhidas, oriundas de sentenças judiciais, dos pensionistas civis - servdiores públicos.</t>
  </si>
  <si>
    <t>Agrega as receitas provenientes da Contribuição para o Plano de Seguridade Social
do Servidor Público, recolhidas pela União, Autarquias e Fundações.</t>
  </si>
  <si>
    <t>Registram as receitas provenientes da Contribuição para o Plano de Seguridade
Social do Servidor Público, recolhidas, respectivamente, das entidades patronais
(União, Autarquias e Fundações).</t>
  </si>
  <si>
    <t>Registram as receitas provenientes da Contribuição para o Plano de Seguridade
Social do Servidor Público, recolhidas, respectivamente, das entidades patronais
(União, Autarquias e Fundações) em virtude de sentenças
judiciais.</t>
  </si>
  <si>
    <t>Agrega as receitas provenientes dos parcelamentos de débitos da Contribuição para o
Plano de Seguridade Social do Servidor Público.</t>
  </si>
  <si>
    <t>Leis que permitem o parcelamento dos débitos em atraso ou inscritos em dívida
ativa.</t>
  </si>
  <si>
    <t>Agrega as receitas originadas da contribuição para assistência médico-hospitalar dos
Policiais Militares e do Corpo de Bombeiros Militar do Distrito Federal.</t>
  </si>
  <si>
    <t>Registra as receitas originadas de recursos que integram o Fundo de Saúde da Polícia
Militar do Distrito Federal, destinado ao atendimento médico-hospitalar, médicodomiciliar,
odontológico, psicológico e social do militar, seus dependentes e
pensionistas.</t>
  </si>
  <si>
    <t>Destina-se ao Fundo de Saúde da Corporação para a assistência médico-hospitalar,
médico-domiciliar, odontológica, psicológica e social ao militar e seus dependentes.</t>
  </si>
  <si>
    <t>Art. 33 da Lei nº 10.486, de 04/07/2002.</t>
  </si>
  <si>
    <t>Registra as receitas originadas do parcelamento de débitos da contribuição que
integra o Fundo de Saúde da Polícia Militar do Distrito Federal, destinado ao
atendimento médico-hospitalar, médico-domiciliar, odontológico, psicológico e social
do militar, seus dependentes e pensionistas.</t>
  </si>
  <si>
    <t>Leis que autorizam o parcelamento de débitos da respectiva contribuição.</t>
  </si>
  <si>
    <t>Registra as receitas da contribuição para a Assistência Médico-Hospitalar dos
Bombeiros Militares do Distrito Federal.</t>
  </si>
  <si>
    <t>Registra as receitas oriundas do parcelamento de débitos da contribuição para a
Assistência Médico-Hospitalar dos Bombeiros Militares do Distrito Federal.</t>
  </si>
  <si>
    <t>Registra as receitas originadas de recursos que integram o Fundo de Saúde de
Assistência Médica, destinado ao atendimento médico-hospitalar, médico-domiciliar,
odontológico, psicológico e social dos servidores civis.</t>
  </si>
  <si>
    <t>Destina-se ao Fundo de Saúde para a assistência médico-hospitalar, médicodomiciliar,
odontológica, psicológica e social ao Servidores Civis.</t>
  </si>
  <si>
    <t>Leis específicas dos entes federados que possuem o Fundo.</t>
  </si>
  <si>
    <t>Registra as receitas originadas do parcelamento de débitos da contribuição que
integra o Fundo de Saúde de Assistência Médica, destinado ao atendimento médicohospitalar,
médico-domiciliar, odontológico, psicológico e social dos servidores civis.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</si>
  <si>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</si>
  <si>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Destina-se ao Fundo de Saúde para a assistência médico-hospitalar, médicodomiciliar,
odontológica, psicológica e social.</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</si>
  <si>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</si>
  <si>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Agrega as receitas originadas das Contribuições de Concursos de Prognósticos, tais
como Loteria Federal, Loteria Esportiva, Loterias de Números, Timemania e outros
sorteios.</t>
  </si>
  <si>
    <t>Registra as receitas das Contribuições sobre os Concursos da Loteria Federal.</t>
  </si>
  <si>
    <t>FUNPEN, FNC, FIES, FAS (Fundo de Apoio ao Desenvolvimento Social) e
Seguridade Social.</t>
  </si>
  <si>
    <t xml:space="preserve"> - Decreto-Lei nº 204, de 27 de fevereiro de 1967;
 - LC nº 79, de 7 de janeiro de 1994, art. 2º, VIII;
 - Lei nº 8.313, de 23 de dezembro de 1991, art. 5º, VIII;
 - Lei nº 10.260, de 12 de julho de 2001, art. 2º, II; Lei nº 8.212, de 24 de julho de 1991,
art. 11, II, Parágrafo único, e);
 - Lei nº 6.168, de 9 de dezembro de 1974, art. 2º, I; Lei nº 10.188, de 12 de fevereiro
de 2001, art. 3º, I,a).
 - Portaria MF nº 30, de 08 de fevereiro de 2008.</t>
  </si>
  <si>
    <t>Registra as receitas de parcelamento das Contribuições sobre os Concursos da Loteria
Federal.</t>
  </si>
  <si>
    <t>Registra as receitas das Contribuições sobre os Concursos de Loterias Esportivas.</t>
  </si>
  <si>
    <t>FUNPEN, FNC, FIES, ME (incluindo transferências para Clubes Sociais e
Secretarias Estaduais de Esportes) e Seguridade Social.</t>
  </si>
  <si>
    <t>Decreto-Lei nº 594, de 27 de maio de 1969;
- LC nº 79, de 7 de janeiro de 1994;
- Lei nº 9.615, de 24 de março de 1998, arts. 6º, II, 8º, I, III e IV, 56, VI;
- Lei nº 8.313, de 23 de dezembro de 1991, art. 5º;
- Lei nº 10.260, de 12 de julho de 2001, art. 2º, II;
- Lei nº 8.212, de 24 de julho de 1991, arts. 11, II, Parágrafo Único, e), art. 26, §1º;
- Portaria MF nº 30, de 08 de fevereiro de 2008.</t>
  </si>
  <si>
    <t>Registra as receitas de parcelamento das Contribuições sobre os Concursos de
Loterias Esportivas.</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</si>
  <si>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</si>
  <si>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</si>
  <si>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 xml:space="preserve"> - Decreto-Lei nº 594, de 27 de maio de 1969;
 - LC nº 79, de 7 de janeiro de 1994;
- Lei nº 9.615, de 24 de março de 1998, arts. 6º, II, 8º, I, III e IV, 56, VI;
- Lei nº 8.313, de 23 de dezembro de 1991, art. 5º;
- Lei nº 10.260, de 12 de julho de 2001, art. 2º, II;
- Lei nº 8.212, de 24 de julho de 1991, arts. 11, II, Parágrafo Único, e), art. 26, §1º;
- Portaria MF nº 30, de 08 de fevereiro de 2008;
- Lei nº 9.092, de 12 de setembro de 1995, art. 1º;
- Lei nº 6.905, de 11 de maio de 1981, arts. 1º e 2º</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</si>
  <si>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</si>
  <si>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Loterias de Números.</t>
  </si>
  <si>
    <t>Registra a receita de parcelamento da Contribuição sobre Loterias de Números.</t>
  </si>
  <si>
    <t xml:space="preserve"> - Decreto-Lei nº 204, de 27 de fevereiro de 1967;
- LC nº 79, de 7 de janeiro de 1994, art. 2º, VIII;
- Lei nº 8.313, de 23 de dezembro de 1991, art. 5º , VIII;
- Lei nº 10.260, de 12 de julho de 2001, art. 2º, II;
- Lei nº 8.212, de 24 de julho de 1991, art. 11, II, Parágrafo único, e);
- Lei nº 6.168, de 9 de dezembro de 1974, art. 2º, I; Lei nº 9.615, de 24 de março de
1998, arts. 6º, II, e 56, VI e §1º;
- Portaria MF nº 30, de 08 de fevereiro de 2008.</t>
  </si>
  <si>
    <t>Registra as receitas da Contribuição sobre a Loteria Instantânea.</t>
  </si>
  <si>
    <t>FUNPEN, FNC, FIEES e Seguridade Social.</t>
  </si>
  <si>
    <t xml:space="preserve"> - Decreto nº 99.268, de 31 de maio de 1990, arts. 1º e 2º;
- LC nº 79, de 7 de janeiro de 1994, art. 2º, VIII;
- Lei nº 8.313, de 23 de dezembro de 1991, art. 5º , VIII;
- Lei nº 10.260, de 12 de julho de 2001, art. 2º, II;
- Lei nº 8.212, de 24 de julho de 1991, art. 11, II, Parágrafo único, e);
- Lei nº 9.615, de 24 de março de 1998, arts. 6º, II, e 56, VI, e §1º;
- Portaria MF nº 30, de 08 de fevereiro de 2008.</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</si>
  <si>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</si>
  <si>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</si>
  <si>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 xml:space="preserve"> - Decreto-Lei nº 204, de 27 de fevereiro de 1967;
- Lei nº 11.345, de 14 de setembro de 2006, art. 2º;
- Decreto nº 6.187, de 14 de agosto de 2007, arts. 1º e 3º;
- LC nº 79, de 7 de janeiro de 1994, art. 2º, VIII;
- Lei nº 8.313, de 23 de dezembro de 1991, art. 5º , VIII;
- Lei nº 10.260, de 12 de julho de 2001, art. 2º, II;
- Lei nº 8.212, de 24 de julho de 1991, art. 11, II, Parágrafo único, e);
- Lei nº 9.615, de 24 de março de 1998, arts. 6º, II, e 56, VI, e §1º;
- Portaria MF nº 30, de 08 de fevereiro de 2008.</t>
  </si>
  <si>
    <t>Leis que autorizam o parcelamento de débitos da respectiva contribuição social.</t>
  </si>
  <si>
    <t>Agrega as receitas originadas de outras Contribuições Sociais não incluídas nos
códigos de natureza de receita anteriores.</t>
  </si>
  <si>
    <t>Registra as receitas originadas da contribuição devida sobre sorteios realizados por
Entidades Filantrópicas.</t>
  </si>
  <si>
    <t xml:space="preserve"> - LC nº 79, de 7 de janeiro de 1994;
- Lei nº 5.768, de 20 de dezembro de 1971;
- Lei nº 8.313, de 23 de dezembro de 1991, art. 5º, VIII;
- Lei nº 5.768, de 20 de dezembro de 1971;
- Lei nº 8.242, de 12 de outubro de 1991, art. 6º;
- Portaria MF nº 88, de 28 de setembro de 2000.</t>
  </si>
  <si>
    <t>FUNPEN, FNC, FNCA, Fundo de Defesa de Direitos Difusos.</t>
  </si>
  <si>
    <t>Registra as receitas originadas do parcelamento de débitos da contribuição devida sobre sorteios realizados por Entidades Filantrópicas.</t>
  </si>
  <si>
    <t>Leis que permitem o parcelamento de débitos em atraso ou inscritos em dívida ativa.</t>
  </si>
  <si>
    <t>Os recursos destinam-se ao Fundo de Amparo ao Trabalhador (FAT) e deverão ser utilizados pelo Ministério do Trabalho na realização de despesas com o reaparelhamento das Delegacias Regionais do Trabalho e programas inseridos no âmbito de sua competência.</t>
  </si>
  <si>
    <t xml:space="preserve"> - CF art. 8º, IV;
- Decreto-Lei nº 5.452, de 1º de maio de 1943, art. 589, I, d) e II, e);
- Lei nº 9.322, de 5 de dezembro de 1996, art. 4º;
- Lei nº 11.648, de 31 de março de 2008.</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</si>
  <si>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</si>
  <si>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Agrega as receitas originadas da contribuição devida pelos empregadores em caso de
despedida de empregado sem justa causa, bem como da contribuição sobre a
remuneração devida ao trabalhador</t>
  </si>
  <si>
    <t>Lei Complementar nº 110, de 20 de junho de 2001; Lei nº 8.036, de 11 de maio de 1990; Lei nº 8.844, de 20 de janeiro de 1994; e Decreto nº 3.914, de 11 de setembro de 2001.</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</si>
  <si>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</si>
  <si>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Agrega as receitas originadas do parcelamento de débitos da contribuição devida
pelos empregadores em caso de despedida de empregado sem justa causa, bem como
da contribuição sobre a remuneração devida ao trabalhador.</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</si>
  <si>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</si>
  <si>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</si>
  <si>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 xml:space="preserve"> - CF art. 212, § 5º;
- Lei nº 9.424, de 24 de dezembro de 1996, art. 15;
- Lei nº 9.766, de 18 de dezembro de 1998.</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</si>
  <si>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</si>
  <si>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</si>
  <si>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</si>
  <si>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Aplicação nas atividades ligadas ao ensino profissional aeronáutico de tripulantes, técnicos e especialistas civis, para os serviços de apoio e proteção à Aviação Civil em geral.</t>
  </si>
  <si>
    <t xml:space="preserve"> - Decreto-Lei nº 1.305, de 8 de janeiro de 1974, arts. 1º, 2º e 3º;
- Decreto-Lei nº 6.246, de 5 de fevereiro de 1944, art. 1º.</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</si>
  <si>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</si>
  <si>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</si>
  <si>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visando a atender despesas com o desenvolvimento do ensino profissional marítimo.</t>
  </si>
  <si>
    <t>Decreto-Lei nº 828, de 5 de setembro de 1969, art. 1º; Decreto nº 968, de 29 de outubro de 1996, art. 1º e art. 2º, I.</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</si>
  <si>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</si>
  <si>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</si>
  <si>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 xml:space="preserve"> - 20%; Tesouro da União; Fonte 100; Desvinculação de Receitas da União - DRU, de acordo com o art. 76 do ADCT da CF/88.
 - 80%; Tesouro da União com destinação para o Fundo Nacional de Cultura, obedecida na aplicação a origem geográfica dos recursos; Fonte 120; Lei nº 8.313, de 23 de dezembro de 1991, art. 5º, VII.</t>
  </si>
  <si>
    <t>Lei nº 8.167, de 16 de janeiro de 1991; e Lei nº 8.313, de 23 de dezembro de 1991, art. 5º, VII.</t>
  </si>
  <si>
    <t>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</si>
  <si>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Decreto-Lei nº 1.146, de 31 de dezembro de 1970, arts. 1º ao 5º; Lei nº 7.231, de 23 de outubro de 1984, art. 3º; (legislações anteriores: Lei nº 2.613, de 23 de setembro de 1955; Lei nº 4.863, de 29 de novembro de 1965; e Decreto-Lei nº 582, de 15 de maio de 1969).</t>
  </si>
  <si>
    <t>Registra as receitas oriundas do parcelamento de débitos das contribuições pagas por produtores rurais.</t>
  </si>
  <si>
    <t>Registra as receitas oriundas de adicional de 2,6% sobre o total de salários pagos, a
título de contribuição previdenciária devido pelos empregadores rurais.</t>
  </si>
  <si>
    <t>Lei Complementar nº 11, de 25 de maio de 1971, art. 1º e art. 15, II; Decreto-Lei nº 1.146, de 31 de dezembro de 1970, arts. 1º ao 5º; Lei nº 7.231, de 23 de outubro de 1984, art. 3º;</t>
  </si>
  <si>
    <t>Registra as receitas oriundas do parcelamento de débitos de adicional de 2,6% sobre
o total de salários pagos, a título de contribuição previdenciária devido pelos
empregadores rurais.</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</si>
  <si>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</si>
  <si>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 xml:space="preserve"> - Arts. 74, 75 e 80, inciso I, 84 e 85 do Ato das Disposições Constitucionais Transitórias;
- Emenda Constitucional nº 42, de 19 de dezembro de 2003;
- Lei nº 9.311, de 24 de outubro de 1996, modificada pela Lei nº 9.539, de 12 de dezembro de 1997;
- Lei nº 11.312, de 27 de junho de 2006; e
- Lei nº 11.482, de 31 de maio de 2007.</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</si>
  <si>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</si>
  <si>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Registra receitas originadas da contribuição paga por militares das Forças Armadas
para o custeio das Pensões Militares.</t>
  </si>
  <si>
    <t>Lei nº 3.765, de 4 de maio de 1960; Medida Provisória nº 2.215, de 31 de agosto de 2001; Lei nº 10.486, de 4 de julho de 2002; e Decreto nº 4.307, de 18 de julho de 2002.</t>
  </si>
  <si>
    <t>Registra receitas originadas do parcelamento de débitos da contribuição paga por
militares das Forças Armadas para o custeio das Pensões Militares.</t>
  </si>
  <si>
    <t>Registra quaisquer outras contribuições sociais que não se enquadrem nos itens
anteriores.</t>
  </si>
  <si>
    <t>Registra o parcelamento de débitos de quaisquer outras contribuições sociais que não se enquadrem nos itens anteriores.</t>
  </si>
  <si>
    <t>Registra as receitas que se originaram do bônus de assinatura do contrato de partilha
de produção que são devidas à União, conforme determinação legal.</t>
  </si>
  <si>
    <t>Os recursos destinam-se à União.</t>
  </si>
  <si>
    <t xml:space="preserve"> - Constituição Federal, arts. 20, § 1o, e 177, incisos I a IV;
- § 2º do inciso II do art. 42 da Lei nº 12.351, de 22 de dezembro de 2010.</t>
  </si>
  <si>
    <t>Registra as receitas que se originaram do bônus de assinatura do contrato de partilha
de produção que são devidas ao Fundo Social, conforme determinação legal.</t>
  </si>
  <si>
    <t>Os recursos destinam-se ao Fundo Social.</t>
  </si>
  <si>
    <t xml:space="preserve"> - Constituição Federal, arts. 20, § 1o, e 177, incisos I a IV;
- Inciso II do art. 49 da Lei nº 12.351, de 22 de dezembro de 2010.</t>
  </si>
  <si>
    <t>Registra as receitas que se originaram do bônus de assinatura do contrato de partilha
de produção que são devidas à empresa gestora do contrato de partilha de produção,
conforme determinação legal.</t>
  </si>
  <si>
    <t>Os recursos destinam-se à empresa gestora do contrato de partilha de produção.</t>
  </si>
  <si>
    <t xml:space="preserve"> - Constituição Federal, arts. 20, § 1o, e 177, incisos I a IV;
- Alínea “f” do inciso III do art. 10 da Lei nº 12.351, de 22 de dezembro de 2010.</t>
  </si>
  <si>
    <t>Serviços e Atividades Referentes à Saúde - Específico para Estados/DF/Municípios</t>
  </si>
  <si>
    <t>Serviços de Saúde - Específico para Estados/DF/Municípios</t>
  </si>
  <si>
    <t>Serviços de Registro de Análise e de Controle</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</si>
  <si>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</si>
  <si>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</si>
  <si>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</si>
  <si>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</si>
  <si>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</si>
  <si>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Compreende a prestação de outros serviços relacionados à saúde, não especificados anteriormente.</t>
  </si>
  <si>
    <t>Agrega o valor da arrecadação de receita de Custas devidas à União em razão da atividade jurisdicional do Estado, na Justiça Federal de primeiro e segundo graus.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</si>
  <si>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Corrigida a descrição da conta.</t>
  </si>
  <si>
    <t>Recursos Recebidos de Órgãos, Entidades ou Fundos, por Força de Determinação Constitucional ou Legal</t>
  </si>
  <si>
    <t>Recursos Recebidos de Fundos de Desenvolvimento Regional</t>
  </si>
  <si>
    <t>Outras Receitas Administradas pela RFB</t>
  </si>
  <si>
    <t>Agrega as receitas recebidas de órgãos, entidades ou fundos, em razão de uma determinação legal ou constitucional.</t>
  </si>
  <si>
    <t>Portaria SEAFI/SOF nº 4, de 20 de dezembro de 2017.</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</si>
  <si>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</si>
  <si>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Sudam, Sudene e Sudeco</t>
  </si>
  <si>
    <t>Lei Complementar nº 124, de 2007, art. 6º, inciso II; - Lei Complementar nº 125, de 2007, art. 6º, inciso II; e - Lei Complementar nº 129, de 2009, art. 7º, inciso II.</t>
  </si>
  <si>
    <t>Agrega receitas Administradas pela RFB que não se enquadram em nenhuma outra classificação específica.</t>
  </si>
  <si>
    <t>Recursos de livre destinação</t>
  </si>
  <si>
    <t>Não se aplica.</t>
  </si>
  <si>
    <t xml:space="preserve">Registra o valor da arrecadação de receita de Custas devidas à União em razão da atividade jurisdicional do Estado, na Justiça Federal de primeiro e segundo graus.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
</t>
  </si>
  <si>
    <t>Royalties pela Comercialização de Produtos Resultantes de Criação Protegida</t>
  </si>
  <si>
    <t>Agrega as receitas oriundas de royalties recebidos por órgãos ou entidades da administração pública direta ou indireta em decorrência da comercialização
de produtos que tenham sido desenvolvidos com a utilização de tecnologia por eles desenvolvida.</t>
  </si>
  <si>
    <t>Lei nº 10.973, de 2004, art. 6º, e Decreto nº 5.563, arts. 6º e 19.</t>
  </si>
  <si>
    <t>Portaria SOF nº 46, de 27 de novembro de 2017.</t>
  </si>
  <si>
    <t>Multas Previstas na Legislação Antidrogas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</si>
  <si>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</si>
  <si>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Portaria SEAFI/SOF nº 02, de 30/09/2016</t>
  </si>
  <si>
    <t>Multas Previstas na Legislação Anticorrupção.</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</si>
  <si>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</si>
  <si>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</si>
  <si>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Agrega as receitas que se originaram de multas por infrações cometidas por pessoas jurídicas consideradas responsáveis pelos atos lesivos previstos na Lei no 12.846, de 2013.</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</si>
  <si>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</si>
  <si>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Lei nº 12.846, de 2013.</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</si>
  <si>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</si>
  <si>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</si>
  <si>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A específica decisão judicial ou de Tribunal Administrativo que haja determinado o reconhecimento do ingresso do recurso.</t>
  </si>
  <si>
    <t>Conforme especificado na decisão judicial ou administrativa.</t>
  </si>
  <si>
    <r>
      <t xml:space="preserve">Transferência de Recursos do Sistema Único de Saúde – SUS – </t>
    </r>
    <r>
      <rPr>
        <strike/>
        <sz val="11"/>
        <color rgb="FF0070C0"/>
        <rFont val="Calibri"/>
        <family val="2"/>
        <scheme val="minor"/>
      </rPr>
      <t>Repasses Fundo a Fundo</t>
    </r>
    <r>
      <rPr>
        <sz val="11"/>
        <color rgb="FF0070C0"/>
        <rFont val="Calibri"/>
        <family val="2"/>
        <scheme val="minor"/>
      </rPr>
      <t xml:space="preserve"> Bloco Custeio das Ações e Serviços Públicos de Saúde</t>
    </r>
  </si>
  <si>
    <t>Agrega o valor das transferências correntes da União recebidas pelos Estados, Distrito Federal e Municípios, referentes ao bloco investimento na rede de serviços do Sistema Único de Saúde – SUS, destinados à Atenção Básica.</t>
  </si>
  <si>
    <t>Agrega o valor das transferências correntes da União recebidas pelos Estados, Distrito Federal e Municípios, referentes ao bloco investimento na rede de serviços do Sistema Único de Saúde – SUS, destinaos à Atenção Especializada.</t>
  </si>
  <si>
    <t>Agrega o valor das transferências correntes da União recebidas pelos Estados, Distrito Federal e Municípios, referentes ao bloco investimento na rede de serviços do Sistema Único de Saúde – SUS, destinados à Vigilância em Saúde.</t>
  </si>
  <si>
    <t>Agrega o valor das transferências correntes da União recebidas pelos Estados, Distrito Federal e Municípios, referentes ao bloco investimento na rede de serviços do Sistema Único de Saúde – SUS, destinados à Gestão e Desenvolvimento de Tecnologias em Saúde no SUS.</t>
  </si>
  <si>
    <t>Agrega o valor das transferências correntes da União recebidas pelos Estados, Distrito Federal e Municípios, referentes ao bloco investimento na rede de serviços do Sistema Único de Saúde – SUS, destinados à Gestão do SUS.</t>
  </si>
  <si>
    <t>Agrega o valor das transferências correntes da União recebidas pelos Estados, Distrito Federal e Municípios, referentes ao bloco investimento na rede de serviços do Sistema Único de Saúde – SUS, não detalhadas anteriormente.</t>
  </si>
  <si>
    <t>Agrega o valor total de transferências correntes do bloco custeio das ações e serviços públicos de saúde do Fundo Nacional de Saúde (União) recebidos pelos Fundos de Saúde dos Estados, do Distrito Federal e dos Municípios, referentes a gastos com atenção básica.</t>
  </si>
  <si>
    <t>Agrega o valor total de transferências correntes do bloco custeio das ações e serviços públicos de saúde do Fundo Nacional de Saúde (União) recebidos pelos Fundos de Saúde dos Estados, do Distrito Federal e dos Municípios, referentes a gastos com atenção de média e alta complexidade ambulatorial e hospitalar.</t>
  </si>
  <si>
    <t>Agrega o valor total de transferências correntes do bloco custeio das ações e serviços públicos de saúde do Fundo Nacional de Saúde (União) recebidos pelos Fundos de Saúde dos Estados, do Distrito Federal e dos Municípios, referentes a gastos com vigilância em saúde.</t>
  </si>
  <si>
    <t>Agrega o valor total de transferências correntes do bloco custeio das ações e serviços públicos de saúde do Fundo Nacional de Saúde (União) recebidos pelos Fundos de Saúde dos Estados, do Distrito Federal e dos Municípios, referentes a gastos com assistência farmacêutica.</t>
  </si>
  <si>
    <t>Agrega o valor total de transferências correntes do bloco custeio das ações e serviços públicos de saúde do Fundo Nacional de Saúde (União) recebidos pelos Fundos de Saúde dos Estados, do Distrito Federal e dos Municípios, referentes a gastos com gestão do SUS.</t>
  </si>
  <si>
    <t>Agrega o valor total de transferências correntes do bloco custeio das ações e serviços públicos de saúde do Fundo Nacional de Saúde (União) recebidos pelos Fundos de Saúde dos Estados, do Distrito Federal e dos Municípios, para ações não especificados anteriormente.</t>
  </si>
  <si>
    <t>Agrega o valor total das transferências correntes oriundas do Fundo Nacional de Saúde referentes ao bloco custeio das ações e serviços públicos de saúde, recebidos pelos Fundos de Saúde dos Estados, do Distrito Federal e dos Municípios.</t>
  </si>
  <si>
    <t>Agrega o valor total das transferências correntes oriundas do Fundo Nacional de Saúde referentes ao bloco investimento na rede de serviços públicos de saúde, recebidos pelos Fundos de Saúde dos Estados, do Distrito Federal e dos Municípios.</t>
  </si>
  <si>
    <t>Agrega o valor total das transferências de capital oriundas do Fundo Nacional de Saúde referentes ao bloco custeio das ações e serviços públicos de saúde, recebidos pelos Fundos de Saúde dos Estados, do Distrito Federal e dos Municípios.</t>
  </si>
  <si>
    <t>Transferência de Recursos do Sistema Único de Saúde – SUS – Bloco Custeio das Ações e Serviços Públicos de Saúde</t>
  </si>
  <si>
    <t>Agrega o valor total de transferências de capital do bloco custeio das ações e serviços públicos de saúde do Fundo Nacional de Saúde (União) recebidos pelos Fundos de Saúde dos Estados, do Distrito Federal e dos Municípios, referentes a gastos com atenção básica.</t>
  </si>
  <si>
    <t>Agrega o valor total de transferências de capital do bloco custeio das ações e serviços públicos de saúde do Fundo Nacional de Saúde (União) recebidos pelos Fundos de Saúde dos Estados, do Distrito Federal e dos Municípios, referentes a gastos com atenção de média e alta complexidade ambulatorial e hospitalar.</t>
  </si>
  <si>
    <t>Agrega o valor total de transferências de capital do bloco custeio das ações e serviços públicos de saúde do Fundo Nacional de Saúde (União) recebidos pelos Fundos de Saúde dos Estados, do Distrito Federal e dos Municípios, referentes a gastos com vigilância em saúde.</t>
  </si>
  <si>
    <t>Agrega o valor total de transferências de capital do bloco custeio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</si>
  <si>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custeio das ações e serviços públicos de saúde do Fundo Nacional de Saúde (União) recebidos pelos Fundos de Saúde dos Estados, do Distrito Federal e dos Municípios, referentes a gastos com gestão do SUS.</t>
  </si>
  <si>
    <t>Agrega o valor total de transferências de capital do bloco custeio das ações e serviços públicos de saúde do Fundo Nacional de Saúde (União) recebidos pelos Fundos de Saúde dos Estados, do Distrito Federal e dos Municípios, para ações não especificados anteriormente.</t>
  </si>
  <si>
    <t>Agrega o valor total das transferências de capital oriundas do Fundo Nacional de Saúde referentes ao bloco investimento na rede de serviços públicos de saúde, recebidos pelos Fundos de Saúde dos Estados, do Distrito Federal e dos Municípios.</t>
  </si>
  <si>
    <t>Agrega o valor das transferências de capital da União recebidas pelos Estados, Distrito Federal e Municípios, referentes ao bloco investimento na rede de serviços do Sistema Único de Saúde – SUS, destinados à Atenção Básica.</t>
  </si>
  <si>
    <t>Agrega o valor das transferências de capital da União recebidas pelos Estados, Distrito Federal e Municípios, referentes ao bloco investimento na rede de serviços do Sistema Único de Saúde – SUS, destinaos à Atenção Especializada.</t>
  </si>
  <si>
    <t>Agrega o valor das transferências de capital da União recebidas pelos Estados, Distrito Federal e Municípios, referentes ao bloco investimento na rede de serviços do Sistema Único de Saúde – SUS, destinados à Vigilância em Saúde.</t>
  </si>
  <si>
    <t>Agrega o valor das transferências de capital da União recebidas pelos Estados, Distrito Federal e Municípios, referentes ao bloco investimento na rede de serviços do Sistema Único de Saúde – SUS, destinados à Gestão e Desenvolvimento de Tecnologias em Saúde no SUS.</t>
  </si>
  <si>
    <t>Agrega o valor das transferências de capital da União recebidas pelos Estados, Distrito Federal e Municípios, referentes ao bloco investimento na rede de serviços do Sistema Único de Saúde – SUS, destinados à Gestão do SUS.</t>
  </si>
  <si>
    <t>Agrega o valor das transferências de capital da União recebidas pelos Estados, Distrito Federal e Municípios, referentes ao bloco investimento na rede de serviços do Sistema Único de Saúde – SUS, não detalhadas anteriormente.</t>
  </si>
  <si>
    <t>Registra o valor total dos recursos de transferências de capital da União recebidos pelos Estados, Distrito Federal e Municípios, referentes ao Fundo Nacional de Assistência Social – FNAS.</t>
  </si>
  <si>
    <t>Registra o valor total dos recursos de transferências correntes da União recebidos pelos Estados, Distrito Federal e Municípios, referentes ao Fundo Nacional de Assistência Social – FNAS.</t>
  </si>
  <si>
    <t>Transferências de Recursos do Sistema Único de Saúde – SUS - Bloco Custeio na Rede de Serviços Públicos de Saúde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</si>
</sst>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quot;.&quot;0&quot;.&quot;0&quot;.&quot;00&quot;.&quot;00"/>
    <numFmt numFmtId="165" formatCode="0&quot;.&quot;0&quot;.&quot;0&quot;.&quot;0&quot;.&quot;00&quot;.&quot;0&quot;.&quot;0"/>
  </numFmts>
  <fonts count="26" x14ac:knownFonts="1">
    <font>
      <sz val="11"/>
      <color theme="1"/>
      <name val="Calibri"/>
      <family val="2"/>
      <scheme val="minor"/>
    </font>
    <font>
      <b/>
      <sz val="11"/>
      <color theme="1"/>
      <name val="Calibri"/>
      <family val="2"/>
      <scheme val="minor"/>
    </font>
    <font>
      <b/>
      <sz val="10"/>
      <name val="Calibri"/>
      <family val="2"/>
      <scheme val="minor"/>
    </font>
    <font>
      <sz val="10"/>
      <color theme="1"/>
      <name val="Calibri"/>
      <family val="2"/>
      <scheme val="minor"/>
    </font>
    <font>
      <sz val="10"/>
      <color rgb="FF000000"/>
      <name val="Calibri"/>
      <family val="2"/>
      <scheme val="minor"/>
    </font>
    <font>
      <strike/>
      <sz val="10"/>
      <color rgb="FF000000"/>
      <name val="Calibri"/>
      <family val="2"/>
      <scheme val="minor"/>
    </font>
    <font>
      <strike/>
      <sz val="10"/>
      <color theme="1"/>
      <name val="Calibri"/>
      <family val="2"/>
      <scheme val="minor"/>
    </font>
    <font>
      <strike/>
      <sz val="10"/>
      <name val="Calibri"/>
      <family val="2"/>
      <scheme val="minor"/>
    </font>
    <font>
      <strike/>
      <sz val="10"/>
      <color rgb="FFFF0000"/>
      <name val="Calibri"/>
      <family val="2"/>
      <scheme val="minor"/>
    </font>
    <font>
      <b/>
      <sz val="9"/>
      <color indexed="81"/>
      <name val="Tahoma"/>
      <family val="2"/>
    </font>
    <font>
      <sz val="9"/>
      <color indexed="81"/>
      <name val="Tahoma"/>
      <family val="2"/>
    </font>
    <font>
      <b/>
      <sz val="9"/>
      <color indexed="81"/>
      <name val="Segoe UI"/>
      <family val="2"/>
    </font>
    <font>
      <sz val="9"/>
      <color indexed="81"/>
      <name val="Segoe UI"/>
      <family val="2"/>
    </font>
    <font>
      <sz val="12"/>
      <name val="Times New Roman"/>
      <family val="1"/>
    </font>
    <font>
      <sz val="12"/>
      <color theme="1"/>
      <name val="Calibri"/>
      <family val="2"/>
      <scheme val="minor"/>
    </font>
    <font>
      <b/>
      <sz val="12"/>
      <name val="Calibri"/>
      <family val="2"/>
      <scheme val="minor"/>
    </font>
    <font>
      <sz val="11"/>
      <name val="Calibri"/>
      <family val="2"/>
      <scheme val="minor"/>
    </font>
    <font>
      <b/>
      <sz val="11"/>
      <name val="Calibri"/>
      <family val="2"/>
      <scheme val="minor"/>
    </font>
    <font>
      <sz val="11"/>
      <color rgb="FF0070C0"/>
      <name val="Calibri"/>
      <family val="2"/>
      <scheme val="minor"/>
    </font>
    <font>
      <sz val="12"/>
      <color rgb="FF0070C0"/>
      <name val="Times New Roman"/>
      <family val="1"/>
    </font>
    <font>
      <b/>
      <sz val="11"/>
      <color rgb="FF000000"/>
      <name val="Cambria"/>
      <family val="1"/>
    </font>
    <font>
      <sz val="10"/>
      <color rgb="FF0070C0"/>
      <name val="Calibri"/>
      <family val="2"/>
      <scheme val="minor"/>
    </font>
    <font>
      <strike/>
      <sz val="11"/>
      <color rgb="FF0070C0"/>
      <name val="Calibri"/>
      <family val="2"/>
      <scheme val="minor"/>
    </font>
    <font>
      <sz val="11"/>
      <color rgb="FFFF0000"/>
      <name val="Calibri"/>
      <family val="2"/>
      <scheme val="minor"/>
    </font>
    <font>
      <strike/>
      <sz val="11"/>
      <color rgb="FFFF0000"/>
      <name val="Calibri"/>
      <family val="2"/>
      <scheme val="minor"/>
    </font>
    <font>
      <strike/>
      <sz val="12"/>
      <color rgb="FFFF0000"/>
      <name val="Times New Roman"/>
      <family val="1"/>
    </font>
  </fonts>
  <fills count="19">
    <fill>
      <patternFill patternType="none"/>
    </fill>
    <fill>
      <patternFill patternType="gray125"/>
    </fill>
    <fill>
      <patternFill patternType="solid">
        <fgColor rgb="FF7F7F7F"/>
        <bgColor indexed="64"/>
      </patternFill>
    </fill>
    <fill>
      <patternFill patternType="solid">
        <fgColor rgb="FFE5B8B7"/>
        <bgColor indexed="64"/>
      </patternFill>
    </fill>
    <fill>
      <patternFill patternType="solid">
        <fgColor rgb="FFD6E3BC"/>
        <bgColor indexed="64"/>
      </patternFill>
    </fill>
    <fill>
      <patternFill patternType="solid">
        <fgColor rgb="FFC6D9F1"/>
        <bgColor indexed="64"/>
      </patternFill>
    </fill>
    <fill>
      <patternFill patternType="solid">
        <fgColor rgb="FFFDE9D9"/>
        <bgColor indexed="64"/>
      </patternFill>
    </fill>
    <fill>
      <patternFill patternType="solid">
        <fgColor rgb="FFDDD9C3"/>
        <bgColor indexed="64"/>
      </patternFill>
    </fill>
    <fill>
      <patternFill patternType="solid">
        <fgColor theme="0"/>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FF00"/>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s>
  <cellStyleXfs count="1">
    <xf numFmtId="0" fontId="0" fillId="0" borderId="0"/>
  </cellStyleXfs>
  <cellXfs count="191">
    <xf numFmtId="0" fontId="0" fillId="0" borderId="0" xfId="0"/>
    <xf numFmtId="0" fontId="2" fillId="2"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wrapText="1"/>
    </xf>
    <xf numFmtId="0" fontId="0" fillId="0" borderId="0" xfId="0" applyAlignment="1">
      <alignment horizontal="left"/>
    </xf>
    <xf numFmtId="164" fontId="2" fillId="2" borderId="1"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164" fontId="4" fillId="6" borderId="1" xfId="0" applyNumberFormat="1"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164" fontId="3" fillId="0"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164" fontId="6" fillId="0" borderId="1" xfId="0" applyNumberFormat="1" applyFont="1" applyFill="1" applyBorder="1" applyAlignment="1">
      <alignment horizontal="center" vertical="center" wrapText="1"/>
    </xf>
    <xf numFmtId="164" fontId="7" fillId="7"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164" fontId="4" fillId="8" borderId="1" xfId="0" applyNumberFormat="1" applyFont="1" applyFill="1" applyBorder="1" applyAlignment="1">
      <alignment horizontal="center" vertical="center" wrapText="1"/>
    </xf>
    <xf numFmtId="164" fontId="8" fillId="7" borderId="1" xfId="0" applyNumberFormat="1" applyFont="1" applyFill="1" applyBorder="1" applyAlignment="1">
      <alignment horizontal="center" vertical="center" wrapText="1"/>
    </xf>
    <xf numFmtId="164" fontId="0" fillId="0" borderId="0" xfId="0" applyNumberFormat="1" applyAlignment="1">
      <alignment horizontal="center" vertical="center"/>
    </xf>
    <xf numFmtId="165" fontId="0" fillId="0" borderId="0" xfId="0" applyNumberFormat="1" applyAlignment="1">
      <alignment vertical="center"/>
    </xf>
    <xf numFmtId="0" fontId="0" fillId="0" borderId="0" xfId="0" applyNumberFormat="1" applyAlignment="1">
      <alignment vertical="center" wrapText="1"/>
    </xf>
    <xf numFmtId="164" fontId="0" fillId="0" borderId="0" xfId="0" applyNumberFormat="1" applyAlignment="1">
      <alignment horizontal="center" vertical="center" wrapText="1"/>
    </xf>
    <xf numFmtId="0" fontId="0" fillId="0" borderId="0" xfId="0" applyAlignment="1">
      <alignment vertical="center" wrapText="1"/>
    </xf>
    <xf numFmtId="165" fontId="0" fillId="0" borderId="0" xfId="0" applyNumberFormat="1" applyAlignment="1">
      <alignment horizontal="center" vertical="center" wrapText="1"/>
    </xf>
    <xf numFmtId="0" fontId="0" fillId="0" borderId="0" xfId="0" applyAlignment="1">
      <alignment horizontal="left" vertical="center" wrapText="1"/>
    </xf>
    <xf numFmtId="164" fontId="14" fillId="0" borderId="0" xfId="0" applyNumberFormat="1" applyFont="1" applyAlignment="1">
      <alignment horizontal="center" vertical="center" wrapText="1"/>
    </xf>
    <xf numFmtId="0" fontId="14" fillId="0" borderId="0" xfId="0" applyFont="1" applyAlignment="1">
      <alignment horizontal="left" vertical="center" wrapText="1"/>
    </xf>
    <xf numFmtId="165" fontId="14" fillId="0" borderId="0" xfId="0" applyNumberFormat="1" applyFont="1" applyAlignment="1">
      <alignment horizontal="center" vertical="center" wrapText="1"/>
    </xf>
    <xf numFmtId="0" fontId="14" fillId="0" borderId="0" xfId="0" applyFont="1" applyAlignment="1">
      <alignment vertical="center" wrapText="1"/>
    </xf>
    <xf numFmtId="164" fontId="15" fillId="9" borderId="1" xfId="0" applyNumberFormat="1" applyFont="1" applyFill="1" applyBorder="1" applyAlignment="1">
      <alignment vertical="center" wrapText="1"/>
    </xf>
    <xf numFmtId="0" fontId="15" fillId="9" borderId="1" xfId="0" applyFont="1" applyFill="1" applyBorder="1" applyAlignment="1">
      <alignment horizontal="left" vertical="center" wrapText="1"/>
    </xf>
    <xf numFmtId="165" fontId="15" fillId="9" borderId="1" xfId="0" applyNumberFormat="1" applyFont="1" applyFill="1" applyBorder="1" applyAlignment="1">
      <alignment horizontal="center" vertical="center" wrapText="1"/>
    </xf>
    <xf numFmtId="0" fontId="15" fillId="9"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0" fillId="0" borderId="1" xfId="0" applyNumberFormat="1" applyBorder="1" applyAlignment="1">
      <alignment vertical="center" wrapText="1"/>
    </xf>
    <xf numFmtId="0" fontId="0" fillId="0" borderId="1" xfId="0" applyBorder="1" applyAlignment="1">
      <alignment horizontal="center" vertical="center"/>
    </xf>
    <xf numFmtId="165" fontId="0" fillId="0" borderId="1" xfId="0" applyNumberFormat="1" applyBorder="1" applyAlignment="1">
      <alignment vertical="center" wrapText="1"/>
    </xf>
    <xf numFmtId="164" fontId="16" fillId="8" borderId="1" xfId="0" applyNumberFormat="1" applyFont="1" applyFill="1" applyBorder="1" applyAlignment="1">
      <alignment horizontal="center" vertical="center" wrapText="1"/>
    </xf>
    <xf numFmtId="0" fontId="16" fillId="8" borderId="1" xfId="0" applyFont="1" applyFill="1" applyBorder="1" applyAlignment="1">
      <alignment horizontal="left" vertical="center" wrapText="1"/>
    </xf>
    <xf numFmtId="165" fontId="16" fillId="8" borderId="1" xfId="0" applyNumberFormat="1"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6" fillId="0" borderId="1" xfId="0" applyNumberFormat="1" applyFont="1" applyBorder="1" applyAlignment="1">
      <alignment vertical="center" wrapText="1"/>
    </xf>
    <xf numFmtId="0" fontId="16" fillId="0" borderId="1" xfId="0" applyFont="1" applyFill="1" applyBorder="1" applyAlignment="1">
      <alignment horizontal="center" vertical="center" wrapText="1"/>
    </xf>
    <xf numFmtId="165" fontId="16" fillId="0" borderId="1" xfId="0" applyNumberFormat="1" applyFont="1" applyFill="1" applyBorder="1" applyAlignment="1">
      <alignment horizontal="center" vertical="center" wrapText="1"/>
    </xf>
    <xf numFmtId="164" fontId="16" fillId="0"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0" fillId="12" borderId="1" xfId="0" applyNumberFormat="1" applyFill="1" applyBorder="1" applyAlignment="1">
      <alignment vertical="center" wrapText="1"/>
    </xf>
    <xf numFmtId="165" fontId="0" fillId="12" borderId="1" xfId="0" applyNumberFormat="1" applyFill="1" applyBorder="1" applyAlignment="1">
      <alignment vertical="center" wrapText="1"/>
    </xf>
    <xf numFmtId="0" fontId="13" fillId="12" borderId="1" xfId="0" applyFont="1" applyFill="1" applyBorder="1" applyAlignment="1">
      <alignment horizontal="left" vertical="center" wrapText="1"/>
    </xf>
    <xf numFmtId="0" fontId="0" fillId="12" borderId="1" xfId="0" applyFill="1" applyBorder="1" applyAlignment="1">
      <alignment horizontal="center" vertical="center"/>
    </xf>
    <xf numFmtId="0" fontId="13" fillId="13" borderId="1" xfId="0" applyFont="1" applyFill="1" applyBorder="1" applyAlignment="1">
      <alignment horizontal="left" vertical="center" wrapText="1"/>
    </xf>
    <xf numFmtId="0" fontId="0" fillId="10" borderId="1" xfId="0" applyNumberFormat="1" applyFill="1" applyBorder="1" applyAlignment="1">
      <alignment vertical="center" wrapText="1"/>
    </xf>
    <xf numFmtId="165" fontId="0" fillId="10" borderId="1" xfId="0" applyNumberFormat="1" applyFill="1" applyBorder="1" applyAlignment="1">
      <alignment vertical="center" wrapText="1"/>
    </xf>
    <xf numFmtId="0" fontId="13" fillId="10" borderId="1" xfId="0" applyFont="1" applyFill="1" applyBorder="1" applyAlignment="1">
      <alignment horizontal="left" vertical="center" wrapText="1"/>
    </xf>
    <xf numFmtId="0" fontId="0" fillId="10" borderId="1" xfId="0" applyFill="1" applyBorder="1" applyAlignment="1">
      <alignment horizontal="center" vertical="center"/>
    </xf>
    <xf numFmtId="0" fontId="0" fillId="14" borderId="1" xfId="0" applyNumberFormat="1" applyFill="1" applyBorder="1" applyAlignment="1">
      <alignment vertical="center" wrapText="1"/>
    </xf>
    <xf numFmtId="165" fontId="0" fillId="14" borderId="1" xfId="0" applyNumberFormat="1" applyFill="1" applyBorder="1" applyAlignment="1">
      <alignment vertical="center" wrapText="1"/>
    </xf>
    <xf numFmtId="0" fontId="13" fillId="14" borderId="1" xfId="0" applyFont="1" applyFill="1" applyBorder="1" applyAlignment="1">
      <alignment horizontal="left" vertical="center" wrapText="1"/>
    </xf>
    <xf numFmtId="0" fontId="0" fillId="14" borderId="1" xfId="0" applyFill="1" applyBorder="1" applyAlignment="1">
      <alignment horizontal="center" vertical="center"/>
    </xf>
    <xf numFmtId="165" fontId="16" fillId="14" borderId="1" xfId="0" applyNumberFormat="1" applyFont="1" applyFill="1" applyBorder="1" applyAlignment="1">
      <alignment vertical="center" wrapText="1"/>
    </xf>
    <xf numFmtId="0" fontId="16" fillId="14" borderId="1" xfId="0" applyNumberFormat="1" applyFont="1" applyFill="1" applyBorder="1" applyAlignment="1">
      <alignment vertical="center" wrapText="1"/>
    </xf>
    <xf numFmtId="0" fontId="0" fillId="15" borderId="1" xfId="0" applyNumberFormat="1" applyFill="1" applyBorder="1" applyAlignment="1">
      <alignment vertical="center" wrapText="1"/>
    </xf>
    <xf numFmtId="165" fontId="0" fillId="15" borderId="1" xfId="0" applyNumberFormat="1" applyFill="1" applyBorder="1" applyAlignment="1">
      <alignment vertical="center" wrapText="1"/>
    </xf>
    <xf numFmtId="0" fontId="13" fillId="15" borderId="1" xfId="0" applyFont="1" applyFill="1" applyBorder="1" applyAlignment="1">
      <alignment horizontal="left" vertical="center" wrapText="1"/>
    </xf>
    <xf numFmtId="0" fontId="0" fillId="15" borderId="1" xfId="0" applyFill="1" applyBorder="1" applyAlignment="1">
      <alignment horizontal="center" vertical="center"/>
    </xf>
    <xf numFmtId="0" fontId="1" fillId="16" borderId="2" xfId="0" applyNumberFormat="1" applyFont="1" applyFill="1" applyBorder="1" applyAlignment="1">
      <alignment vertical="center" wrapText="1"/>
    </xf>
    <xf numFmtId="0" fontId="1" fillId="16" borderId="3" xfId="0" applyNumberFormat="1" applyFont="1" applyFill="1" applyBorder="1" applyAlignment="1">
      <alignment vertical="center" wrapText="1"/>
    </xf>
    <xf numFmtId="165" fontId="1" fillId="16" borderId="3" xfId="0" applyNumberFormat="1" applyFont="1" applyFill="1" applyBorder="1" applyAlignment="1">
      <alignment vertical="center" wrapText="1"/>
    </xf>
    <xf numFmtId="0" fontId="1" fillId="16" borderId="4" xfId="0" applyNumberFormat="1" applyFont="1" applyFill="1" applyBorder="1" applyAlignment="1">
      <alignment vertical="center" wrapText="1"/>
    </xf>
    <xf numFmtId="0" fontId="13" fillId="17" borderId="1" xfId="0" applyFont="1" applyFill="1" applyBorder="1" applyAlignment="1">
      <alignment horizontal="left" vertical="center" wrapText="1"/>
    </xf>
    <xf numFmtId="0" fontId="16" fillId="13" borderId="1" xfId="0" applyNumberFormat="1" applyFont="1" applyFill="1" applyBorder="1" applyAlignment="1">
      <alignment vertical="center" wrapText="1"/>
    </xf>
    <xf numFmtId="165" fontId="16" fillId="13" borderId="1" xfId="0" applyNumberFormat="1" applyFont="1" applyFill="1" applyBorder="1" applyAlignment="1">
      <alignment vertical="center" wrapText="1"/>
    </xf>
    <xf numFmtId="0" fontId="16" fillId="13" borderId="1" xfId="0" applyFont="1" applyFill="1" applyBorder="1" applyAlignment="1">
      <alignment horizontal="center" vertical="center"/>
    </xf>
    <xf numFmtId="0" fontId="0" fillId="17" borderId="1" xfId="0" applyNumberFormat="1" applyFill="1" applyBorder="1" applyAlignment="1">
      <alignment vertical="center" wrapText="1"/>
    </xf>
    <xf numFmtId="165" fontId="0" fillId="17" borderId="1" xfId="0" applyNumberFormat="1" applyFill="1" applyBorder="1" applyAlignment="1">
      <alignment vertical="center" wrapText="1"/>
    </xf>
    <xf numFmtId="0" fontId="0" fillId="17" borderId="1" xfId="0" applyFill="1" applyBorder="1" applyAlignment="1">
      <alignment horizontal="center" vertical="center"/>
    </xf>
    <xf numFmtId="165" fontId="16" fillId="15" borderId="1" xfId="0" applyNumberFormat="1" applyFont="1" applyFill="1" applyBorder="1" applyAlignment="1">
      <alignment vertical="center" wrapText="1"/>
    </xf>
    <xf numFmtId="0" fontId="16" fillId="15" borderId="1" xfId="0" applyNumberFormat="1" applyFont="1" applyFill="1" applyBorder="1" applyAlignment="1">
      <alignment vertical="center" wrapText="1"/>
    </xf>
    <xf numFmtId="0" fontId="17" fillId="18" borderId="2" xfId="0" applyNumberFormat="1" applyFont="1" applyFill="1" applyBorder="1" applyAlignment="1">
      <alignment vertical="center" wrapText="1"/>
    </xf>
    <xf numFmtId="0" fontId="17" fillId="18" borderId="3" xfId="0" applyNumberFormat="1" applyFont="1" applyFill="1" applyBorder="1" applyAlignment="1">
      <alignment vertical="center" wrapText="1"/>
    </xf>
    <xf numFmtId="165" fontId="17" fillId="18" borderId="3" xfId="0" applyNumberFormat="1" applyFont="1" applyFill="1" applyBorder="1" applyAlignment="1">
      <alignment vertical="center" wrapText="1"/>
    </xf>
    <xf numFmtId="0" fontId="17" fillId="18" borderId="5" xfId="0" applyNumberFormat="1" applyFont="1" applyFill="1" applyBorder="1" applyAlignment="1">
      <alignment vertical="center" wrapText="1"/>
    </xf>
    <xf numFmtId="165" fontId="16" fillId="0" borderId="1" xfId="0" applyNumberFormat="1" applyFont="1" applyBorder="1" applyAlignment="1">
      <alignment vertical="center" wrapText="1"/>
    </xf>
    <xf numFmtId="0" fontId="17" fillId="0" borderId="1" xfId="0" applyFont="1" applyFill="1" applyBorder="1" applyAlignment="1">
      <alignment horizontal="center" vertical="center" wrapText="1"/>
    </xf>
    <xf numFmtId="164" fontId="17" fillId="8" borderId="1" xfId="0" applyNumberFormat="1" applyFont="1" applyFill="1" applyBorder="1" applyAlignment="1">
      <alignment horizontal="center" vertical="center" wrapText="1"/>
    </xf>
    <xf numFmtId="0" fontId="17" fillId="8" borderId="1" xfId="0" applyFont="1" applyFill="1" applyBorder="1" applyAlignment="1">
      <alignment horizontal="left" vertical="center" wrapText="1"/>
    </xf>
    <xf numFmtId="0" fontId="0" fillId="12" borderId="6" xfId="0" applyNumberFormat="1" applyFill="1" applyBorder="1" applyAlignment="1">
      <alignment vertical="center" wrapText="1"/>
    </xf>
    <xf numFmtId="165" fontId="0" fillId="12" borderId="6" xfId="0" applyNumberFormat="1" applyFill="1" applyBorder="1" applyAlignment="1">
      <alignment vertical="center" wrapText="1"/>
    </xf>
    <xf numFmtId="0" fontId="13" fillId="12" borderId="6" xfId="0" applyFont="1" applyFill="1" applyBorder="1" applyAlignment="1">
      <alignment horizontal="left" vertical="center" wrapText="1"/>
    </xf>
    <xf numFmtId="0" fontId="0" fillId="12" borderId="6" xfId="0" applyFill="1" applyBorder="1" applyAlignment="1">
      <alignment horizontal="center" vertical="center"/>
    </xf>
    <xf numFmtId="165" fontId="18" fillId="14" borderId="1" xfId="0" applyNumberFormat="1" applyFont="1" applyFill="1" applyBorder="1" applyAlignment="1">
      <alignment vertical="center" wrapText="1"/>
    </xf>
    <xf numFmtId="165" fontId="18" fillId="15" borderId="1" xfId="0" applyNumberFormat="1" applyFont="1" applyFill="1" applyBorder="1" applyAlignment="1">
      <alignment vertical="center" wrapText="1"/>
    </xf>
    <xf numFmtId="0" fontId="18" fillId="14" borderId="1" xfId="0" applyNumberFormat="1" applyFont="1" applyFill="1" applyBorder="1" applyAlignment="1">
      <alignment vertical="center" wrapText="1"/>
    </xf>
    <xf numFmtId="0" fontId="19" fillId="14"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18" fillId="0" borderId="0" xfId="0" applyFont="1"/>
    <xf numFmtId="0" fontId="18" fillId="15" borderId="1" xfId="0" applyNumberFormat="1" applyFont="1" applyFill="1" applyBorder="1" applyAlignment="1">
      <alignment vertical="center" wrapText="1"/>
    </xf>
    <xf numFmtId="0" fontId="19" fillId="15"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16" fillId="15" borderId="1" xfId="0" applyFont="1" applyFill="1" applyBorder="1" applyAlignment="1">
      <alignment horizontal="center" vertical="center"/>
    </xf>
    <xf numFmtId="0" fontId="16" fillId="0" borderId="0" xfId="0" applyFont="1"/>
    <xf numFmtId="0" fontId="16" fillId="0" borderId="1" xfId="0" applyFont="1" applyBorder="1" applyAlignment="1">
      <alignment horizontal="center" vertical="center"/>
    </xf>
    <xf numFmtId="0" fontId="16" fillId="10" borderId="1" xfId="0" applyNumberFormat="1" applyFont="1" applyFill="1" applyBorder="1" applyAlignment="1">
      <alignment vertical="center" wrapText="1"/>
    </xf>
    <xf numFmtId="0" fontId="21" fillId="14" borderId="1" xfId="0" applyNumberFormat="1" applyFont="1" applyFill="1" applyBorder="1" applyAlignment="1">
      <alignment vertical="center" wrapText="1"/>
    </xf>
    <xf numFmtId="0" fontId="21" fillId="15" borderId="1" xfId="0" applyNumberFormat="1" applyFont="1" applyFill="1" applyBorder="1" applyAlignment="1">
      <alignment vertical="center" wrapText="1"/>
    </xf>
    <xf numFmtId="0" fontId="17" fillId="0" borderId="8" xfId="0" applyNumberFormat="1" applyFont="1" applyFill="1" applyBorder="1" applyAlignment="1">
      <alignment vertical="center" wrapText="1"/>
    </xf>
    <xf numFmtId="0" fontId="17" fillId="0" borderId="7" xfId="0" applyNumberFormat="1" applyFont="1" applyFill="1" applyBorder="1" applyAlignment="1">
      <alignment vertical="center" wrapText="1"/>
    </xf>
    <xf numFmtId="0" fontId="0" fillId="0" borderId="0" xfId="0" applyFill="1"/>
    <xf numFmtId="165" fontId="16" fillId="10" borderId="1" xfId="0" applyNumberFormat="1" applyFont="1" applyFill="1" applyBorder="1" applyAlignment="1">
      <alignment vertical="center" wrapText="1"/>
    </xf>
    <xf numFmtId="0" fontId="16" fillId="10" borderId="1" xfId="0" applyFont="1" applyFill="1" applyBorder="1" applyAlignment="1">
      <alignment horizontal="center" vertical="center"/>
    </xf>
    <xf numFmtId="0" fontId="16" fillId="14" borderId="1" xfId="0" applyFont="1" applyFill="1" applyBorder="1" applyAlignment="1">
      <alignment horizontal="center" vertical="center"/>
    </xf>
    <xf numFmtId="0" fontId="18" fillId="10" borderId="1" xfId="0" applyNumberFormat="1" applyFont="1" applyFill="1" applyBorder="1" applyAlignment="1">
      <alignment vertical="center" wrapText="1"/>
    </xf>
    <xf numFmtId="165" fontId="18" fillId="10" borderId="1" xfId="0" applyNumberFormat="1" applyFont="1" applyFill="1" applyBorder="1" applyAlignment="1">
      <alignment vertical="center" wrapText="1"/>
    </xf>
    <xf numFmtId="0" fontId="19" fillId="10" borderId="1" xfId="0" applyFont="1" applyFill="1" applyBorder="1" applyAlignment="1">
      <alignment horizontal="left" vertical="center" wrapText="1"/>
    </xf>
    <xf numFmtId="0" fontId="18" fillId="10" borderId="1" xfId="0" applyFont="1" applyFill="1" applyBorder="1" applyAlignment="1">
      <alignment horizontal="center" vertical="center"/>
    </xf>
    <xf numFmtId="0" fontId="24" fillId="15" borderId="1" xfId="0" applyNumberFormat="1" applyFont="1" applyFill="1" applyBorder="1" applyAlignment="1">
      <alignment vertical="center" wrapText="1"/>
    </xf>
    <xf numFmtId="165" fontId="24" fillId="15" borderId="1" xfId="0" applyNumberFormat="1" applyFont="1" applyFill="1" applyBorder="1" applyAlignment="1">
      <alignment vertical="center" wrapText="1"/>
    </xf>
    <xf numFmtId="0" fontId="25" fillId="15" borderId="1" xfId="0" applyFont="1" applyFill="1" applyBorder="1" applyAlignment="1">
      <alignment horizontal="left" vertical="center" wrapText="1"/>
    </xf>
    <xf numFmtId="0" fontId="24" fillId="15" borderId="1" xfId="0" applyFont="1" applyFill="1" applyBorder="1" applyAlignment="1">
      <alignment horizontal="center" vertical="center"/>
    </xf>
    <xf numFmtId="0" fontId="24" fillId="0" borderId="0" xfId="0" applyFont="1"/>
    <xf numFmtId="0" fontId="23" fillId="15" borderId="1" xfId="0" applyNumberFormat="1" applyFont="1" applyFill="1" applyBorder="1" applyAlignment="1">
      <alignment vertical="center" wrapText="1"/>
    </xf>
    <xf numFmtId="165" fontId="16" fillId="0" borderId="0"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165" fontId="18" fillId="0" borderId="0" xfId="0" applyNumberFormat="1" applyFont="1" applyFill="1" applyBorder="1" applyAlignment="1">
      <alignment vertical="center" wrapText="1"/>
    </xf>
    <xf numFmtId="0" fontId="18" fillId="0" borderId="0" xfId="0" applyNumberFormat="1" applyFont="1" applyFill="1" applyBorder="1" applyAlignment="1">
      <alignment vertical="center" wrapText="1"/>
    </xf>
    <xf numFmtId="165" fontId="24" fillId="0" borderId="0" xfId="0" applyNumberFormat="1" applyFont="1" applyFill="1" applyBorder="1" applyAlignment="1">
      <alignment vertical="center" wrapText="1"/>
    </xf>
    <xf numFmtId="0" fontId="24" fillId="0" borderId="0" xfId="0" applyNumberFormat="1" applyFont="1" applyFill="1" applyBorder="1" applyAlignment="1">
      <alignment vertical="center" wrapText="1"/>
    </xf>
    <xf numFmtId="165" fontId="0" fillId="0" borderId="0" xfId="0" applyNumberFormat="1" applyFill="1" applyBorder="1" applyAlignment="1">
      <alignment vertical="center" wrapText="1"/>
    </xf>
    <xf numFmtId="0" fontId="0" fillId="0" borderId="0" xfId="0" applyNumberFormat="1" applyFill="1" applyBorder="1" applyAlignment="1">
      <alignment vertical="center" wrapText="1"/>
    </xf>
    <xf numFmtId="0" fontId="0" fillId="8" borderId="0" xfId="0" applyFill="1"/>
    <xf numFmtId="0" fontId="17" fillId="8" borderId="8" xfId="0" applyNumberFormat="1" applyFont="1" applyFill="1" applyBorder="1" applyAlignment="1">
      <alignment vertical="center" wrapText="1"/>
    </xf>
    <xf numFmtId="0" fontId="17" fillId="8" borderId="7" xfId="0" applyNumberFormat="1" applyFont="1" applyFill="1" applyBorder="1" applyAlignment="1">
      <alignment vertical="center" wrapText="1"/>
    </xf>
    <xf numFmtId="165" fontId="17" fillId="8" borderId="7" xfId="0" applyNumberFormat="1" applyFont="1" applyFill="1" applyBorder="1" applyAlignment="1">
      <alignment vertical="center" wrapText="1"/>
    </xf>
    <xf numFmtId="0" fontId="18" fillId="15" borderId="1" xfId="0" quotePrefix="1" applyNumberFormat="1" applyFont="1" applyFill="1" applyBorder="1" applyAlignment="1">
      <alignment vertical="center" wrapText="1"/>
    </xf>
    <xf numFmtId="0" fontId="18" fillId="15" borderId="1" xfId="0" applyNumberFormat="1" applyFont="1" applyFill="1" applyBorder="1" applyAlignment="1">
      <alignment horizontal="center" vertical="center" wrapText="1"/>
    </xf>
    <xf numFmtId="0" fontId="18" fillId="14" borderId="1" xfId="0" applyNumberFormat="1" applyFont="1" applyFill="1" applyBorder="1" applyAlignment="1">
      <alignment horizontal="center" vertical="center" wrapText="1"/>
    </xf>
    <xf numFmtId="0" fontId="18" fillId="0" borderId="1" xfId="0" applyNumberFormat="1" applyFont="1" applyBorder="1" applyAlignment="1">
      <alignment vertical="center" wrapText="1"/>
    </xf>
    <xf numFmtId="0" fontId="20" fillId="0"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960"/>
  <sheetViews>
    <sheetView showGridLines="0" zoomScale="90" zoomScaleNormal="90" workbookViewId="0">
      <pane xSplit="10" ySplit="2" topLeftCell="K853" activePane="bottomRight" state="frozen"/>
      <selection pane="topRight" activeCell="K1" sqref="K1"/>
      <selection pane="bottomLeft" activeCell="A4" sqref="A4"/>
      <selection pane="bottomRight" activeCell="I857" sqref="I857"/>
    </sheetView>
  </sheetViews>
  <sheetFormatPr defaultRowHeight="15" x14ac:dyDescent="0.25"/>
  <cols>
    <col min="1" max="1" width="1.85546875" customWidth="1"/>
    <col min="2" max="2" width="7.42578125" style="47" customWidth="1"/>
    <col min="3" max="3" width="7" style="47" bestFit="1" customWidth="1"/>
    <col min="4" max="4" width="6.5703125" style="47" bestFit="1" customWidth="1"/>
    <col min="5" max="5" width="7.85546875" style="47" bestFit="1" customWidth="1"/>
    <col min="6" max="6" width="9.140625" style="47" bestFit="1" customWidth="1"/>
    <col min="7" max="7" width="7.85546875" style="47" bestFit="1" customWidth="1"/>
    <col min="8" max="8" width="6.7109375" style="47" bestFit="1" customWidth="1"/>
    <col min="9" max="9" width="14" style="70" customWidth="1"/>
    <col min="10" max="10" width="71" style="47" customWidth="1"/>
    <col min="11" max="11" width="76.28515625" style="47" customWidth="1"/>
    <col min="12" max="12" width="20.28515625" style="47" bestFit="1" customWidth="1"/>
    <col min="13" max="13" width="55.85546875" style="71" customWidth="1"/>
    <col min="14" max="14" width="38.5703125" style="71" bestFit="1" customWidth="1"/>
    <col min="15" max="15" width="57" style="71" customWidth="1"/>
    <col min="16" max="16" width="15.42578125" style="46" bestFit="1" customWidth="1"/>
  </cols>
  <sheetData>
    <row r="1" spans="2:16" ht="8.25" customHeight="1" thickBot="1" x14ac:dyDescent="0.3"/>
    <row r="2" spans="2:16" ht="15.75" thickBot="1" x14ac:dyDescent="0.3">
      <c r="B2" s="118" t="s">
        <v>2868</v>
      </c>
      <c r="C2" s="119" t="s">
        <v>2869</v>
      </c>
      <c r="D2" s="119" t="s">
        <v>494</v>
      </c>
      <c r="E2" s="119" t="s">
        <v>2870</v>
      </c>
      <c r="F2" s="119" t="s">
        <v>2871</v>
      </c>
      <c r="G2" s="119" t="s">
        <v>2872</v>
      </c>
      <c r="H2" s="119" t="s">
        <v>2873</v>
      </c>
      <c r="I2" s="120" t="s">
        <v>2874</v>
      </c>
      <c r="J2" s="119" t="s">
        <v>7</v>
      </c>
      <c r="K2" s="119" t="s">
        <v>8</v>
      </c>
      <c r="L2" s="119" t="s">
        <v>4734</v>
      </c>
      <c r="M2" s="119" t="s">
        <v>2875</v>
      </c>
      <c r="N2" s="119" t="s">
        <v>5015</v>
      </c>
      <c r="O2" s="119" t="s">
        <v>12</v>
      </c>
      <c r="P2" s="121" t="s">
        <v>2876</v>
      </c>
    </row>
    <row r="3" spans="2:16" ht="60" x14ac:dyDescent="0.25">
      <c r="B3" s="139" t="str">
        <f t="shared" ref="B3:B34" si="0">MID($I3,1,1)</f>
        <v>1</v>
      </c>
      <c r="C3" s="139" t="str">
        <f t="shared" ref="C3:C34" si="1">MID($I3,2,1)</f>
        <v>0</v>
      </c>
      <c r="D3" s="139" t="str">
        <f t="shared" ref="D3:D34" si="2">MID($I3,3,1)</f>
        <v>0</v>
      </c>
      <c r="E3" s="139" t="str">
        <f t="shared" ref="E3:E34" si="3">MID($I3,4,1)</f>
        <v>0</v>
      </c>
      <c r="F3" s="139" t="str">
        <f t="shared" ref="F3:F34" si="4">MID($I3,5,2)</f>
        <v>00</v>
      </c>
      <c r="G3" s="139" t="str">
        <f t="shared" ref="G3:G34" si="5">MID($I3,7,1)</f>
        <v>0</v>
      </c>
      <c r="H3" s="139" t="str">
        <f t="shared" ref="H3:H34" si="6">MID($I3,8,1)</f>
        <v>0</v>
      </c>
      <c r="I3" s="140">
        <v>10000000</v>
      </c>
      <c r="J3" s="139" t="s">
        <v>15</v>
      </c>
      <c r="K3" s="139" t="s">
        <v>2877</v>
      </c>
      <c r="L3" s="141"/>
      <c r="M3" s="139" t="s">
        <v>2878</v>
      </c>
      <c r="N3" s="139" t="s">
        <v>5016</v>
      </c>
      <c r="O3" s="139" t="s">
        <v>17</v>
      </c>
      <c r="P3" s="142" t="s">
        <v>2880</v>
      </c>
    </row>
    <row r="4" spans="2:16" ht="26.25" customHeight="1" x14ac:dyDescent="0.25">
      <c r="B4" s="123" t="str">
        <f t="shared" si="0"/>
        <v>1</v>
      </c>
      <c r="C4" s="123" t="str">
        <f t="shared" si="1"/>
        <v>1</v>
      </c>
      <c r="D4" s="123" t="str">
        <f t="shared" si="2"/>
        <v>0</v>
      </c>
      <c r="E4" s="123" t="str">
        <f t="shared" si="3"/>
        <v>0</v>
      </c>
      <c r="F4" s="123" t="str">
        <f t="shared" si="4"/>
        <v>00</v>
      </c>
      <c r="G4" s="123" t="str">
        <f t="shared" si="5"/>
        <v>0</v>
      </c>
      <c r="H4" s="123" t="str">
        <f t="shared" si="6"/>
        <v>0</v>
      </c>
      <c r="I4" s="124">
        <v>11000000</v>
      </c>
      <c r="J4" s="123" t="s">
        <v>2881</v>
      </c>
      <c r="K4" s="123" t="s">
        <v>2882</v>
      </c>
      <c r="L4" s="103"/>
      <c r="M4" s="123" t="s">
        <v>2878</v>
      </c>
      <c r="N4" s="123" t="s">
        <v>5016</v>
      </c>
      <c r="O4" s="123" t="s">
        <v>20</v>
      </c>
      <c r="P4" s="125" t="s">
        <v>2880</v>
      </c>
    </row>
    <row r="5" spans="2:16" ht="75" x14ac:dyDescent="0.25">
      <c r="B5" s="126" t="str">
        <f t="shared" si="0"/>
        <v>1</v>
      </c>
      <c r="C5" s="126" t="str">
        <f t="shared" si="1"/>
        <v>1</v>
      </c>
      <c r="D5" s="126" t="str">
        <f t="shared" si="2"/>
        <v>1</v>
      </c>
      <c r="E5" s="126" t="str">
        <f t="shared" si="3"/>
        <v>0</v>
      </c>
      <c r="F5" s="126" t="str">
        <f t="shared" si="4"/>
        <v>00</v>
      </c>
      <c r="G5" s="126" t="str">
        <f t="shared" si="5"/>
        <v>0</v>
      </c>
      <c r="H5" s="126" t="str">
        <f t="shared" si="6"/>
        <v>0</v>
      </c>
      <c r="I5" s="127">
        <v>11100000</v>
      </c>
      <c r="J5" s="126" t="s">
        <v>21</v>
      </c>
      <c r="K5" s="126" t="s">
        <v>2883</v>
      </c>
      <c r="L5" s="122"/>
      <c r="M5" s="126" t="s">
        <v>2878</v>
      </c>
      <c r="N5" s="126" t="s">
        <v>5016</v>
      </c>
      <c r="O5" s="126" t="s">
        <v>23</v>
      </c>
      <c r="P5" s="128" t="s">
        <v>2880</v>
      </c>
    </row>
    <row r="6" spans="2:16" ht="30" x14ac:dyDescent="0.25">
      <c r="B6" s="104" t="str">
        <f t="shared" si="0"/>
        <v>1</v>
      </c>
      <c r="C6" s="104" t="str">
        <f t="shared" si="1"/>
        <v>1</v>
      </c>
      <c r="D6" s="104" t="str">
        <f t="shared" si="2"/>
        <v>1</v>
      </c>
      <c r="E6" s="104" t="str">
        <f t="shared" si="3"/>
        <v>1</v>
      </c>
      <c r="F6" s="104" t="str">
        <f t="shared" si="4"/>
        <v>00</v>
      </c>
      <c r="G6" s="104" t="str">
        <f t="shared" si="5"/>
        <v>0</v>
      </c>
      <c r="H6" s="104" t="str">
        <f t="shared" si="6"/>
        <v>0</v>
      </c>
      <c r="I6" s="105">
        <v>11110000</v>
      </c>
      <c r="J6" s="104" t="s">
        <v>24</v>
      </c>
      <c r="K6" s="104" t="s">
        <v>2884</v>
      </c>
      <c r="L6" s="106"/>
      <c r="M6" s="104" t="s">
        <v>2878</v>
      </c>
      <c r="N6" s="104" t="s">
        <v>2879</v>
      </c>
      <c r="O6" s="104" t="s">
        <v>26</v>
      </c>
      <c r="P6" s="107" t="s">
        <v>2880</v>
      </c>
    </row>
    <row r="7" spans="2:16" ht="75" x14ac:dyDescent="0.25">
      <c r="B7" s="108" t="str">
        <f t="shared" si="0"/>
        <v>1</v>
      </c>
      <c r="C7" s="108" t="str">
        <f t="shared" si="1"/>
        <v>1</v>
      </c>
      <c r="D7" s="108" t="str">
        <f t="shared" si="2"/>
        <v>1</v>
      </c>
      <c r="E7" s="108" t="str">
        <f t="shared" si="3"/>
        <v>1</v>
      </c>
      <c r="F7" s="108" t="str">
        <f t="shared" si="4"/>
        <v>01</v>
      </c>
      <c r="G7" s="108" t="str">
        <f t="shared" si="5"/>
        <v>0</v>
      </c>
      <c r="H7" s="108" t="str">
        <f t="shared" si="6"/>
        <v>0</v>
      </c>
      <c r="I7" s="109">
        <v>11110100</v>
      </c>
      <c r="J7" s="108" t="s">
        <v>27</v>
      </c>
      <c r="K7" s="108" t="s">
        <v>2885</v>
      </c>
      <c r="L7" s="110"/>
      <c r="M7" s="108" t="s">
        <v>2878</v>
      </c>
      <c r="N7" s="108" t="s">
        <v>2879</v>
      </c>
      <c r="O7" s="108" t="s">
        <v>2878</v>
      </c>
      <c r="P7" s="111" t="s">
        <v>2880</v>
      </c>
    </row>
    <row r="8" spans="2:16" ht="144" customHeight="1" x14ac:dyDescent="0.25">
      <c r="B8" s="114" t="str">
        <f t="shared" si="0"/>
        <v>1</v>
      </c>
      <c r="C8" s="114" t="str">
        <f t="shared" si="1"/>
        <v>1</v>
      </c>
      <c r="D8" s="114" t="str">
        <f t="shared" si="2"/>
        <v>1</v>
      </c>
      <c r="E8" s="114" t="str">
        <f t="shared" si="3"/>
        <v>1</v>
      </c>
      <c r="F8" s="114" t="str">
        <f t="shared" si="4"/>
        <v>01</v>
      </c>
      <c r="G8" s="114" t="str">
        <f t="shared" si="5"/>
        <v>1</v>
      </c>
      <c r="H8" s="114" t="str">
        <f t="shared" si="6"/>
        <v>0</v>
      </c>
      <c r="I8" s="115">
        <v>11110110</v>
      </c>
      <c r="J8" s="114" t="s">
        <v>27</v>
      </c>
      <c r="K8" s="114" t="s">
        <v>2886</v>
      </c>
      <c r="L8" s="116"/>
      <c r="M8" s="114" t="s">
        <v>2878</v>
      </c>
      <c r="N8" s="114" t="s">
        <v>2879</v>
      </c>
      <c r="O8" s="114" t="s">
        <v>2878</v>
      </c>
      <c r="P8" s="117" t="s">
        <v>2880</v>
      </c>
    </row>
    <row r="9" spans="2:16" ht="163.5" customHeight="1" x14ac:dyDescent="0.25">
      <c r="B9" s="85" t="str">
        <f t="shared" si="0"/>
        <v>1</v>
      </c>
      <c r="C9" s="85" t="str">
        <f t="shared" si="1"/>
        <v>1</v>
      </c>
      <c r="D9" s="85" t="str">
        <f t="shared" si="2"/>
        <v>1</v>
      </c>
      <c r="E9" s="85" t="str">
        <f t="shared" si="3"/>
        <v>1</v>
      </c>
      <c r="F9" s="85" t="str">
        <f t="shared" si="4"/>
        <v>01</v>
      </c>
      <c r="G9" s="85" t="str">
        <f t="shared" si="5"/>
        <v>1</v>
      </c>
      <c r="H9" s="85" t="str">
        <f t="shared" si="6"/>
        <v>1</v>
      </c>
      <c r="I9" s="87">
        <v>11110111</v>
      </c>
      <c r="J9" s="85" t="s">
        <v>2887</v>
      </c>
      <c r="K9" s="85" t="s">
        <v>2888</v>
      </c>
      <c r="L9" s="84"/>
      <c r="M9" s="85" t="s">
        <v>2889</v>
      </c>
      <c r="N9" s="85" t="s">
        <v>2879</v>
      </c>
      <c r="O9" s="85" t="s">
        <v>29</v>
      </c>
      <c r="P9" s="86" t="s">
        <v>2890</v>
      </c>
    </row>
    <row r="10" spans="2:16" ht="15.75" x14ac:dyDescent="0.25">
      <c r="B10" s="85" t="str">
        <f t="shared" si="0"/>
        <v>1</v>
      </c>
      <c r="C10" s="85" t="str">
        <f t="shared" si="1"/>
        <v>1</v>
      </c>
      <c r="D10" s="85" t="str">
        <f t="shared" si="2"/>
        <v>1</v>
      </c>
      <c r="E10" s="85" t="str">
        <f t="shared" si="3"/>
        <v>1</v>
      </c>
      <c r="F10" s="85" t="str">
        <f t="shared" si="4"/>
        <v>01</v>
      </c>
      <c r="G10" s="85" t="str">
        <f t="shared" si="5"/>
        <v>1</v>
      </c>
      <c r="H10" s="85" t="str">
        <f t="shared" si="6"/>
        <v>2</v>
      </c>
      <c r="I10" s="87">
        <v>11110112</v>
      </c>
      <c r="J10" s="85" t="s">
        <v>5234</v>
      </c>
      <c r="K10" s="85" t="s">
        <v>2892</v>
      </c>
      <c r="L10" s="84"/>
      <c r="M10" s="85" t="s">
        <v>2892</v>
      </c>
      <c r="N10" s="85" t="s">
        <v>2879</v>
      </c>
      <c r="O10" s="85" t="s">
        <v>2892</v>
      </c>
      <c r="P10" s="86" t="s">
        <v>2890</v>
      </c>
    </row>
    <row r="11" spans="2:16" ht="15.75" x14ac:dyDescent="0.25">
      <c r="B11" s="85" t="str">
        <f t="shared" si="0"/>
        <v>1</v>
      </c>
      <c r="C11" s="85" t="str">
        <f t="shared" si="1"/>
        <v>1</v>
      </c>
      <c r="D11" s="85" t="str">
        <f t="shared" si="2"/>
        <v>1</v>
      </c>
      <c r="E11" s="85" t="str">
        <f t="shared" si="3"/>
        <v>1</v>
      </c>
      <c r="F11" s="85" t="str">
        <f t="shared" si="4"/>
        <v>01</v>
      </c>
      <c r="G11" s="85" t="str">
        <f t="shared" si="5"/>
        <v>1</v>
      </c>
      <c r="H11" s="85" t="str">
        <f t="shared" si="6"/>
        <v>3</v>
      </c>
      <c r="I11" s="87">
        <v>11110113</v>
      </c>
      <c r="J11" s="85" t="s">
        <v>2893</v>
      </c>
      <c r="K11" s="85" t="s">
        <v>2892</v>
      </c>
      <c r="L11" s="84"/>
      <c r="M11" s="85" t="s">
        <v>2892</v>
      </c>
      <c r="N11" s="85" t="s">
        <v>2879</v>
      </c>
      <c r="O11" s="85" t="s">
        <v>2892</v>
      </c>
      <c r="P11" s="86" t="s">
        <v>2890</v>
      </c>
    </row>
    <row r="12" spans="2:16" ht="30" x14ac:dyDescent="0.25">
      <c r="B12" s="85" t="str">
        <f t="shared" si="0"/>
        <v>1</v>
      </c>
      <c r="C12" s="85" t="str">
        <f t="shared" si="1"/>
        <v>1</v>
      </c>
      <c r="D12" s="85" t="str">
        <f t="shared" si="2"/>
        <v>1</v>
      </c>
      <c r="E12" s="85" t="str">
        <f t="shared" si="3"/>
        <v>1</v>
      </c>
      <c r="F12" s="85" t="str">
        <f t="shared" si="4"/>
        <v>01</v>
      </c>
      <c r="G12" s="85" t="str">
        <f t="shared" si="5"/>
        <v>1</v>
      </c>
      <c r="H12" s="85" t="str">
        <f t="shared" si="6"/>
        <v>4</v>
      </c>
      <c r="I12" s="87">
        <v>11110114</v>
      </c>
      <c r="J12" s="85" t="s">
        <v>5235</v>
      </c>
      <c r="K12" s="85" t="s">
        <v>2892</v>
      </c>
      <c r="L12" s="84"/>
      <c r="M12" s="85" t="s">
        <v>2892</v>
      </c>
      <c r="N12" s="85" t="s">
        <v>2879</v>
      </c>
      <c r="O12" s="85" t="s">
        <v>2892</v>
      </c>
      <c r="P12" s="86" t="s">
        <v>2890</v>
      </c>
    </row>
    <row r="13" spans="2:16" ht="15.75" x14ac:dyDescent="0.25">
      <c r="B13" s="85" t="str">
        <f t="shared" si="0"/>
        <v>1</v>
      </c>
      <c r="C13" s="85" t="str">
        <f t="shared" si="1"/>
        <v>1</v>
      </c>
      <c r="D13" s="85" t="str">
        <f t="shared" si="2"/>
        <v>1</v>
      </c>
      <c r="E13" s="85" t="str">
        <f t="shared" si="3"/>
        <v>1</v>
      </c>
      <c r="F13" s="85" t="str">
        <f t="shared" si="4"/>
        <v>01</v>
      </c>
      <c r="G13" s="85" t="str">
        <f t="shared" si="5"/>
        <v>1</v>
      </c>
      <c r="H13" s="85" t="str">
        <f t="shared" si="6"/>
        <v>5</v>
      </c>
      <c r="I13" s="87">
        <v>11110115</v>
      </c>
      <c r="J13" s="85" t="s">
        <v>5236</v>
      </c>
      <c r="K13" s="85" t="s">
        <v>2892</v>
      </c>
      <c r="L13" s="84"/>
      <c r="M13" s="85" t="s">
        <v>2892</v>
      </c>
      <c r="N13" s="85" t="s">
        <v>2879</v>
      </c>
      <c r="O13" s="85" t="s">
        <v>2892</v>
      </c>
      <c r="P13" s="86" t="s">
        <v>2890</v>
      </c>
    </row>
    <row r="14" spans="2:16" ht="15.75" x14ac:dyDescent="0.25">
      <c r="B14" s="85" t="str">
        <f t="shared" si="0"/>
        <v>1</v>
      </c>
      <c r="C14" s="85" t="str">
        <f t="shared" si="1"/>
        <v>1</v>
      </c>
      <c r="D14" s="85" t="str">
        <f t="shared" si="2"/>
        <v>1</v>
      </c>
      <c r="E14" s="85" t="str">
        <f t="shared" si="3"/>
        <v>1</v>
      </c>
      <c r="F14" s="85" t="str">
        <f t="shared" si="4"/>
        <v>01</v>
      </c>
      <c r="G14" s="85" t="str">
        <f t="shared" si="5"/>
        <v>1</v>
      </c>
      <c r="H14" s="85" t="str">
        <f t="shared" si="6"/>
        <v>6</v>
      </c>
      <c r="I14" s="87">
        <v>11110116</v>
      </c>
      <c r="J14" s="85" t="s">
        <v>5237</v>
      </c>
      <c r="K14" s="85" t="s">
        <v>2892</v>
      </c>
      <c r="L14" s="84"/>
      <c r="M14" s="85" t="s">
        <v>2892</v>
      </c>
      <c r="N14" s="85" t="s">
        <v>2879</v>
      </c>
      <c r="O14" s="85" t="s">
        <v>2892</v>
      </c>
      <c r="P14" s="86" t="s">
        <v>2890</v>
      </c>
    </row>
    <row r="15" spans="2:16" ht="15.75" x14ac:dyDescent="0.25">
      <c r="B15" s="85" t="str">
        <f t="shared" si="0"/>
        <v>1</v>
      </c>
      <c r="C15" s="85" t="str">
        <f t="shared" si="1"/>
        <v>1</v>
      </c>
      <c r="D15" s="85" t="str">
        <f t="shared" si="2"/>
        <v>1</v>
      </c>
      <c r="E15" s="85" t="str">
        <f t="shared" si="3"/>
        <v>1</v>
      </c>
      <c r="F15" s="85" t="str">
        <f t="shared" si="4"/>
        <v>01</v>
      </c>
      <c r="G15" s="85" t="str">
        <f t="shared" si="5"/>
        <v>1</v>
      </c>
      <c r="H15" s="85" t="str">
        <f t="shared" si="6"/>
        <v>7</v>
      </c>
      <c r="I15" s="87">
        <v>11110117</v>
      </c>
      <c r="J15" s="85" t="s">
        <v>5238</v>
      </c>
      <c r="K15" s="85" t="s">
        <v>2892</v>
      </c>
      <c r="L15" s="84"/>
      <c r="M15" s="85" t="s">
        <v>2892</v>
      </c>
      <c r="N15" s="85" t="s">
        <v>2879</v>
      </c>
      <c r="O15" s="85" t="s">
        <v>2892</v>
      </c>
      <c r="P15" s="86" t="s">
        <v>2890</v>
      </c>
    </row>
    <row r="16" spans="2:16" ht="15.75" x14ac:dyDescent="0.25">
      <c r="B16" s="85" t="str">
        <f t="shared" si="0"/>
        <v>1</v>
      </c>
      <c r="C16" s="85" t="str">
        <f t="shared" si="1"/>
        <v>1</v>
      </c>
      <c r="D16" s="85" t="str">
        <f t="shared" si="2"/>
        <v>1</v>
      </c>
      <c r="E16" s="85" t="str">
        <f t="shared" si="3"/>
        <v>1</v>
      </c>
      <c r="F16" s="85" t="str">
        <f t="shared" si="4"/>
        <v>01</v>
      </c>
      <c r="G16" s="85" t="str">
        <f t="shared" si="5"/>
        <v>1</v>
      </c>
      <c r="H16" s="85" t="str">
        <f t="shared" si="6"/>
        <v>8</v>
      </c>
      <c r="I16" s="87">
        <v>11110118</v>
      </c>
      <c r="J16" s="85" t="s">
        <v>5239</v>
      </c>
      <c r="K16" s="85" t="s">
        <v>2892</v>
      </c>
      <c r="L16" s="84"/>
      <c r="M16" s="85" t="s">
        <v>2892</v>
      </c>
      <c r="N16" s="85" t="s">
        <v>2879</v>
      </c>
      <c r="O16" s="85" t="s">
        <v>2892</v>
      </c>
      <c r="P16" s="86" t="s">
        <v>2890</v>
      </c>
    </row>
    <row r="17" spans="2:16" ht="45" x14ac:dyDescent="0.25">
      <c r="B17" s="108" t="str">
        <f t="shared" si="0"/>
        <v>1</v>
      </c>
      <c r="C17" s="108" t="str">
        <f t="shared" si="1"/>
        <v>1</v>
      </c>
      <c r="D17" s="108" t="str">
        <f t="shared" si="2"/>
        <v>1</v>
      </c>
      <c r="E17" s="108" t="str">
        <f t="shared" si="3"/>
        <v>1</v>
      </c>
      <c r="F17" s="108" t="str">
        <f t="shared" si="4"/>
        <v>02</v>
      </c>
      <c r="G17" s="108" t="str">
        <f t="shared" si="5"/>
        <v>0</v>
      </c>
      <c r="H17" s="108" t="str">
        <f t="shared" si="6"/>
        <v>0</v>
      </c>
      <c r="I17" s="109">
        <v>11110200</v>
      </c>
      <c r="J17" s="108" t="s">
        <v>36</v>
      </c>
      <c r="K17" s="108" t="s">
        <v>2895</v>
      </c>
      <c r="L17" s="110"/>
      <c r="M17" s="108" t="s">
        <v>2878</v>
      </c>
      <c r="N17" s="108" t="s">
        <v>2879</v>
      </c>
      <c r="O17" s="108" t="s">
        <v>2878</v>
      </c>
      <c r="P17" s="111" t="s">
        <v>2880</v>
      </c>
    </row>
    <row r="18" spans="2:16" ht="30" x14ac:dyDescent="0.25">
      <c r="B18" s="114" t="str">
        <f t="shared" si="0"/>
        <v>1</v>
      </c>
      <c r="C18" s="114" t="str">
        <f t="shared" si="1"/>
        <v>1</v>
      </c>
      <c r="D18" s="114" t="str">
        <f t="shared" si="2"/>
        <v>1</v>
      </c>
      <c r="E18" s="114" t="str">
        <f t="shared" si="3"/>
        <v>1</v>
      </c>
      <c r="F18" s="114" t="str">
        <f t="shared" si="4"/>
        <v>02</v>
      </c>
      <c r="G18" s="114" t="str">
        <f t="shared" si="5"/>
        <v>1</v>
      </c>
      <c r="H18" s="114" t="str">
        <f t="shared" si="6"/>
        <v>0</v>
      </c>
      <c r="I18" s="115">
        <v>11110210</v>
      </c>
      <c r="J18" s="114" t="s">
        <v>36</v>
      </c>
      <c r="K18" s="114" t="s">
        <v>2896</v>
      </c>
      <c r="L18" s="116"/>
      <c r="M18" s="114" t="s">
        <v>2878</v>
      </c>
      <c r="N18" s="114" t="s">
        <v>2879</v>
      </c>
      <c r="O18" s="114" t="s">
        <v>2878</v>
      </c>
      <c r="P18" s="117" t="s">
        <v>2880</v>
      </c>
    </row>
    <row r="19" spans="2:16" ht="30" x14ac:dyDescent="0.25">
      <c r="B19" s="104" t="str">
        <f t="shared" si="0"/>
        <v>1</v>
      </c>
      <c r="C19" s="104" t="str">
        <f t="shared" si="1"/>
        <v>1</v>
      </c>
      <c r="D19" s="104" t="str">
        <f t="shared" si="2"/>
        <v>1</v>
      </c>
      <c r="E19" s="104" t="str">
        <f t="shared" si="3"/>
        <v>2</v>
      </c>
      <c r="F19" s="104" t="str">
        <f t="shared" si="4"/>
        <v>00</v>
      </c>
      <c r="G19" s="104" t="str">
        <f t="shared" si="5"/>
        <v>0</v>
      </c>
      <c r="H19" s="104" t="str">
        <f t="shared" si="6"/>
        <v>0</v>
      </c>
      <c r="I19" s="105">
        <v>11120000</v>
      </c>
      <c r="J19" s="104" t="s">
        <v>2902</v>
      </c>
      <c r="K19" s="104" t="s">
        <v>2903</v>
      </c>
      <c r="L19" s="106"/>
      <c r="M19" s="104" t="s">
        <v>2878</v>
      </c>
      <c r="N19" s="104" t="s">
        <v>2879</v>
      </c>
      <c r="O19" s="104" t="s">
        <v>2878</v>
      </c>
      <c r="P19" s="107" t="s">
        <v>2880</v>
      </c>
    </row>
    <row r="20" spans="2:16" ht="75" x14ac:dyDescent="0.25">
      <c r="B20" s="108" t="str">
        <f t="shared" si="0"/>
        <v>1</v>
      </c>
      <c r="C20" s="108" t="str">
        <f t="shared" si="1"/>
        <v>1</v>
      </c>
      <c r="D20" s="108" t="str">
        <f t="shared" si="2"/>
        <v>1</v>
      </c>
      <c r="E20" s="108" t="str">
        <f t="shared" si="3"/>
        <v>2</v>
      </c>
      <c r="F20" s="108" t="str">
        <f t="shared" si="4"/>
        <v>01</v>
      </c>
      <c r="G20" s="108" t="str">
        <f t="shared" si="5"/>
        <v>0</v>
      </c>
      <c r="H20" s="108" t="str">
        <f t="shared" si="6"/>
        <v>0</v>
      </c>
      <c r="I20" s="109">
        <v>11120100</v>
      </c>
      <c r="J20" s="108" t="s">
        <v>45</v>
      </c>
      <c r="K20" s="108" t="s">
        <v>2904</v>
      </c>
      <c r="L20" s="110"/>
      <c r="M20" s="108" t="s">
        <v>2878</v>
      </c>
      <c r="N20" s="108" t="s">
        <v>2879</v>
      </c>
      <c r="O20" s="108" t="s">
        <v>47</v>
      </c>
      <c r="P20" s="111" t="s">
        <v>2880</v>
      </c>
    </row>
    <row r="21" spans="2:16" ht="45" x14ac:dyDescent="0.25">
      <c r="B21" s="114" t="str">
        <f t="shared" si="0"/>
        <v>1</v>
      </c>
      <c r="C21" s="114" t="str">
        <f t="shared" si="1"/>
        <v>1</v>
      </c>
      <c r="D21" s="114" t="str">
        <f t="shared" si="2"/>
        <v>1</v>
      </c>
      <c r="E21" s="114" t="str">
        <f t="shared" si="3"/>
        <v>2</v>
      </c>
      <c r="F21" s="114" t="str">
        <f t="shared" si="4"/>
        <v>01</v>
      </c>
      <c r="G21" s="114" t="str">
        <f t="shared" si="5"/>
        <v>1</v>
      </c>
      <c r="H21" s="114" t="str">
        <f t="shared" si="6"/>
        <v>0</v>
      </c>
      <c r="I21" s="115">
        <v>11120110</v>
      </c>
      <c r="J21" s="114" t="s">
        <v>48</v>
      </c>
      <c r="K21" s="114" t="s">
        <v>2905</v>
      </c>
      <c r="L21" s="116"/>
      <c r="M21" s="114" t="s">
        <v>2878</v>
      </c>
      <c r="N21" s="114" t="s">
        <v>2879</v>
      </c>
      <c r="O21" s="114" t="s">
        <v>2878</v>
      </c>
      <c r="P21" s="117" t="s">
        <v>2880</v>
      </c>
    </row>
    <row r="22" spans="2:16" ht="45" x14ac:dyDescent="0.25">
      <c r="B22" s="114" t="str">
        <f t="shared" si="0"/>
        <v>1</v>
      </c>
      <c r="C22" s="114" t="str">
        <f t="shared" si="1"/>
        <v>1</v>
      </c>
      <c r="D22" s="114" t="str">
        <f t="shared" si="2"/>
        <v>1</v>
      </c>
      <c r="E22" s="114" t="str">
        <f t="shared" si="3"/>
        <v>2</v>
      </c>
      <c r="F22" s="114" t="str">
        <f t="shared" si="4"/>
        <v>01</v>
      </c>
      <c r="G22" s="114" t="str">
        <f t="shared" si="5"/>
        <v>2</v>
      </c>
      <c r="H22" s="114" t="str">
        <f t="shared" si="6"/>
        <v>0</v>
      </c>
      <c r="I22" s="115">
        <v>11120120</v>
      </c>
      <c r="J22" s="114" t="s">
        <v>51</v>
      </c>
      <c r="K22" s="114" t="s">
        <v>2912</v>
      </c>
      <c r="L22" s="116"/>
      <c r="M22" s="114" t="s">
        <v>2878</v>
      </c>
      <c r="N22" s="114" t="s">
        <v>2879</v>
      </c>
      <c r="O22" s="114" t="s">
        <v>2878</v>
      </c>
      <c r="P22" s="117" t="s">
        <v>2880</v>
      </c>
    </row>
    <row r="23" spans="2:16" ht="30" x14ac:dyDescent="0.25">
      <c r="B23" s="104" t="str">
        <f t="shared" si="0"/>
        <v>1</v>
      </c>
      <c r="C23" s="104" t="str">
        <f t="shared" si="1"/>
        <v>1</v>
      </c>
      <c r="D23" s="104" t="str">
        <f t="shared" si="2"/>
        <v>1</v>
      </c>
      <c r="E23" s="104" t="str">
        <f t="shared" si="3"/>
        <v>3</v>
      </c>
      <c r="F23" s="104" t="str">
        <f t="shared" si="4"/>
        <v>00</v>
      </c>
      <c r="G23" s="104" t="str">
        <f t="shared" si="5"/>
        <v>0</v>
      </c>
      <c r="H23" s="104" t="str">
        <f t="shared" si="6"/>
        <v>0</v>
      </c>
      <c r="I23" s="105">
        <v>11130000</v>
      </c>
      <c r="J23" s="104" t="s">
        <v>2919</v>
      </c>
      <c r="K23" s="104" t="s">
        <v>2920</v>
      </c>
      <c r="L23" s="106"/>
      <c r="M23" s="104" t="s">
        <v>2878</v>
      </c>
      <c r="N23" s="104" t="s">
        <v>2879</v>
      </c>
      <c r="O23" s="104" t="s">
        <v>2878</v>
      </c>
      <c r="P23" s="107" t="s">
        <v>2880</v>
      </c>
    </row>
    <row r="24" spans="2:16" ht="45" x14ac:dyDescent="0.25">
      <c r="B24" s="108" t="str">
        <f t="shared" si="0"/>
        <v>1</v>
      </c>
      <c r="C24" s="108" t="str">
        <f t="shared" si="1"/>
        <v>1</v>
      </c>
      <c r="D24" s="108" t="str">
        <f t="shared" si="2"/>
        <v>1</v>
      </c>
      <c r="E24" s="108" t="str">
        <f t="shared" si="3"/>
        <v>3</v>
      </c>
      <c r="F24" s="108" t="str">
        <f t="shared" si="4"/>
        <v>01</v>
      </c>
      <c r="G24" s="108" t="str">
        <f t="shared" si="5"/>
        <v>0</v>
      </c>
      <c r="H24" s="108" t="str">
        <f t="shared" si="6"/>
        <v>0</v>
      </c>
      <c r="I24" s="109">
        <v>11130100</v>
      </c>
      <c r="J24" s="108" t="s">
        <v>2921</v>
      </c>
      <c r="K24" s="108" t="s">
        <v>2922</v>
      </c>
      <c r="L24" s="110"/>
      <c r="M24" s="108" t="s">
        <v>2878</v>
      </c>
      <c r="N24" s="108" t="s">
        <v>2879</v>
      </c>
      <c r="O24" s="108" t="s">
        <v>2878</v>
      </c>
      <c r="P24" s="111" t="s">
        <v>2880</v>
      </c>
    </row>
    <row r="25" spans="2:16" ht="45" x14ac:dyDescent="0.25">
      <c r="B25" s="114" t="str">
        <f t="shared" si="0"/>
        <v>1</v>
      </c>
      <c r="C25" s="114" t="str">
        <f t="shared" si="1"/>
        <v>1</v>
      </c>
      <c r="D25" s="114" t="str">
        <f t="shared" si="2"/>
        <v>1</v>
      </c>
      <c r="E25" s="114" t="str">
        <f t="shared" si="3"/>
        <v>3</v>
      </c>
      <c r="F25" s="114" t="str">
        <f t="shared" si="4"/>
        <v>01</v>
      </c>
      <c r="G25" s="114" t="str">
        <f t="shared" si="5"/>
        <v>1</v>
      </c>
      <c r="H25" s="114" t="str">
        <f t="shared" si="6"/>
        <v>0</v>
      </c>
      <c r="I25" s="115">
        <v>11130110</v>
      </c>
      <c r="J25" s="114" t="s">
        <v>2921</v>
      </c>
      <c r="K25" s="114" t="s">
        <v>2922</v>
      </c>
      <c r="L25" s="116"/>
      <c r="M25" s="114" t="s">
        <v>2878</v>
      </c>
      <c r="N25" s="114" t="s">
        <v>2879</v>
      </c>
      <c r="O25" s="114" t="s">
        <v>2878</v>
      </c>
      <c r="P25" s="117" t="s">
        <v>2880</v>
      </c>
    </row>
    <row r="26" spans="2:16" ht="135" x14ac:dyDescent="0.25">
      <c r="B26" s="108" t="str">
        <f t="shared" si="0"/>
        <v>1</v>
      </c>
      <c r="C26" s="108" t="str">
        <f t="shared" si="1"/>
        <v>1</v>
      </c>
      <c r="D26" s="108" t="str">
        <f t="shared" si="2"/>
        <v>1</v>
      </c>
      <c r="E26" s="108" t="str">
        <f t="shared" si="3"/>
        <v>3</v>
      </c>
      <c r="F26" s="108" t="str">
        <f t="shared" si="4"/>
        <v>02</v>
      </c>
      <c r="G26" s="108" t="str">
        <f t="shared" si="5"/>
        <v>0</v>
      </c>
      <c r="H26" s="108" t="str">
        <f t="shared" si="6"/>
        <v>0</v>
      </c>
      <c r="I26" s="109">
        <v>11130200</v>
      </c>
      <c r="J26" s="108" t="s">
        <v>2930</v>
      </c>
      <c r="K26" s="108" t="s">
        <v>2931</v>
      </c>
      <c r="L26" s="110"/>
      <c r="M26" s="108" t="s">
        <v>2878</v>
      </c>
      <c r="N26" s="108" t="s">
        <v>2879</v>
      </c>
      <c r="O26" s="108" t="s">
        <v>2878</v>
      </c>
      <c r="P26" s="111" t="s">
        <v>2880</v>
      </c>
    </row>
    <row r="27" spans="2:16" ht="135" x14ac:dyDescent="0.25">
      <c r="B27" s="114" t="str">
        <f t="shared" si="0"/>
        <v>1</v>
      </c>
      <c r="C27" s="114" t="str">
        <f t="shared" si="1"/>
        <v>1</v>
      </c>
      <c r="D27" s="114" t="str">
        <f t="shared" si="2"/>
        <v>1</v>
      </c>
      <c r="E27" s="114" t="str">
        <f t="shared" si="3"/>
        <v>3</v>
      </c>
      <c r="F27" s="114" t="str">
        <f t="shared" si="4"/>
        <v>02</v>
      </c>
      <c r="G27" s="114" t="str">
        <f t="shared" si="5"/>
        <v>1</v>
      </c>
      <c r="H27" s="114" t="str">
        <f t="shared" si="6"/>
        <v>0</v>
      </c>
      <c r="I27" s="115">
        <v>11130210</v>
      </c>
      <c r="J27" s="114" t="s">
        <v>2930</v>
      </c>
      <c r="K27" s="114" t="s">
        <v>2931</v>
      </c>
      <c r="L27" s="116"/>
      <c r="M27" s="114" t="s">
        <v>2878</v>
      </c>
      <c r="N27" s="114" t="s">
        <v>2879</v>
      </c>
      <c r="O27" s="114" t="s">
        <v>2878</v>
      </c>
      <c r="P27" s="117" t="s">
        <v>2880</v>
      </c>
    </row>
    <row r="28" spans="2:16" ht="30" x14ac:dyDescent="0.25">
      <c r="B28" s="108" t="str">
        <f t="shared" si="0"/>
        <v>1</v>
      </c>
      <c r="C28" s="108" t="str">
        <f t="shared" si="1"/>
        <v>1</v>
      </c>
      <c r="D28" s="108" t="str">
        <f t="shared" si="2"/>
        <v>1</v>
      </c>
      <c r="E28" s="108" t="str">
        <f t="shared" si="3"/>
        <v>3</v>
      </c>
      <c r="F28" s="108" t="str">
        <f t="shared" si="4"/>
        <v>03</v>
      </c>
      <c r="G28" s="108" t="str">
        <f t="shared" si="5"/>
        <v>0</v>
      </c>
      <c r="H28" s="108" t="str">
        <f t="shared" si="6"/>
        <v>0</v>
      </c>
      <c r="I28" s="109">
        <v>11130300</v>
      </c>
      <c r="J28" s="108" t="s">
        <v>2938</v>
      </c>
      <c r="K28" s="108" t="s">
        <v>2939</v>
      </c>
      <c r="L28" s="110"/>
      <c r="M28" s="108" t="s">
        <v>2878</v>
      </c>
      <c r="N28" s="108" t="s">
        <v>2879</v>
      </c>
      <c r="O28" s="108" t="s">
        <v>2878</v>
      </c>
      <c r="P28" s="111" t="s">
        <v>2880</v>
      </c>
    </row>
    <row r="29" spans="2:16" ht="30" x14ac:dyDescent="0.25">
      <c r="B29" s="114" t="str">
        <f t="shared" si="0"/>
        <v>1</v>
      </c>
      <c r="C29" s="114" t="str">
        <f t="shared" si="1"/>
        <v>1</v>
      </c>
      <c r="D29" s="114" t="str">
        <f t="shared" si="2"/>
        <v>1</v>
      </c>
      <c r="E29" s="114" t="str">
        <f t="shared" si="3"/>
        <v>3</v>
      </c>
      <c r="F29" s="114" t="str">
        <f t="shared" si="4"/>
        <v>03</v>
      </c>
      <c r="G29" s="114" t="str">
        <f t="shared" si="5"/>
        <v>1</v>
      </c>
      <c r="H29" s="114" t="str">
        <f t="shared" si="6"/>
        <v>0</v>
      </c>
      <c r="I29" s="115">
        <v>11130310</v>
      </c>
      <c r="J29" s="114" t="s">
        <v>2940</v>
      </c>
      <c r="K29" s="114" t="s">
        <v>2941</v>
      </c>
      <c r="L29" s="116"/>
      <c r="M29" s="114" t="s">
        <v>2878</v>
      </c>
      <c r="N29" s="114" t="s">
        <v>2879</v>
      </c>
      <c r="O29" s="114" t="s">
        <v>2878</v>
      </c>
      <c r="P29" s="117" t="s">
        <v>2880</v>
      </c>
    </row>
    <row r="30" spans="2:16" ht="75" x14ac:dyDescent="0.25">
      <c r="B30" s="114" t="str">
        <f t="shared" si="0"/>
        <v>1</v>
      </c>
      <c r="C30" s="114" t="str">
        <f t="shared" si="1"/>
        <v>1</v>
      </c>
      <c r="D30" s="114" t="str">
        <f t="shared" si="2"/>
        <v>1</v>
      </c>
      <c r="E30" s="114" t="str">
        <f t="shared" si="3"/>
        <v>3</v>
      </c>
      <c r="F30" s="114" t="str">
        <f t="shared" si="4"/>
        <v>03</v>
      </c>
      <c r="G30" s="114" t="str">
        <f t="shared" si="5"/>
        <v>2</v>
      </c>
      <c r="H30" s="114" t="str">
        <f t="shared" si="6"/>
        <v>0</v>
      </c>
      <c r="I30" s="115">
        <v>11130320</v>
      </c>
      <c r="J30" s="114" t="s">
        <v>2948</v>
      </c>
      <c r="K30" s="114" t="s">
        <v>2949</v>
      </c>
      <c r="L30" s="116"/>
      <c r="M30" s="114" t="s">
        <v>2878</v>
      </c>
      <c r="N30" s="114" t="s">
        <v>2879</v>
      </c>
      <c r="O30" s="114" t="s">
        <v>2878</v>
      </c>
      <c r="P30" s="117" t="s">
        <v>2880</v>
      </c>
    </row>
    <row r="31" spans="2:16" ht="75" customHeight="1" x14ac:dyDescent="0.25">
      <c r="B31" s="114" t="str">
        <f t="shared" si="0"/>
        <v>1</v>
      </c>
      <c r="C31" s="114" t="str">
        <f t="shared" si="1"/>
        <v>1</v>
      </c>
      <c r="D31" s="114" t="str">
        <f t="shared" si="2"/>
        <v>1</v>
      </c>
      <c r="E31" s="114" t="str">
        <f t="shared" si="3"/>
        <v>3</v>
      </c>
      <c r="F31" s="114" t="str">
        <f t="shared" si="4"/>
        <v>03</v>
      </c>
      <c r="G31" s="114" t="str">
        <f t="shared" si="5"/>
        <v>3</v>
      </c>
      <c r="H31" s="114" t="str">
        <f t="shared" si="6"/>
        <v>0</v>
      </c>
      <c r="I31" s="115">
        <v>11130330</v>
      </c>
      <c r="J31" s="114" t="s">
        <v>2956</v>
      </c>
      <c r="K31" s="114" t="s">
        <v>2957</v>
      </c>
      <c r="L31" s="116"/>
      <c r="M31" s="114" t="s">
        <v>2878</v>
      </c>
      <c r="N31" s="114" t="s">
        <v>2879</v>
      </c>
      <c r="O31" s="114" t="s">
        <v>2878</v>
      </c>
      <c r="P31" s="117" t="s">
        <v>2880</v>
      </c>
    </row>
    <row r="32" spans="2:16" ht="122.25" customHeight="1" x14ac:dyDescent="0.25">
      <c r="B32" s="114" t="str">
        <f t="shared" si="0"/>
        <v>1</v>
      </c>
      <c r="C32" s="114" t="str">
        <f t="shared" si="1"/>
        <v>1</v>
      </c>
      <c r="D32" s="114" t="str">
        <f t="shared" si="2"/>
        <v>1</v>
      </c>
      <c r="E32" s="114" t="str">
        <f t="shared" si="3"/>
        <v>3</v>
      </c>
      <c r="F32" s="114" t="str">
        <f t="shared" si="4"/>
        <v>03</v>
      </c>
      <c r="G32" s="114" t="str">
        <f t="shared" si="5"/>
        <v>4</v>
      </c>
      <c r="H32" s="114" t="str">
        <f t="shared" si="6"/>
        <v>0</v>
      </c>
      <c r="I32" s="115">
        <v>11130340</v>
      </c>
      <c r="J32" s="114" t="s">
        <v>2964</v>
      </c>
      <c r="K32" s="114" t="s">
        <v>2965</v>
      </c>
      <c r="L32" s="116"/>
      <c r="M32" s="114" t="s">
        <v>2878</v>
      </c>
      <c r="N32" s="114" t="s">
        <v>2879</v>
      </c>
      <c r="O32" s="114" t="s">
        <v>2878</v>
      </c>
      <c r="P32" s="117" t="s">
        <v>2880</v>
      </c>
    </row>
    <row r="33" spans="2:16" ht="120" x14ac:dyDescent="0.25">
      <c r="B33" s="104" t="str">
        <f t="shared" si="0"/>
        <v>1</v>
      </c>
      <c r="C33" s="104" t="str">
        <f t="shared" si="1"/>
        <v>1</v>
      </c>
      <c r="D33" s="104" t="str">
        <f t="shared" si="2"/>
        <v>1</v>
      </c>
      <c r="E33" s="104" t="str">
        <f t="shared" si="3"/>
        <v>4</v>
      </c>
      <c r="F33" s="104" t="str">
        <f t="shared" si="4"/>
        <v>00</v>
      </c>
      <c r="G33" s="104" t="str">
        <f t="shared" si="5"/>
        <v>0</v>
      </c>
      <c r="H33" s="104" t="str">
        <f t="shared" si="6"/>
        <v>0</v>
      </c>
      <c r="I33" s="105">
        <v>11140000</v>
      </c>
      <c r="J33" s="104" t="s">
        <v>5047</v>
      </c>
      <c r="K33" s="104" t="s">
        <v>2972</v>
      </c>
      <c r="L33" s="106"/>
      <c r="M33" s="104" t="s">
        <v>2878</v>
      </c>
      <c r="N33" s="104" t="s">
        <v>4980</v>
      </c>
      <c r="O33" s="104" t="s">
        <v>2878</v>
      </c>
      <c r="P33" s="107" t="s">
        <v>2880</v>
      </c>
    </row>
    <row r="34" spans="2:16" ht="72.75" customHeight="1" x14ac:dyDescent="0.25">
      <c r="B34" s="108" t="str">
        <f t="shared" si="0"/>
        <v>1</v>
      </c>
      <c r="C34" s="108" t="str">
        <f t="shared" si="1"/>
        <v>1</v>
      </c>
      <c r="D34" s="108" t="str">
        <f t="shared" si="2"/>
        <v>1</v>
      </c>
      <c r="E34" s="108" t="str">
        <f t="shared" si="3"/>
        <v>4</v>
      </c>
      <c r="F34" s="108" t="str">
        <f t="shared" si="4"/>
        <v>01</v>
      </c>
      <c r="G34" s="108" t="str">
        <f t="shared" si="5"/>
        <v>0</v>
      </c>
      <c r="H34" s="108" t="str">
        <f t="shared" si="6"/>
        <v>0</v>
      </c>
      <c r="I34" s="109">
        <v>11140100</v>
      </c>
      <c r="J34" s="108" t="s">
        <v>2973</v>
      </c>
      <c r="K34" s="108" t="s">
        <v>2974</v>
      </c>
      <c r="L34" s="110"/>
      <c r="M34" s="108" t="s">
        <v>2878</v>
      </c>
      <c r="N34" s="108" t="s">
        <v>2879</v>
      </c>
      <c r="O34" s="108" t="s">
        <v>2878</v>
      </c>
      <c r="P34" s="111" t="s">
        <v>2880</v>
      </c>
    </row>
    <row r="35" spans="2:16" ht="45" x14ac:dyDescent="0.25">
      <c r="B35" s="114" t="str">
        <f t="shared" ref="B35:B51" si="7">MID($I35,1,1)</f>
        <v>1</v>
      </c>
      <c r="C35" s="114" t="str">
        <f t="shared" ref="C35:C51" si="8">MID($I35,2,1)</f>
        <v>1</v>
      </c>
      <c r="D35" s="114" t="str">
        <f t="shared" ref="D35:D51" si="9">MID($I35,3,1)</f>
        <v>1</v>
      </c>
      <c r="E35" s="114" t="str">
        <f t="shared" ref="E35:E51" si="10">MID($I35,4,1)</f>
        <v>4</v>
      </c>
      <c r="F35" s="114" t="str">
        <f t="shared" ref="F35:F51" si="11">MID($I35,5,2)</f>
        <v>01</v>
      </c>
      <c r="G35" s="114" t="str">
        <f t="shared" ref="G35:G51" si="12">MID($I35,7,1)</f>
        <v>1</v>
      </c>
      <c r="H35" s="114" t="str">
        <f t="shared" ref="H35:H51" si="13">MID($I35,8,1)</f>
        <v>0</v>
      </c>
      <c r="I35" s="115">
        <v>11140110</v>
      </c>
      <c r="J35" s="114" t="s">
        <v>2975</v>
      </c>
      <c r="K35" s="114" t="s">
        <v>2976</v>
      </c>
      <c r="L35" s="116"/>
      <c r="M35" s="114" t="s">
        <v>2878</v>
      </c>
      <c r="N35" s="114" t="s">
        <v>2879</v>
      </c>
      <c r="O35" s="114" t="s">
        <v>2878</v>
      </c>
      <c r="P35" s="117" t="s">
        <v>2880</v>
      </c>
    </row>
    <row r="36" spans="2:16" ht="78.75" customHeight="1" x14ac:dyDescent="0.25">
      <c r="B36" s="114" t="str">
        <f t="shared" si="7"/>
        <v>1</v>
      </c>
      <c r="C36" s="114" t="str">
        <f t="shared" si="8"/>
        <v>1</v>
      </c>
      <c r="D36" s="114" t="str">
        <f t="shared" si="9"/>
        <v>1</v>
      </c>
      <c r="E36" s="114" t="str">
        <f t="shared" si="10"/>
        <v>4</v>
      </c>
      <c r="F36" s="114" t="str">
        <f t="shared" si="11"/>
        <v>01</v>
      </c>
      <c r="G36" s="114" t="str">
        <f t="shared" si="12"/>
        <v>2</v>
      </c>
      <c r="H36" s="114" t="str">
        <f t="shared" si="13"/>
        <v>0</v>
      </c>
      <c r="I36" s="115">
        <v>11140120</v>
      </c>
      <c r="J36" s="114" t="s">
        <v>2984</v>
      </c>
      <c r="K36" s="114" t="s">
        <v>2985</v>
      </c>
      <c r="L36" s="116"/>
      <c r="M36" s="114" t="s">
        <v>2878</v>
      </c>
      <c r="N36" s="114" t="s">
        <v>2879</v>
      </c>
      <c r="O36" s="114" t="s">
        <v>2878</v>
      </c>
      <c r="P36" s="117" t="s">
        <v>2880</v>
      </c>
    </row>
    <row r="37" spans="2:16" ht="90" x14ac:dyDescent="0.25">
      <c r="B37" s="114" t="str">
        <f t="shared" si="7"/>
        <v>1</v>
      </c>
      <c r="C37" s="114" t="str">
        <f t="shared" si="8"/>
        <v>1</v>
      </c>
      <c r="D37" s="114" t="str">
        <f t="shared" si="9"/>
        <v>1</v>
      </c>
      <c r="E37" s="114" t="str">
        <f t="shared" si="10"/>
        <v>4</v>
      </c>
      <c r="F37" s="114" t="str">
        <f t="shared" si="11"/>
        <v>01</v>
      </c>
      <c r="G37" s="114" t="str">
        <f t="shared" si="12"/>
        <v>3</v>
      </c>
      <c r="H37" s="114" t="str">
        <f t="shared" si="13"/>
        <v>0</v>
      </c>
      <c r="I37" s="115">
        <v>11140130</v>
      </c>
      <c r="J37" s="114" t="s">
        <v>2987</v>
      </c>
      <c r="K37" s="114" t="s">
        <v>2988</v>
      </c>
      <c r="L37" s="116"/>
      <c r="M37" s="114" t="s">
        <v>2878</v>
      </c>
      <c r="N37" s="114" t="s">
        <v>2879</v>
      </c>
      <c r="O37" s="114" t="s">
        <v>2878</v>
      </c>
      <c r="P37" s="117" t="s">
        <v>2880</v>
      </c>
    </row>
    <row r="38" spans="2:16" ht="45" x14ac:dyDescent="0.25">
      <c r="B38" s="114" t="str">
        <f t="shared" si="7"/>
        <v>1</v>
      </c>
      <c r="C38" s="114" t="str">
        <f t="shared" si="8"/>
        <v>1</v>
      </c>
      <c r="D38" s="114" t="str">
        <f t="shared" si="9"/>
        <v>1</v>
      </c>
      <c r="E38" s="114" t="str">
        <f t="shared" si="10"/>
        <v>4</v>
      </c>
      <c r="F38" s="114" t="str">
        <f t="shared" si="11"/>
        <v>01</v>
      </c>
      <c r="G38" s="114" t="str">
        <f t="shared" si="12"/>
        <v>4</v>
      </c>
      <c r="H38" s="114" t="str">
        <f t="shared" si="13"/>
        <v>0</v>
      </c>
      <c r="I38" s="115">
        <v>11140140</v>
      </c>
      <c r="J38" s="114" t="s">
        <v>2994</v>
      </c>
      <c r="K38" s="114" t="s">
        <v>2995</v>
      </c>
      <c r="L38" s="116"/>
      <c r="M38" s="114" t="s">
        <v>2878</v>
      </c>
      <c r="N38" s="114" t="s">
        <v>2879</v>
      </c>
      <c r="O38" s="114" t="s">
        <v>2878</v>
      </c>
      <c r="P38" s="117" t="s">
        <v>2880</v>
      </c>
    </row>
    <row r="39" spans="2:16" ht="45" x14ac:dyDescent="0.25">
      <c r="B39" s="114" t="str">
        <f t="shared" si="7"/>
        <v>1</v>
      </c>
      <c r="C39" s="114" t="str">
        <f t="shared" si="8"/>
        <v>1</v>
      </c>
      <c r="D39" s="114" t="str">
        <f t="shared" si="9"/>
        <v>1</v>
      </c>
      <c r="E39" s="114" t="str">
        <f t="shared" si="10"/>
        <v>4</v>
      </c>
      <c r="F39" s="114" t="str">
        <f t="shared" si="11"/>
        <v>01</v>
      </c>
      <c r="G39" s="114" t="str">
        <f t="shared" si="12"/>
        <v>5</v>
      </c>
      <c r="H39" s="114" t="str">
        <f t="shared" si="13"/>
        <v>0</v>
      </c>
      <c r="I39" s="115">
        <v>11140150</v>
      </c>
      <c r="J39" s="114" t="s">
        <v>3001</v>
      </c>
      <c r="K39" s="114" t="s">
        <v>3002</v>
      </c>
      <c r="L39" s="116"/>
      <c r="M39" s="114" t="s">
        <v>2878</v>
      </c>
      <c r="N39" s="114" t="s">
        <v>2879</v>
      </c>
      <c r="O39" s="114" t="s">
        <v>2878</v>
      </c>
      <c r="P39" s="117" t="s">
        <v>2880</v>
      </c>
    </row>
    <row r="40" spans="2:16" ht="30" x14ac:dyDescent="0.25">
      <c r="B40" s="104" t="str">
        <f t="shared" si="7"/>
        <v>1</v>
      </c>
      <c r="C40" s="104" t="str">
        <f t="shared" si="8"/>
        <v>1</v>
      </c>
      <c r="D40" s="104" t="str">
        <f t="shared" si="9"/>
        <v>1</v>
      </c>
      <c r="E40" s="104" t="str">
        <f t="shared" si="10"/>
        <v>5</v>
      </c>
      <c r="F40" s="104" t="str">
        <f t="shared" si="11"/>
        <v>00</v>
      </c>
      <c r="G40" s="104" t="str">
        <f t="shared" si="12"/>
        <v>0</v>
      </c>
      <c r="H40" s="104" t="str">
        <f t="shared" si="13"/>
        <v>0</v>
      </c>
      <c r="I40" s="105">
        <v>11150000</v>
      </c>
      <c r="J40" s="104" t="s">
        <v>3008</v>
      </c>
      <c r="K40" s="104" t="s">
        <v>3009</v>
      </c>
      <c r="L40" s="106"/>
      <c r="M40" s="104" t="s">
        <v>2878</v>
      </c>
      <c r="N40" s="104" t="s">
        <v>2879</v>
      </c>
      <c r="O40" s="104" t="s">
        <v>2878</v>
      </c>
      <c r="P40" s="107" t="s">
        <v>2880</v>
      </c>
    </row>
    <row r="41" spans="2:16" ht="30" x14ac:dyDescent="0.25">
      <c r="B41" s="108" t="str">
        <f t="shared" si="7"/>
        <v>1</v>
      </c>
      <c r="C41" s="108" t="str">
        <f t="shared" si="8"/>
        <v>1</v>
      </c>
      <c r="D41" s="108" t="str">
        <f t="shared" si="9"/>
        <v>1</v>
      </c>
      <c r="E41" s="108" t="str">
        <f t="shared" si="10"/>
        <v>5</v>
      </c>
      <c r="F41" s="108" t="str">
        <f t="shared" si="11"/>
        <v>01</v>
      </c>
      <c r="G41" s="108" t="str">
        <f t="shared" si="12"/>
        <v>0</v>
      </c>
      <c r="H41" s="108" t="str">
        <f t="shared" si="13"/>
        <v>0</v>
      </c>
      <c r="I41" s="109">
        <v>11150100</v>
      </c>
      <c r="J41" s="108" t="s">
        <v>3010</v>
      </c>
      <c r="K41" s="108" t="s">
        <v>3009</v>
      </c>
      <c r="L41" s="110"/>
      <c r="M41" s="108" t="s">
        <v>2878</v>
      </c>
      <c r="N41" s="108" t="s">
        <v>2879</v>
      </c>
      <c r="O41" s="108" t="s">
        <v>2878</v>
      </c>
      <c r="P41" s="111" t="s">
        <v>2880</v>
      </c>
    </row>
    <row r="42" spans="2:16" ht="75" x14ac:dyDescent="0.25">
      <c r="B42" s="114" t="str">
        <f t="shared" si="7"/>
        <v>1</v>
      </c>
      <c r="C42" s="114" t="str">
        <f t="shared" si="8"/>
        <v>1</v>
      </c>
      <c r="D42" s="114" t="str">
        <f t="shared" si="9"/>
        <v>1</v>
      </c>
      <c r="E42" s="114" t="str">
        <f t="shared" si="10"/>
        <v>5</v>
      </c>
      <c r="F42" s="114" t="str">
        <f t="shared" si="11"/>
        <v>01</v>
      </c>
      <c r="G42" s="114" t="str">
        <f t="shared" si="12"/>
        <v>1</v>
      </c>
      <c r="H42" s="114" t="str">
        <f t="shared" si="13"/>
        <v>0</v>
      </c>
      <c r="I42" s="115">
        <v>11150110</v>
      </c>
      <c r="J42" s="114" t="s">
        <v>3011</v>
      </c>
      <c r="K42" s="114" t="s">
        <v>3012</v>
      </c>
      <c r="L42" s="116"/>
      <c r="M42" s="114" t="s">
        <v>2878</v>
      </c>
      <c r="N42" s="114" t="s">
        <v>2879</v>
      </c>
      <c r="O42" s="114" t="s">
        <v>2878</v>
      </c>
      <c r="P42" s="117" t="s">
        <v>2880</v>
      </c>
    </row>
    <row r="43" spans="2:16" ht="231.75" customHeight="1" x14ac:dyDescent="0.25">
      <c r="B43" s="114" t="str">
        <f t="shared" si="7"/>
        <v>1</v>
      </c>
      <c r="C43" s="114" t="str">
        <f t="shared" si="8"/>
        <v>1</v>
      </c>
      <c r="D43" s="114" t="str">
        <f t="shared" si="9"/>
        <v>1</v>
      </c>
      <c r="E43" s="114" t="str">
        <f t="shared" si="10"/>
        <v>5</v>
      </c>
      <c r="F43" s="114" t="str">
        <f t="shared" si="11"/>
        <v>01</v>
      </c>
      <c r="G43" s="114" t="str">
        <f t="shared" si="12"/>
        <v>2</v>
      </c>
      <c r="H43" s="114" t="str">
        <f t="shared" si="13"/>
        <v>0</v>
      </c>
      <c r="I43" s="115">
        <v>11150120</v>
      </c>
      <c r="J43" s="114" t="s">
        <v>3020</v>
      </c>
      <c r="K43" s="114" t="s">
        <v>3021</v>
      </c>
      <c r="L43" s="116"/>
      <c r="M43" s="114" t="s">
        <v>2878</v>
      </c>
      <c r="N43" s="114" t="s">
        <v>2879</v>
      </c>
      <c r="O43" s="114" t="s">
        <v>2878</v>
      </c>
      <c r="P43" s="117" t="s">
        <v>2880</v>
      </c>
    </row>
    <row r="44" spans="2:16" s="153" customFormat="1" ht="30" x14ac:dyDescent="0.25">
      <c r="B44" s="155" t="str">
        <f t="shared" si="7"/>
        <v>1</v>
      </c>
      <c r="C44" s="155" t="str">
        <f t="shared" si="8"/>
        <v>1</v>
      </c>
      <c r="D44" s="155" t="str">
        <f t="shared" si="9"/>
        <v>1</v>
      </c>
      <c r="E44" s="155" t="str">
        <f t="shared" si="10"/>
        <v>8</v>
      </c>
      <c r="F44" s="155" t="str">
        <f t="shared" si="11"/>
        <v>00</v>
      </c>
      <c r="G44" s="155" t="str">
        <f t="shared" si="12"/>
        <v>0</v>
      </c>
      <c r="H44" s="155" t="str">
        <f t="shared" si="13"/>
        <v>0</v>
      </c>
      <c r="I44" s="161">
        <v>11180000</v>
      </c>
      <c r="J44" s="155" t="s">
        <v>5020</v>
      </c>
      <c r="K44" s="155" t="s">
        <v>4976</v>
      </c>
      <c r="L44" s="106"/>
      <c r="M44" s="155" t="s">
        <v>2878</v>
      </c>
      <c r="N44" s="155"/>
      <c r="O44" s="155" t="s">
        <v>5018</v>
      </c>
      <c r="P44" s="162" t="s">
        <v>2880</v>
      </c>
    </row>
    <row r="45" spans="2:16" s="153" customFormat="1" ht="30" x14ac:dyDescent="0.25">
      <c r="B45" s="113" t="str">
        <f t="shared" si="7"/>
        <v>1</v>
      </c>
      <c r="C45" s="113" t="str">
        <f t="shared" si="8"/>
        <v>1</v>
      </c>
      <c r="D45" s="113" t="str">
        <f t="shared" si="9"/>
        <v>1</v>
      </c>
      <c r="E45" s="113" t="str">
        <f t="shared" si="10"/>
        <v>8</v>
      </c>
      <c r="F45" s="113" t="str">
        <f t="shared" si="11"/>
        <v>01</v>
      </c>
      <c r="G45" s="113" t="str">
        <f t="shared" si="12"/>
        <v>0</v>
      </c>
      <c r="H45" s="113" t="str">
        <f t="shared" si="13"/>
        <v>0</v>
      </c>
      <c r="I45" s="112">
        <v>11180100</v>
      </c>
      <c r="J45" s="113" t="s">
        <v>4893</v>
      </c>
      <c r="K45" s="113" t="s">
        <v>4977</v>
      </c>
      <c r="L45" s="110"/>
      <c r="M45" s="113" t="s">
        <v>2878</v>
      </c>
      <c r="N45" s="113"/>
      <c r="O45" s="113"/>
      <c r="P45" s="163" t="s">
        <v>2880</v>
      </c>
    </row>
    <row r="46" spans="2:16" s="153" customFormat="1" ht="60" x14ac:dyDescent="0.25">
      <c r="B46" s="130" t="str">
        <f t="shared" si="7"/>
        <v>1</v>
      </c>
      <c r="C46" s="130" t="str">
        <f t="shared" si="8"/>
        <v>1</v>
      </c>
      <c r="D46" s="130" t="str">
        <f t="shared" si="9"/>
        <v>1</v>
      </c>
      <c r="E46" s="130" t="str">
        <f t="shared" si="10"/>
        <v>8</v>
      </c>
      <c r="F46" s="130" t="str">
        <f t="shared" si="11"/>
        <v>01</v>
      </c>
      <c r="G46" s="130" t="str">
        <f t="shared" si="12"/>
        <v>1</v>
      </c>
      <c r="H46" s="130" t="str">
        <f t="shared" si="13"/>
        <v>0</v>
      </c>
      <c r="I46" s="129">
        <v>11180110</v>
      </c>
      <c r="J46" s="130" t="s">
        <v>53</v>
      </c>
      <c r="K46" s="130" t="s">
        <v>54</v>
      </c>
      <c r="L46" s="116"/>
      <c r="M46" s="130"/>
      <c r="N46" s="130"/>
      <c r="O46" s="130"/>
      <c r="P46" s="152" t="s">
        <v>2880</v>
      </c>
    </row>
    <row r="47" spans="2:16" s="153" customFormat="1" ht="45" x14ac:dyDescent="0.25">
      <c r="B47" s="130" t="str">
        <f t="shared" si="7"/>
        <v>1</v>
      </c>
      <c r="C47" s="130" t="str">
        <f t="shared" si="8"/>
        <v>1</v>
      </c>
      <c r="D47" s="130" t="str">
        <f t="shared" si="9"/>
        <v>1</v>
      </c>
      <c r="E47" s="130" t="str">
        <f t="shared" si="10"/>
        <v>8</v>
      </c>
      <c r="F47" s="130" t="str">
        <f t="shared" si="11"/>
        <v>01</v>
      </c>
      <c r="G47" s="130" t="str">
        <f t="shared" si="12"/>
        <v>2</v>
      </c>
      <c r="H47" s="130" t="str">
        <f t="shared" si="13"/>
        <v>0</v>
      </c>
      <c r="I47" s="129">
        <v>11180120</v>
      </c>
      <c r="J47" s="130" t="s">
        <v>77</v>
      </c>
      <c r="K47" s="130" t="s">
        <v>78</v>
      </c>
      <c r="L47" s="116"/>
      <c r="M47" s="130"/>
      <c r="N47" s="130"/>
      <c r="O47" s="130"/>
      <c r="P47" s="152" t="s">
        <v>2880</v>
      </c>
    </row>
    <row r="48" spans="2:16" s="153" customFormat="1" ht="75" x14ac:dyDescent="0.25">
      <c r="B48" s="130" t="str">
        <f t="shared" si="7"/>
        <v>1</v>
      </c>
      <c r="C48" s="130" t="str">
        <f t="shared" si="8"/>
        <v>1</v>
      </c>
      <c r="D48" s="130" t="str">
        <f t="shared" si="9"/>
        <v>1</v>
      </c>
      <c r="E48" s="130" t="str">
        <f t="shared" si="10"/>
        <v>8</v>
      </c>
      <c r="F48" s="130" t="str">
        <f t="shared" si="11"/>
        <v>01</v>
      </c>
      <c r="G48" s="130" t="str">
        <f t="shared" si="12"/>
        <v>3</v>
      </c>
      <c r="H48" s="130" t="str">
        <f t="shared" si="13"/>
        <v>0</v>
      </c>
      <c r="I48" s="129">
        <v>11180130</v>
      </c>
      <c r="J48" s="130" t="s">
        <v>79</v>
      </c>
      <c r="K48" s="130" t="s">
        <v>80</v>
      </c>
      <c r="L48" s="116"/>
      <c r="M48" s="130"/>
      <c r="N48" s="130"/>
      <c r="O48" s="130"/>
      <c r="P48" s="152" t="s">
        <v>2880</v>
      </c>
    </row>
    <row r="49" spans="2:16" s="153" customFormat="1" ht="75" x14ac:dyDescent="0.25">
      <c r="B49" s="130" t="str">
        <f t="shared" si="7"/>
        <v>1</v>
      </c>
      <c r="C49" s="130" t="str">
        <f t="shared" si="8"/>
        <v>1</v>
      </c>
      <c r="D49" s="130" t="str">
        <f t="shared" si="9"/>
        <v>1</v>
      </c>
      <c r="E49" s="130" t="str">
        <f t="shared" si="10"/>
        <v>8</v>
      </c>
      <c r="F49" s="130" t="str">
        <f t="shared" si="11"/>
        <v>01</v>
      </c>
      <c r="G49" s="130" t="str">
        <f t="shared" si="12"/>
        <v>4</v>
      </c>
      <c r="H49" s="130" t="str">
        <f t="shared" si="13"/>
        <v>0</v>
      </c>
      <c r="I49" s="129">
        <v>11180140</v>
      </c>
      <c r="J49" s="130" t="s">
        <v>81</v>
      </c>
      <c r="K49" s="130" t="s">
        <v>82</v>
      </c>
      <c r="L49" s="116"/>
      <c r="M49" s="130"/>
      <c r="N49" s="130"/>
      <c r="O49" s="130"/>
      <c r="P49" s="152" t="s">
        <v>2880</v>
      </c>
    </row>
    <row r="50" spans="2:16" s="153" customFormat="1" ht="45" x14ac:dyDescent="0.25">
      <c r="B50" s="113" t="str">
        <f t="shared" si="7"/>
        <v>1</v>
      </c>
      <c r="C50" s="113" t="str">
        <f t="shared" si="8"/>
        <v>1</v>
      </c>
      <c r="D50" s="113" t="str">
        <f t="shared" si="9"/>
        <v>1</v>
      </c>
      <c r="E50" s="113" t="str">
        <f t="shared" si="10"/>
        <v>8</v>
      </c>
      <c r="F50" s="113" t="str">
        <f t="shared" si="11"/>
        <v>02</v>
      </c>
      <c r="G50" s="113" t="str">
        <f t="shared" si="12"/>
        <v>0</v>
      </c>
      <c r="H50" s="113" t="str">
        <f t="shared" si="13"/>
        <v>0</v>
      </c>
      <c r="I50" s="112">
        <v>11180200</v>
      </c>
      <c r="J50" s="113" t="s">
        <v>5047</v>
      </c>
      <c r="K50" s="113" t="s">
        <v>4978</v>
      </c>
      <c r="L50" s="110"/>
      <c r="M50" s="113" t="s">
        <v>2878</v>
      </c>
      <c r="N50" s="113"/>
      <c r="O50" s="113"/>
      <c r="P50" s="163" t="s">
        <v>2880</v>
      </c>
    </row>
    <row r="51" spans="2:16" s="153" customFormat="1" ht="90" x14ac:dyDescent="0.25">
      <c r="B51" s="130" t="str">
        <f t="shared" si="7"/>
        <v>1</v>
      </c>
      <c r="C51" s="130" t="str">
        <f t="shared" si="8"/>
        <v>1</v>
      </c>
      <c r="D51" s="130" t="str">
        <f t="shared" si="9"/>
        <v>1</v>
      </c>
      <c r="E51" s="130" t="str">
        <f t="shared" si="10"/>
        <v>8</v>
      </c>
      <c r="F51" s="130" t="str">
        <f t="shared" si="11"/>
        <v>02</v>
      </c>
      <c r="G51" s="130" t="str">
        <f t="shared" si="12"/>
        <v>1</v>
      </c>
      <c r="H51" s="130" t="str">
        <f t="shared" si="13"/>
        <v>0</v>
      </c>
      <c r="I51" s="129">
        <v>11180210</v>
      </c>
      <c r="J51" s="130" t="s">
        <v>101</v>
      </c>
      <c r="K51" s="130" t="s">
        <v>102</v>
      </c>
      <c r="L51" s="116"/>
      <c r="M51" s="130"/>
      <c r="N51" s="130"/>
      <c r="O51" s="130"/>
      <c r="P51" s="152" t="s">
        <v>2880</v>
      </c>
    </row>
    <row r="52" spans="2:16" s="153" customFormat="1" ht="90" x14ac:dyDescent="0.25">
      <c r="B52" s="130" t="str">
        <f t="shared" ref="B52:B284" si="14">MID($I52,1,1)</f>
        <v>1</v>
      </c>
      <c r="C52" s="130" t="str">
        <f t="shared" ref="C52:C284" si="15">MID($I52,2,1)</f>
        <v>1</v>
      </c>
      <c r="D52" s="130" t="str">
        <f t="shared" ref="D52:D284" si="16">MID($I52,3,1)</f>
        <v>1</v>
      </c>
      <c r="E52" s="130" t="str">
        <f t="shared" ref="E52:E284" si="17">MID($I52,4,1)</f>
        <v>8</v>
      </c>
      <c r="F52" s="130" t="str">
        <f t="shared" ref="F52:F284" si="18">MID($I52,5,2)</f>
        <v>02</v>
      </c>
      <c r="G52" s="130" t="str">
        <f t="shared" ref="G52:G284" si="19">MID($I52,7,1)</f>
        <v>2</v>
      </c>
      <c r="H52" s="130" t="str">
        <f t="shared" ref="H52:H284" si="20">MID($I52,8,1)</f>
        <v>0</v>
      </c>
      <c r="I52" s="129">
        <v>11180220</v>
      </c>
      <c r="J52" s="130" t="s">
        <v>104</v>
      </c>
      <c r="K52" s="130" t="s">
        <v>105</v>
      </c>
      <c r="L52" s="116"/>
      <c r="M52" s="130"/>
      <c r="N52" s="130"/>
      <c r="O52" s="130"/>
      <c r="P52" s="152" t="s">
        <v>2880</v>
      </c>
    </row>
    <row r="53" spans="2:16" s="153" customFormat="1" ht="60" x14ac:dyDescent="0.25">
      <c r="B53" s="130" t="str">
        <f t="shared" si="14"/>
        <v>1</v>
      </c>
      <c r="C53" s="130" t="str">
        <f t="shared" si="15"/>
        <v>1</v>
      </c>
      <c r="D53" s="130" t="str">
        <f t="shared" si="16"/>
        <v>1</v>
      </c>
      <c r="E53" s="130" t="str">
        <f t="shared" si="17"/>
        <v>8</v>
      </c>
      <c r="F53" s="130" t="str">
        <f t="shared" si="18"/>
        <v>02</v>
      </c>
      <c r="G53" s="130" t="str">
        <f t="shared" si="19"/>
        <v>3</v>
      </c>
      <c r="H53" s="130" t="str">
        <f t="shared" si="20"/>
        <v>0</v>
      </c>
      <c r="I53" s="129">
        <v>11180230</v>
      </c>
      <c r="J53" s="130" t="s">
        <v>116</v>
      </c>
      <c r="K53" s="130" t="s">
        <v>117</v>
      </c>
      <c r="L53" s="116"/>
      <c r="M53" s="130"/>
      <c r="N53" s="130"/>
      <c r="O53" s="130"/>
      <c r="P53" s="152" t="s">
        <v>2880</v>
      </c>
    </row>
    <row r="54" spans="2:16" s="153" customFormat="1" ht="60" x14ac:dyDescent="0.25">
      <c r="B54" s="130" t="str">
        <f t="shared" si="14"/>
        <v>1</v>
      </c>
      <c r="C54" s="130" t="str">
        <f t="shared" si="15"/>
        <v>1</v>
      </c>
      <c r="D54" s="130" t="str">
        <f t="shared" si="16"/>
        <v>1</v>
      </c>
      <c r="E54" s="130" t="str">
        <f t="shared" si="17"/>
        <v>8</v>
      </c>
      <c r="F54" s="130" t="str">
        <f t="shared" si="18"/>
        <v>02</v>
      </c>
      <c r="G54" s="130" t="str">
        <f t="shared" si="19"/>
        <v>4</v>
      </c>
      <c r="H54" s="130" t="str">
        <f t="shared" si="20"/>
        <v>0</v>
      </c>
      <c r="I54" s="129">
        <v>11180240</v>
      </c>
      <c r="J54" s="130" t="s">
        <v>119</v>
      </c>
      <c r="K54" s="130" t="s">
        <v>120</v>
      </c>
      <c r="L54" s="116"/>
      <c r="M54" s="130"/>
      <c r="N54" s="130"/>
      <c r="O54" s="130"/>
      <c r="P54" s="152" t="s">
        <v>2880</v>
      </c>
    </row>
    <row r="55" spans="2:16" s="153" customFormat="1" ht="75" x14ac:dyDescent="0.25">
      <c r="B55" s="130" t="str">
        <f t="shared" si="14"/>
        <v>1</v>
      </c>
      <c r="C55" s="130" t="str">
        <f t="shared" si="15"/>
        <v>1</v>
      </c>
      <c r="D55" s="130" t="str">
        <f t="shared" si="16"/>
        <v>1</v>
      </c>
      <c r="E55" s="130" t="str">
        <f t="shared" si="17"/>
        <v>8</v>
      </c>
      <c r="F55" s="130" t="str">
        <f t="shared" si="18"/>
        <v>02</v>
      </c>
      <c r="G55" s="130" t="str">
        <f t="shared" si="19"/>
        <v>5</v>
      </c>
      <c r="H55" s="130" t="str">
        <f t="shared" si="20"/>
        <v>0</v>
      </c>
      <c r="I55" s="129">
        <v>11180250</v>
      </c>
      <c r="J55" s="130" t="s">
        <v>5070</v>
      </c>
      <c r="K55" s="130" t="s">
        <v>5071</v>
      </c>
      <c r="L55" s="116"/>
      <c r="M55" s="130" t="s">
        <v>2878</v>
      </c>
      <c r="N55" s="130"/>
      <c r="O55" s="130"/>
      <c r="P55" s="152" t="s">
        <v>2880</v>
      </c>
    </row>
    <row r="56" spans="2:16" ht="30" x14ac:dyDescent="0.25">
      <c r="B56" s="104" t="str">
        <f t="shared" si="14"/>
        <v>1</v>
      </c>
      <c r="C56" s="104" t="str">
        <f t="shared" si="15"/>
        <v>1</v>
      </c>
      <c r="D56" s="104" t="str">
        <f t="shared" si="16"/>
        <v>1</v>
      </c>
      <c r="E56" s="104" t="str">
        <f t="shared" si="17"/>
        <v>9</v>
      </c>
      <c r="F56" s="104" t="str">
        <f t="shared" si="18"/>
        <v>00</v>
      </c>
      <c r="G56" s="104" t="str">
        <f t="shared" si="19"/>
        <v>0</v>
      </c>
      <c r="H56" s="104" t="str">
        <f t="shared" si="20"/>
        <v>0</v>
      </c>
      <c r="I56" s="105">
        <v>11190000</v>
      </c>
      <c r="J56" s="104" t="s">
        <v>3029</v>
      </c>
      <c r="K56" s="104" t="s">
        <v>3030</v>
      </c>
      <c r="L56" s="106"/>
      <c r="M56" s="104" t="s">
        <v>2878</v>
      </c>
      <c r="N56" s="104" t="s">
        <v>2879</v>
      </c>
      <c r="O56" s="104" t="s">
        <v>2878</v>
      </c>
      <c r="P56" s="107" t="s">
        <v>2880</v>
      </c>
    </row>
    <row r="57" spans="2:16" ht="30" x14ac:dyDescent="0.25">
      <c r="B57" s="108" t="str">
        <f t="shared" si="14"/>
        <v>1</v>
      </c>
      <c r="C57" s="108" t="str">
        <f t="shared" si="15"/>
        <v>1</v>
      </c>
      <c r="D57" s="108" t="str">
        <f t="shared" si="16"/>
        <v>1</v>
      </c>
      <c r="E57" s="108" t="str">
        <f t="shared" si="17"/>
        <v>9</v>
      </c>
      <c r="F57" s="108" t="str">
        <f t="shared" si="18"/>
        <v>01</v>
      </c>
      <c r="G57" s="108" t="str">
        <f t="shared" si="19"/>
        <v>0</v>
      </c>
      <c r="H57" s="108" t="str">
        <f t="shared" si="20"/>
        <v>0</v>
      </c>
      <c r="I57" s="109">
        <v>11190100</v>
      </c>
      <c r="J57" s="108" t="s">
        <v>3029</v>
      </c>
      <c r="K57" s="108" t="s">
        <v>3030</v>
      </c>
      <c r="L57" s="110"/>
      <c r="M57" s="108" t="s">
        <v>2878</v>
      </c>
      <c r="N57" s="108" t="s">
        <v>2879</v>
      </c>
      <c r="O57" s="108" t="s">
        <v>2878</v>
      </c>
      <c r="P57" s="111" t="s">
        <v>2880</v>
      </c>
    </row>
    <row r="58" spans="2:16" ht="30" x14ac:dyDescent="0.25">
      <c r="B58" s="114" t="str">
        <f t="shared" si="14"/>
        <v>1</v>
      </c>
      <c r="C58" s="114" t="str">
        <f t="shared" si="15"/>
        <v>1</v>
      </c>
      <c r="D58" s="114" t="str">
        <f t="shared" si="16"/>
        <v>1</v>
      </c>
      <c r="E58" s="114" t="str">
        <f t="shared" si="17"/>
        <v>9</v>
      </c>
      <c r="F58" s="114" t="str">
        <f t="shared" si="18"/>
        <v>01</v>
      </c>
      <c r="G58" s="114" t="str">
        <f t="shared" si="19"/>
        <v>1</v>
      </c>
      <c r="H58" s="114" t="str">
        <f t="shared" si="20"/>
        <v>0</v>
      </c>
      <c r="I58" s="115">
        <v>11190110</v>
      </c>
      <c r="J58" s="114" t="s">
        <v>3029</v>
      </c>
      <c r="K58" s="114" t="s">
        <v>3030</v>
      </c>
      <c r="L58" s="116"/>
      <c r="M58" s="114" t="s">
        <v>2878</v>
      </c>
      <c r="N58" s="114" t="s">
        <v>2879</v>
      </c>
      <c r="O58" s="114" t="s">
        <v>2878</v>
      </c>
      <c r="P58" s="117" t="s">
        <v>2880</v>
      </c>
    </row>
    <row r="59" spans="2:16" ht="45" x14ac:dyDescent="0.25">
      <c r="B59" s="126" t="str">
        <f t="shared" si="14"/>
        <v>1</v>
      </c>
      <c r="C59" s="126" t="str">
        <f t="shared" si="15"/>
        <v>1</v>
      </c>
      <c r="D59" s="126" t="str">
        <f t="shared" si="16"/>
        <v>2</v>
      </c>
      <c r="E59" s="126" t="str">
        <f t="shared" si="17"/>
        <v>0</v>
      </c>
      <c r="F59" s="126" t="str">
        <f t="shared" si="18"/>
        <v>00</v>
      </c>
      <c r="G59" s="126" t="str">
        <f t="shared" si="19"/>
        <v>0</v>
      </c>
      <c r="H59" s="126" t="str">
        <f t="shared" si="20"/>
        <v>0</v>
      </c>
      <c r="I59" s="127">
        <v>11200000</v>
      </c>
      <c r="J59" s="126" t="s">
        <v>123</v>
      </c>
      <c r="K59" s="126" t="s">
        <v>3038</v>
      </c>
      <c r="L59" s="122"/>
      <c r="M59" s="126" t="s">
        <v>2878</v>
      </c>
      <c r="N59" s="126" t="s">
        <v>5016</v>
      </c>
      <c r="O59" s="126" t="s">
        <v>2878</v>
      </c>
      <c r="P59" s="128" t="s">
        <v>2880</v>
      </c>
    </row>
    <row r="60" spans="2:16" ht="30" x14ac:dyDescent="0.25">
      <c r="B60" s="104" t="str">
        <f t="shared" si="14"/>
        <v>1</v>
      </c>
      <c r="C60" s="104" t="str">
        <f t="shared" si="15"/>
        <v>1</v>
      </c>
      <c r="D60" s="104" t="str">
        <f t="shared" si="16"/>
        <v>2</v>
      </c>
      <c r="E60" s="104" t="str">
        <f t="shared" si="17"/>
        <v>1</v>
      </c>
      <c r="F60" s="104" t="str">
        <f t="shared" si="18"/>
        <v>00</v>
      </c>
      <c r="G60" s="104" t="str">
        <f t="shared" si="19"/>
        <v>0</v>
      </c>
      <c r="H60" s="104" t="str">
        <f t="shared" si="20"/>
        <v>0</v>
      </c>
      <c r="I60" s="105">
        <v>11210000</v>
      </c>
      <c r="J60" s="104" t="s">
        <v>125</v>
      </c>
      <c r="K60" s="104" t="s">
        <v>3039</v>
      </c>
      <c r="L60" s="106"/>
      <c r="M60" s="104" t="s">
        <v>2878</v>
      </c>
      <c r="N60" s="104" t="s">
        <v>2879</v>
      </c>
      <c r="O60" s="104" t="s">
        <v>2878</v>
      </c>
      <c r="P60" s="107" t="s">
        <v>2880</v>
      </c>
    </row>
    <row r="61" spans="2:16" ht="30" x14ac:dyDescent="0.25">
      <c r="B61" s="108" t="str">
        <f t="shared" si="14"/>
        <v>1</v>
      </c>
      <c r="C61" s="108" t="str">
        <f t="shared" si="15"/>
        <v>1</v>
      </c>
      <c r="D61" s="108" t="str">
        <f t="shared" si="16"/>
        <v>2</v>
      </c>
      <c r="E61" s="108" t="str">
        <f t="shared" si="17"/>
        <v>1</v>
      </c>
      <c r="F61" s="108" t="str">
        <f t="shared" si="18"/>
        <v>01</v>
      </c>
      <c r="G61" s="108" t="str">
        <f t="shared" si="19"/>
        <v>0</v>
      </c>
      <c r="H61" s="108" t="str">
        <f t="shared" si="20"/>
        <v>0</v>
      </c>
      <c r="I61" s="109">
        <v>11210100</v>
      </c>
      <c r="J61" s="108" t="s">
        <v>3040</v>
      </c>
      <c r="K61" s="108" t="s">
        <v>3039</v>
      </c>
      <c r="L61" s="110"/>
      <c r="M61" s="108" t="s">
        <v>2878</v>
      </c>
      <c r="N61" s="108" t="s">
        <v>2879</v>
      </c>
      <c r="O61" s="108" t="s">
        <v>2878</v>
      </c>
      <c r="P61" s="111" t="s">
        <v>2880</v>
      </c>
    </row>
    <row r="62" spans="2:16" ht="30" x14ac:dyDescent="0.25">
      <c r="B62" s="114" t="str">
        <f t="shared" si="14"/>
        <v>1</v>
      </c>
      <c r="C62" s="114" t="str">
        <f t="shared" si="15"/>
        <v>1</v>
      </c>
      <c r="D62" s="114" t="str">
        <f t="shared" si="16"/>
        <v>2</v>
      </c>
      <c r="E62" s="114" t="str">
        <f t="shared" si="17"/>
        <v>1</v>
      </c>
      <c r="F62" s="114" t="str">
        <f t="shared" si="18"/>
        <v>01</v>
      </c>
      <c r="G62" s="114" t="str">
        <f t="shared" si="19"/>
        <v>1</v>
      </c>
      <c r="H62" s="114" t="str">
        <f t="shared" si="20"/>
        <v>0</v>
      </c>
      <c r="I62" s="115">
        <v>11210110</v>
      </c>
      <c r="J62" s="114" t="s">
        <v>3040</v>
      </c>
      <c r="K62" s="114" t="s">
        <v>3041</v>
      </c>
      <c r="L62" s="116"/>
      <c r="M62" s="114" t="s">
        <v>2878</v>
      </c>
      <c r="N62" s="114" t="s">
        <v>2879</v>
      </c>
      <c r="O62" s="114" t="s">
        <v>2878</v>
      </c>
      <c r="P62" s="117" t="s">
        <v>2880</v>
      </c>
    </row>
    <row r="63" spans="2:16" ht="30" x14ac:dyDescent="0.25">
      <c r="B63" s="108" t="str">
        <f t="shared" si="14"/>
        <v>1</v>
      </c>
      <c r="C63" s="108" t="str">
        <f t="shared" si="15"/>
        <v>1</v>
      </c>
      <c r="D63" s="108" t="str">
        <f t="shared" si="16"/>
        <v>2</v>
      </c>
      <c r="E63" s="108" t="str">
        <f t="shared" si="17"/>
        <v>1</v>
      </c>
      <c r="F63" s="108" t="str">
        <f t="shared" si="18"/>
        <v>02</v>
      </c>
      <c r="G63" s="108" t="str">
        <f t="shared" si="19"/>
        <v>0</v>
      </c>
      <c r="H63" s="108" t="str">
        <f t="shared" si="20"/>
        <v>0</v>
      </c>
      <c r="I63" s="109">
        <v>11210200</v>
      </c>
      <c r="J63" s="108" t="s">
        <v>3049</v>
      </c>
      <c r="K63" s="108" t="s">
        <v>3050</v>
      </c>
      <c r="L63" s="110"/>
      <c r="M63" s="108" t="s">
        <v>2878</v>
      </c>
      <c r="N63" s="108" t="s">
        <v>2879</v>
      </c>
      <c r="O63" s="108" t="s">
        <v>2878</v>
      </c>
      <c r="P63" s="111" t="s">
        <v>2880</v>
      </c>
    </row>
    <row r="64" spans="2:16" ht="60" x14ac:dyDescent="0.25">
      <c r="B64" s="114" t="str">
        <f t="shared" si="14"/>
        <v>1</v>
      </c>
      <c r="C64" s="114" t="str">
        <f t="shared" si="15"/>
        <v>1</v>
      </c>
      <c r="D64" s="114" t="str">
        <f t="shared" si="16"/>
        <v>2</v>
      </c>
      <c r="E64" s="114" t="str">
        <f t="shared" si="17"/>
        <v>1</v>
      </c>
      <c r="F64" s="114" t="str">
        <f t="shared" si="18"/>
        <v>02</v>
      </c>
      <c r="G64" s="114" t="str">
        <f t="shared" si="19"/>
        <v>1</v>
      </c>
      <c r="H64" s="114" t="str">
        <f t="shared" si="20"/>
        <v>0</v>
      </c>
      <c r="I64" s="115">
        <v>11210210</v>
      </c>
      <c r="J64" s="114" t="s">
        <v>3051</v>
      </c>
      <c r="K64" s="114" t="s">
        <v>3052</v>
      </c>
      <c r="L64" s="116"/>
      <c r="M64" s="114" t="s">
        <v>2878</v>
      </c>
      <c r="N64" s="114" t="s">
        <v>2879</v>
      </c>
      <c r="O64" s="114" t="s">
        <v>2878</v>
      </c>
      <c r="P64" s="117" t="s">
        <v>2880</v>
      </c>
    </row>
    <row r="65" spans="2:16" ht="60" x14ac:dyDescent="0.25">
      <c r="B65" s="114" t="str">
        <f t="shared" si="14"/>
        <v>1</v>
      </c>
      <c r="C65" s="114" t="str">
        <f t="shared" si="15"/>
        <v>1</v>
      </c>
      <c r="D65" s="114" t="str">
        <f t="shared" si="16"/>
        <v>2</v>
      </c>
      <c r="E65" s="114" t="str">
        <f t="shared" si="17"/>
        <v>1</v>
      </c>
      <c r="F65" s="114" t="str">
        <f t="shared" si="18"/>
        <v>02</v>
      </c>
      <c r="G65" s="114" t="str">
        <f t="shared" si="19"/>
        <v>2</v>
      </c>
      <c r="H65" s="114" t="str">
        <f t="shared" si="20"/>
        <v>0</v>
      </c>
      <c r="I65" s="115">
        <v>11210220</v>
      </c>
      <c r="J65" s="114" t="s">
        <v>3060</v>
      </c>
      <c r="K65" s="114" t="s">
        <v>3061</v>
      </c>
      <c r="L65" s="116"/>
      <c r="M65" s="114" t="s">
        <v>2878</v>
      </c>
      <c r="N65" s="114" t="s">
        <v>2879</v>
      </c>
      <c r="O65" s="114" t="s">
        <v>2878</v>
      </c>
      <c r="P65" s="117" t="s">
        <v>2880</v>
      </c>
    </row>
    <row r="66" spans="2:16" ht="30" x14ac:dyDescent="0.25">
      <c r="B66" s="108" t="str">
        <f t="shared" si="14"/>
        <v>1</v>
      </c>
      <c r="C66" s="108" t="str">
        <f t="shared" si="15"/>
        <v>1</v>
      </c>
      <c r="D66" s="108" t="str">
        <f t="shared" si="16"/>
        <v>2</v>
      </c>
      <c r="E66" s="108" t="str">
        <f t="shared" si="17"/>
        <v>1</v>
      </c>
      <c r="F66" s="108" t="str">
        <f t="shared" si="18"/>
        <v>03</v>
      </c>
      <c r="G66" s="108" t="str">
        <f t="shared" si="19"/>
        <v>0</v>
      </c>
      <c r="H66" s="108" t="str">
        <f t="shared" si="20"/>
        <v>0</v>
      </c>
      <c r="I66" s="109">
        <v>11210300</v>
      </c>
      <c r="J66" s="108" t="s">
        <v>135</v>
      </c>
      <c r="K66" s="108" t="s">
        <v>3067</v>
      </c>
      <c r="L66" s="110"/>
      <c r="M66" s="108" t="s">
        <v>2878</v>
      </c>
      <c r="N66" s="108" t="s">
        <v>2879</v>
      </c>
      <c r="O66" s="108" t="s">
        <v>2878</v>
      </c>
      <c r="P66" s="111" t="s">
        <v>2880</v>
      </c>
    </row>
    <row r="67" spans="2:16" ht="30" x14ac:dyDescent="0.25">
      <c r="B67" s="114" t="str">
        <f t="shared" si="14"/>
        <v>1</v>
      </c>
      <c r="C67" s="114" t="str">
        <f t="shared" si="15"/>
        <v>1</v>
      </c>
      <c r="D67" s="114" t="str">
        <f t="shared" si="16"/>
        <v>2</v>
      </c>
      <c r="E67" s="114" t="str">
        <f t="shared" si="17"/>
        <v>1</v>
      </c>
      <c r="F67" s="114" t="str">
        <f t="shared" si="18"/>
        <v>03</v>
      </c>
      <c r="G67" s="114" t="str">
        <f t="shared" si="19"/>
        <v>1</v>
      </c>
      <c r="H67" s="114" t="str">
        <f t="shared" si="20"/>
        <v>0</v>
      </c>
      <c r="I67" s="115">
        <v>11210310</v>
      </c>
      <c r="J67" s="114" t="s">
        <v>135</v>
      </c>
      <c r="K67" s="114" t="s">
        <v>3067</v>
      </c>
      <c r="L67" s="116"/>
      <c r="M67" s="114" t="s">
        <v>2878</v>
      </c>
      <c r="N67" s="114" t="s">
        <v>2879</v>
      </c>
      <c r="O67" s="114" t="s">
        <v>2878</v>
      </c>
      <c r="P67" s="117" t="s">
        <v>2880</v>
      </c>
    </row>
    <row r="68" spans="2:16" ht="30" x14ac:dyDescent="0.25">
      <c r="B68" s="108" t="str">
        <f t="shared" si="14"/>
        <v>1</v>
      </c>
      <c r="C68" s="108" t="str">
        <f t="shared" si="15"/>
        <v>1</v>
      </c>
      <c r="D68" s="108" t="str">
        <f t="shared" si="16"/>
        <v>2</v>
      </c>
      <c r="E68" s="108" t="str">
        <f t="shared" si="17"/>
        <v>1</v>
      </c>
      <c r="F68" s="108" t="str">
        <f t="shared" si="18"/>
        <v>04</v>
      </c>
      <c r="G68" s="108" t="str">
        <f t="shared" si="19"/>
        <v>0</v>
      </c>
      <c r="H68" s="108" t="str">
        <f t="shared" si="20"/>
        <v>0</v>
      </c>
      <c r="I68" s="109">
        <v>11210400</v>
      </c>
      <c r="J68" s="108" t="s">
        <v>177</v>
      </c>
      <c r="K68" s="108" t="s">
        <v>3075</v>
      </c>
      <c r="L68" s="110"/>
      <c r="M68" s="108" t="s">
        <v>2878</v>
      </c>
      <c r="N68" s="108" t="s">
        <v>2879</v>
      </c>
      <c r="O68" s="108" t="s">
        <v>2878</v>
      </c>
      <c r="P68" s="111" t="s">
        <v>2880</v>
      </c>
    </row>
    <row r="69" spans="2:16" ht="30" x14ac:dyDescent="0.25">
      <c r="B69" s="114" t="str">
        <f t="shared" si="14"/>
        <v>1</v>
      </c>
      <c r="C69" s="114" t="str">
        <f t="shared" si="15"/>
        <v>1</v>
      </c>
      <c r="D69" s="114" t="str">
        <f t="shared" si="16"/>
        <v>2</v>
      </c>
      <c r="E69" s="114" t="str">
        <f t="shared" si="17"/>
        <v>1</v>
      </c>
      <c r="F69" s="114" t="str">
        <f t="shared" si="18"/>
        <v>04</v>
      </c>
      <c r="G69" s="114" t="str">
        <f t="shared" si="19"/>
        <v>1</v>
      </c>
      <c r="H69" s="114" t="str">
        <f t="shared" si="20"/>
        <v>0</v>
      </c>
      <c r="I69" s="115">
        <v>11210410</v>
      </c>
      <c r="J69" s="114" t="s">
        <v>177</v>
      </c>
      <c r="K69" s="114" t="s">
        <v>3075</v>
      </c>
      <c r="L69" s="116"/>
      <c r="M69" s="114" t="s">
        <v>2878</v>
      </c>
      <c r="N69" s="114" t="s">
        <v>2879</v>
      </c>
      <c r="O69" s="114" t="s">
        <v>2878</v>
      </c>
      <c r="P69" s="117" t="s">
        <v>2880</v>
      </c>
    </row>
    <row r="70" spans="2:16" ht="30" x14ac:dyDescent="0.25">
      <c r="B70" s="108" t="str">
        <f t="shared" si="14"/>
        <v>1</v>
      </c>
      <c r="C70" s="108" t="str">
        <f t="shared" si="15"/>
        <v>1</v>
      </c>
      <c r="D70" s="108" t="str">
        <f t="shared" si="16"/>
        <v>2</v>
      </c>
      <c r="E70" s="108" t="str">
        <f t="shared" si="17"/>
        <v>1</v>
      </c>
      <c r="F70" s="108" t="str">
        <f t="shared" si="18"/>
        <v>05</v>
      </c>
      <c r="G70" s="108" t="str">
        <f t="shared" si="19"/>
        <v>0</v>
      </c>
      <c r="H70" s="108" t="str">
        <f t="shared" si="20"/>
        <v>0</v>
      </c>
      <c r="I70" s="109">
        <v>11210500</v>
      </c>
      <c r="J70" s="108" t="s">
        <v>3083</v>
      </c>
      <c r="K70" s="108" t="s">
        <v>3084</v>
      </c>
      <c r="L70" s="110"/>
      <c r="M70" s="108" t="s">
        <v>2878</v>
      </c>
      <c r="N70" s="108" t="s">
        <v>2879</v>
      </c>
      <c r="O70" s="108" t="s">
        <v>2878</v>
      </c>
      <c r="P70" s="111" t="s">
        <v>2880</v>
      </c>
    </row>
    <row r="71" spans="2:16" ht="30" x14ac:dyDescent="0.25">
      <c r="B71" s="114" t="str">
        <f t="shared" si="14"/>
        <v>1</v>
      </c>
      <c r="C71" s="114" t="str">
        <f t="shared" si="15"/>
        <v>1</v>
      </c>
      <c r="D71" s="114" t="str">
        <f t="shared" si="16"/>
        <v>2</v>
      </c>
      <c r="E71" s="114" t="str">
        <f t="shared" si="17"/>
        <v>1</v>
      </c>
      <c r="F71" s="114" t="str">
        <f t="shared" si="18"/>
        <v>05</v>
      </c>
      <c r="G71" s="114" t="str">
        <f t="shared" si="19"/>
        <v>1</v>
      </c>
      <c r="H71" s="114" t="str">
        <f t="shared" si="20"/>
        <v>0</v>
      </c>
      <c r="I71" s="115">
        <v>11210510</v>
      </c>
      <c r="J71" s="114" t="s">
        <v>3083</v>
      </c>
      <c r="K71" s="114" t="s">
        <v>3084</v>
      </c>
      <c r="L71" s="116"/>
      <c r="M71" s="114" t="s">
        <v>2878</v>
      </c>
      <c r="N71" s="114" t="s">
        <v>2879</v>
      </c>
      <c r="O71" s="114" t="s">
        <v>2878</v>
      </c>
      <c r="P71" s="117" t="s">
        <v>2880</v>
      </c>
    </row>
    <row r="72" spans="2:16" ht="45" x14ac:dyDescent="0.25">
      <c r="B72" s="104" t="str">
        <f t="shared" si="14"/>
        <v>1</v>
      </c>
      <c r="C72" s="104" t="str">
        <f t="shared" si="15"/>
        <v>1</v>
      </c>
      <c r="D72" s="104" t="str">
        <f t="shared" si="16"/>
        <v>2</v>
      </c>
      <c r="E72" s="104" t="str">
        <f t="shared" si="17"/>
        <v>2</v>
      </c>
      <c r="F72" s="104" t="str">
        <f t="shared" si="18"/>
        <v>00</v>
      </c>
      <c r="G72" s="104" t="str">
        <f t="shared" si="19"/>
        <v>0</v>
      </c>
      <c r="H72" s="104" t="str">
        <f t="shared" si="20"/>
        <v>0</v>
      </c>
      <c r="I72" s="105">
        <v>11220000</v>
      </c>
      <c r="J72" s="104" t="s">
        <v>222</v>
      </c>
      <c r="K72" s="104" t="s">
        <v>3092</v>
      </c>
      <c r="L72" s="106"/>
      <c r="M72" s="104" t="s">
        <v>2878</v>
      </c>
      <c r="N72" s="104" t="s">
        <v>2879</v>
      </c>
      <c r="O72" s="104" t="s">
        <v>2878</v>
      </c>
      <c r="P72" s="107" t="s">
        <v>2880</v>
      </c>
    </row>
    <row r="73" spans="2:16" ht="45" x14ac:dyDescent="0.25">
      <c r="B73" s="108" t="str">
        <f t="shared" si="14"/>
        <v>1</v>
      </c>
      <c r="C73" s="108" t="str">
        <f t="shared" si="15"/>
        <v>1</v>
      </c>
      <c r="D73" s="108" t="str">
        <f t="shared" si="16"/>
        <v>2</v>
      </c>
      <c r="E73" s="108" t="str">
        <f t="shared" si="17"/>
        <v>2</v>
      </c>
      <c r="F73" s="108" t="str">
        <f t="shared" si="18"/>
        <v>01</v>
      </c>
      <c r="G73" s="108" t="str">
        <f t="shared" si="19"/>
        <v>0</v>
      </c>
      <c r="H73" s="108" t="str">
        <f t="shared" si="20"/>
        <v>0</v>
      </c>
      <c r="I73" s="109">
        <v>11220100</v>
      </c>
      <c r="J73" s="108" t="s">
        <v>222</v>
      </c>
      <c r="K73" s="108" t="s">
        <v>3092</v>
      </c>
      <c r="L73" s="110"/>
      <c r="M73" s="108" t="s">
        <v>2878</v>
      </c>
      <c r="N73" s="108" t="s">
        <v>2879</v>
      </c>
      <c r="O73" s="108" t="s">
        <v>2878</v>
      </c>
      <c r="P73" s="111" t="s">
        <v>2880</v>
      </c>
    </row>
    <row r="74" spans="2:16" ht="45" x14ac:dyDescent="0.25">
      <c r="B74" s="114" t="str">
        <f t="shared" si="14"/>
        <v>1</v>
      </c>
      <c r="C74" s="114" t="str">
        <f t="shared" si="15"/>
        <v>1</v>
      </c>
      <c r="D74" s="114" t="str">
        <f t="shared" si="16"/>
        <v>2</v>
      </c>
      <c r="E74" s="114" t="str">
        <f t="shared" si="17"/>
        <v>2</v>
      </c>
      <c r="F74" s="114" t="str">
        <f t="shared" si="18"/>
        <v>01</v>
      </c>
      <c r="G74" s="114" t="str">
        <f t="shared" si="19"/>
        <v>1</v>
      </c>
      <c r="H74" s="114" t="str">
        <f t="shared" si="20"/>
        <v>0</v>
      </c>
      <c r="I74" s="115">
        <v>11220110</v>
      </c>
      <c r="J74" s="114" t="s">
        <v>222</v>
      </c>
      <c r="K74" s="114" t="s">
        <v>3092</v>
      </c>
      <c r="L74" s="116"/>
      <c r="M74" s="114" t="s">
        <v>2878</v>
      </c>
      <c r="N74" s="114" t="s">
        <v>2879</v>
      </c>
      <c r="O74" s="114" t="s">
        <v>2878</v>
      </c>
      <c r="P74" s="117" t="s">
        <v>2880</v>
      </c>
    </row>
    <row r="75" spans="2:16" ht="90" x14ac:dyDescent="0.25">
      <c r="B75" s="108" t="str">
        <f t="shared" si="14"/>
        <v>1</v>
      </c>
      <c r="C75" s="108" t="str">
        <f t="shared" si="15"/>
        <v>1</v>
      </c>
      <c r="D75" s="108" t="str">
        <f t="shared" si="16"/>
        <v>2</v>
      </c>
      <c r="E75" s="108" t="str">
        <f t="shared" si="17"/>
        <v>2</v>
      </c>
      <c r="F75" s="108" t="str">
        <f t="shared" si="18"/>
        <v>02</v>
      </c>
      <c r="G75" s="108" t="str">
        <f t="shared" si="19"/>
        <v>0</v>
      </c>
      <c r="H75" s="108" t="str">
        <f t="shared" si="20"/>
        <v>0</v>
      </c>
      <c r="I75" s="109">
        <v>11220200</v>
      </c>
      <c r="J75" s="108" t="s">
        <v>236</v>
      </c>
      <c r="K75" s="145" t="s">
        <v>5570</v>
      </c>
      <c r="L75" s="110"/>
      <c r="M75" s="108" t="s">
        <v>2878</v>
      </c>
      <c r="N75" s="108" t="s">
        <v>5145</v>
      </c>
      <c r="O75" s="108" t="s">
        <v>2878</v>
      </c>
      <c r="P75" s="111" t="s">
        <v>2880</v>
      </c>
    </row>
    <row r="76" spans="2:16" ht="90" x14ac:dyDescent="0.25">
      <c r="B76" s="114" t="str">
        <f t="shared" si="14"/>
        <v>1</v>
      </c>
      <c r="C76" s="114" t="str">
        <f t="shared" si="15"/>
        <v>1</v>
      </c>
      <c r="D76" s="114" t="str">
        <f t="shared" si="16"/>
        <v>2</v>
      </c>
      <c r="E76" s="114" t="str">
        <f t="shared" si="17"/>
        <v>2</v>
      </c>
      <c r="F76" s="114" t="str">
        <f t="shared" si="18"/>
        <v>02</v>
      </c>
      <c r="G76" s="114" t="str">
        <f t="shared" si="19"/>
        <v>1</v>
      </c>
      <c r="H76" s="114" t="str">
        <f t="shared" si="20"/>
        <v>0</v>
      </c>
      <c r="I76" s="115">
        <v>11220210</v>
      </c>
      <c r="J76" s="114" t="s">
        <v>236</v>
      </c>
      <c r="K76" s="149" t="s">
        <v>5570</v>
      </c>
      <c r="L76" s="116"/>
      <c r="M76" s="114" t="s">
        <v>2878</v>
      </c>
      <c r="N76" s="114" t="s">
        <v>5144</v>
      </c>
      <c r="O76" s="114" t="s">
        <v>2878</v>
      </c>
      <c r="P76" s="117" t="s">
        <v>2880</v>
      </c>
    </row>
    <row r="77" spans="2:16" s="148" customFormat="1" ht="30" x14ac:dyDescent="0.25">
      <c r="B77" s="164" t="str">
        <f t="shared" si="14"/>
        <v>1</v>
      </c>
      <c r="C77" s="164" t="str">
        <f t="shared" si="15"/>
        <v>1</v>
      </c>
      <c r="D77" s="164" t="str">
        <f t="shared" si="16"/>
        <v>2</v>
      </c>
      <c r="E77" s="164" t="str">
        <f t="shared" si="17"/>
        <v>8</v>
      </c>
      <c r="F77" s="164" t="str">
        <f t="shared" si="18"/>
        <v>00</v>
      </c>
      <c r="G77" s="164" t="str">
        <f t="shared" si="19"/>
        <v>0</v>
      </c>
      <c r="H77" s="164" t="str">
        <f t="shared" si="20"/>
        <v>0</v>
      </c>
      <c r="I77" s="165">
        <v>11280000</v>
      </c>
      <c r="J77" s="164" t="s">
        <v>5147</v>
      </c>
      <c r="K77" s="164" t="s">
        <v>5149</v>
      </c>
      <c r="L77" s="166"/>
      <c r="M77" s="164" t="s">
        <v>2878</v>
      </c>
      <c r="N77" s="164"/>
      <c r="O77" s="164"/>
      <c r="P77" s="167" t="s">
        <v>2880</v>
      </c>
    </row>
    <row r="78" spans="2:16" s="148" customFormat="1" ht="30" x14ac:dyDescent="0.25">
      <c r="B78" s="145" t="str">
        <f>MID($I78,1,1)</f>
        <v>1</v>
      </c>
      <c r="C78" s="145" t="str">
        <f>MID($I78,2,1)</f>
        <v>1</v>
      </c>
      <c r="D78" s="145" t="str">
        <f>MID($I78,3,1)</f>
        <v>2</v>
      </c>
      <c r="E78" s="145" t="str">
        <f>MID($I78,4,1)</f>
        <v>8</v>
      </c>
      <c r="F78" s="145" t="str">
        <f>MID($I78,5,2)</f>
        <v>01</v>
      </c>
      <c r="G78" s="145" t="str">
        <f>MID($I78,7,1)</f>
        <v>0</v>
      </c>
      <c r="H78" s="145" t="str">
        <f>MID($I78,8,1)</f>
        <v>0</v>
      </c>
      <c r="I78" s="143">
        <v>11280100</v>
      </c>
      <c r="J78" s="145" t="s">
        <v>3040</v>
      </c>
      <c r="K78" s="145" t="s">
        <v>5150</v>
      </c>
      <c r="L78" s="146"/>
      <c r="M78" s="145" t="s">
        <v>2878</v>
      </c>
      <c r="N78" s="145"/>
      <c r="O78" s="145"/>
      <c r="P78" s="147" t="s">
        <v>2880</v>
      </c>
    </row>
    <row r="79" spans="2:16" s="148" customFormat="1" ht="30" x14ac:dyDescent="0.25">
      <c r="B79" s="149" t="str">
        <f>MID($I79,1,1)</f>
        <v>1</v>
      </c>
      <c r="C79" s="149" t="str">
        <f>MID($I79,2,1)</f>
        <v>1</v>
      </c>
      <c r="D79" s="149" t="str">
        <f>MID($I79,3,1)</f>
        <v>2</v>
      </c>
      <c r="E79" s="149" t="str">
        <f>MID($I79,4,1)</f>
        <v>8</v>
      </c>
      <c r="F79" s="149" t="str">
        <f>MID($I79,5,2)</f>
        <v>01</v>
      </c>
      <c r="G79" s="149" t="str">
        <f>MID($I79,7,1)</f>
        <v>1</v>
      </c>
      <c r="H79" s="149" t="str">
        <f>MID($I79,8,1)</f>
        <v>0</v>
      </c>
      <c r="I79" s="144">
        <v>11280110</v>
      </c>
      <c r="J79" s="149" t="s">
        <v>159</v>
      </c>
      <c r="K79" s="149" t="s">
        <v>5151</v>
      </c>
      <c r="L79" s="150"/>
      <c r="M79" s="149" t="s">
        <v>2878</v>
      </c>
      <c r="N79" s="149"/>
      <c r="O79" s="149"/>
      <c r="P79" s="151" t="s">
        <v>2880</v>
      </c>
    </row>
    <row r="80" spans="2:16" s="148" customFormat="1" ht="45" x14ac:dyDescent="0.25">
      <c r="B80" s="149" t="str">
        <f>MID($I80,1,1)</f>
        <v>1</v>
      </c>
      <c r="C80" s="149" t="str">
        <f>MID($I80,2,1)</f>
        <v>1</v>
      </c>
      <c r="D80" s="149" t="str">
        <f>MID($I80,3,1)</f>
        <v>2</v>
      </c>
      <c r="E80" s="149" t="str">
        <f>MID($I80,4,1)</f>
        <v>8</v>
      </c>
      <c r="F80" s="149" t="str">
        <f>MID($I80,5,2)</f>
        <v>01</v>
      </c>
      <c r="G80" s="149" t="str">
        <f>MID($I80,7,1)</f>
        <v>2</v>
      </c>
      <c r="H80" s="149" t="str">
        <f>MID($I80,8,1)</f>
        <v>0</v>
      </c>
      <c r="I80" s="144">
        <v>11280120</v>
      </c>
      <c r="J80" s="149" t="s">
        <v>161</v>
      </c>
      <c r="K80" s="149" t="s">
        <v>5152</v>
      </c>
      <c r="L80" s="150"/>
      <c r="M80" s="149" t="s">
        <v>2878</v>
      </c>
      <c r="N80" s="149"/>
      <c r="O80" s="149"/>
      <c r="P80" s="151" t="s">
        <v>2880</v>
      </c>
    </row>
    <row r="81" spans="2:16" s="148" customFormat="1" ht="45" x14ac:dyDescent="0.25">
      <c r="B81" s="149" t="str">
        <f>MID($I81,1,1)</f>
        <v>1</v>
      </c>
      <c r="C81" s="149" t="str">
        <f>MID($I81,2,1)</f>
        <v>1</v>
      </c>
      <c r="D81" s="149" t="str">
        <f>MID($I81,3,1)</f>
        <v>2</v>
      </c>
      <c r="E81" s="149" t="str">
        <f>MID($I81,4,1)</f>
        <v>8</v>
      </c>
      <c r="F81" s="149" t="str">
        <f>MID($I81,5,2)</f>
        <v>01</v>
      </c>
      <c r="G81" s="149" t="str">
        <f>MID($I81,7,1)</f>
        <v>9</v>
      </c>
      <c r="H81" s="149" t="str">
        <f>MID($I81,8,1)</f>
        <v>0</v>
      </c>
      <c r="I81" s="144">
        <v>11280190</v>
      </c>
      <c r="J81" s="149" t="s">
        <v>5148</v>
      </c>
      <c r="K81" s="149" t="s">
        <v>5153</v>
      </c>
      <c r="L81" s="150"/>
      <c r="M81" s="149" t="s">
        <v>2878</v>
      </c>
      <c r="N81" s="149"/>
      <c r="O81" s="149"/>
      <c r="P81" s="151" t="s">
        <v>2880</v>
      </c>
    </row>
    <row r="82" spans="2:16" ht="30" x14ac:dyDescent="0.25">
      <c r="B82" s="126" t="str">
        <f t="shared" si="14"/>
        <v>1</v>
      </c>
      <c r="C82" s="126" t="str">
        <f t="shared" si="15"/>
        <v>1</v>
      </c>
      <c r="D82" s="126" t="str">
        <f t="shared" si="16"/>
        <v>3</v>
      </c>
      <c r="E82" s="126" t="str">
        <f t="shared" si="17"/>
        <v>0</v>
      </c>
      <c r="F82" s="126" t="str">
        <f t="shared" si="18"/>
        <v>00</v>
      </c>
      <c r="G82" s="126" t="str">
        <f t="shared" si="19"/>
        <v>0</v>
      </c>
      <c r="H82" s="126" t="str">
        <f t="shared" si="20"/>
        <v>0</v>
      </c>
      <c r="I82" s="127">
        <v>11300000</v>
      </c>
      <c r="J82" s="126" t="s">
        <v>262</v>
      </c>
      <c r="K82" s="126" t="s">
        <v>3099</v>
      </c>
      <c r="L82" s="122"/>
      <c r="M82" s="126" t="s">
        <v>2878</v>
      </c>
      <c r="N82" s="126" t="s">
        <v>5016</v>
      </c>
      <c r="O82" s="126" t="s">
        <v>2878</v>
      </c>
      <c r="P82" s="128" t="s">
        <v>2880</v>
      </c>
    </row>
    <row r="83" spans="2:16" ht="30" x14ac:dyDescent="0.25">
      <c r="B83" s="114" t="str">
        <f t="shared" si="14"/>
        <v>1</v>
      </c>
      <c r="C83" s="114" t="str">
        <f t="shared" si="15"/>
        <v>1</v>
      </c>
      <c r="D83" s="114" t="str">
        <f t="shared" si="16"/>
        <v>3</v>
      </c>
      <c r="E83" s="114" t="str">
        <f t="shared" si="17"/>
        <v>0</v>
      </c>
      <c r="F83" s="114" t="str">
        <f t="shared" si="18"/>
        <v>00</v>
      </c>
      <c r="G83" s="114" t="str">
        <f t="shared" si="19"/>
        <v>1</v>
      </c>
      <c r="H83" s="114" t="str">
        <f t="shared" si="20"/>
        <v>0</v>
      </c>
      <c r="I83" s="115">
        <v>11300010</v>
      </c>
      <c r="J83" s="114" t="s">
        <v>262</v>
      </c>
      <c r="K83" s="114" t="s">
        <v>3099</v>
      </c>
      <c r="L83" s="116"/>
      <c r="M83" s="114" t="s">
        <v>2878</v>
      </c>
      <c r="N83" s="114" t="s">
        <v>2879</v>
      </c>
      <c r="O83" s="114" t="s">
        <v>2878</v>
      </c>
      <c r="P83" s="117" t="s">
        <v>2880</v>
      </c>
    </row>
    <row r="84" spans="2:16" s="153" customFormat="1" ht="30" x14ac:dyDescent="0.25">
      <c r="B84" s="155" t="str">
        <f t="shared" si="14"/>
        <v>1</v>
      </c>
      <c r="C84" s="155" t="str">
        <f t="shared" si="15"/>
        <v>1</v>
      </c>
      <c r="D84" s="155" t="str">
        <f t="shared" si="16"/>
        <v>3</v>
      </c>
      <c r="E84" s="155" t="str">
        <f t="shared" si="17"/>
        <v>8</v>
      </c>
      <c r="F84" s="155" t="str">
        <f t="shared" si="18"/>
        <v>00</v>
      </c>
      <c r="G84" s="155" t="str">
        <f t="shared" si="19"/>
        <v>0</v>
      </c>
      <c r="H84" s="155" t="str">
        <f t="shared" si="20"/>
        <v>0</v>
      </c>
      <c r="I84" s="161">
        <v>11380000</v>
      </c>
      <c r="J84" s="155" t="s">
        <v>5019</v>
      </c>
      <c r="K84" s="155" t="s">
        <v>5031</v>
      </c>
      <c r="L84" s="106"/>
      <c r="M84" s="155" t="s">
        <v>2878</v>
      </c>
      <c r="N84" s="155" t="s">
        <v>2879</v>
      </c>
      <c r="O84" s="155" t="s">
        <v>5018</v>
      </c>
      <c r="P84" s="162" t="s">
        <v>2880</v>
      </c>
    </row>
    <row r="85" spans="2:16" s="153" customFormat="1" ht="45" x14ac:dyDescent="0.25">
      <c r="B85" s="113" t="str">
        <f t="shared" si="14"/>
        <v>1</v>
      </c>
      <c r="C85" s="113" t="str">
        <f t="shared" si="15"/>
        <v>1</v>
      </c>
      <c r="D85" s="113" t="str">
        <f t="shared" si="16"/>
        <v>3</v>
      </c>
      <c r="E85" s="113" t="str">
        <f t="shared" si="17"/>
        <v>8</v>
      </c>
      <c r="F85" s="113" t="str">
        <f t="shared" si="18"/>
        <v>01</v>
      </c>
      <c r="G85" s="113" t="str">
        <f t="shared" si="19"/>
        <v>0</v>
      </c>
      <c r="H85" s="113" t="str">
        <f t="shared" si="20"/>
        <v>0</v>
      </c>
      <c r="I85" s="112">
        <v>11380100</v>
      </c>
      <c r="J85" s="113" t="s">
        <v>264</v>
      </c>
      <c r="K85" s="113" t="s">
        <v>265</v>
      </c>
      <c r="L85" s="110"/>
      <c r="M85" s="113"/>
      <c r="N85" s="113"/>
      <c r="O85" s="113"/>
      <c r="P85" s="163" t="s">
        <v>2880</v>
      </c>
    </row>
    <row r="86" spans="2:16" s="153" customFormat="1" ht="45" x14ac:dyDescent="0.25">
      <c r="B86" s="130" t="str">
        <f t="shared" si="14"/>
        <v>1</v>
      </c>
      <c r="C86" s="130" t="str">
        <f t="shared" si="15"/>
        <v>1</v>
      </c>
      <c r="D86" s="130" t="str">
        <f t="shared" si="16"/>
        <v>3</v>
      </c>
      <c r="E86" s="130" t="str">
        <f t="shared" si="17"/>
        <v>8</v>
      </c>
      <c r="F86" s="130" t="str">
        <f t="shared" si="18"/>
        <v>01</v>
      </c>
      <c r="G86" s="130" t="str">
        <f t="shared" si="19"/>
        <v>1</v>
      </c>
      <c r="H86" s="130" t="str">
        <f t="shared" si="20"/>
        <v>0</v>
      </c>
      <c r="I86" s="129">
        <v>11380110</v>
      </c>
      <c r="J86" s="130" t="s">
        <v>264</v>
      </c>
      <c r="K86" s="130" t="s">
        <v>265</v>
      </c>
      <c r="L86" s="116"/>
      <c r="M86" s="130"/>
      <c r="N86" s="130"/>
      <c r="O86" s="130"/>
      <c r="P86" s="152" t="s">
        <v>2880</v>
      </c>
    </row>
    <row r="87" spans="2:16" s="153" customFormat="1" ht="45" x14ac:dyDescent="0.25">
      <c r="B87" s="113" t="str">
        <f t="shared" si="14"/>
        <v>1</v>
      </c>
      <c r="C87" s="113" t="str">
        <f t="shared" si="15"/>
        <v>1</v>
      </c>
      <c r="D87" s="113" t="str">
        <f t="shared" si="16"/>
        <v>3</v>
      </c>
      <c r="E87" s="113" t="str">
        <f t="shared" si="17"/>
        <v>8</v>
      </c>
      <c r="F87" s="113" t="str">
        <f t="shared" si="18"/>
        <v>02</v>
      </c>
      <c r="G87" s="113" t="str">
        <f t="shared" si="19"/>
        <v>0</v>
      </c>
      <c r="H87" s="113" t="str">
        <f t="shared" si="20"/>
        <v>0</v>
      </c>
      <c r="I87" s="112">
        <v>11380200</v>
      </c>
      <c r="J87" s="113" t="s">
        <v>266</v>
      </c>
      <c r="K87" s="113" t="s">
        <v>267</v>
      </c>
      <c r="L87" s="110"/>
      <c r="M87" s="113"/>
      <c r="N87" s="113"/>
      <c r="O87" s="113"/>
      <c r="P87" s="163" t="s">
        <v>2880</v>
      </c>
    </row>
    <row r="88" spans="2:16" s="153" customFormat="1" ht="45" x14ac:dyDescent="0.25">
      <c r="B88" s="130" t="str">
        <f t="shared" si="14"/>
        <v>1</v>
      </c>
      <c r="C88" s="130" t="str">
        <f t="shared" si="15"/>
        <v>1</v>
      </c>
      <c r="D88" s="130" t="str">
        <f t="shared" si="16"/>
        <v>3</v>
      </c>
      <c r="E88" s="130" t="str">
        <f t="shared" si="17"/>
        <v>8</v>
      </c>
      <c r="F88" s="130" t="str">
        <f t="shared" si="18"/>
        <v>02</v>
      </c>
      <c r="G88" s="130" t="str">
        <f t="shared" si="19"/>
        <v>1</v>
      </c>
      <c r="H88" s="130" t="str">
        <f t="shared" si="20"/>
        <v>0</v>
      </c>
      <c r="I88" s="129">
        <v>11380210</v>
      </c>
      <c r="J88" s="130" t="s">
        <v>266</v>
      </c>
      <c r="K88" s="130" t="s">
        <v>267</v>
      </c>
      <c r="L88" s="116"/>
      <c r="M88" s="130"/>
      <c r="N88" s="130"/>
      <c r="O88" s="130"/>
      <c r="P88" s="152" t="s">
        <v>2880</v>
      </c>
    </row>
    <row r="89" spans="2:16" s="153" customFormat="1" ht="45" x14ac:dyDescent="0.25">
      <c r="B89" s="113" t="str">
        <f t="shared" si="14"/>
        <v>1</v>
      </c>
      <c r="C89" s="113" t="str">
        <f t="shared" si="15"/>
        <v>1</v>
      </c>
      <c r="D89" s="113" t="str">
        <f t="shared" si="16"/>
        <v>3</v>
      </c>
      <c r="E89" s="113" t="str">
        <f t="shared" si="17"/>
        <v>8</v>
      </c>
      <c r="F89" s="113" t="str">
        <f t="shared" si="18"/>
        <v>03</v>
      </c>
      <c r="G89" s="113" t="str">
        <f t="shared" si="19"/>
        <v>0</v>
      </c>
      <c r="H89" s="113" t="str">
        <f t="shared" si="20"/>
        <v>0</v>
      </c>
      <c r="I89" s="112">
        <v>11380300</v>
      </c>
      <c r="J89" s="113" t="s">
        <v>268</v>
      </c>
      <c r="K89" s="113" t="s">
        <v>269</v>
      </c>
      <c r="L89" s="110"/>
      <c r="M89" s="113"/>
      <c r="N89" s="113"/>
      <c r="O89" s="113"/>
      <c r="P89" s="163" t="s">
        <v>2880</v>
      </c>
    </row>
    <row r="90" spans="2:16" s="153" customFormat="1" ht="45" x14ac:dyDescent="0.25">
      <c r="B90" s="130" t="str">
        <f t="shared" si="14"/>
        <v>1</v>
      </c>
      <c r="C90" s="130" t="str">
        <f t="shared" si="15"/>
        <v>1</v>
      </c>
      <c r="D90" s="130" t="str">
        <f t="shared" si="16"/>
        <v>3</v>
      </c>
      <c r="E90" s="130" t="str">
        <f t="shared" si="17"/>
        <v>8</v>
      </c>
      <c r="F90" s="130" t="str">
        <f t="shared" si="18"/>
        <v>03</v>
      </c>
      <c r="G90" s="130" t="str">
        <f t="shared" si="19"/>
        <v>1</v>
      </c>
      <c r="H90" s="130" t="str">
        <f t="shared" si="20"/>
        <v>0</v>
      </c>
      <c r="I90" s="129">
        <v>11380310</v>
      </c>
      <c r="J90" s="130" t="s">
        <v>268</v>
      </c>
      <c r="K90" s="130" t="s">
        <v>269</v>
      </c>
      <c r="L90" s="116"/>
      <c r="M90" s="130"/>
      <c r="N90" s="130"/>
      <c r="O90" s="130"/>
      <c r="P90" s="152" t="s">
        <v>2880</v>
      </c>
    </row>
    <row r="91" spans="2:16" s="153" customFormat="1" ht="45" x14ac:dyDescent="0.25">
      <c r="B91" s="113" t="str">
        <f t="shared" si="14"/>
        <v>1</v>
      </c>
      <c r="C91" s="113" t="str">
        <f t="shared" si="15"/>
        <v>1</v>
      </c>
      <c r="D91" s="113" t="str">
        <f t="shared" si="16"/>
        <v>3</v>
      </c>
      <c r="E91" s="113" t="str">
        <f t="shared" si="17"/>
        <v>8</v>
      </c>
      <c r="F91" s="113" t="str">
        <f t="shared" si="18"/>
        <v>04</v>
      </c>
      <c r="G91" s="113" t="str">
        <f t="shared" si="19"/>
        <v>0</v>
      </c>
      <c r="H91" s="113" t="str">
        <f t="shared" si="20"/>
        <v>0</v>
      </c>
      <c r="I91" s="112">
        <v>11380400</v>
      </c>
      <c r="J91" s="113" t="s">
        <v>270</v>
      </c>
      <c r="K91" s="113" t="s">
        <v>271</v>
      </c>
      <c r="L91" s="110"/>
      <c r="M91" s="113"/>
      <c r="N91" s="113"/>
      <c r="O91" s="113"/>
      <c r="P91" s="163" t="s">
        <v>2880</v>
      </c>
    </row>
    <row r="92" spans="2:16" s="153" customFormat="1" ht="45" x14ac:dyDescent="0.25">
      <c r="B92" s="130" t="str">
        <f t="shared" si="14"/>
        <v>1</v>
      </c>
      <c r="C92" s="130" t="str">
        <f t="shared" si="15"/>
        <v>1</v>
      </c>
      <c r="D92" s="130" t="str">
        <f t="shared" si="16"/>
        <v>3</v>
      </c>
      <c r="E92" s="130" t="str">
        <f t="shared" si="17"/>
        <v>8</v>
      </c>
      <c r="F92" s="130" t="str">
        <f t="shared" si="18"/>
        <v>04</v>
      </c>
      <c r="G92" s="130" t="str">
        <f t="shared" si="19"/>
        <v>1</v>
      </c>
      <c r="H92" s="130" t="str">
        <f t="shared" si="20"/>
        <v>0</v>
      </c>
      <c r="I92" s="129">
        <v>11380410</v>
      </c>
      <c r="J92" s="130" t="s">
        <v>270</v>
      </c>
      <c r="K92" s="130" t="s">
        <v>271</v>
      </c>
      <c r="L92" s="116"/>
      <c r="M92" s="130"/>
      <c r="N92" s="130"/>
      <c r="O92" s="130"/>
      <c r="P92" s="152" t="s">
        <v>2880</v>
      </c>
    </row>
    <row r="93" spans="2:16" s="153" customFormat="1" ht="30" x14ac:dyDescent="0.25">
      <c r="B93" s="113" t="str">
        <f t="shared" si="14"/>
        <v>1</v>
      </c>
      <c r="C93" s="113" t="str">
        <f t="shared" si="15"/>
        <v>1</v>
      </c>
      <c r="D93" s="113" t="str">
        <f t="shared" si="16"/>
        <v>3</v>
      </c>
      <c r="E93" s="113" t="str">
        <f t="shared" si="17"/>
        <v>8</v>
      </c>
      <c r="F93" s="113" t="str">
        <f t="shared" si="18"/>
        <v>99</v>
      </c>
      <c r="G93" s="113" t="str">
        <f t="shared" si="19"/>
        <v>0</v>
      </c>
      <c r="H93" s="113" t="str">
        <f t="shared" si="20"/>
        <v>0</v>
      </c>
      <c r="I93" s="112">
        <v>11389900</v>
      </c>
      <c r="J93" s="113" t="s">
        <v>272</v>
      </c>
      <c r="K93" s="113" t="s">
        <v>273</v>
      </c>
      <c r="L93" s="110"/>
      <c r="M93" s="113" t="s">
        <v>2878</v>
      </c>
      <c r="N93" s="113"/>
      <c r="O93" s="113"/>
      <c r="P93" s="163" t="s">
        <v>2880</v>
      </c>
    </row>
    <row r="94" spans="2:16" s="153" customFormat="1" ht="30" x14ac:dyDescent="0.25">
      <c r="B94" s="130" t="str">
        <f t="shared" si="14"/>
        <v>1</v>
      </c>
      <c r="C94" s="130" t="str">
        <f t="shared" si="15"/>
        <v>1</v>
      </c>
      <c r="D94" s="130" t="str">
        <f t="shared" si="16"/>
        <v>3</v>
      </c>
      <c r="E94" s="130" t="str">
        <f t="shared" si="17"/>
        <v>8</v>
      </c>
      <c r="F94" s="130" t="str">
        <f t="shared" si="18"/>
        <v>99</v>
      </c>
      <c r="G94" s="130" t="str">
        <f t="shared" si="19"/>
        <v>1</v>
      </c>
      <c r="H94" s="130" t="str">
        <f t="shared" si="20"/>
        <v>0</v>
      </c>
      <c r="I94" s="129">
        <v>11389910</v>
      </c>
      <c r="J94" s="130" t="s">
        <v>272</v>
      </c>
      <c r="K94" s="130" t="s">
        <v>273</v>
      </c>
      <c r="L94" s="116"/>
      <c r="M94" s="130"/>
      <c r="N94" s="130"/>
      <c r="O94" s="130"/>
      <c r="P94" s="152" t="s">
        <v>2880</v>
      </c>
    </row>
    <row r="95" spans="2:16" ht="60" x14ac:dyDescent="0.25">
      <c r="B95" s="123" t="str">
        <f t="shared" si="14"/>
        <v>1</v>
      </c>
      <c r="C95" s="123" t="str">
        <f t="shared" si="15"/>
        <v>2</v>
      </c>
      <c r="D95" s="123" t="str">
        <f t="shared" si="16"/>
        <v>0</v>
      </c>
      <c r="E95" s="123" t="str">
        <f t="shared" si="17"/>
        <v>0</v>
      </c>
      <c r="F95" s="123" t="str">
        <f t="shared" si="18"/>
        <v>00</v>
      </c>
      <c r="G95" s="123" t="str">
        <f t="shared" si="19"/>
        <v>0</v>
      </c>
      <c r="H95" s="123" t="str">
        <f t="shared" si="20"/>
        <v>0</v>
      </c>
      <c r="I95" s="124">
        <v>12000000</v>
      </c>
      <c r="J95" s="123" t="s">
        <v>3104</v>
      </c>
      <c r="K95" s="123" t="s">
        <v>3105</v>
      </c>
      <c r="L95" s="103"/>
      <c r="M95" s="123" t="s">
        <v>2878</v>
      </c>
      <c r="N95" s="123" t="s">
        <v>5016</v>
      </c>
      <c r="O95" s="123" t="s">
        <v>2878</v>
      </c>
      <c r="P95" s="125" t="s">
        <v>2880</v>
      </c>
    </row>
    <row r="96" spans="2:16" ht="30" x14ac:dyDescent="0.25">
      <c r="B96" s="126" t="str">
        <f t="shared" si="14"/>
        <v>1</v>
      </c>
      <c r="C96" s="126" t="str">
        <f t="shared" si="15"/>
        <v>2</v>
      </c>
      <c r="D96" s="126" t="str">
        <f t="shared" si="16"/>
        <v>1</v>
      </c>
      <c r="E96" s="126" t="str">
        <f t="shared" si="17"/>
        <v>0</v>
      </c>
      <c r="F96" s="126" t="str">
        <f t="shared" si="18"/>
        <v>00</v>
      </c>
      <c r="G96" s="126" t="str">
        <f t="shared" si="19"/>
        <v>0</v>
      </c>
      <c r="H96" s="126" t="str">
        <f t="shared" si="20"/>
        <v>0</v>
      </c>
      <c r="I96" s="127">
        <v>12100000</v>
      </c>
      <c r="J96" s="126" t="s">
        <v>278</v>
      </c>
      <c r="K96" s="126" t="s">
        <v>3106</v>
      </c>
      <c r="L96" s="122"/>
      <c r="M96" s="126" t="s">
        <v>2878</v>
      </c>
      <c r="N96" s="126" t="s">
        <v>5016</v>
      </c>
      <c r="O96" s="126" t="s">
        <v>2878</v>
      </c>
      <c r="P96" s="128" t="s">
        <v>2880</v>
      </c>
    </row>
    <row r="97" spans="2:16" s="148" customFormat="1" ht="45" x14ac:dyDescent="0.25">
      <c r="B97" s="164" t="str">
        <f t="shared" si="14"/>
        <v>1</v>
      </c>
      <c r="C97" s="164" t="str">
        <f t="shared" si="15"/>
        <v>2</v>
      </c>
      <c r="D97" s="164" t="str">
        <f t="shared" si="16"/>
        <v>1</v>
      </c>
      <c r="E97" s="164" t="str">
        <f t="shared" si="17"/>
        <v>1</v>
      </c>
      <c r="F97" s="164" t="str">
        <f t="shared" si="18"/>
        <v>00</v>
      </c>
      <c r="G97" s="164" t="str">
        <f t="shared" si="19"/>
        <v>0</v>
      </c>
      <c r="H97" s="164" t="str">
        <f t="shared" si="20"/>
        <v>0</v>
      </c>
      <c r="I97" s="165">
        <v>12110000</v>
      </c>
      <c r="J97" s="164" t="s">
        <v>5244</v>
      </c>
      <c r="K97" s="164" t="s">
        <v>5410</v>
      </c>
      <c r="L97" s="166"/>
      <c r="M97" s="164" t="s">
        <v>2878</v>
      </c>
      <c r="N97" s="164"/>
      <c r="O97" s="164" t="s">
        <v>2878</v>
      </c>
      <c r="P97" s="167" t="s">
        <v>2880</v>
      </c>
    </row>
    <row r="98" spans="2:16" s="148" customFormat="1" ht="60" x14ac:dyDescent="0.25">
      <c r="B98" s="145" t="str">
        <f t="shared" si="14"/>
        <v>1</v>
      </c>
      <c r="C98" s="145" t="str">
        <f t="shared" si="15"/>
        <v>2</v>
      </c>
      <c r="D98" s="145" t="str">
        <f t="shared" si="16"/>
        <v>1</v>
      </c>
      <c r="E98" s="145" t="str">
        <f t="shared" si="17"/>
        <v>1</v>
      </c>
      <c r="F98" s="145" t="str">
        <f t="shared" si="18"/>
        <v>01</v>
      </c>
      <c r="G98" s="145" t="str">
        <f t="shared" si="19"/>
        <v>0</v>
      </c>
      <c r="H98" s="145" t="str">
        <f t="shared" si="20"/>
        <v>0</v>
      </c>
      <c r="I98" s="143">
        <v>12110100</v>
      </c>
      <c r="J98" s="145" t="s">
        <v>5245</v>
      </c>
      <c r="K98" s="145" t="s">
        <v>5409</v>
      </c>
      <c r="L98" s="146"/>
      <c r="M98" s="145" t="s">
        <v>2878</v>
      </c>
      <c r="N98" s="145"/>
      <c r="O98" s="145" t="s">
        <v>2878</v>
      </c>
      <c r="P98" s="147" t="s">
        <v>2880</v>
      </c>
    </row>
    <row r="99" spans="2:16" s="148" customFormat="1" ht="60" x14ac:dyDescent="0.25">
      <c r="B99" s="149" t="str">
        <f t="shared" si="14"/>
        <v>1</v>
      </c>
      <c r="C99" s="149" t="str">
        <f t="shared" si="15"/>
        <v>2</v>
      </c>
      <c r="D99" s="149" t="str">
        <f t="shared" si="16"/>
        <v>1</v>
      </c>
      <c r="E99" s="149" t="str">
        <f t="shared" si="17"/>
        <v>1</v>
      </c>
      <c r="F99" s="149" t="str">
        <f t="shared" si="18"/>
        <v>01</v>
      </c>
      <c r="G99" s="149" t="str">
        <f t="shared" si="19"/>
        <v>1</v>
      </c>
      <c r="H99" s="149" t="str">
        <f t="shared" si="20"/>
        <v>0</v>
      </c>
      <c r="I99" s="144">
        <v>12110110</v>
      </c>
      <c r="J99" s="149" t="s">
        <v>5245</v>
      </c>
      <c r="K99" s="149" t="s">
        <v>5411</v>
      </c>
      <c r="L99" s="150"/>
      <c r="M99" s="149" t="s">
        <v>5412</v>
      </c>
      <c r="N99" s="149"/>
      <c r="O99" s="149" t="s">
        <v>5413</v>
      </c>
      <c r="P99" s="151" t="s">
        <v>2880</v>
      </c>
    </row>
    <row r="100" spans="2:16" s="148" customFormat="1" ht="30" x14ac:dyDescent="0.25">
      <c r="B100" s="145" t="str">
        <f t="shared" si="14"/>
        <v>1</v>
      </c>
      <c r="C100" s="145" t="str">
        <f t="shared" si="15"/>
        <v>2</v>
      </c>
      <c r="D100" s="145" t="str">
        <f t="shared" si="16"/>
        <v>1</v>
      </c>
      <c r="E100" s="145" t="str">
        <f t="shared" si="17"/>
        <v>1</v>
      </c>
      <c r="F100" s="145" t="str">
        <f t="shared" si="18"/>
        <v>02</v>
      </c>
      <c r="G100" s="145" t="str">
        <f t="shared" si="19"/>
        <v>0</v>
      </c>
      <c r="H100" s="145" t="str">
        <f t="shared" si="20"/>
        <v>0</v>
      </c>
      <c r="I100" s="143">
        <v>12110200</v>
      </c>
      <c r="J100" s="145" t="s">
        <v>5246</v>
      </c>
      <c r="K100" s="145" t="s">
        <v>5414</v>
      </c>
      <c r="L100" s="146"/>
      <c r="M100" s="145" t="s">
        <v>2878</v>
      </c>
      <c r="N100" s="145"/>
      <c r="O100" s="145" t="s">
        <v>2878</v>
      </c>
      <c r="P100" s="147" t="s">
        <v>2880</v>
      </c>
    </row>
    <row r="101" spans="2:16" s="148" customFormat="1" ht="60" x14ac:dyDescent="0.25">
      <c r="B101" s="149" t="str">
        <f t="shared" si="14"/>
        <v>1</v>
      </c>
      <c r="C101" s="149" t="str">
        <f t="shared" si="15"/>
        <v>2</v>
      </c>
      <c r="D101" s="149" t="str">
        <f t="shared" si="16"/>
        <v>1</v>
      </c>
      <c r="E101" s="149" t="str">
        <f t="shared" si="17"/>
        <v>1</v>
      </c>
      <c r="F101" s="149" t="str">
        <f t="shared" si="18"/>
        <v>02</v>
      </c>
      <c r="G101" s="149" t="str">
        <f t="shared" si="19"/>
        <v>1</v>
      </c>
      <c r="H101" s="149" t="str">
        <f t="shared" si="20"/>
        <v>0</v>
      </c>
      <c r="I101" s="144">
        <v>12110210</v>
      </c>
      <c r="J101" s="149" t="s">
        <v>5246</v>
      </c>
      <c r="K101" s="149" t="s">
        <v>5414</v>
      </c>
      <c r="L101" s="150"/>
      <c r="M101" s="149" t="s">
        <v>5412</v>
      </c>
      <c r="N101" s="149"/>
      <c r="O101" s="149" t="s">
        <v>5413</v>
      </c>
      <c r="P101" s="151" t="s">
        <v>2880</v>
      </c>
    </row>
    <row r="102" spans="2:16" s="148" customFormat="1" ht="45" x14ac:dyDescent="0.25">
      <c r="B102" s="145" t="str">
        <f t="shared" si="14"/>
        <v>1</v>
      </c>
      <c r="C102" s="145" t="str">
        <f t="shared" si="15"/>
        <v>2</v>
      </c>
      <c r="D102" s="145" t="str">
        <f t="shared" si="16"/>
        <v>1</v>
      </c>
      <c r="E102" s="145" t="str">
        <f t="shared" si="17"/>
        <v>1</v>
      </c>
      <c r="F102" s="145" t="str">
        <f t="shared" si="18"/>
        <v>49</v>
      </c>
      <c r="G102" s="145" t="str">
        <f t="shared" si="19"/>
        <v>0</v>
      </c>
      <c r="H102" s="145" t="str">
        <f t="shared" si="20"/>
        <v>0</v>
      </c>
      <c r="I102" s="143">
        <v>12114900</v>
      </c>
      <c r="J102" s="145" t="s">
        <v>5247</v>
      </c>
      <c r="K102" s="145" t="s">
        <v>5415</v>
      </c>
      <c r="L102" s="146"/>
      <c r="M102" s="145" t="s">
        <v>2878</v>
      </c>
      <c r="N102" s="145"/>
      <c r="O102" s="145" t="s">
        <v>2878</v>
      </c>
      <c r="P102" s="147" t="s">
        <v>2880</v>
      </c>
    </row>
    <row r="103" spans="2:16" s="148" customFormat="1" ht="45" x14ac:dyDescent="0.25">
      <c r="B103" s="149" t="str">
        <f t="shared" si="14"/>
        <v>1</v>
      </c>
      <c r="C103" s="149" t="str">
        <f t="shared" si="15"/>
        <v>2</v>
      </c>
      <c r="D103" s="149" t="str">
        <f t="shared" si="16"/>
        <v>1</v>
      </c>
      <c r="E103" s="149" t="str">
        <f t="shared" si="17"/>
        <v>1</v>
      </c>
      <c r="F103" s="149" t="str">
        <f t="shared" si="18"/>
        <v>49</v>
      </c>
      <c r="G103" s="149" t="str">
        <f t="shared" si="19"/>
        <v>1</v>
      </c>
      <c r="H103" s="149" t="str">
        <f t="shared" si="20"/>
        <v>0</v>
      </c>
      <c r="I103" s="144">
        <v>12114910</v>
      </c>
      <c r="J103" s="149" t="s">
        <v>5247</v>
      </c>
      <c r="K103" s="149" t="s">
        <v>5415</v>
      </c>
      <c r="L103" s="150"/>
      <c r="M103" s="149" t="s">
        <v>5412</v>
      </c>
      <c r="N103" s="186" t="s">
        <v>5416</v>
      </c>
      <c r="O103" s="149" t="s">
        <v>5417</v>
      </c>
      <c r="P103" s="151" t="s">
        <v>2880</v>
      </c>
    </row>
    <row r="104" spans="2:16" s="148" customFormat="1" ht="30" x14ac:dyDescent="0.25">
      <c r="B104" s="164" t="str">
        <f t="shared" si="14"/>
        <v>1</v>
      </c>
      <c r="C104" s="164" t="str">
        <f t="shared" si="15"/>
        <v>2</v>
      </c>
      <c r="D104" s="164" t="str">
        <f t="shared" si="16"/>
        <v>1</v>
      </c>
      <c r="E104" s="164" t="str">
        <f t="shared" si="17"/>
        <v>2</v>
      </c>
      <c r="F104" s="164" t="str">
        <f t="shared" si="18"/>
        <v>00</v>
      </c>
      <c r="G104" s="164" t="str">
        <f t="shared" si="19"/>
        <v>0</v>
      </c>
      <c r="H104" s="164" t="str">
        <f t="shared" si="20"/>
        <v>0</v>
      </c>
      <c r="I104" s="165">
        <v>12120000</v>
      </c>
      <c r="J104" s="164" t="s">
        <v>5248</v>
      </c>
      <c r="K104" s="164" t="s">
        <v>5418</v>
      </c>
      <c r="L104" s="166"/>
      <c r="M104" s="164" t="s">
        <v>2878</v>
      </c>
      <c r="N104" s="164"/>
      <c r="O104" s="164" t="s">
        <v>2878</v>
      </c>
      <c r="P104" s="167" t="s">
        <v>2880</v>
      </c>
    </row>
    <row r="105" spans="2:16" s="148" customFormat="1" ht="45" x14ac:dyDescent="0.25">
      <c r="B105" s="145" t="str">
        <f t="shared" si="14"/>
        <v>1</v>
      </c>
      <c r="C105" s="145" t="str">
        <f t="shared" si="15"/>
        <v>2</v>
      </c>
      <c r="D105" s="145" t="str">
        <f t="shared" si="16"/>
        <v>1</v>
      </c>
      <c r="E105" s="145" t="str">
        <f t="shared" si="17"/>
        <v>2</v>
      </c>
      <c r="F105" s="145" t="str">
        <f t="shared" si="18"/>
        <v>01</v>
      </c>
      <c r="G105" s="145" t="str">
        <f t="shared" si="19"/>
        <v>0</v>
      </c>
      <c r="H105" s="145" t="str">
        <f t="shared" si="20"/>
        <v>0</v>
      </c>
      <c r="I105" s="143">
        <v>12120100</v>
      </c>
      <c r="J105" s="145" t="s">
        <v>5249</v>
      </c>
      <c r="K105" s="145" t="s">
        <v>5419</v>
      </c>
      <c r="L105" s="146"/>
      <c r="M105" s="145" t="s">
        <v>2878</v>
      </c>
      <c r="N105" s="145"/>
      <c r="O105" s="145" t="s">
        <v>2878</v>
      </c>
      <c r="P105" s="147" t="s">
        <v>2880</v>
      </c>
    </row>
    <row r="106" spans="2:16" s="148" customFormat="1" ht="45" x14ac:dyDescent="0.25">
      <c r="B106" s="149" t="str">
        <f t="shared" si="14"/>
        <v>1</v>
      </c>
      <c r="C106" s="149" t="str">
        <f t="shared" si="15"/>
        <v>2</v>
      </c>
      <c r="D106" s="149" t="str">
        <f t="shared" si="16"/>
        <v>1</v>
      </c>
      <c r="E106" s="149" t="str">
        <f t="shared" si="17"/>
        <v>2</v>
      </c>
      <c r="F106" s="149" t="str">
        <f t="shared" si="18"/>
        <v>01</v>
      </c>
      <c r="G106" s="149" t="str">
        <f t="shared" si="19"/>
        <v>1</v>
      </c>
      <c r="H106" s="149" t="str">
        <f t="shared" si="20"/>
        <v>0</v>
      </c>
      <c r="I106" s="144">
        <v>12120110</v>
      </c>
      <c r="J106" s="149" t="s">
        <v>5249</v>
      </c>
      <c r="K106" s="149" t="s">
        <v>5419</v>
      </c>
      <c r="L106" s="150"/>
      <c r="M106" s="149" t="s">
        <v>2878</v>
      </c>
      <c r="N106" s="149"/>
      <c r="O106" s="149" t="s">
        <v>2878</v>
      </c>
      <c r="P106" s="151" t="s">
        <v>2880</v>
      </c>
    </row>
    <row r="107" spans="2:16" s="148" customFormat="1" ht="45" x14ac:dyDescent="0.25">
      <c r="B107" s="145" t="str">
        <f t="shared" si="14"/>
        <v>1</v>
      </c>
      <c r="C107" s="145" t="str">
        <f t="shared" si="15"/>
        <v>2</v>
      </c>
      <c r="D107" s="145" t="str">
        <f t="shared" si="16"/>
        <v>1</v>
      </c>
      <c r="E107" s="145" t="str">
        <f t="shared" si="17"/>
        <v>2</v>
      </c>
      <c r="F107" s="145" t="str">
        <f t="shared" si="18"/>
        <v>02</v>
      </c>
      <c r="G107" s="145" t="str">
        <f t="shared" si="19"/>
        <v>0</v>
      </c>
      <c r="H107" s="145" t="str">
        <f t="shared" si="20"/>
        <v>0</v>
      </c>
      <c r="I107" s="143">
        <v>12120200</v>
      </c>
      <c r="J107" s="145" t="s">
        <v>5250</v>
      </c>
      <c r="K107" s="145" t="s">
        <v>5420</v>
      </c>
      <c r="L107" s="146"/>
      <c r="M107" s="145" t="s">
        <v>2878</v>
      </c>
      <c r="N107" s="145"/>
      <c r="O107" s="145" t="s">
        <v>2878</v>
      </c>
      <c r="P107" s="147" t="s">
        <v>2880</v>
      </c>
    </row>
    <row r="108" spans="2:16" s="148" customFormat="1" ht="45" x14ac:dyDescent="0.25">
      <c r="B108" s="149" t="str">
        <f t="shared" si="14"/>
        <v>1</v>
      </c>
      <c r="C108" s="149" t="str">
        <f t="shared" si="15"/>
        <v>2</v>
      </c>
      <c r="D108" s="149" t="str">
        <f t="shared" si="16"/>
        <v>1</v>
      </c>
      <c r="E108" s="149" t="str">
        <f t="shared" si="17"/>
        <v>2</v>
      </c>
      <c r="F108" s="149" t="str">
        <f t="shared" si="18"/>
        <v>02</v>
      </c>
      <c r="G108" s="149" t="str">
        <f t="shared" si="19"/>
        <v>1</v>
      </c>
      <c r="H108" s="149" t="str">
        <f t="shared" si="20"/>
        <v>0</v>
      </c>
      <c r="I108" s="144">
        <v>12120210</v>
      </c>
      <c r="J108" s="149" t="s">
        <v>5250</v>
      </c>
      <c r="K108" s="149" t="s">
        <v>5420</v>
      </c>
      <c r="L108" s="150"/>
      <c r="M108" s="149" t="s">
        <v>5412</v>
      </c>
      <c r="N108" s="149"/>
      <c r="O108" s="149" t="s">
        <v>5421</v>
      </c>
      <c r="P108" s="151" t="s">
        <v>2880</v>
      </c>
    </row>
    <row r="109" spans="2:16" s="148" customFormat="1" ht="45" x14ac:dyDescent="0.25">
      <c r="B109" s="145" t="str">
        <f t="shared" si="14"/>
        <v>1</v>
      </c>
      <c r="C109" s="145" t="str">
        <f t="shared" si="15"/>
        <v>2</v>
      </c>
      <c r="D109" s="145" t="str">
        <f t="shared" si="16"/>
        <v>1</v>
      </c>
      <c r="E109" s="145" t="str">
        <f t="shared" si="17"/>
        <v>2</v>
      </c>
      <c r="F109" s="145" t="str">
        <f t="shared" si="18"/>
        <v>03</v>
      </c>
      <c r="G109" s="145" t="str">
        <f t="shared" si="19"/>
        <v>0</v>
      </c>
      <c r="H109" s="145" t="str">
        <f t="shared" si="20"/>
        <v>0</v>
      </c>
      <c r="I109" s="143">
        <v>12120300</v>
      </c>
      <c r="J109" s="145" t="s">
        <v>5251</v>
      </c>
      <c r="K109" s="145" t="s">
        <v>5422</v>
      </c>
      <c r="L109" s="146"/>
      <c r="M109" s="145" t="s">
        <v>2878</v>
      </c>
      <c r="N109" s="145"/>
      <c r="O109" s="145" t="s">
        <v>2878</v>
      </c>
      <c r="P109" s="147" t="s">
        <v>2880</v>
      </c>
    </row>
    <row r="110" spans="2:16" s="148" customFormat="1" ht="45" x14ac:dyDescent="0.25">
      <c r="B110" s="149" t="str">
        <f t="shared" si="14"/>
        <v>1</v>
      </c>
      <c r="C110" s="149" t="str">
        <f t="shared" si="15"/>
        <v>2</v>
      </c>
      <c r="D110" s="149" t="str">
        <f t="shared" si="16"/>
        <v>1</v>
      </c>
      <c r="E110" s="149" t="str">
        <f t="shared" si="17"/>
        <v>2</v>
      </c>
      <c r="F110" s="149" t="str">
        <f t="shared" si="18"/>
        <v>03</v>
      </c>
      <c r="G110" s="149" t="str">
        <f t="shared" si="19"/>
        <v>1</v>
      </c>
      <c r="H110" s="149" t="str">
        <f t="shared" si="20"/>
        <v>0</v>
      </c>
      <c r="I110" s="144">
        <v>12120310</v>
      </c>
      <c r="J110" s="149" t="s">
        <v>5251</v>
      </c>
      <c r="K110" s="149" t="s">
        <v>5422</v>
      </c>
      <c r="L110" s="150"/>
      <c r="M110" s="149" t="s">
        <v>5412</v>
      </c>
      <c r="N110" s="149"/>
      <c r="O110" s="149" t="s">
        <v>5432</v>
      </c>
      <c r="P110" s="151" t="s">
        <v>2880</v>
      </c>
    </row>
    <row r="111" spans="2:16" s="148" customFormat="1" ht="45" x14ac:dyDescent="0.25">
      <c r="B111" s="145" t="str">
        <f t="shared" si="14"/>
        <v>1</v>
      </c>
      <c r="C111" s="145" t="str">
        <f t="shared" si="15"/>
        <v>2</v>
      </c>
      <c r="D111" s="145" t="str">
        <f t="shared" si="16"/>
        <v>1</v>
      </c>
      <c r="E111" s="145" t="str">
        <f t="shared" si="17"/>
        <v>2</v>
      </c>
      <c r="F111" s="145" t="str">
        <f t="shared" si="18"/>
        <v>04</v>
      </c>
      <c r="G111" s="145" t="str">
        <f t="shared" si="19"/>
        <v>0</v>
      </c>
      <c r="H111" s="145" t="str">
        <f t="shared" si="20"/>
        <v>0</v>
      </c>
      <c r="I111" s="143">
        <v>12120400</v>
      </c>
      <c r="J111" s="145" t="s">
        <v>5252</v>
      </c>
      <c r="K111" s="145" t="s">
        <v>5423</v>
      </c>
      <c r="L111" s="146"/>
      <c r="M111" s="145" t="s">
        <v>2878</v>
      </c>
      <c r="N111" s="145"/>
      <c r="O111" s="145" t="s">
        <v>2878</v>
      </c>
      <c r="P111" s="147" t="s">
        <v>2880</v>
      </c>
    </row>
    <row r="112" spans="2:16" s="148" customFormat="1" ht="45" x14ac:dyDescent="0.25">
      <c r="B112" s="149" t="str">
        <f t="shared" si="14"/>
        <v>1</v>
      </c>
      <c r="C112" s="149" t="str">
        <f t="shared" si="15"/>
        <v>2</v>
      </c>
      <c r="D112" s="149" t="str">
        <f t="shared" si="16"/>
        <v>1</v>
      </c>
      <c r="E112" s="149" t="str">
        <f t="shared" si="17"/>
        <v>2</v>
      </c>
      <c r="F112" s="149" t="str">
        <f t="shared" si="18"/>
        <v>04</v>
      </c>
      <c r="G112" s="149" t="str">
        <f t="shared" si="19"/>
        <v>1</v>
      </c>
      <c r="H112" s="149" t="str">
        <f t="shared" si="20"/>
        <v>0</v>
      </c>
      <c r="I112" s="144">
        <v>12120410</v>
      </c>
      <c r="J112" s="149" t="s">
        <v>5252</v>
      </c>
      <c r="K112" s="149" t="s">
        <v>5423</v>
      </c>
      <c r="L112" s="150"/>
      <c r="M112" s="149" t="s">
        <v>5412</v>
      </c>
      <c r="N112" s="149"/>
      <c r="O112" s="149" t="s">
        <v>5432</v>
      </c>
      <c r="P112" s="151" t="s">
        <v>2880</v>
      </c>
    </row>
    <row r="113" spans="2:16" s="148" customFormat="1" ht="60" x14ac:dyDescent="0.25">
      <c r="B113" s="145" t="str">
        <f t="shared" si="14"/>
        <v>1</v>
      </c>
      <c r="C113" s="145" t="str">
        <f t="shared" si="15"/>
        <v>2</v>
      </c>
      <c r="D113" s="145" t="str">
        <f t="shared" si="16"/>
        <v>1</v>
      </c>
      <c r="E113" s="145" t="str">
        <f t="shared" si="17"/>
        <v>2</v>
      </c>
      <c r="F113" s="145" t="str">
        <f t="shared" si="18"/>
        <v>05</v>
      </c>
      <c r="G113" s="145" t="str">
        <f t="shared" si="19"/>
        <v>0</v>
      </c>
      <c r="H113" s="145" t="str">
        <f t="shared" si="20"/>
        <v>0</v>
      </c>
      <c r="I113" s="143">
        <v>12120500</v>
      </c>
      <c r="J113" s="145" t="s">
        <v>5253</v>
      </c>
      <c r="K113" s="145" t="s">
        <v>5424</v>
      </c>
      <c r="L113" s="146"/>
      <c r="M113" s="145" t="s">
        <v>2878</v>
      </c>
      <c r="N113" s="145"/>
      <c r="O113" s="145" t="s">
        <v>2878</v>
      </c>
      <c r="P113" s="147" t="s">
        <v>2880</v>
      </c>
    </row>
    <row r="114" spans="2:16" s="148" customFormat="1" ht="60" x14ac:dyDescent="0.25">
      <c r="B114" s="149" t="str">
        <f t="shared" si="14"/>
        <v>1</v>
      </c>
      <c r="C114" s="149" t="str">
        <f t="shared" si="15"/>
        <v>2</v>
      </c>
      <c r="D114" s="149" t="str">
        <f t="shared" si="16"/>
        <v>1</v>
      </c>
      <c r="E114" s="149" t="str">
        <f t="shared" si="17"/>
        <v>2</v>
      </c>
      <c r="F114" s="149" t="str">
        <f t="shared" si="18"/>
        <v>05</v>
      </c>
      <c r="G114" s="149" t="str">
        <f t="shared" si="19"/>
        <v>1</v>
      </c>
      <c r="H114" s="149" t="str">
        <f t="shared" si="20"/>
        <v>0</v>
      </c>
      <c r="I114" s="144">
        <v>12120510</v>
      </c>
      <c r="J114" s="149" t="s">
        <v>5253</v>
      </c>
      <c r="K114" s="149" t="s">
        <v>5424</v>
      </c>
      <c r="L114" s="150"/>
      <c r="M114" s="149" t="s">
        <v>5412</v>
      </c>
      <c r="N114" s="149"/>
      <c r="O114" s="149" t="s">
        <v>5432</v>
      </c>
      <c r="P114" s="151" t="s">
        <v>2880</v>
      </c>
    </row>
    <row r="115" spans="2:16" s="148" customFormat="1" ht="60" x14ac:dyDescent="0.25">
      <c r="B115" s="145" t="str">
        <f t="shared" si="14"/>
        <v>1</v>
      </c>
      <c r="C115" s="145" t="str">
        <f t="shared" si="15"/>
        <v>2</v>
      </c>
      <c r="D115" s="145" t="str">
        <f t="shared" si="16"/>
        <v>1</v>
      </c>
      <c r="E115" s="145" t="str">
        <f t="shared" si="17"/>
        <v>2</v>
      </c>
      <c r="F115" s="145" t="str">
        <f t="shared" si="18"/>
        <v>06</v>
      </c>
      <c r="G115" s="145" t="str">
        <f t="shared" si="19"/>
        <v>0</v>
      </c>
      <c r="H115" s="145" t="str">
        <f t="shared" si="20"/>
        <v>0</v>
      </c>
      <c r="I115" s="143">
        <v>12120600</v>
      </c>
      <c r="J115" s="145" t="s">
        <v>5254</v>
      </c>
      <c r="K115" s="145" t="s">
        <v>5425</v>
      </c>
      <c r="L115" s="146"/>
      <c r="M115" s="145" t="s">
        <v>2878</v>
      </c>
      <c r="N115" s="145"/>
      <c r="O115" s="145" t="s">
        <v>2878</v>
      </c>
      <c r="P115" s="147" t="s">
        <v>2880</v>
      </c>
    </row>
    <row r="116" spans="2:16" s="148" customFormat="1" ht="60" x14ac:dyDescent="0.25">
      <c r="B116" s="149" t="str">
        <f t="shared" si="14"/>
        <v>1</v>
      </c>
      <c r="C116" s="149" t="str">
        <f t="shared" si="15"/>
        <v>2</v>
      </c>
      <c r="D116" s="149" t="str">
        <f t="shared" si="16"/>
        <v>1</v>
      </c>
      <c r="E116" s="149" t="str">
        <f t="shared" si="17"/>
        <v>2</v>
      </c>
      <c r="F116" s="149" t="str">
        <f t="shared" si="18"/>
        <v>06</v>
      </c>
      <c r="G116" s="149" t="str">
        <f t="shared" si="19"/>
        <v>1</v>
      </c>
      <c r="H116" s="149" t="str">
        <f t="shared" si="20"/>
        <v>0</v>
      </c>
      <c r="I116" s="144">
        <v>12120610</v>
      </c>
      <c r="J116" s="149" t="s">
        <v>5254</v>
      </c>
      <c r="K116" s="149" t="s">
        <v>5425</v>
      </c>
      <c r="L116" s="150"/>
      <c r="M116" s="149" t="s">
        <v>5412</v>
      </c>
      <c r="N116" s="149"/>
      <c r="O116" s="149" t="s">
        <v>5432</v>
      </c>
      <c r="P116" s="151" t="s">
        <v>2880</v>
      </c>
    </row>
    <row r="117" spans="2:16" s="148" customFormat="1" ht="60" x14ac:dyDescent="0.25">
      <c r="B117" s="145" t="str">
        <f t="shared" si="14"/>
        <v>1</v>
      </c>
      <c r="C117" s="145" t="str">
        <f t="shared" si="15"/>
        <v>2</v>
      </c>
      <c r="D117" s="145" t="str">
        <f t="shared" si="16"/>
        <v>1</v>
      </c>
      <c r="E117" s="145" t="str">
        <f t="shared" si="17"/>
        <v>2</v>
      </c>
      <c r="F117" s="145" t="str">
        <f t="shared" si="18"/>
        <v>07</v>
      </c>
      <c r="G117" s="145" t="str">
        <f t="shared" si="19"/>
        <v>0</v>
      </c>
      <c r="H117" s="145" t="str">
        <f t="shared" si="20"/>
        <v>0</v>
      </c>
      <c r="I117" s="143">
        <v>12120700</v>
      </c>
      <c r="J117" s="145" t="s">
        <v>5255</v>
      </c>
      <c r="K117" s="145" t="s">
        <v>5426</v>
      </c>
      <c r="L117" s="146"/>
      <c r="M117" s="145" t="s">
        <v>2878</v>
      </c>
      <c r="N117" s="145"/>
      <c r="O117" s="145" t="s">
        <v>2878</v>
      </c>
      <c r="P117" s="147" t="s">
        <v>2880</v>
      </c>
    </row>
    <row r="118" spans="2:16" s="148" customFormat="1" ht="60" x14ac:dyDescent="0.25">
      <c r="B118" s="149" t="str">
        <f t="shared" si="14"/>
        <v>1</v>
      </c>
      <c r="C118" s="149" t="str">
        <f t="shared" si="15"/>
        <v>2</v>
      </c>
      <c r="D118" s="149" t="str">
        <f t="shared" si="16"/>
        <v>1</v>
      </c>
      <c r="E118" s="149" t="str">
        <f t="shared" si="17"/>
        <v>2</v>
      </c>
      <c r="F118" s="149" t="str">
        <f t="shared" si="18"/>
        <v>07</v>
      </c>
      <c r="G118" s="149" t="str">
        <f t="shared" si="19"/>
        <v>1</v>
      </c>
      <c r="H118" s="149" t="str">
        <f t="shared" si="20"/>
        <v>0</v>
      </c>
      <c r="I118" s="144">
        <v>12120710</v>
      </c>
      <c r="J118" s="149" t="s">
        <v>5255</v>
      </c>
      <c r="K118" s="149" t="s">
        <v>5426</v>
      </c>
      <c r="L118" s="150"/>
      <c r="M118" s="149" t="s">
        <v>5412</v>
      </c>
      <c r="N118" s="149"/>
      <c r="O118" s="149" t="s">
        <v>5432</v>
      </c>
      <c r="P118" s="151" t="s">
        <v>2880</v>
      </c>
    </row>
    <row r="119" spans="2:16" s="148" customFormat="1" ht="45" x14ac:dyDescent="0.25">
      <c r="B119" s="145" t="str">
        <f t="shared" si="14"/>
        <v>1</v>
      </c>
      <c r="C119" s="145" t="str">
        <f t="shared" si="15"/>
        <v>2</v>
      </c>
      <c r="D119" s="145" t="str">
        <f t="shared" si="16"/>
        <v>1</v>
      </c>
      <c r="E119" s="145" t="str">
        <f t="shared" si="17"/>
        <v>2</v>
      </c>
      <c r="F119" s="145" t="str">
        <f t="shared" si="18"/>
        <v>08</v>
      </c>
      <c r="G119" s="145" t="str">
        <f t="shared" si="19"/>
        <v>0</v>
      </c>
      <c r="H119" s="145" t="str">
        <f t="shared" si="20"/>
        <v>0</v>
      </c>
      <c r="I119" s="143">
        <v>12120800</v>
      </c>
      <c r="J119" s="145" t="s">
        <v>5256</v>
      </c>
      <c r="K119" s="145" t="s">
        <v>5427</v>
      </c>
      <c r="L119" s="146"/>
      <c r="M119" s="145" t="s">
        <v>2878</v>
      </c>
      <c r="N119" s="145"/>
      <c r="O119" s="145" t="s">
        <v>2878</v>
      </c>
      <c r="P119" s="147" t="s">
        <v>2880</v>
      </c>
    </row>
    <row r="120" spans="2:16" s="148" customFormat="1" ht="45" x14ac:dyDescent="0.25">
      <c r="B120" s="149" t="str">
        <f t="shared" si="14"/>
        <v>1</v>
      </c>
      <c r="C120" s="149" t="str">
        <f t="shared" si="15"/>
        <v>2</v>
      </c>
      <c r="D120" s="149" t="str">
        <f t="shared" si="16"/>
        <v>1</v>
      </c>
      <c r="E120" s="149" t="str">
        <f t="shared" si="17"/>
        <v>2</v>
      </c>
      <c r="F120" s="149" t="str">
        <f t="shared" si="18"/>
        <v>08</v>
      </c>
      <c r="G120" s="149" t="str">
        <f t="shared" si="19"/>
        <v>1</v>
      </c>
      <c r="H120" s="149" t="str">
        <f t="shared" si="20"/>
        <v>0</v>
      </c>
      <c r="I120" s="144">
        <v>12120810</v>
      </c>
      <c r="J120" s="149" t="s">
        <v>5256</v>
      </c>
      <c r="K120" s="149" t="s">
        <v>5427</v>
      </c>
      <c r="L120" s="150"/>
      <c r="M120" s="149" t="s">
        <v>5412</v>
      </c>
      <c r="N120" s="149"/>
      <c r="O120" s="149" t="s">
        <v>5432</v>
      </c>
      <c r="P120" s="151" t="s">
        <v>2880</v>
      </c>
    </row>
    <row r="121" spans="2:16" s="148" customFormat="1" ht="60" x14ac:dyDescent="0.25">
      <c r="B121" s="145" t="str">
        <f t="shared" si="14"/>
        <v>1</v>
      </c>
      <c r="C121" s="145" t="str">
        <f t="shared" si="15"/>
        <v>2</v>
      </c>
      <c r="D121" s="145" t="str">
        <f t="shared" si="16"/>
        <v>1</v>
      </c>
      <c r="E121" s="145" t="str">
        <f t="shared" si="17"/>
        <v>2</v>
      </c>
      <c r="F121" s="145" t="str">
        <f t="shared" si="18"/>
        <v>09</v>
      </c>
      <c r="G121" s="145" t="str">
        <f t="shared" si="19"/>
        <v>0</v>
      </c>
      <c r="H121" s="145" t="str">
        <f t="shared" si="20"/>
        <v>0</v>
      </c>
      <c r="I121" s="143">
        <v>12120900</v>
      </c>
      <c r="J121" s="145" t="s">
        <v>5257</v>
      </c>
      <c r="K121" s="145" t="s">
        <v>5428</v>
      </c>
      <c r="L121" s="146"/>
      <c r="M121" s="145" t="s">
        <v>2878</v>
      </c>
      <c r="N121" s="145"/>
      <c r="O121" s="145" t="s">
        <v>2878</v>
      </c>
      <c r="P121" s="147" t="s">
        <v>2880</v>
      </c>
    </row>
    <row r="122" spans="2:16" s="148" customFormat="1" ht="60" x14ac:dyDescent="0.25">
      <c r="B122" s="149" t="str">
        <f t="shared" si="14"/>
        <v>1</v>
      </c>
      <c r="C122" s="149" t="str">
        <f t="shared" si="15"/>
        <v>2</v>
      </c>
      <c r="D122" s="149" t="str">
        <f t="shared" si="16"/>
        <v>1</v>
      </c>
      <c r="E122" s="149" t="str">
        <f t="shared" si="17"/>
        <v>2</v>
      </c>
      <c r="F122" s="149" t="str">
        <f t="shared" si="18"/>
        <v>09</v>
      </c>
      <c r="G122" s="149" t="str">
        <f t="shared" si="19"/>
        <v>1</v>
      </c>
      <c r="H122" s="149" t="str">
        <f t="shared" si="20"/>
        <v>0</v>
      </c>
      <c r="I122" s="144">
        <v>12120910</v>
      </c>
      <c r="J122" s="149" t="s">
        <v>5257</v>
      </c>
      <c r="K122" s="149" t="s">
        <v>5428</v>
      </c>
      <c r="L122" s="150"/>
      <c r="M122" s="149" t="s">
        <v>5412</v>
      </c>
      <c r="N122" s="149"/>
      <c r="O122" s="149" t="s">
        <v>5432</v>
      </c>
      <c r="P122" s="151" t="s">
        <v>2880</v>
      </c>
    </row>
    <row r="123" spans="2:16" s="148" customFormat="1" ht="45" x14ac:dyDescent="0.25">
      <c r="B123" s="145" t="str">
        <f t="shared" si="14"/>
        <v>1</v>
      </c>
      <c r="C123" s="145" t="str">
        <f t="shared" si="15"/>
        <v>2</v>
      </c>
      <c r="D123" s="145" t="str">
        <f t="shared" si="16"/>
        <v>1</v>
      </c>
      <c r="E123" s="145" t="str">
        <f t="shared" si="17"/>
        <v>2</v>
      </c>
      <c r="F123" s="145" t="str">
        <f t="shared" si="18"/>
        <v>10</v>
      </c>
      <c r="G123" s="145" t="str">
        <f t="shared" si="19"/>
        <v>0</v>
      </c>
      <c r="H123" s="145" t="str">
        <f t="shared" si="20"/>
        <v>0</v>
      </c>
      <c r="I123" s="143">
        <v>12121000</v>
      </c>
      <c r="J123" s="145" t="s">
        <v>5258</v>
      </c>
      <c r="K123" s="145" t="s">
        <v>5429</v>
      </c>
      <c r="L123" s="146"/>
      <c r="M123" s="145" t="s">
        <v>2878</v>
      </c>
      <c r="N123" s="145"/>
      <c r="O123" s="145" t="s">
        <v>2878</v>
      </c>
      <c r="P123" s="147" t="s">
        <v>2880</v>
      </c>
    </row>
    <row r="124" spans="2:16" s="148" customFormat="1" ht="45" x14ac:dyDescent="0.25">
      <c r="B124" s="149" t="str">
        <f t="shared" si="14"/>
        <v>1</v>
      </c>
      <c r="C124" s="149" t="str">
        <f t="shared" si="15"/>
        <v>2</v>
      </c>
      <c r="D124" s="149" t="str">
        <f t="shared" si="16"/>
        <v>1</v>
      </c>
      <c r="E124" s="149" t="str">
        <f t="shared" si="17"/>
        <v>2</v>
      </c>
      <c r="F124" s="149" t="str">
        <f t="shared" si="18"/>
        <v>10</v>
      </c>
      <c r="G124" s="149" t="str">
        <f t="shared" si="19"/>
        <v>1</v>
      </c>
      <c r="H124" s="149" t="str">
        <f t="shared" si="20"/>
        <v>0</v>
      </c>
      <c r="I124" s="144">
        <v>12121010</v>
      </c>
      <c r="J124" s="149" t="s">
        <v>5258</v>
      </c>
      <c r="K124" s="149" t="s">
        <v>5429</v>
      </c>
      <c r="L124" s="150"/>
      <c r="M124" s="149" t="s">
        <v>5412</v>
      </c>
      <c r="N124" s="149"/>
      <c r="O124" s="149" t="s">
        <v>5432</v>
      </c>
      <c r="P124" s="151" t="s">
        <v>2880</v>
      </c>
    </row>
    <row r="125" spans="2:16" s="148" customFormat="1" ht="60" x14ac:dyDescent="0.25">
      <c r="B125" s="145" t="str">
        <f t="shared" si="14"/>
        <v>1</v>
      </c>
      <c r="C125" s="145" t="str">
        <f t="shared" si="15"/>
        <v>2</v>
      </c>
      <c r="D125" s="145" t="str">
        <f t="shared" si="16"/>
        <v>1</v>
      </c>
      <c r="E125" s="145" t="str">
        <f t="shared" si="17"/>
        <v>2</v>
      </c>
      <c r="F125" s="145" t="str">
        <f t="shared" si="18"/>
        <v>11</v>
      </c>
      <c r="G125" s="145" t="str">
        <f t="shared" si="19"/>
        <v>0</v>
      </c>
      <c r="H125" s="145" t="str">
        <f t="shared" si="20"/>
        <v>0</v>
      </c>
      <c r="I125" s="143">
        <v>12121100</v>
      </c>
      <c r="J125" s="145" t="s">
        <v>5259</v>
      </c>
      <c r="K125" s="145" t="s">
        <v>5430</v>
      </c>
      <c r="L125" s="146"/>
      <c r="M125" s="145" t="s">
        <v>2878</v>
      </c>
      <c r="N125" s="145"/>
      <c r="O125" s="145" t="s">
        <v>2878</v>
      </c>
      <c r="P125" s="147" t="s">
        <v>2880</v>
      </c>
    </row>
    <row r="126" spans="2:16" s="148" customFormat="1" ht="60" x14ac:dyDescent="0.25">
      <c r="B126" s="149" t="str">
        <f t="shared" si="14"/>
        <v>1</v>
      </c>
      <c r="C126" s="149" t="str">
        <f t="shared" si="15"/>
        <v>2</v>
      </c>
      <c r="D126" s="149" t="str">
        <f t="shared" si="16"/>
        <v>1</v>
      </c>
      <c r="E126" s="149" t="str">
        <f t="shared" si="17"/>
        <v>2</v>
      </c>
      <c r="F126" s="149" t="str">
        <f t="shared" si="18"/>
        <v>11</v>
      </c>
      <c r="G126" s="149" t="str">
        <f t="shared" si="19"/>
        <v>1</v>
      </c>
      <c r="H126" s="149" t="str">
        <f t="shared" si="20"/>
        <v>0</v>
      </c>
      <c r="I126" s="144">
        <v>12121110</v>
      </c>
      <c r="J126" s="149" t="s">
        <v>5259</v>
      </c>
      <c r="K126" s="149" t="s">
        <v>5430</v>
      </c>
      <c r="L126" s="150"/>
      <c r="M126" s="149" t="s">
        <v>5412</v>
      </c>
      <c r="N126" s="149"/>
      <c r="O126" s="149" t="s">
        <v>5432</v>
      </c>
      <c r="P126" s="151" t="s">
        <v>2880</v>
      </c>
    </row>
    <row r="127" spans="2:16" s="148" customFormat="1" ht="60" x14ac:dyDescent="0.25">
      <c r="B127" s="145" t="str">
        <f t="shared" si="14"/>
        <v>1</v>
      </c>
      <c r="C127" s="145" t="str">
        <f t="shared" si="15"/>
        <v>2</v>
      </c>
      <c r="D127" s="145" t="str">
        <f t="shared" si="16"/>
        <v>1</v>
      </c>
      <c r="E127" s="145" t="str">
        <f t="shared" si="17"/>
        <v>2</v>
      </c>
      <c r="F127" s="145" t="str">
        <f t="shared" si="18"/>
        <v>12</v>
      </c>
      <c r="G127" s="145" t="str">
        <f t="shared" si="19"/>
        <v>0</v>
      </c>
      <c r="H127" s="145" t="str">
        <f t="shared" si="20"/>
        <v>0</v>
      </c>
      <c r="I127" s="143">
        <v>12121200</v>
      </c>
      <c r="J127" s="145" t="s">
        <v>5260</v>
      </c>
      <c r="K127" s="145" t="s">
        <v>5431</v>
      </c>
      <c r="L127" s="146"/>
      <c r="M127" s="145" t="s">
        <v>2878</v>
      </c>
      <c r="N127" s="145"/>
      <c r="O127" s="145" t="s">
        <v>2878</v>
      </c>
      <c r="P127" s="147" t="s">
        <v>2880</v>
      </c>
    </row>
    <row r="128" spans="2:16" s="148" customFormat="1" ht="60" x14ac:dyDescent="0.25">
      <c r="B128" s="149" t="str">
        <f t="shared" si="14"/>
        <v>1</v>
      </c>
      <c r="C128" s="149" t="str">
        <f t="shared" si="15"/>
        <v>2</v>
      </c>
      <c r="D128" s="149" t="str">
        <f t="shared" si="16"/>
        <v>1</v>
      </c>
      <c r="E128" s="149" t="str">
        <f t="shared" si="17"/>
        <v>2</v>
      </c>
      <c r="F128" s="149" t="str">
        <f t="shared" si="18"/>
        <v>12</v>
      </c>
      <c r="G128" s="149" t="str">
        <f t="shared" si="19"/>
        <v>1</v>
      </c>
      <c r="H128" s="149" t="str">
        <f t="shared" si="20"/>
        <v>0</v>
      </c>
      <c r="I128" s="144">
        <v>12121210</v>
      </c>
      <c r="J128" s="149" t="s">
        <v>5260</v>
      </c>
      <c r="K128" s="149" t="s">
        <v>5431</v>
      </c>
      <c r="L128" s="150"/>
      <c r="M128" s="149" t="s">
        <v>5412</v>
      </c>
      <c r="N128" s="149"/>
      <c r="O128" s="149" t="s">
        <v>5432</v>
      </c>
      <c r="P128" s="151" t="s">
        <v>2880</v>
      </c>
    </row>
    <row r="129" spans="2:16" s="148" customFormat="1" ht="30" x14ac:dyDescent="0.25">
      <c r="B129" s="145" t="str">
        <f t="shared" si="14"/>
        <v>1</v>
      </c>
      <c r="C129" s="145" t="str">
        <f t="shared" si="15"/>
        <v>2</v>
      </c>
      <c r="D129" s="145" t="str">
        <f t="shared" si="16"/>
        <v>1</v>
      </c>
      <c r="E129" s="145" t="str">
        <f t="shared" si="17"/>
        <v>2</v>
      </c>
      <c r="F129" s="145" t="str">
        <f t="shared" si="18"/>
        <v>49</v>
      </c>
      <c r="G129" s="145" t="str">
        <f t="shared" si="19"/>
        <v>0</v>
      </c>
      <c r="H129" s="145" t="str">
        <f t="shared" si="20"/>
        <v>0</v>
      </c>
      <c r="I129" s="143">
        <v>12124900</v>
      </c>
      <c r="J129" s="145" t="s">
        <v>5261</v>
      </c>
      <c r="K129" s="145" t="s">
        <v>5433</v>
      </c>
      <c r="L129" s="146"/>
      <c r="M129" s="145" t="s">
        <v>2878</v>
      </c>
      <c r="N129" s="145"/>
      <c r="O129" s="145" t="s">
        <v>2878</v>
      </c>
      <c r="P129" s="147" t="s">
        <v>2880</v>
      </c>
    </row>
    <row r="130" spans="2:16" s="148" customFormat="1" ht="30" x14ac:dyDescent="0.25">
      <c r="B130" s="149" t="str">
        <f t="shared" si="14"/>
        <v>1</v>
      </c>
      <c r="C130" s="149" t="str">
        <f t="shared" si="15"/>
        <v>2</v>
      </c>
      <c r="D130" s="149" t="str">
        <f t="shared" si="16"/>
        <v>1</v>
      </c>
      <c r="E130" s="149" t="str">
        <f t="shared" si="17"/>
        <v>2</v>
      </c>
      <c r="F130" s="149" t="str">
        <f t="shared" si="18"/>
        <v>49</v>
      </c>
      <c r="G130" s="149" t="str">
        <f t="shared" si="19"/>
        <v>1</v>
      </c>
      <c r="H130" s="149" t="str">
        <f t="shared" si="20"/>
        <v>0</v>
      </c>
      <c r="I130" s="144">
        <v>12124910</v>
      </c>
      <c r="J130" s="149" t="s">
        <v>5261</v>
      </c>
      <c r="K130" s="149" t="s">
        <v>5433</v>
      </c>
      <c r="L130" s="150"/>
      <c r="M130" s="149" t="s">
        <v>5412</v>
      </c>
      <c r="N130" s="149"/>
      <c r="O130" s="149" t="s">
        <v>5417</v>
      </c>
      <c r="P130" s="151" t="s">
        <v>2880</v>
      </c>
    </row>
    <row r="131" spans="2:16" s="148" customFormat="1" ht="30" x14ac:dyDescent="0.25">
      <c r="B131" s="164" t="str">
        <f t="shared" si="14"/>
        <v>1</v>
      </c>
      <c r="C131" s="164" t="str">
        <f t="shared" si="15"/>
        <v>2</v>
      </c>
      <c r="D131" s="164" t="str">
        <f t="shared" si="16"/>
        <v>1</v>
      </c>
      <c r="E131" s="164" t="str">
        <f t="shared" si="17"/>
        <v>3</v>
      </c>
      <c r="F131" s="164" t="str">
        <f t="shared" si="18"/>
        <v>00</v>
      </c>
      <c r="G131" s="164" t="str">
        <f t="shared" si="19"/>
        <v>0</v>
      </c>
      <c r="H131" s="164" t="str">
        <f t="shared" si="20"/>
        <v>0</v>
      </c>
      <c r="I131" s="165">
        <v>12130000</v>
      </c>
      <c r="J131" s="164" t="s">
        <v>3116</v>
      </c>
      <c r="K131" s="164" t="s">
        <v>5434</v>
      </c>
      <c r="L131" s="166"/>
      <c r="M131" s="164" t="s">
        <v>2878</v>
      </c>
      <c r="N131" s="164"/>
      <c r="O131" s="164" t="s">
        <v>2878</v>
      </c>
      <c r="P131" s="167" t="s">
        <v>2880</v>
      </c>
    </row>
    <row r="132" spans="2:16" s="148" customFormat="1" ht="30" x14ac:dyDescent="0.25">
      <c r="B132" s="145" t="str">
        <f t="shared" si="14"/>
        <v>1</v>
      </c>
      <c r="C132" s="145" t="str">
        <f t="shared" si="15"/>
        <v>2</v>
      </c>
      <c r="D132" s="145" t="str">
        <f t="shared" si="16"/>
        <v>1</v>
      </c>
      <c r="E132" s="145" t="str">
        <f t="shared" si="17"/>
        <v>3</v>
      </c>
      <c r="F132" s="145" t="str">
        <f t="shared" si="18"/>
        <v>01</v>
      </c>
      <c r="G132" s="145" t="str">
        <f t="shared" si="19"/>
        <v>0</v>
      </c>
      <c r="H132" s="145" t="str">
        <f t="shared" si="20"/>
        <v>0</v>
      </c>
      <c r="I132" s="143">
        <v>12130100</v>
      </c>
      <c r="J132" s="145" t="s">
        <v>5262</v>
      </c>
      <c r="K132" s="145" t="s">
        <v>5435</v>
      </c>
      <c r="L132" s="146"/>
      <c r="M132" s="145" t="s">
        <v>2878</v>
      </c>
      <c r="N132" s="145"/>
      <c r="O132" s="145" t="s">
        <v>2878</v>
      </c>
      <c r="P132" s="147" t="s">
        <v>2880</v>
      </c>
    </row>
    <row r="133" spans="2:16" s="148" customFormat="1" ht="45" x14ac:dyDescent="0.25">
      <c r="B133" s="149" t="str">
        <f t="shared" si="14"/>
        <v>1</v>
      </c>
      <c r="C133" s="149" t="str">
        <f t="shared" si="15"/>
        <v>2</v>
      </c>
      <c r="D133" s="149" t="str">
        <f t="shared" si="16"/>
        <v>1</v>
      </c>
      <c r="E133" s="149" t="str">
        <f t="shared" si="17"/>
        <v>3</v>
      </c>
      <c r="F133" s="149" t="str">
        <f t="shared" si="18"/>
        <v>01</v>
      </c>
      <c r="G133" s="149" t="str">
        <f t="shared" si="19"/>
        <v>1</v>
      </c>
      <c r="H133" s="149" t="str">
        <f t="shared" si="20"/>
        <v>0</v>
      </c>
      <c r="I133" s="144">
        <v>12130110</v>
      </c>
      <c r="J133" s="149" t="s">
        <v>5262</v>
      </c>
      <c r="K133" s="149" t="s">
        <v>5436</v>
      </c>
      <c r="L133" s="150"/>
      <c r="M133" s="149" t="s">
        <v>5412</v>
      </c>
      <c r="N133" s="149"/>
      <c r="O133" s="149" t="s">
        <v>5437</v>
      </c>
      <c r="P133" s="151" t="s">
        <v>2880</v>
      </c>
    </row>
    <row r="134" spans="2:16" s="148" customFormat="1" ht="30" x14ac:dyDescent="0.25">
      <c r="B134" s="145" t="str">
        <f t="shared" si="14"/>
        <v>1</v>
      </c>
      <c r="C134" s="145" t="str">
        <f t="shared" si="15"/>
        <v>2</v>
      </c>
      <c r="D134" s="145" t="str">
        <f t="shared" si="16"/>
        <v>1</v>
      </c>
      <c r="E134" s="145" t="str">
        <f t="shared" si="17"/>
        <v>3</v>
      </c>
      <c r="F134" s="145" t="str">
        <f t="shared" si="18"/>
        <v>02</v>
      </c>
      <c r="G134" s="145" t="str">
        <f t="shared" si="19"/>
        <v>0</v>
      </c>
      <c r="H134" s="145" t="str">
        <f t="shared" si="20"/>
        <v>0</v>
      </c>
      <c r="I134" s="143">
        <v>12130200</v>
      </c>
      <c r="J134" s="145" t="s">
        <v>5263</v>
      </c>
      <c r="K134" s="145" t="s">
        <v>5438</v>
      </c>
      <c r="L134" s="146"/>
      <c r="M134" s="145" t="s">
        <v>2878</v>
      </c>
      <c r="N134" s="145"/>
      <c r="O134" s="145" t="s">
        <v>2878</v>
      </c>
      <c r="P134" s="147" t="s">
        <v>2880</v>
      </c>
    </row>
    <row r="135" spans="2:16" s="148" customFormat="1" ht="45" x14ac:dyDescent="0.25">
      <c r="B135" s="149" t="str">
        <f t="shared" si="14"/>
        <v>1</v>
      </c>
      <c r="C135" s="149" t="str">
        <f t="shared" si="15"/>
        <v>2</v>
      </c>
      <c r="D135" s="149" t="str">
        <f t="shared" si="16"/>
        <v>1</v>
      </c>
      <c r="E135" s="149" t="str">
        <f t="shared" si="17"/>
        <v>3</v>
      </c>
      <c r="F135" s="149" t="str">
        <f t="shared" si="18"/>
        <v>02</v>
      </c>
      <c r="G135" s="149" t="str">
        <f t="shared" si="19"/>
        <v>1</v>
      </c>
      <c r="H135" s="149" t="str">
        <f t="shared" si="20"/>
        <v>0</v>
      </c>
      <c r="I135" s="144">
        <v>12130210</v>
      </c>
      <c r="J135" s="149" t="s">
        <v>5263</v>
      </c>
      <c r="K135" s="149" t="s">
        <v>5438</v>
      </c>
      <c r="L135" s="150"/>
      <c r="M135" s="149" t="s">
        <v>5412</v>
      </c>
      <c r="N135" s="149"/>
      <c r="O135" s="149" t="s">
        <v>5437</v>
      </c>
      <c r="P135" s="151" t="s">
        <v>2880</v>
      </c>
    </row>
    <row r="136" spans="2:16" s="148" customFormat="1" ht="30" x14ac:dyDescent="0.25">
      <c r="B136" s="145" t="str">
        <f t="shared" si="14"/>
        <v>1</v>
      </c>
      <c r="C136" s="145" t="str">
        <f t="shared" si="15"/>
        <v>2</v>
      </c>
      <c r="D136" s="145" t="str">
        <f t="shared" si="16"/>
        <v>1</v>
      </c>
      <c r="E136" s="145" t="str">
        <f t="shared" si="17"/>
        <v>3</v>
      </c>
      <c r="F136" s="145" t="str">
        <f t="shared" si="18"/>
        <v>03</v>
      </c>
      <c r="G136" s="145" t="str">
        <f t="shared" si="19"/>
        <v>0</v>
      </c>
      <c r="H136" s="145" t="str">
        <f t="shared" si="20"/>
        <v>0</v>
      </c>
      <c r="I136" s="143">
        <v>12130300</v>
      </c>
      <c r="J136" s="145" t="s">
        <v>5264</v>
      </c>
      <c r="K136" s="145" t="s">
        <v>5439</v>
      </c>
      <c r="L136" s="146"/>
      <c r="M136" s="145" t="s">
        <v>2878</v>
      </c>
      <c r="N136" s="145"/>
      <c r="O136" s="145" t="s">
        <v>2878</v>
      </c>
      <c r="P136" s="147" t="s">
        <v>2880</v>
      </c>
    </row>
    <row r="137" spans="2:16" s="148" customFormat="1" ht="45" x14ac:dyDescent="0.25">
      <c r="B137" s="149" t="str">
        <f t="shared" si="14"/>
        <v>1</v>
      </c>
      <c r="C137" s="149" t="str">
        <f t="shared" si="15"/>
        <v>2</v>
      </c>
      <c r="D137" s="149" t="str">
        <f t="shared" si="16"/>
        <v>1</v>
      </c>
      <c r="E137" s="149" t="str">
        <f t="shared" si="17"/>
        <v>3</v>
      </c>
      <c r="F137" s="149" t="str">
        <f t="shared" si="18"/>
        <v>03</v>
      </c>
      <c r="G137" s="149" t="str">
        <f t="shared" si="19"/>
        <v>1</v>
      </c>
      <c r="H137" s="149" t="str">
        <f t="shared" si="20"/>
        <v>0</v>
      </c>
      <c r="I137" s="144">
        <v>12130310</v>
      </c>
      <c r="J137" s="149" t="s">
        <v>5264</v>
      </c>
      <c r="K137" s="149" t="s">
        <v>5439</v>
      </c>
      <c r="L137" s="150"/>
      <c r="M137" s="149" t="s">
        <v>5412</v>
      </c>
      <c r="N137" s="149"/>
      <c r="O137" s="149" t="s">
        <v>5440</v>
      </c>
      <c r="P137" s="151" t="s">
        <v>2880</v>
      </c>
    </row>
    <row r="138" spans="2:16" s="148" customFormat="1" ht="30" x14ac:dyDescent="0.25">
      <c r="B138" s="145" t="str">
        <f t="shared" si="14"/>
        <v>1</v>
      </c>
      <c r="C138" s="145" t="str">
        <f t="shared" si="15"/>
        <v>2</v>
      </c>
      <c r="D138" s="145" t="str">
        <f t="shared" si="16"/>
        <v>1</v>
      </c>
      <c r="E138" s="145" t="str">
        <f t="shared" si="17"/>
        <v>3</v>
      </c>
      <c r="F138" s="145" t="str">
        <f t="shared" si="18"/>
        <v>49</v>
      </c>
      <c r="G138" s="145" t="str">
        <f t="shared" si="19"/>
        <v>0</v>
      </c>
      <c r="H138" s="145" t="str">
        <f t="shared" si="20"/>
        <v>0</v>
      </c>
      <c r="I138" s="143">
        <v>12134900</v>
      </c>
      <c r="J138" s="145" t="s">
        <v>5265</v>
      </c>
      <c r="K138" s="145" t="s">
        <v>5441</v>
      </c>
      <c r="L138" s="146"/>
      <c r="M138" s="145" t="s">
        <v>2878</v>
      </c>
      <c r="N138" s="145"/>
      <c r="O138" s="145" t="s">
        <v>2878</v>
      </c>
      <c r="P138" s="147" t="s">
        <v>2880</v>
      </c>
    </row>
    <row r="139" spans="2:16" s="148" customFormat="1" ht="45" x14ac:dyDescent="0.25">
      <c r="B139" s="149" t="str">
        <f t="shared" si="14"/>
        <v>1</v>
      </c>
      <c r="C139" s="149" t="str">
        <f t="shared" si="15"/>
        <v>2</v>
      </c>
      <c r="D139" s="149" t="str">
        <f t="shared" si="16"/>
        <v>1</v>
      </c>
      <c r="E139" s="149" t="str">
        <f t="shared" si="17"/>
        <v>3</v>
      </c>
      <c r="F139" s="149" t="str">
        <f t="shared" si="18"/>
        <v>49</v>
      </c>
      <c r="G139" s="149" t="str">
        <f t="shared" si="19"/>
        <v>1</v>
      </c>
      <c r="H139" s="149" t="str">
        <f t="shared" si="20"/>
        <v>0</v>
      </c>
      <c r="I139" s="144">
        <v>12134910</v>
      </c>
      <c r="J139" s="149" t="s">
        <v>5265</v>
      </c>
      <c r="K139" s="149" t="s">
        <v>5442</v>
      </c>
      <c r="L139" s="150"/>
      <c r="M139" s="149" t="s">
        <v>5412</v>
      </c>
      <c r="N139" s="149"/>
      <c r="O139" s="149" t="s">
        <v>5417</v>
      </c>
      <c r="P139" s="151" t="s">
        <v>2880</v>
      </c>
    </row>
    <row r="140" spans="2:16" s="148" customFormat="1" ht="45" x14ac:dyDescent="0.25">
      <c r="B140" s="145" t="str">
        <f t="shared" si="14"/>
        <v>1</v>
      </c>
      <c r="C140" s="145" t="str">
        <f t="shared" si="15"/>
        <v>2</v>
      </c>
      <c r="D140" s="145" t="str">
        <f t="shared" si="16"/>
        <v>1</v>
      </c>
      <c r="E140" s="145" t="str">
        <f t="shared" si="17"/>
        <v>3</v>
      </c>
      <c r="F140" s="145" t="str">
        <f t="shared" si="18"/>
        <v>99</v>
      </c>
      <c r="G140" s="145" t="str">
        <f t="shared" si="19"/>
        <v>0</v>
      </c>
      <c r="H140" s="145" t="str">
        <f t="shared" si="20"/>
        <v>0</v>
      </c>
      <c r="I140" s="143">
        <v>12139900</v>
      </c>
      <c r="J140" s="145" t="s">
        <v>5266</v>
      </c>
      <c r="K140" s="145" t="s">
        <v>5443</v>
      </c>
      <c r="L140" s="146"/>
      <c r="M140" s="145" t="s">
        <v>2878</v>
      </c>
      <c r="N140" s="145"/>
      <c r="O140" s="145" t="s">
        <v>2878</v>
      </c>
      <c r="P140" s="147" t="s">
        <v>2880</v>
      </c>
    </row>
    <row r="141" spans="2:16" s="148" customFormat="1" ht="45" x14ac:dyDescent="0.25">
      <c r="B141" s="149" t="str">
        <f t="shared" si="14"/>
        <v>1</v>
      </c>
      <c r="C141" s="149" t="str">
        <f t="shared" si="15"/>
        <v>2</v>
      </c>
      <c r="D141" s="149" t="str">
        <f t="shared" si="16"/>
        <v>1</v>
      </c>
      <c r="E141" s="149" t="str">
        <f t="shared" si="17"/>
        <v>3</v>
      </c>
      <c r="F141" s="149" t="str">
        <f t="shared" si="18"/>
        <v>99</v>
      </c>
      <c r="G141" s="149" t="str">
        <f t="shared" si="19"/>
        <v>1</v>
      </c>
      <c r="H141" s="149" t="str">
        <f t="shared" si="20"/>
        <v>0</v>
      </c>
      <c r="I141" s="144">
        <v>12139910</v>
      </c>
      <c r="J141" s="149" t="s">
        <v>5266</v>
      </c>
      <c r="K141" s="149" t="s">
        <v>5443</v>
      </c>
      <c r="L141" s="150"/>
      <c r="M141" s="149" t="s">
        <v>5412</v>
      </c>
      <c r="N141" s="149"/>
      <c r="O141" s="149" t="s">
        <v>5440</v>
      </c>
      <c r="P141" s="151" t="s">
        <v>2880</v>
      </c>
    </row>
    <row r="142" spans="2:16" s="148" customFormat="1" ht="30" x14ac:dyDescent="0.25">
      <c r="B142" s="164" t="str">
        <f t="shared" si="14"/>
        <v>1</v>
      </c>
      <c r="C142" s="164" t="str">
        <f t="shared" si="15"/>
        <v>2</v>
      </c>
      <c r="D142" s="164" t="str">
        <f t="shared" si="16"/>
        <v>1</v>
      </c>
      <c r="E142" s="164" t="str">
        <f t="shared" si="17"/>
        <v>4</v>
      </c>
      <c r="F142" s="164" t="str">
        <f t="shared" si="18"/>
        <v>00</v>
      </c>
      <c r="G142" s="164" t="str">
        <f t="shared" si="19"/>
        <v>0</v>
      </c>
      <c r="H142" s="164" t="str">
        <f t="shared" si="20"/>
        <v>0</v>
      </c>
      <c r="I142" s="165">
        <v>12140000</v>
      </c>
      <c r="J142" s="164" t="s">
        <v>3125</v>
      </c>
      <c r="K142" s="164" t="s">
        <v>5444</v>
      </c>
      <c r="L142" s="166"/>
      <c r="M142" s="164" t="s">
        <v>2878</v>
      </c>
      <c r="N142" s="164"/>
      <c r="O142" s="164" t="s">
        <v>2878</v>
      </c>
      <c r="P142" s="167" t="s">
        <v>2880</v>
      </c>
    </row>
    <row r="143" spans="2:16" s="148" customFormat="1" ht="150" x14ac:dyDescent="0.25">
      <c r="B143" s="145" t="str">
        <f t="shared" si="14"/>
        <v>1</v>
      </c>
      <c r="C143" s="145" t="str">
        <f t="shared" si="15"/>
        <v>2</v>
      </c>
      <c r="D143" s="145" t="str">
        <f t="shared" si="16"/>
        <v>1</v>
      </c>
      <c r="E143" s="145" t="str">
        <f t="shared" si="17"/>
        <v>4</v>
      </c>
      <c r="F143" s="145" t="str">
        <f t="shared" si="18"/>
        <v>01</v>
      </c>
      <c r="G143" s="145" t="str">
        <f t="shared" si="19"/>
        <v>0</v>
      </c>
      <c r="H143" s="145" t="str">
        <f t="shared" si="20"/>
        <v>0</v>
      </c>
      <c r="I143" s="143">
        <v>12140100</v>
      </c>
      <c r="J143" s="145" t="s">
        <v>5267</v>
      </c>
      <c r="K143" s="145" t="s">
        <v>5446</v>
      </c>
      <c r="L143" s="146"/>
      <c r="M143" s="145" t="s">
        <v>2878</v>
      </c>
      <c r="N143" s="145"/>
      <c r="O143" s="145" t="s">
        <v>2878</v>
      </c>
      <c r="P143" s="147" t="s">
        <v>2880</v>
      </c>
    </row>
    <row r="144" spans="2:16" s="148" customFormat="1" ht="150" x14ac:dyDescent="0.25">
      <c r="B144" s="149" t="str">
        <f t="shared" si="14"/>
        <v>1</v>
      </c>
      <c r="C144" s="149" t="str">
        <f t="shared" si="15"/>
        <v>2</v>
      </c>
      <c r="D144" s="149" t="str">
        <f t="shared" si="16"/>
        <v>1</v>
      </c>
      <c r="E144" s="149" t="str">
        <f t="shared" si="17"/>
        <v>4</v>
      </c>
      <c r="F144" s="149" t="str">
        <f t="shared" si="18"/>
        <v>01</v>
      </c>
      <c r="G144" s="149" t="str">
        <f t="shared" si="19"/>
        <v>1</v>
      </c>
      <c r="H144" s="149" t="str">
        <f t="shared" si="20"/>
        <v>0</v>
      </c>
      <c r="I144" s="144">
        <v>12140110</v>
      </c>
      <c r="J144" s="149" t="s">
        <v>5267</v>
      </c>
      <c r="K144" s="149" t="s">
        <v>5445</v>
      </c>
      <c r="L144" s="150"/>
      <c r="M144" s="149" t="s">
        <v>5412</v>
      </c>
      <c r="N144" s="149"/>
      <c r="O144" s="149" t="s">
        <v>5447</v>
      </c>
      <c r="P144" s="151" t="s">
        <v>2880</v>
      </c>
    </row>
    <row r="145" spans="2:16" s="148" customFormat="1" ht="30" x14ac:dyDescent="0.25">
      <c r="B145" s="145" t="str">
        <f t="shared" si="14"/>
        <v>1</v>
      </c>
      <c r="C145" s="145" t="str">
        <f t="shared" si="15"/>
        <v>2</v>
      </c>
      <c r="D145" s="145" t="str">
        <f t="shared" si="16"/>
        <v>1</v>
      </c>
      <c r="E145" s="145" t="str">
        <f t="shared" si="17"/>
        <v>4</v>
      </c>
      <c r="F145" s="145" t="str">
        <f t="shared" si="18"/>
        <v>02</v>
      </c>
      <c r="G145" s="145" t="str">
        <f t="shared" si="19"/>
        <v>0</v>
      </c>
      <c r="H145" s="145" t="str">
        <f t="shared" si="20"/>
        <v>0</v>
      </c>
      <c r="I145" s="143">
        <v>12140200</v>
      </c>
      <c r="J145" s="145" t="s">
        <v>5268</v>
      </c>
      <c r="K145" s="145" t="s">
        <v>5448</v>
      </c>
      <c r="L145" s="146"/>
      <c r="M145" s="145" t="s">
        <v>2878</v>
      </c>
      <c r="N145" s="145"/>
      <c r="O145" s="145" t="s">
        <v>2878</v>
      </c>
      <c r="P145" s="147" t="s">
        <v>2880</v>
      </c>
    </row>
    <row r="146" spans="2:16" s="148" customFormat="1" ht="30" x14ac:dyDescent="0.25">
      <c r="B146" s="149" t="str">
        <f t="shared" si="14"/>
        <v>1</v>
      </c>
      <c r="C146" s="149" t="str">
        <f t="shared" si="15"/>
        <v>2</v>
      </c>
      <c r="D146" s="149" t="str">
        <f t="shared" si="16"/>
        <v>1</v>
      </c>
      <c r="E146" s="149" t="str">
        <f t="shared" si="17"/>
        <v>4</v>
      </c>
      <c r="F146" s="149" t="str">
        <f t="shared" si="18"/>
        <v>02</v>
      </c>
      <c r="G146" s="149" t="str">
        <f t="shared" si="19"/>
        <v>1</v>
      </c>
      <c r="H146" s="149" t="str">
        <f t="shared" si="20"/>
        <v>0</v>
      </c>
      <c r="I146" s="144">
        <v>12140210</v>
      </c>
      <c r="J146" s="149" t="s">
        <v>5268</v>
      </c>
      <c r="K146" s="149" t="s">
        <v>5448</v>
      </c>
      <c r="L146" s="150"/>
      <c r="M146" s="149" t="s">
        <v>5412</v>
      </c>
      <c r="N146" s="149"/>
      <c r="O146" s="149" t="s">
        <v>5447</v>
      </c>
      <c r="P146" s="151" t="s">
        <v>2880</v>
      </c>
    </row>
    <row r="147" spans="2:16" s="148" customFormat="1" ht="30" x14ac:dyDescent="0.25">
      <c r="B147" s="145" t="str">
        <f t="shared" si="14"/>
        <v>1</v>
      </c>
      <c r="C147" s="145" t="str">
        <f t="shared" si="15"/>
        <v>2</v>
      </c>
      <c r="D147" s="145" t="str">
        <f t="shared" si="16"/>
        <v>1</v>
      </c>
      <c r="E147" s="145" t="str">
        <f t="shared" si="17"/>
        <v>4</v>
      </c>
      <c r="F147" s="145" t="str">
        <f t="shared" si="18"/>
        <v>03</v>
      </c>
      <c r="G147" s="145" t="str">
        <f t="shared" si="19"/>
        <v>0</v>
      </c>
      <c r="H147" s="145" t="str">
        <f t="shared" si="20"/>
        <v>0</v>
      </c>
      <c r="I147" s="143">
        <v>12140300</v>
      </c>
      <c r="J147" s="145" t="s">
        <v>5269</v>
      </c>
      <c r="K147" s="145" t="s">
        <v>5449</v>
      </c>
      <c r="L147" s="146"/>
      <c r="M147" s="145" t="s">
        <v>2878</v>
      </c>
      <c r="N147" s="145"/>
      <c r="O147" s="145" t="s">
        <v>2878</v>
      </c>
      <c r="P147" s="147" t="s">
        <v>2880</v>
      </c>
    </row>
    <row r="148" spans="2:16" s="148" customFormat="1" ht="30" x14ac:dyDescent="0.25">
      <c r="B148" s="149" t="str">
        <f t="shared" si="14"/>
        <v>1</v>
      </c>
      <c r="C148" s="149" t="str">
        <f t="shared" si="15"/>
        <v>2</v>
      </c>
      <c r="D148" s="149" t="str">
        <f t="shared" si="16"/>
        <v>1</v>
      </c>
      <c r="E148" s="149" t="str">
        <f t="shared" si="17"/>
        <v>4</v>
      </c>
      <c r="F148" s="149" t="str">
        <f t="shared" si="18"/>
        <v>03</v>
      </c>
      <c r="G148" s="149" t="str">
        <f t="shared" si="19"/>
        <v>1</v>
      </c>
      <c r="H148" s="149" t="str">
        <f t="shared" si="20"/>
        <v>0</v>
      </c>
      <c r="I148" s="144">
        <v>12140310</v>
      </c>
      <c r="J148" s="149" t="s">
        <v>5270</v>
      </c>
      <c r="K148" s="149" t="s">
        <v>5450</v>
      </c>
      <c r="L148" s="150"/>
      <c r="M148" s="149" t="s">
        <v>5412</v>
      </c>
      <c r="N148" s="149"/>
      <c r="O148" s="149" t="s">
        <v>5447</v>
      </c>
      <c r="P148" s="151" t="s">
        <v>2880</v>
      </c>
    </row>
    <row r="149" spans="2:16" s="148" customFormat="1" ht="30" x14ac:dyDescent="0.25">
      <c r="B149" s="149" t="str">
        <f t="shared" si="14"/>
        <v>1</v>
      </c>
      <c r="C149" s="149" t="str">
        <f t="shared" si="15"/>
        <v>2</v>
      </c>
      <c r="D149" s="149" t="str">
        <f t="shared" si="16"/>
        <v>1</v>
      </c>
      <c r="E149" s="149" t="str">
        <f t="shared" si="17"/>
        <v>4</v>
      </c>
      <c r="F149" s="149" t="str">
        <f t="shared" si="18"/>
        <v>03</v>
      </c>
      <c r="G149" s="149" t="str">
        <f t="shared" si="19"/>
        <v>2</v>
      </c>
      <c r="H149" s="149" t="str">
        <f t="shared" si="20"/>
        <v>0</v>
      </c>
      <c r="I149" s="144">
        <v>12140320</v>
      </c>
      <c r="J149" s="149" t="s">
        <v>5271</v>
      </c>
      <c r="K149" s="149" t="s">
        <v>5451</v>
      </c>
      <c r="L149" s="150"/>
      <c r="M149" s="149" t="s">
        <v>5412</v>
      </c>
      <c r="N149" s="149"/>
      <c r="O149" s="149" t="s">
        <v>5447</v>
      </c>
      <c r="P149" s="151" t="s">
        <v>2880</v>
      </c>
    </row>
    <row r="150" spans="2:16" s="148" customFormat="1" ht="30" x14ac:dyDescent="0.25">
      <c r="B150" s="149" t="str">
        <f t="shared" si="14"/>
        <v>1</v>
      </c>
      <c r="C150" s="149" t="str">
        <f t="shared" si="15"/>
        <v>2</v>
      </c>
      <c r="D150" s="149" t="str">
        <f t="shared" si="16"/>
        <v>1</v>
      </c>
      <c r="E150" s="149" t="str">
        <f t="shared" si="17"/>
        <v>4</v>
      </c>
      <c r="F150" s="149" t="str">
        <f t="shared" si="18"/>
        <v>03</v>
      </c>
      <c r="G150" s="149" t="str">
        <f t="shared" si="19"/>
        <v>3</v>
      </c>
      <c r="H150" s="149" t="str">
        <f t="shared" si="20"/>
        <v>0</v>
      </c>
      <c r="I150" s="144">
        <v>12140330</v>
      </c>
      <c r="J150" s="149" t="s">
        <v>5272</v>
      </c>
      <c r="K150" s="149" t="s">
        <v>5452</v>
      </c>
      <c r="L150" s="150"/>
      <c r="M150" s="149" t="s">
        <v>5412</v>
      </c>
      <c r="N150" s="149"/>
      <c r="O150" s="149" t="s">
        <v>5447</v>
      </c>
      <c r="P150" s="151" t="s">
        <v>2880</v>
      </c>
    </row>
    <row r="151" spans="2:16" s="148" customFormat="1" ht="30" x14ac:dyDescent="0.25">
      <c r="B151" s="149" t="str">
        <f t="shared" si="14"/>
        <v>1</v>
      </c>
      <c r="C151" s="149" t="str">
        <f t="shared" si="15"/>
        <v>2</v>
      </c>
      <c r="D151" s="149" t="str">
        <f t="shared" si="16"/>
        <v>1</v>
      </c>
      <c r="E151" s="149" t="str">
        <f t="shared" si="17"/>
        <v>4</v>
      </c>
      <c r="F151" s="149" t="str">
        <f t="shared" si="18"/>
        <v>03</v>
      </c>
      <c r="G151" s="149" t="str">
        <f t="shared" si="19"/>
        <v>4</v>
      </c>
      <c r="H151" s="149" t="str">
        <f t="shared" si="20"/>
        <v>0</v>
      </c>
      <c r="I151" s="144">
        <v>12140340</v>
      </c>
      <c r="J151" s="149" t="s">
        <v>5273</v>
      </c>
      <c r="K151" s="149" t="s">
        <v>5453</v>
      </c>
      <c r="L151" s="150"/>
      <c r="M151" s="149" t="s">
        <v>5412</v>
      </c>
      <c r="N151" s="149"/>
      <c r="O151" s="149" t="s">
        <v>5447</v>
      </c>
      <c r="P151" s="151" t="s">
        <v>2880</v>
      </c>
    </row>
    <row r="152" spans="2:16" s="148" customFormat="1" ht="30" x14ac:dyDescent="0.25">
      <c r="B152" s="149" t="str">
        <f t="shared" si="14"/>
        <v>1</v>
      </c>
      <c r="C152" s="149" t="str">
        <f t="shared" si="15"/>
        <v>2</v>
      </c>
      <c r="D152" s="149" t="str">
        <f t="shared" si="16"/>
        <v>1</v>
      </c>
      <c r="E152" s="149" t="str">
        <f t="shared" si="17"/>
        <v>4</v>
      </c>
      <c r="F152" s="149" t="str">
        <f t="shared" si="18"/>
        <v>03</v>
      </c>
      <c r="G152" s="149" t="str">
        <f t="shared" si="19"/>
        <v>5</v>
      </c>
      <c r="H152" s="149" t="str">
        <f t="shared" si="20"/>
        <v>0</v>
      </c>
      <c r="I152" s="144">
        <v>12140350</v>
      </c>
      <c r="J152" s="149" t="s">
        <v>5274</v>
      </c>
      <c r="K152" s="149" t="s">
        <v>5454</v>
      </c>
      <c r="L152" s="150"/>
      <c r="M152" s="149" t="s">
        <v>5412</v>
      </c>
      <c r="N152" s="149"/>
      <c r="O152" s="149" t="s">
        <v>5447</v>
      </c>
      <c r="P152" s="151" t="s">
        <v>2880</v>
      </c>
    </row>
    <row r="153" spans="2:16" s="148" customFormat="1" ht="30" x14ac:dyDescent="0.25">
      <c r="B153" s="145" t="str">
        <f t="shared" si="14"/>
        <v>1</v>
      </c>
      <c r="C153" s="145" t="str">
        <f t="shared" si="15"/>
        <v>2</v>
      </c>
      <c r="D153" s="145" t="str">
        <f t="shared" si="16"/>
        <v>1</v>
      </c>
      <c r="E153" s="145" t="str">
        <f t="shared" si="17"/>
        <v>4</v>
      </c>
      <c r="F153" s="145" t="str">
        <f t="shared" si="18"/>
        <v>04</v>
      </c>
      <c r="G153" s="145" t="str">
        <f t="shared" si="19"/>
        <v>0</v>
      </c>
      <c r="H153" s="145" t="str">
        <f t="shared" si="20"/>
        <v>0</v>
      </c>
      <c r="I153" s="143">
        <v>12140400</v>
      </c>
      <c r="J153" s="145" t="s">
        <v>5275</v>
      </c>
      <c r="K153" s="145" t="s">
        <v>5455</v>
      </c>
      <c r="L153" s="146"/>
      <c r="M153" s="145" t="s">
        <v>2878</v>
      </c>
      <c r="N153" s="145"/>
      <c r="O153" s="145" t="s">
        <v>2878</v>
      </c>
      <c r="P153" s="147" t="s">
        <v>2880</v>
      </c>
    </row>
    <row r="154" spans="2:16" s="148" customFormat="1" ht="30" x14ac:dyDescent="0.25">
      <c r="B154" s="149" t="str">
        <f t="shared" si="14"/>
        <v>1</v>
      </c>
      <c r="C154" s="149" t="str">
        <f t="shared" si="15"/>
        <v>2</v>
      </c>
      <c r="D154" s="149" t="str">
        <f t="shared" si="16"/>
        <v>1</v>
      </c>
      <c r="E154" s="149" t="str">
        <f t="shared" si="17"/>
        <v>4</v>
      </c>
      <c r="F154" s="149" t="str">
        <f t="shared" si="18"/>
        <v>04</v>
      </c>
      <c r="G154" s="149" t="str">
        <f t="shared" si="19"/>
        <v>1</v>
      </c>
      <c r="H154" s="149" t="str">
        <f t="shared" si="20"/>
        <v>0</v>
      </c>
      <c r="I154" s="144">
        <v>12140410</v>
      </c>
      <c r="J154" s="149" t="s">
        <v>5275</v>
      </c>
      <c r="K154" s="149" t="s">
        <v>5455</v>
      </c>
      <c r="L154" s="150"/>
      <c r="M154" s="149" t="s">
        <v>5412</v>
      </c>
      <c r="N154" s="149"/>
      <c r="O154" s="149" t="s">
        <v>5447</v>
      </c>
      <c r="P154" s="151" t="s">
        <v>2880</v>
      </c>
    </row>
    <row r="155" spans="2:16" s="148" customFormat="1" ht="30" x14ac:dyDescent="0.25">
      <c r="B155" s="145" t="str">
        <f t="shared" si="14"/>
        <v>1</v>
      </c>
      <c r="C155" s="145" t="str">
        <f t="shared" si="15"/>
        <v>2</v>
      </c>
      <c r="D155" s="145" t="str">
        <f t="shared" si="16"/>
        <v>1</v>
      </c>
      <c r="E155" s="145" t="str">
        <f t="shared" si="17"/>
        <v>4</v>
      </c>
      <c r="F155" s="145" t="str">
        <f t="shared" si="18"/>
        <v>49</v>
      </c>
      <c r="G155" s="145" t="str">
        <f t="shared" si="19"/>
        <v>0</v>
      </c>
      <c r="H155" s="145" t="str">
        <f t="shared" si="20"/>
        <v>0</v>
      </c>
      <c r="I155" s="143">
        <v>12144900</v>
      </c>
      <c r="J155" s="145" t="s">
        <v>5276</v>
      </c>
      <c r="K155" s="145" t="s">
        <v>5456</v>
      </c>
      <c r="L155" s="146"/>
      <c r="M155" s="145" t="s">
        <v>2878</v>
      </c>
      <c r="N155" s="145"/>
      <c r="O155" s="145" t="s">
        <v>2878</v>
      </c>
      <c r="P155" s="147" t="s">
        <v>2880</v>
      </c>
    </row>
    <row r="156" spans="2:16" s="148" customFormat="1" ht="30" x14ac:dyDescent="0.25">
      <c r="B156" s="149" t="str">
        <f t="shared" si="14"/>
        <v>1</v>
      </c>
      <c r="C156" s="149" t="str">
        <f t="shared" si="15"/>
        <v>2</v>
      </c>
      <c r="D156" s="149" t="str">
        <f t="shared" si="16"/>
        <v>1</v>
      </c>
      <c r="E156" s="149" t="str">
        <f t="shared" si="17"/>
        <v>4</v>
      </c>
      <c r="F156" s="149" t="str">
        <f t="shared" si="18"/>
        <v>49</v>
      </c>
      <c r="G156" s="149" t="str">
        <f t="shared" si="19"/>
        <v>1</v>
      </c>
      <c r="H156" s="149" t="str">
        <f t="shared" si="20"/>
        <v>0</v>
      </c>
      <c r="I156" s="144">
        <v>12144910</v>
      </c>
      <c r="J156" s="149" t="s">
        <v>5276</v>
      </c>
      <c r="K156" s="149" t="s">
        <v>5456</v>
      </c>
      <c r="L156" s="150"/>
      <c r="M156" s="149" t="s">
        <v>5412</v>
      </c>
      <c r="N156" s="149"/>
      <c r="O156" s="149" t="s">
        <v>5417</v>
      </c>
      <c r="P156" s="151" t="s">
        <v>2880</v>
      </c>
    </row>
    <row r="157" spans="2:16" s="148" customFormat="1" ht="45" x14ac:dyDescent="0.25">
      <c r="B157" s="164" t="str">
        <f t="shared" si="14"/>
        <v>1</v>
      </c>
      <c r="C157" s="164" t="str">
        <f t="shared" si="15"/>
        <v>2</v>
      </c>
      <c r="D157" s="164" t="str">
        <f t="shared" si="16"/>
        <v>1</v>
      </c>
      <c r="E157" s="164" t="str">
        <f t="shared" si="17"/>
        <v>5</v>
      </c>
      <c r="F157" s="164" t="str">
        <f t="shared" si="18"/>
        <v>00</v>
      </c>
      <c r="G157" s="164" t="str">
        <f t="shared" si="19"/>
        <v>0</v>
      </c>
      <c r="H157" s="164" t="str">
        <f t="shared" si="20"/>
        <v>0</v>
      </c>
      <c r="I157" s="165">
        <v>12150000</v>
      </c>
      <c r="J157" s="164" t="s">
        <v>5277</v>
      </c>
      <c r="K157" s="164" t="s">
        <v>5457</v>
      </c>
      <c r="L157" s="166"/>
      <c r="M157" s="164" t="s">
        <v>2878</v>
      </c>
      <c r="N157" s="164"/>
      <c r="O157" s="164" t="s">
        <v>2878</v>
      </c>
      <c r="P157" s="167" t="s">
        <v>2880</v>
      </c>
    </row>
    <row r="158" spans="2:16" s="148" customFormat="1" ht="30" x14ac:dyDescent="0.25">
      <c r="B158" s="145" t="str">
        <f t="shared" si="14"/>
        <v>1</v>
      </c>
      <c r="C158" s="145" t="str">
        <f t="shared" si="15"/>
        <v>2</v>
      </c>
      <c r="D158" s="145" t="str">
        <f t="shared" si="16"/>
        <v>1</v>
      </c>
      <c r="E158" s="145" t="str">
        <f t="shared" si="17"/>
        <v>5</v>
      </c>
      <c r="F158" s="145" t="str">
        <f t="shared" si="18"/>
        <v>01</v>
      </c>
      <c r="G158" s="145" t="str">
        <f t="shared" si="19"/>
        <v>0</v>
      </c>
      <c r="H158" s="145" t="str">
        <f t="shared" si="20"/>
        <v>0</v>
      </c>
      <c r="I158" s="143">
        <v>12150100</v>
      </c>
      <c r="J158" s="145" t="s">
        <v>5280</v>
      </c>
      <c r="K158" s="145" t="s">
        <v>5458</v>
      </c>
      <c r="L158" s="146"/>
      <c r="M158" s="145" t="s">
        <v>2878</v>
      </c>
      <c r="N158" s="145"/>
      <c r="O158" s="145" t="s">
        <v>2878</v>
      </c>
      <c r="P158" s="147" t="s">
        <v>2880</v>
      </c>
    </row>
    <row r="159" spans="2:16" s="148" customFormat="1" ht="30" x14ac:dyDescent="0.25">
      <c r="B159" s="149" t="str">
        <f t="shared" si="14"/>
        <v>1</v>
      </c>
      <c r="C159" s="149" t="str">
        <f t="shared" si="15"/>
        <v>2</v>
      </c>
      <c r="D159" s="149" t="str">
        <f t="shared" si="16"/>
        <v>1</v>
      </c>
      <c r="E159" s="149" t="str">
        <f t="shared" si="17"/>
        <v>5</v>
      </c>
      <c r="F159" s="149" t="str">
        <f t="shared" si="18"/>
        <v>01</v>
      </c>
      <c r="G159" s="149" t="str">
        <f t="shared" si="19"/>
        <v>1</v>
      </c>
      <c r="H159" s="149" t="str">
        <f t="shared" si="20"/>
        <v>0</v>
      </c>
      <c r="I159" s="144">
        <v>12150110</v>
      </c>
      <c r="J159" s="149" t="s">
        <v>5281</v>
      </c>
      <c r="K159" s="149" t="s">
        <v>5459</v>
      </c>
      <c r="L159" s="150"/>
      <c r="M159" s="149" t="s">
        <v>5412</v>
      </c>
      <c r="N159" s="149"/>
      <c r="O159" s="149" t="s">
        <v>5462</v>
      </c>
      <c r="P159" s="151" t="s">
        <v>2880</v>
      </c>
    </row>
    <row r="160" spans="2:16" s="148" customFormat="1" ht="30" x14ac:dyDescent="0.25">
      <c r="B160" s="149" t="str">
        <f t="shared" si="14"/>
        <v>1</v>
      </c>
      <c r="C160" s="149" t="str">
        <f t="shared" si="15"/>
        <v>2</v>
      </c>
      <c r="D160" s="149" t="str">
        <f t="shared" si="16"/>
        <v>1</v>
      </c>
      <c r="E160" s="149" t="str">
        <f t="shared" si="17"/>
        <v>5</v>
      </c>
      <c r="F160" s="149" t="str">
        <f t="shared" si="18"/>
        <v>01</v>
      </c>
      <c r="G160" s="149" t="str">
        <f t="shared" si="19"/>
        <v>2</v>
      </c>
      <c r="H160" s="149" t="str">
        <f t="shared" si="20"/>
        <v>0</v>
      </c>
      <c r="I160" s="144">
        <v>12150120</v>
      </c>
      <c r="J160" s="149" t="s">
        <v>5282</v>
      </c>
      <c r="K160" s="149" t="s">
        <v>5460</v>
      </c>
      <c r="L160" s="150"/>
      <c r="M160" s="149" t="s">
        <v>5412</v>
      </c>
      <c r="N160" s="149"/>
      <c r="O160" s="149" t="s">
        <v>5462</v>
      </c>
      <c r="P160" s="151" t="s">
        <v>2880</v>
      </c>
    </row>
    <row r="161" spans="2:16" s="148" customFormat="1" ht="30" x14ac:dyDescent="0.25">
      <c r="B161" s="149" t="str">
        <f t="shared" si="14"/>
        <v>1</v>
      </c>
      <c r="C161" s="149" t="str">
        <f t="shared" si="15"/>
        <v>2</v>
      </c>
      <c r="D161" s="149" t="str">
        <f t="shared" si="16"/>
        <v>1</v>
      </c>
      <c r="E161" s="149" t="str">
        <f t="shared" si="17"/>
        <v>5</v>
      </c>
      <c r="F161" s="149" t="str">
        <f t="shared" si="18"/>
        <v>01</v>
      </c>
      <c r="G161" s="149" t="str">
        <f t="shared" si="19"/>
        <v>3</v>
      </c>
      <c r="H161" s="149" t="str">
        <f t="shared" si="20"/>
        <v>0</v>
      </c>
      <c r="I161" s="144">
        <v>12150130</v>
      </c>
      <c r="J161" s="149" t="s">
        <v>5283</v>
      </c>
      <c r="K161" s="149" t="s">
        <v>5461</v>
      </c>
      <c r="L161" s="150"/>
      <c r="M161" s="149" t="s">
        <v>5412</v>
      </c>
      <c r="N161" s="149"/>
      <c r="O161" s="149" t="s">
        <v>5462</v>
      </c>
      <c r="P161" s="151" t="s">
        <v>2880</v>
      </c>
    </row>
    <row r="162" spans="2:16" s="148" customFormat="1" ht="45" x14ac:dyDescent="0.25">
      <c r="B162" s="149" t="str">
        <f t="shared" si="14"/>
        <v>1</v>
      </c>
      <c r="C162" s="149" t="str">
        <f t="shared" si="15"/>
        <v>2</v>
      </c>
      <c r="D162" s="149" t="str">
        <f t="shared" si="16"/>
        <v>1</v>
      </c>
      <c r="E162" s="149" t="str">
        <f t="shared" si="17"/>
        <v>5</v>
      </c>
      <c r="F162" s="149" t="str">
        <f t="shared" si="18"/>
        <v>01</v>
      </c>
      <c r="G162" s="149" t="str">
        <f t="shared" si="19"/>
        <v>4</v>
      </c>
      <c r="H162" s="149" t="str">
        <f t="shared" si="20"/>
        <v>0</v>
      </c>
      <c r="I162" s="144">
        <v>12150140</v>
      </c>
      <c r="J162" s="149" t="s">
        <v>5284</v>
      </c>
      <c r="K162" s="149" t="s">
        <v>5463</v>
      </c>
      <c r="L162" s="150"/>
      <c r="M162" s="149" t="s">
        <v>5412</v>
      </c>
      <c r="N162" s="149"/>
      <c r="O162" s="149" t="s">
        <v>5462</v>
      </c>
      <c r="P162" s="151" t="s">
        <v>2880</v>
      </c>
    </row>
    <row r="163" spans="2:16" s="148" customFormat="1" ht="45" x14ac:dyDescent="0.25">
      <c r="B163" s="149" t="str">
        <f t="shared" si="14"/>
        <v>1</v>
      </c>
      <c r="C163" s="149" t="str">
        <f t="shared" si="15"/>
        <v>2</v>
      </c>
      <c r="D163" s="149" t="str">
        <f t="shared" si="16"/>
        <v>1</v>
      </c>
      <c r="E163" s="149" t="str">
        <f t="shared" si="17"/>
        <v>5</v>
      </c>
      <c r="F163" s="149" t="str">
        <f t="shared" si="18"/>
        <v>01</v>
      </c>
      <c r="G163" s="149" t="str">
        <f t="shared" si="19"/>
        <v>5</v>
      </c>
      <c r="H163" s="149" t="str">
        <f t="shared" si="20"/>
        <v>0</v>
      </c>
      <c r="I163" s="144">
        <v>12150150</v>
      </c>
      <c r="J163" s="149" t="s">
        <v>5285</v>
      </c>
      <c r="K163" s="149" t="s">
        <v>5464</v>
      </c>
      <c r="L163" s="150"/>
      <c r="M163" s="149" t="s">
        <v>5412</v>
      </c>
      <c r="N163" s="149"/>
      <c r="O163" s="149" t="s">
        <v>5462</v>
      </c>
      <c r="P163" s="151" t="s">
        <v>2880</v>
      </c>
    </row>
    <row r="164" spans="2:16" s="148" customFormat="1" ht="45" x14ac:dyDescent="0.25">
      <c r="B164" s="149" t="str">
        <f t="shared" si="14"/>
        <v>1</v>
      </c>
      <c r="C164" s="149" t="str">
        <f t="shared" si="15"/>
        <v>2</v>
      </c>
      <c r="D164" s="149" t="str">
        <f t="shared" si="16"/>
        <v>1</v>
      </c>
      <c r="E164" s="149" t="str">
        <f t="shared" si="17"/>
        <v>5</v>
      </c>
      <c r="F164" s="149" t="str">
        <f t="shared" si="18"/>
        <v>01</v>
      </c>
      <c r="G164" s="149" t="str">
        <f t="shared" si="19"/>
        <v>6</v>
      </c>
      <c r="H164" s="149" t="str">
        <f t="shared" si="20"/>
        <v>0</v>
      </c>
      <c r="I164" s="144">
        <v>12150160</v>
      </c>
      <c r="J164" s="149" t="s">
        <v>5286</v>
      </c>
      <c r="K164" s="149" t="s">
        <v>5465</v>
      </c>
      <c r="L164" s="150"/>
      <c r="M164" s="149" t="s">
        <v>5412</v>
      </c>
      <c r="N164" s="149"/>
      <c r="O164" s="149" t="s">
        <v>5462</v>
      </c>
      <c r="P164" s="151" t="s">
        <v>2880</v>
      </c>
    </row>
    <row r="165" spans="2:16" s="148" customFormat="1" ht="30" x14ac:dyDescent="0.25">
      <c r="B165" s="145" t="str">
        <f t="shared" si="14"/>
        <v>1</v>
      </c>
      <c r="C165" s="145" t="str">
        <f t="shared" si="15"/>
        <v>2</v>
      </c>
      <c r="D165" s="145" t="str">
        <f t="shared" si="16"/>
        <v>1</v>
      </c>
      <c r="E165" s="145" t="str">
        <f t="shared" si="17"/>
        <v>5</v>
      </c>
      <c r="F165" s="145" t="str">
        <f t="shared" si="18"/>
        <v>02</v>
      </c>
      <c r="G165" s="145" t="str">
        <f t="shared" si="19"/>
        <v>0</v>
      </c>
      <c r="H165" s="145" t="str">
        <f t="shared" si="20"/>
        <v>0</v>
      </c>
      <c r="I165" s="143">
        <v>12150200</v>
      </c>
      <c r="J165" s="145" t="s">
        <v>5287</v>
      </c>
      <c r="K165" s="145" t="s">
        <v>5466</v>
      </c>
      <c r="L165" s="146"/>
      <c r="M165" s="145" t="s">
        <v>2878</v>
      </c>
      <c r="N165" s="145"/>
      <c r="O165" s="145" t="s">
        <v>2878</v>
      </c>
      <c r="P165" s="147" t="s">
        <v>2880</v>
      </c>
    </row>
    <row r="166" spans="2:16" s="148" customFormat="1" ht="45" x14ac:dyDescent="0.25">
      <c r="B166" s="149" t="str">
        <f t="shared" si="14"/>
        <v>1</v>
      </c>
      <c r="C166" s="149" t="str">
        <f t="shared" si="15"/>
        <v>2</v>
      </c>
      <c r="D166" s="149" t="str">
        <f t="shared" si="16"/>
        <v>1</v>
      </c>
      <c r="E166" s="149" t="str">
        <f t="shared" si="17"/>
        <v>5</v>
      </c>
      <c r="F166" s="149" t="str">
        <f t="shared" si="18"/>
        <v>02</v>
      </c>
      <c r="G166" s="149" t="str">
        <f t="shared" si="19"/>
        <v>1</v>
      </c>
      <c r="H166" s="149" t="str">
        <f t="shared" si="20"/>
        <v>0</v>
      </c>
      <c r="I166" s="144">
        <v>12150210</v>
      </c>
      <c r="J166" s="149" t="s">
        <v>5288</v>
      </c>
      <c r="K166" s="149" t="s">
        <v>5467</v>
      </c>
      <c r="L166" s="150"/>
      <c r="M166" s="149" t="s">
        <v>5412</v>
      </c>
      <c r="N166" s="149"/>
      <c r="O166" s="149" t="s">
        <v>5462</v>
      </c>
      <c r="P166" s="151" t="s">
        <v>2880</v>
      </c>
    </row>
    <row r="167" spans="2:16" s="148" customFormat="1" ht="60" x14ac:dyDescent="0.25">
      <c r="B167" s="149" t="str">
        <f t="shared" si="14"/>
        <v>1</v>
      </c>
      <c r="C167" s="149" t="str">
        <f t="shared" si="15"/>
        <v>2</v>
      </c>
      <c r="D167" s="149" t="str">
        <f t="shared" si="16"/>
        <v>1</v>
      </c>
      <c r="E167" s="149" t="str">
        <f t="shared" si="17"/>
        <v>5</v>
      </c>
      <c r="F167" s="149" t="str">
        <f t="shared" si="18"/>
        <v>02</v>
      </c>
      <c r="G167" s="149" t="str">
        <f t="shared" si="19"/>
        <v>2</v>
      </c>
      <c r="H167" s="149" t="str">
        <f t="shared" si="20"/>
        <v>0</v>
      </c>
      <c r="I167" s="144">
        <v>12150220</v>
      </c>
      <c r="J167" s="149" t="s">
        <v>5289</v>
      </c>
      <c r="K167" s="149" t="s">
        <v>5468</v>
      </c>
      <c r="L167" s="150"/>
      <c r="M167" s="149" t="s">
        <v>5412</v>
      </c>
      <c r="N167" s="149"/>
      <c r="O167" s="149" t="s">
        <v>5462</v>
      </c>
      <c r="P167" s="151" t="s">
        <v>2880</v>
      </c>
    </row>
    <row r="168" spans="2:16" s="148" customFormat="1" ht="45" x14ac:dyDescent="0.25">
      <c r="B168" s="145" t="str">
        <f t="shared" si="14"/>
        <v>1</v>
      </c>
      <c r="C168" s="145" t="str">
        <f t="shared" si="15"/>
        <v>2</v>
      </c>
      <c r="D168" s="145" t="str">
        <f t="shared" si="16"/>
        <v>1</v>
      </c>
      <c r="E168" s="145" t="str">
        <f t="shared" si="17"/>
        <v>5</v>
      </c>
      <c r="F168" s="145" t="str">
        <f t="shared" si="18"/>
        <v>03</v>
      </c>
      <c r="G168" s="145" t="str">
        <f t="shared" si="19"/>
        <v>0</v>
      </c>
      <c r="H168" s="145" t="str">
        <f t="shared" si="20"/>
        <v>0</v>
      </c>
      <c r="I168" s="143">
        <v>12150300</v>
      </c>
      <c r="J168" s="145" t="s">
        <v>5290</v>
      </c>
      <c r="K168" s="145" t="s">
        <v>5469</v>
      </c>
      <c r="L168" s="146"/>
      <c r="M168" s="145" t="s">
        <v>2878</v>
      </c>
      <c r="N168" s="145"/>
      <c r="O168" s="145" t="s">
        <v>2878</v>
      </c>
      <c r="P168" s="147" t="s">
        <v>2880</v>
      </c>
    </row>
    <row r="169" spans="2:16" s="148" customFormat="1" ht="45" x14ac:dyDescent="0.25">
      <c r="B169" s="149" t="str">
        <f t="shared" si="14"/>
        <v>1</v>
      </c>
      <c r="C169" s="149" t="str">
        <f t="shared" si="15"/>
        <v>2</v>
      </c>
      <c r="D169" s="149" t="str">
        <f t="shared" si="16"/>
        <v>1</v>
      </c>
      <c r="E169" s="149" t="str">
        <f t="shared" si="17"/>
        <v>5</v>
      </c>
      <c r="F169" s="149" t="str">
        <f t="shared" si="18"/>
        <v>03</v>
      </c>
      <c r="G169" s="149" t="str">
        <f t="shared" si="19"/>
        <v>1</v>
      </c>
      <c r="H169" s="149" t="str">
        <f t="shared" si="20"/>
        <v>0</v>
      </c>
      <c r="I169" s="144">
        <v>12150310</v>
      </c>
      <c r="J169" s="149" t="s">
        <v>5290</v>
      </c>
      <c r="K169" s="149" t="s">
        <v>5469</v>
      </c>
      <c r="L169" s="150"/>
      <c r="M169" s="149" t="s">
        <v>5412</v>
      </c>
      <c r="N169" s="149"/>
      <c r="O169" s="149" t="s">
        <v>5470</v>
      </c>
      <c r="P169" s="151" t="s">
        <v>2880</v>
      </c>
    </row>
    <row r="170" spans="2:16" s="148" customFormat="1" ht="45" x14ac:dyDescent="0.25">
      <c r="B170" s="164" t="str">
        <f t="shared" si="14"/>
        <v>1</v>
      </c>
      <c r="C170" s="164" t="str">
        <f t="shared" si="15"/>
        <v>2</v>
      </c>
      <c r="D170" s="164" t="str">
        <f t="shared" si="16"/>
        <v>1</v>
      </c>
      <c r="E170" s="164" t="str">
        <f t="shared" si="17"/>
        <v>6</v>
      </c>
      <c r="F170" s="164" t="str">
        <f t="shared" si="18"/>
        <v>00</v>
      </c>
      <c r="G170" s="164" t="str">
        <f t="shared" si="19"/>
        <v>0</v>
      </c>
      <c r="H170" s="164" t="str">
        <f t="shared" si="20"/>
        <v>0</v>
      </c>
      <c r="I170" s="165">
        <v>12160000</v>
      </c>
      <c r="J170" s="164" t="s">
        <v>5291</v>
      </c>
      <c r="K170" s="164" t="s">
        <v>5471</v>
      </c>
      <c r="L170" s="166"/>
      <c r="M170" s="164" t="s">
        <v>2878</v>
      </c>
      <c r="N170" s="164"/>
      <c r="O170" s="164" t="s">
        <v>2878</v>
      </c>
      <c r="P170" s="167" t="s">
        <v>2880</v>
      </c>
    </row>
    <row r="171" spans="2:16" s="148" customFormat="1" ht="90" x14ac:dyDescent="0.25">
      <c r="B171" s="145" t="str">
        <f t="shared" si="14"/>
        <v>1</v>
      </c>
      <c r="C171" s="145" t="str">
        <f t="shared" si="15"/>
        <v>2</v>
      </c>
      <c r="D171" s="145" t="str">
        <f t="shared" si="16"/>
        <v>1</v>
      </c>
      <c r="E171" s="145" t="str">
        <f t="shared" si="17"/>
        <v>6</v>
      </c>
      <c r="F171" s="145" t="str">
        <f t="shared" si="18"/>
        <v>01</v>
      </c>
      <c r="G171" s="145" t="str">
        <f t="shared" si="19"/>
        <v>0</v>
      </c>
      <c r="H171" s="145" t="str">
        <f t="shared" si="20"/>
        <v>0</v>
      </c>
      <c r="I171" s="143">
        <v>12160100</v>
      </c>
      <c r="J171" s="145" t="s">
        <v>5292</v>
      </c>
      <c r="K171" s="145" t="s">
        <v>5472</v>
      </c>
      <c r="L171" s="146"/>
      <c r="M171" s="145" t="s">
        <v>2878</v>
      </c>
      <c r="N171" s="145"/>
      <c r="O171" s="145" t="s">
        <v>2878</v>
      </c>
      <c r="P171" s="147" t="s">
        <v>2880</v>
      </c>
    </row>
    <row r="172" spans="2:16" s="148" customFormat="1" ht="90" x14ac:dyDescent="0.25">
      <c r="B172" s="149" t="str">
        <f t="shared" si="14"/>
        <v>1</v>
      </c>
      <c r="C172" s="149" t="str">
        <f t="shared" si="15"/>
        <v>2</v>
      </c>
      <c r="D172" s="149" t="str">
        <f t="shared" si="16"/>
        <v>1</v>
      </c>
      <c r="E172" s="149" t="str">
        <f t="shared" si="17"/>
        <v>6</v>
      </c>
      <c r="F172" s="149" t="str">
        <f t="shared" si="18"/>
        <v>01</v>
      </c>
      <c r="G172" s="149" t="str">
        <f t="shared" si="19"/>
        <v>1</v>
      </c>
      <c r="H172" s="149" t="str">
        <f t="shared" si="20"/>
        <v>0</v>
      </c>
      <c r="I172" s="144">
        <v>12160110</v>
      </c>
      <c r="J172" s="149" t="s">
        <v>5292</v>
      </c>
      <c r="K172" s="149" t="s">
        <v>5472</v>
      </c>
      <c r="L172" s="150"/>
      <c r="M172" s="149" t="s">
        <v>5473</v>
      </c>
      <c r="N172" s="149"/>
      <c r="O172" s="149" t="s">
        <v>5474</v>
      </c>
      <c r="P172" s="151" t="s">
        <v>2880</v>
      </c>
    </row>
    <row r="173" spans="2:16" s="148" customFormat="1" ht="75" x14ac:dyDescent="0.25">
      <c r="B173" s="149" t="str">
        <f t="shared" si="14"/>
        <v>1</v>
      </c>
      <c r="C173" s="149" t="str">
        <f t="shared" si="15"/>
        <v>2</v>
      </c>
      <c r="D173" s="149" t="str">
        <f t="shared" si="16"/>
        <v>1</v>
      </c>
      <c r="E173" s="149" t="str">
        <f t="shared" si="17"/>
        <v>6</v>
      </c>
      <c r="F173" s="149" t="str">
        <f t="shared" si="18"/>
        <v>01</v>
      </c>
      <c r="G173" s="149" t="str">
        <f t="shared" si="19"/>
        <v>2</v>
      </c>
      <c r="H173" s="149" t="str">
        <f t="shared" si="20"/>
        <v>0</v>
      </c>
      <c r="I173" s="144">
        <v>12160120</v>
      </c>
      <c r="J173" s="149" t="s">
        <v>5293</v>
      </c>
      <c r="K173" s="149" t="s">
        <v>5475</v>
      </c>
      <c r="L173" s="150"/>
      <c r="M173" s="149" t="s">
        <v>5473</v>
      </c>
      <c r="N173" s="149"/>
      <c r="O173" s="149" t="s">
        <v>5476</v>
      </c>
      <c r="P173" s="151" t="s">
        <v>2880</v>
      </c>
    </row>
    <row r="174" spans="2:16" s="148" customFormat="1" ht="30" x14ac:dyDescent="0.25">
      <c r="B174" s="145" t="str">
        <f t="shared" si="14"/>
        <v>1</v>
      </c>
      <c r="C174" s="145" t="str">
        <f t="shared" si="15"/>
        <v>2</v>
      </c>
      <c r="D174" s="145" t="str">
        <f t="shared" si="16"/>
        <v>1</v>
      </c>
      <c r="E174" s="145" t="str">
        <f t="shared" si="17"/>
        <v>6</v>
      </c>
      <c r="F174" s="145" t="str">
        <f t="shared" si="18"/>
        <v>02</v>
      </c>
      <c r="G174" s="145" t="str">
        <f t="shared" si="19"/>
        <v>0</v>
      </c>
      <c r="H174" s="145" t="str">
        <f t="shared" si="20"/>
        <v>0</v>
      </c>
      <c r="I174" s="143">
        <v>12160200</v>
      </c>
      <c r="J174" s="145" t="s">
        <v>5294</v>
      </c>
      <c r="K174" s="145" t="s">
        <v>5477</v>
      </c>
      <c r="L174" s="146"/>
      <c r="M174" s="145" t="s">
        <v>2878</v>
      </c>
      <c r="N174" s="145"/>
      <c r="O174" s="145" t="s">
        <v>2878</v>
      </c>
      <c r="P174" s="147" t="s">
        <v>2880</v>
      </c>
    </row>
    <row r="175" spans="2:16" s="148" customFormat="1" ht="60" x14ac:dyDescent="0.25">
      <c r="B175" s="149" t="str">
        <f t="shared" si="14"/>
        <v>1</v>
      </c>
      <c r="C175" s="149" t="str">
        <f t="shared" si="15"/>
        <v>2</v>
      </c>
      <c r="D175" s="149" t="str">
        <f t="shared" si="16"/>
        <v>1</v>
      </c>
      <c r="E175" s="149" t="str">
        <f t="shared" si="17"/>
        <v>6</v>
      </c>
      <c r="F175" s="149" t="str">
        <f t="shared" si="18"/>
        <v>02</v>
      </c>
      <c r="G175" s="149" t="str">
        <f t="shared" si="19"/>
        <v>1</v>
      </c>
      <c r="H175" s="149" t="str">
        <f t="shared" si="20"/>
        <v>0</v>
      </c>
      <c r="I175" s="144">
        <v>12160210</v>
      </c>
      <c r="J175" s="149" t="s">
        <v>5294</v>
      </c>
      <c r="K175" s="149" t="s">
        <v>5477</v>
      </c>
      <c r="L175" s="150"/>
      <c r="M175" s="149" t="s">
        <v>5473</v>
      </c>
      <c r="N175" s="149"/>
      <c r="O175" s="149" t="s">
        <v>5474</v>
      </c>
      <c r="P175" s="151" t="s">
        <v>2880</v>
      </c>
    </row>
    <row r="176" spans="2:16" s="148" customFormat="1" ht="60" x14ac:dyDescent="0.25">
      <c r="B176" s="149" t="str">
        <f t="shared" si="14"/>
        <v>1</v>
      </c>
      <c r="C176" s="149" t="str">
        <f t="shared" si="15"/>
        <v>2</v>
      </c>
      <c r="D176" s="149" t="str">
        <f t="shared" si="16"/>
        <v>1</v>
      </c>
      <c r="E176" s="149" t="str">
        <f t="shared" si="17"/>
        <v>6</v>
      </c>
      <c r="F176" s="149" t="str">
        <f t="shared" si="18"/>
        <v>02</v>
      </c>
      <c r="G176" s="149" t="str">
        <f t="shared" si="19"/>
        <v>2</v>
      </c>
      <c r="H176" s="149" t="str">
        <f t="shared" si="20"/>
        <v>0</v>
      </c>
      <c r="I176" s="144">
        <v>12160220</v>
      </c>
      <c r="J176" s="149" t="s">
        <v>5295</v>
      </c>
      <c r="K176" s="149" t="s">
        <v>5478</v>
      </c>
      <c r="L176" s="150"/>
      <c r="M176" s="149" t="s">
        <v>5473</v>
      </c>
      <c r="N176" s="149"/>
      <c r="O176" s="149" t="s">
        <v>5476</v>
      </c>
      <c r="P176" s="151" t="s">
        <v>2880</v>
      </c>
    </row>
    <row r="177" spans="2:16" s="148" customFormat="1" ht="60" x14ac:dyDescent="0.25">
      <c r="B177" s="145" t="str">
        <f t="shared" si="14"/>
        <v>1</v>
      </c>
      <c r="C177" s="145" t="str">
        <f t="shared" si="15"/>
        <v>2</v>
      </c>
      <c r="D177" s="145" t="str">
        <f t="shared" si="16"/>
        <v>1</v>
      </c>
      <c r="E177" s="145" t="str">
        <f t="shared" si="17"/>
        <v>6</v>
      </c>
      <c r="F177" s="145" t="str">
        <f t="shared" si="18"/>
        <v>03</v>
      </c>
      <c r="G177" s="145" t="str">
        <f t="shared" si="19"/>
        <v>0</v>
      </c>
      <c r="H177" s="145" t="str">
        <f t="shared" si="20"/>
        <v>0</v>
      </c>
      <c r="I177" s="143">
        <v>12160300</v>
      </c>
      <c r="J177" s="145" t="s">
        <v>5296</v>
      </c>
      <c r="K177" s="145" t="s">
        <v>5479</v>
      </c>
      <c r="L177" s="146"/>
      <c r="M177" s="145" t="s">
        <v>2878</v>
      </c>
      <c r="N177" s="145"/>
      <c r="O177" s="145" t="s">
        <v>2878</v>
      </c>
      <c r="P177" s="147" t="s">
        <v>2880</v>
      </c>
    </row>
    <row r="178" spans="2:16" s="148" customFormat="1" ht="60" x14ac:dyDescent="0.25">
      <c r="B178" s="149" t="str">
        <f t="shared" si="14"/>
        <v>1</v>
      </c>
      <c r="C178" s="149" t="str">
        <f t="shared" si="15"/>
        <v>2</v>
      </c>
      <c r="D178" s="149" t="str">
        <f t="shared" si="16"/>
        <v>1</v>
      </c>
      <c r="E178" s="149" t="str">
        <f t="shared" si="17"/>
        <v>6</v>
      </c>
      <c r="F178" s="149" t="str">
        <f t="shared" si="18"/>
        <v>03</v>
      </c>
      <c r="G178" s="149" t="str">
        <f t="shared" si="19"/>
        <v>1</v>
      </c>
      <c r="H178" s="149" t="str">
        <f t="shared" si="20"/>
        <v>0</v>
      </c>
      <c r="I178" s="144">
        <v>12160310</v>
      </c>
      <c r="J178" s="149" t="s">
        <v>5296</v>
      </c>
      <c r="K178" s="149" t="s">
        <v>5479</v>
      </c>
      <c r="L178" s="150"/>
      <c r="M178" s="149" t="s">
        <v>5480</v>
      </c>
      <c r="N178" s="149"/>
      <c r="O178" s="149" t="s">
        <v>5481</v>
      </c>
      <c r="P178" s="151" t="s">
        <v>2880</v>
      </c>
    </row>
    <row r="179" spans="2:16" s="148" customFormat="1" ht="60" x14ac:dyDescent="0.25">
      <c r="B179" s="149" t="str">
        <f t="shared" si="14"/>
        <v>1</v>
      </c>
      <c r="C179" s="149" t="str">
        <f t="shared" si="15"/>
        <v>2</v>
      </c>
      <c r="D179" s="149" t="str">
        <f t="shared" si="16"/>
        <v>1</v>
      </c>
      <c r="E179" s="149" t="str">
        <f t="shared" si="17"/>
        <v>6</v>
      </c>
      <c r="F179" s="149" t="str">
        <f t="shared" si="18"/>
        <v>03</v>
      </c>
      <c r="G179" s="149" t="str">
        <f t="shared" si="19"/>
        <v>2</v>
      </c>
      <c r="H179" s="149" t="str">
        <f t="shared" si="20"/>
        <v>0</v>
      </c>
      <c r="I179" s="144">
        <v>12160320</v>
      </c>
      <c r="J179" s="149" t="s">
        <v>5297</v>
      </c>
      <c r="K179" s="149" t="s">
        <v>5482</v>
      </c>
      <c r="L179" s="150"/>
      <c r="M179" s="149" t="s">
        <v>5480</v>
      </c>
      <c r="N179" s="149"/>
      <c r="O179" s="149" t="s">
        <v>5476</v>
      </c>
      <c r="P179" s="151" t="s">
        <v>2880</v>
      </c>
    </row>
    <row r="180" spans="2:16" s="148" customFormat="1" ht="90" x14ac:dyDescent="0.25">
      <c r="B180" s="145" t="str">
        <f t="shared" si="14"/>
        <v>1</v>
      </c>
      <c r="C180" s="145" t="str">
        <f t="shared" si="15"/>
        <v>2</v>
      </c>
      <c r="D180" s="145" t="str">
        <f t="shared" si="16"/>
        <v>1</v>
      </c>
      <c r="E180" s="145" t="str">
        <f t="shared" si="17"/>
        <v>6</v>
      </c>
      <c r="F180" s="145" t="str">
        <f t="shared" si="18"/>
        <v>04</v>
      </c>
      <c r="G180" s="145" t="str">
        <f t="shared" si="19"/>
        <v>0</v>
      </c>
      <c r="H180" s="145" t="str">
        <f t="shared" si="20"/>
        <v>0</v>
      </c>
      <c r="I180" s="143">
        <v>12160400</v>
      </c>
      <c r="J180" s="145" t="s">
        <v>5298</v>
      </c>
      <c r="K180" s="145" t="s">
        <v>5483</v>
      </c>
      <c r="L180" s="146"/>
      <c r="M180" s="145" t="s">
        <v>2878</v>
      </c>
      <c r="N180" s="145"/>
      <c r="O180" s="145" t="s">
        <v>2878</v>
      </c>
      <c r="P180" s="147" t="s">
        <v>2880</v>
      </c>
    </row>
    <row r="181" spans="2:16" s="148" customFormat="1" ht="90" x14ac:dyDescent="0.25">
      <c r="B181" s="149" t="str">
        <f t="shared" si="14"/>
        <v>1</v>
      </c>
      <c r="C181" s="149" t="str">
        <f t="shared" si="15"/>
        <v>2</v>
      </c>
      <c r="D181" s="149" t="str">
        <f t="shared" si="16"/>
        <v>1</v>
      </c>
      <c r="E181" s="149" t="str">
        <f t="shared" si="17"/>
        <v>6</v>
      </c>
      <c r="F181" s="149" t="str">
        <f t="shared" si="18"/>
        <v>04</v>
      </c>
      <c r="G181" s="149" t="str">
        <f t="shared" si="19"/>
        <v>1</v>
      </c>
      <c r="H181" s="149" t="str">
        <f t="shared" si="20"/>
        <v>0</v>
      </c>
      <c r="I181" s="144">
        <v>12160410</v>
      </c>
      <c r="J181" s="149" t="s">
        <v>5298</v>
      </c>
      <c r="K181" s="149" t="s">
        <v>5483</v>
      </c>
      <c r="L181" s="150"/>
      <c r="M181" s="149" t="s">
        <v>5484</v>
      </c>
      <c r="N181" s="149"/>
      <c r="O181" s="149" t="s">
        <v>5481</v>
      </c>
      <c r="P181" s="151" t="s">
        <v>2880</v>
      </c>
    </row>
    <row r="182" spans="2:16" s="148" customFormat="1" ht="75" x14ac:dyDescent="0.25">
      <c r="B182" s="149" t="str">
        <f t="shared" si="14"/>
        <v>1</v>
      </c>
      <c r="C182" s="149" t="str">
        <f t="shared" si="15"/>
        <v>2</v>
      </c>
      <c r="D182" s="149" t="str">
        <f t="shared" si="16"/>
        <v>1</v>
      </c>
      <c r="E182" s="149" t="str">
        <f t="shared" si="17"/>
        <v>6</v>
      </c>
      <c r="F182" s="149" t="str">
        <f t="shared" si="18"/>
        <v>04</v>
      </c>
      <c r="G182" s="149" t="str">
        <f t="shared" si="19"/>
        <v>2</v>
      </c>
      <c r="H182" s="149" t="str">
        <f t="shared" si="20"/>
        <v>0</v>
      </c>
      <c r="I182" s="144">
        <v>12160420</v>
      </c>
      <c r="J182" s="149" t="s">
        <v>5299</v>
      </c>
      <c r="K182" s="149" t="s">
        <v>5485</v>
      </c>
      <c r="L182" s="150"/>
      <c r="M182" s="149" t="s">
        <v>5484</v>
      </c>
      <c r="N182" s="149"/>
      <c r="O182" s="149" t="s">
        <v>5476</v>
      </c>
      <c r="P182" s="151" t="s">
        <v>2880</v>
      </c>
    </row>
    <row r="183" spans="2:16" s="148" customFormat="1" ht="45" x14ac:dyDescent="0.25">
      <c r="B183" s="164" t="str">
        <f t="shared" si="14"/>
        <v>1</v>
      </c>
      <c r="C183" s="164" t="str">
        <f t="shared" si="15"/>
        <v>2</v>
      </c>
      <c r="D183" s="164" t="str">
        <f t="shared" si="16"/>
        <v>1</v>
      </c>
      <c r="E183" s="164" t="str">
        <f t="shared" si="17"/>
        <v>7</v>
      </c>
      <c r="F183" s="164" t="str">
        <f t="shared" si="18"/>
        <v>00</v>
      </c>
      <c r="G183" s="164" t="str">
        <f t="shared" si="19"/>
        <v>0</v>
      </c>
      <c r="H183" s="164" t="str">
        <f t="shared" si="20"/>
        <v>0</v>
      </c>
      <c r="I183" s="165">
        <v>12170000</v>
      </c>
      <c r="J183" s="164" t="s">
        <v>3179</v>
      </c>
      <c r="K183" s="164" t="s">
        <v>5486</v>
      </c>
      <c r="L183" s="166"/>
      <c r="M183" s="164" t="s">
        <v>2878</v>
      </c>
      <c r="N183" s="164"/>
      <c r="O183" s="164" t="s">
        <v>2878</v>
      </c>
      <c r="P183" s="167" t="s">
        <v>2880</v>
      </c>
    </row>
    <row r="184" spans="2:16" s="148" customFormat="1" ht="30" x14ac:dyDescent="0.25">
      <c r="B184" s="145" t="str">
        <f t="shared" si="14"/>
        <v>1</v>
      </c>
      <c r="C184" s="145" t="str">
        <f t="shared" si="15"/>
        <v>2</v>
      </c>
      <c r="D184" s="145" t="str">
        <f t="shared" si="16"/>
        <v>1</v>
      </c>
      <c r="E184" s="145" t="str">
        <f t="shared" si="17"/>
        <v>7</v>
      </c>
      <c r="F184" s="145" t="str">
        <f t="shared" si="18"/>
        <v>01</v>
      </c>
      <c r="G184" s="145" t="str">
        <f t="shared" si="19"/>
        <v>0</v>
      </c>
      <c r="H184" s="145" t="str">
        <f t="shared" si="20"/>
        <v>0</v>
      </c>
      <c r="I184" s="143">
        <v>12170100</v>
      </c>
      <c r="J184" s="145" t="s">
        <v>3181</v>
      </c>
      <c r="K184" s="145" t="s">
        <v>5487</v>
      </c>
      <c r="L184" s="146"/>
      <c r="M184" s="145" t="s">
        <v>2878</v>
      </c>
      <c r="N184" s="145"/>
      <c r="O184" s="145" t="s">
        <v>2878</v>
      </c>
      <c r="P184" s="147" t="s">
        <v>2880</v>
      </c>
    </row>
    <row r="185" spans="2:16" s="148" customFormat="1" ht="150" x14ac:dyDescent="0.25">
      <c r="B185" s="149" t="str">
        <f t="shared" si="14"/>
        <v>1</v>
      </c>
      <c r="C185" s="149" t="str">
        <f t="shared" si="15"/>
        <v>2</v>
      </c>
      <c r="D185" s="149" t="str">
        <f t="shared" si="16"/>
        <v>1</v>
      </c>
      <c r="E185" s="149" t="str">
        <f t="shared" si="17"/>
        <v>7</v>
      </c>
      <c r="F185" s="149" t="str">
        <f t="shared" si="18"/>
        <v>01</v>
      </c>
      <c r="G185" s="149" t="str">
        <f t="shared" si="19"/>
        <v>1</v>
      </c>
      <c r="H185" s="149" t="str">
        <f t="shared" si="20"/>
        <v>0</v>
      </c>
      <c r="I185" s="144">
        <v>12170110</v>
      </c>
      <c r="J185" s="149" t="s">
        <v>3181</v>
      </c>
      <c r="K185" s="149" t="s">
        <v>5487</v>
      </c>
      <c r="L185" s="150"/>
      <c r="M185" s="149" t="s">
        <v>5488</v>
      </c>
      <c r="N185" s="149"/>
      <c r="O185" s="149" t="s">
        <v>5489</v>
      </c>
      <c r="P185" s="151" t="s">
        <v>2880</v>
      </c>
    </row>
    <row r="186" spans="2:16" s="148" customFormat="1" ht="45" x14ac:dyDescent="0.25">
      <c r="B186" s="149" t="str">
        <f t="shared" si="14"/>
        <v>1</v>
      </c>
      <c r="C186" s="149" t="str">
        <f t="shared" si="15"/>
        <v>2</v>
      </c>
      <c r="D186" s="149" t="str">
        <f t="shared" si="16"/>
        <v>1</v>
      </c>
      <c r="E186" s="149" t="str">
        <f t="shared" si="17"/>
        <v>7</v>
      </c>
      <c r="F186" s="149" t="str">
        <f t="shared" si="18"/>
        <v>01</v>
      </c>
      <c r="G186" s="149" t="str">
        <f t="shared" si="19"/>
        <v>2</v>
      </c>
      <c r="H186" s="149" t="str">
        <f t="shared" si="20"/>
        <v>0</v>
      </c>
      <c r="I186" s="144">
        <v>12170120</v>
      </c>
      <c r="J186" s="149" t="s">
        <v>5300</v>
      </c>
      <c r="K186" s="149" t="s">
        <v>5490</v>
      </c>
      <c r="L186" s="150"/>
      <c r="M186" s="149" t="s">
        <v>5488</v>
      </c>
      <c r="N186" s="149"/>
      <c r="O186" s="149" t="s">
        <v>5476</v>
      </c>
      <c r="P186" s="151" t="s">
        <v>2880</v>
      </c>
    </row>
    <row r="187" spans="2:16" s="148" customFormat="1" ht="30" x14ac:dyDescent="0.25">
      <c r="B187" s="145" t="str">
        <f t="shared" si="14"/>
        <v>1</v>
      </c>
      <c r="C187" s="145" t="str">
        <f t="shared" si="15"/>
        <v>2</v>
      </c>
      <c r="D187" s="145" t="str">
        <f t="shared" si="16"/>
        <v>1</v>
      </c>
      <c r="E187" s="145" t="str">
        <f t="shared" si="17"/>
        <v>7</v>
      </c>
      <c r="F187" s="145" t="str">
        <f t="shared" si="18"/>
        <v>02</v>
      </c>
      <c r="G187" s="145" t="str">
        <f t="shared" si="19"/>
        <v>0</v>
      </c>
      <c r="H187" s="145" t="str">
        <f t="shared" si="20"/>
        <v>0</v>
      </c>
      <c r="I187" s="143">
        <v>12170200</v>
      </c>
      <c r="J187" s="145" t="s">
        <v>3190</v>
      </c>
      <c r="K187" s="145" t="s">
        <v>5491</v>
      </c>
      <c r="L187" s="146"/>
      <c r="M187" s="145" t="s">
        <v>2878</v>
      </c>
      <c r="N187" s="145"/>
      <c r="O187" s="145" t="s">
        <v>2878</v>
      </c>
      <c r="P187" s="147" t="s">
        <v>2880</v>
      </c>
    </row>
    <row r="188" spans="2:16" s="148" customFormat="1" ht="135" x14ac:dyDescent="0.25">
      <c r="B188" s="149" t="str">
        <f t="shared" si="14"/>
        <v>1</v>
      </c>
      <c r="C188" s="149" t="str">
        <f t="shared" si="15"/>
        <v>2</v>
      </c>
      <c r="D188" s="149" t="str">
        <f t="shared" si="16"/>
        <v>1</v>
      </c>
      <c r="E188" s="149" t="str">
        <f t="shared" si="17"/>
        <v>7</v>
      </c>
      <c r="F188" s="149" t="str">
        <f t="shared" si="18"/>
        <v>02</v>
      </c>
      <c r="G188" s="149" t="str">
        <f t="shared" si="19"/>
        <v>1</v>
      </c>
      <c r="H188" s="149" t="str">
        <f t="shared" si="20"/>
        <v>0</v>
      </c>
      <c r="I188" s="144">
        <v>12170210</v>
      </c>
      <c r="J188" s="149" t="s">
        <v>3190</v>
      </c>
      <c r="K188" s="149" t="s">
        <v>5491</v>
      </c>
      <c r="L188" s="150"/>
      <c r="M188" s="149" t="s">
        <v>5492</v>
      </c>
      <c r="N188" s="149"/>
      <c r="O188" s="149" t="s">
        <v>5493</v>
      </c>
      <c r="P188" s="151" t="s">
        <v>2880</v>
      </c>
    </row>
    <row r="189" spans="2:16" s="148" customFormat="1" ht="45" x14ac:dyDescent="0.25">
      <c r="B189" s="149" t="str">
        <f t="shared" si="14"/>
        <v>1</v>
      </c>
      <c r="C189" s="149" t="str">
        <f t="shared" si="15"/>
        <v>2</v>
      </c>
      <c r="D189" s="149" t="str">
        <f t="shared" si="16"/>
        <v>1</v>
      </c>
      <c r="E189" s="149" t="str">
        <f t="shared" si="17"/>
        <v>7</v>
      </c>
      <c r="F189" s="149" t="str">
        <f t="shared" si="18"/>
        <v>02</v>
      </c>
      <c r="G189" s="149" t="str">
        <f t="shared" si="19"/>
        <v>2</v>
      </c>
      <c r="H189" s="149" t="str">
        <f t="shared" si="20"/>
        <v>0</v>
      </c>
      <c r="I189" s="144">
        <v>12170220</v>
      </c>
      <c r="J189" s="149" t="s">
        <v>5301</v>
      </c>
      <c r="K189" s="149" t="s">
        <v>5494</v>
      </c>
      <c r="L189" s="150"/>
      <c r="M189" s="149" t="s">
        <v>5492</v>
      </c>
      <c r="N189" s="149"/>
      <c r="O189" s="149" t="s">
        <v>5476</v>
      </c>
      <c r="P189" s="151" t="s">
        <v>2880</v>
      </c>
    </row>
    <row r="190" spans="2:16" s="148" customFormat="1" ht="105" x14ac:dyDescent="0.25">
      <c r="B190" s="145" t="str">
        <f t="shared" si="14"/>
        <v>1</v>
      </c>
      <c r="C190" s="145" t="str">
        <f t="shared" si="15"/>
        <v>2</v>
      </c>
      <c r="D190" s="145" t="str">
        <f t="shared" si="16"/>
        <v>1</v>
      </c>
      <c r="E190" s="145" t="str">
        <f t="shared" si="17"/>
        <v>7</v>
      </c>
      <c r="F190" s="145" t="str">
        <f t="shared" si="18"/>
        <v>03</v>
      </c>
      <c r="G190" s="145" t="str">
        <f t="shared" si="19"/>
        <v>0</v>
      </c>
      <c r="H190" s="145" t="str">
        <f t="shared" si="20"/>
        <v>0</v>
      </c>
      <c r="I190" s="143">
        <v>12170300</v>
      </c>
      <c r="J190" s="145" t="s">
        <v>3199</v>
      </c>
      <c r="K190" s="145" t="s">
        <v>5495</v>
      </c>
      <c r="L190" s="146"/>
      <c r="M190" s="145" t="s">
        <v>2878</v>
      </c>
      <c r="N190" s="145"/>
      <c r="O190" s="145" t="s">
        <v>2878</v>
      </c>
      <c r="P190" s="147" t="s">
        <v>2880</v>
      </c>
    </row>
    <row r="191" spans="2:16" s="148" customFormat="1" ht="165" x14ac:dyDescent="0.25">
      <c r="B191" s="149" t="str">
        <f t="shared" si="14"/>
        <v>1</v>
      </c>
      <c r="C191" s="149" t="str">
        <f t="shared" si="15"/>
        <v>2</v>
      </c>
      <c r="D191" s="149" t="str">
        <f t="shared" si="16"/>
        <v>1</v>
      </c>
      <c r="E191" s="149" t="str">
        <f t="shared" si="17"/>
        <v>7</v>
      </c>
      <c r="F191" s="149" t="str">
        <f t="shared" si="18"/>
        <v>03</v>
      </c>
      <c r="G191" s="149" t="str">
        <f t="shared" si="19"/>
        <v>1</v>
      </c>
      <c r="H191" s="149" t="str">
        <f t="shared" si="20"/>
        <v>0</v>
      </c>
      <c r="I191" s="144">
        <v>12170310</v>
      </c>
      <c r="J191" s="149" t="s">
        <v>3199</v>
      </c>
      <c r="K191" s="149" t="s">
        <v>5496</v>
      </c>
      <c r="L191" s="150"/>
      <c r="M191" s="149" t="s">
        <v>3194</v>
      </c>
      <c r="N191" s="149"/>
      <c r="O191" s="149" t="s">
        <v>5497</v>
      </c>
      <c r="P191" s="151" t="s">
        <v>2880</v>
      </c>
    </row>
    <row r="192" spans="2:16" s="148" customFormat="1" ht="75" x14ac:dyDescent="0.25">
      <c r="B192" s="149" t="str">
        <f t="shared" si="14"/>
        <v>1</v>
      </c>
      <c r="C192" s="149" t="str">
        <f t="shared" si="15"/>
        <v>2</v>
      </c>
      <c r="D192" s="149" t="str">
        <f t="shared" si="16"/>
        <v>1</v>
      </c>
      <c r="E192" s="149" t="str">
        <f t="shared" si="17"/>
        <v>7</v>
      </c>
      <c r="F192" s="149" t="str">
        <f t="shared" si="18"/>
        <v>03</v>
      </c>
      <c r="G192" s="149" t="str">
        <f t="shared" si="19"/>
        <v>2</v>
      </c>
      <c r="H192" s="149" t="str">
        <f t="shared" si="20"/>
        <v>0</v>
      </c>
      <c r="I192" s="144">
        <v>12170320</v>
      </c>
      <c r="J192" s="149" t="s">
        <v>5302</v>
      </c>
      <c r="K192" s="149" t="s">
        <v>5498</v>
      </c>
      <c r="L192" s="150"/>
      <c r="M192" s="149" t="s">
        <v>3194</v>
      </c>
      <c r="N192" s="149"/>
      <c r="O192" s="149" t="s">
        <v>5476</v>
      </c>
      <c r="P192" s="151" t="s">
        <v>2880</v>
      </c>
    </row>
    <row r="193" spans="2:16" s="148" customFormat="1" ht="30" x14ac:dyDescent="0.25">
      <c r="B193" s="145" t="str">
        <f t="shared" si="14"/>
        <v>1</v>
      </c>
      <c r="C193" s="145" t="str">
        <f t="shared" si="15"/>
        <v>2</v>
      </c>
      <c r="D193" s="145" t="str">
        <f t="shared" si="16"/>
        <v>1</v>
      </c>
      <c r="E193" s="145" t="str">
        <f t="shared" si="17"/>
        <v>7</v>
      </c>
      <c r="F193" s="145" t="str">
        <f t="shared" si="18"/>
        <v>04</v>
      </c>
      <c r="G193" s="145" t="str">
        <f t="shared" si="19"/>
        <v>0</v>
      </c>
      <c r="H193" s="145" t="str">
        <f t="shared" si="20"/>
        <v>0</v>
      </c>
      <c r="I193" s="143">
        <v>12170400</v>
      </c>
      <c r="J193" s="145" t="s">
        <v>3207</v>
      </c>
      <c r="K193" s="145" t="s">
        <v>5499</v>
      </c>
      <c r="L193" s="146"/>
      <c r="M193" s="145" t="s">
        <v>2878</v>
      </c>
      <c r="N193" s="145"/>
      <c r="O193" s="145" t="s">
        <v>2878</v>
      </c>
      <c r="P193" s="147" t="s">
        <v>2880</v>
      </c>
    </row>
    <row r="194" spans="2:16" s="148" customFormat="1" ht="150" x14ac:dyDescent="0.25">
      <c r="B194" s="149" t="str">
        <f t="shared" si="14"/>
        <v>1</v>
      </c>
      <c r="C194" s="149" t="str">
        <f t="shared" si="15"/>
        <v>2</v>
      </c>
      <c r="D194" s="149" t="str">
        <f t="shared" si="16"/>
        <v>1</v>
      </c>
      <c r="E194" s="149" t="str">
        <f t="shared" si="17"/>
        <v>7</v>
      </c>
      <c r="F194" s="149" t="str">
        <f t="shared" si="18"/>
        <v>04</v>
      </c>
      <c r="G194" s="149" t="str">
        <f t="shared" si="19"/>
        <v>1</v>
      </c>
      <c r="H194" s="149" t="str">
        <f t="shared" si="20"/>
        <v>0</v>
      </c>
      <c r="I194" s="144">
        <v>12170410</v>
      </c>
      <c r="J194" s="149" t="s">
        <v>3207</v>
      </c>
      <c r="K194" s="149" t="s">
        <v>5499</v>
      </c>
      <c r="L194" s="150"/>
      <c r="M194" s="149" t="s">
        <v>3194</v>
      </c>
      <c r="N194" s="149"/>
      <c r="O194" s="149" t="s">
        <v>5501</v>
      </c>
      <c r="P194" s="151" t="s">
        <v>2880</v>
      </c>
    </row>
    <row r="195" spans="2:16" s="148" customFormat="1" ht="45" x14ac:dyDescent="0.25">
      <c r="B195" s="149" t="str">
        <f t="shared" si="14"/>
        <v>1</v>
      </c>
      <c r="C195" s="149" t="str">
        <f t="shared" si="15"/>
        <v>2</v>
      </c>
      <c r="D195" s="149" t="str">
        <f t="shared" si="16"/>
        <v>1</v>
      </c>
      <c r="E195" s="149" t="str">
        <f t="shared" si="17"/>
        <v>7</v>
      </c>
      <c r="F195" s="149" t="str">
        <f t="shared" si="18"/>
        <v>04</v>
      </c>
      <c r="G195" s="149" t="str">
        <f t="shared" si="19"/>
        <v>2</v>
      </c>
      <c r="H195" s="149" t="str">
        <f t="shared" si="20"/>
        <v>0</v>
      </c>
      <c r="I195" s="144">
        <v>12170420</v>
      </c>
      <c r="J195" s="149" t="s">
        <v>5303</v>
      </c>
      <c r="K195" s="149" t="s">
        <v>5500</v>
      </c>
      <c r="L195" s="150"/>
      <c r="M195" s="149" t="s">
        <v>3194</v>
      </c>
      <c r="N195" s="149"/>
      <c r="O195" s="149" t="s">
        <v>5476</v>
      </c>
      <c r="P195" s="151" t="s">
        <v>2880</v>
      </c>
    </row>
    <row r="196" spans="2:16" s="148" customFormat="1" ht="30" x14ac:dyDescent="0.25">
      <c r="B196" s="145" t="str">
        <f t="shared" si="14"/>
        <v>1</v>
      </c>
      <c r="C196" s="145" t="str">
        <f t="shared" si="15"/>
        <v>2</v>
      </c>
      <c r="D196" s="145" t="str">
        <f t="shared" si="16"/>
        <v>1</v>
      </c>
      <c r="E196" s="145" t="str">
        <f t="shared" si="17"/>
        <v>7</v>
      </c>
      <c r="F196" s="145" t="str">
        <f t="shared" si="18"/>
        <v>05</v>
      </c>
      <c r="G196" s="145" t="str">
        <f t="shared" si="19"/>
        <v>0</v>
      </c>
      <c r="H196" s="145" t="str">
        <f t="shared" si="20"/>
        <v>0</v>
      </c>
      <c r="I196" s="143">
        <v>12170500</v>
      </c>
      <c r="J196" s="145" t="s">
        <v>5304</v>
      </c>
      <c r="K196" s="145" t="s">
        <v>5502</v>
      </c>
      <c r="L196" s="146"/>
      <c r="M196" s="145" t="s">
        <v>2878</v>
      </c>
      <c r="N196" s="145"/>
      <c r="O196" s="145" t="s">
        <v>2878</v>
      </c>
      <c r="P196" s="147" t="s">
        <v>2880</v>
      </c>
    </row>
    <row r="197" spans="2:16" s="148" customFormat="1" ht="135" x14ac:dyDescent="0.25">
      <c r="B197" s="149" t="str">
        <f t="shared" si="14"/>
        <v>1</v>
      </c>
      <c r="C197" s="149" t="str">
        <f t="shared" si="15"/>
        <v>2</v>
      </c>
      <c r="D197" s="149" t="str">
        <f t="shared" si="16"/>
        <v>1</v>
      </c>
      <c r="E197" s="149" t="str">
        <f t="shared" si="17"/>
        <v>7</v>
      </c>
      <c r="F197" s="149" t="str">
        <f t="shared" si="18"/>
        <v>05</v>
      </c>
      <c r="G197" s="149" t="str">
        <f t="shared" si="19"/>
        <v>1</v>
      </c>
      <c r="H197" s="149" t="str">
        <f t="shared" si="20"/>
        <v>0</v>
      </c>
      <c r="I197" s="144">
        <v>12170510</v>
      </c>
      <c r="J197" s="149" t="s">
        <v>5304</v>
      </c>
      <c r="K197" s="149" t="s">
        <v>5502</v>
      </c>
      <c r="L197" s="150"/>
      <c r="M197" s="149" t="s">
        <v>5503</v>
      </c>
      <c r="N197" s="149"/>
      <c r="O197" s="149" t="s">
        <v>5504</v>
      </c>
      <c r="P197" s="151" t="s">
        <v>2880</v>
      </c>
    </row>
    <row r="198" spans="2:16" s="148" customFormat="1" ht="30" x14ac:dyDescent="0.25">
      <c r="B198" s="149" t="str">
        <f t="shared" si="14"/>
        <v>1</v>
      </c>
      <c r="C198" s="149" t="str">
        <f t="shared" si="15"/>
        <v>2</v>
      </c>
      <c r="D198" s="149" t="str">
        <f t="shared" si="16"/>
        <v>1</v>
      </c>
      <c r="E198" s="149" t="str">
        <f t="shared" si="17"/>
        <v>7</v>
      </c>
      <c r="F198" s="149" t="str">
        <f t="shared" si="18"/>
        <v>05</v>
      </c>
      <c r="G198" s="149" t="str">
        <f t="shared" si="19"/>
        <v>2</v>
      </c>
      <c r="H198" s="149" t="str">
        <f t="shared" si="20"/>
        <v>0</v>
      </c>
      <c r="I198" s="144">
        <v>12170520</v>
      </c>
      <c r="J198" s="149" t="s">
        <v>5305</v>
      </c>
      <c r="K198" s="149" t="s">
        <v>5502</v>
      </c>
      <c r="L198" s="150"/>
      <c r="M198" s="149" t="s">
        <v>5503</v>
      </c>
      <c r="N198" s="149"/>
      <c r="O198" s="149" t="s">
        <v>5476</v>
      </c>
      <c r="P198" s="151" t="s">
        <v>2880</v>
      </c>
    </row>
    <row r="199" spans="2:16" s="148" customFormat="1" ht="30" x14ac:dyDescent="0.25">
      <c r="B199" s="145" t="str">
        <f t="shared" si="14"/>
        <v>1</v>
      </c>
      <c r="C199" s="145" t="str">
        <f t="shared" si="15"/>
        <v>2</v>
      </c>
      <c r="D199" s="145" t="str">
        <f t="shared" si="16"/>
        <v>1</v>
      </c>
      <c r="E199" s="145" t="str">
        <f t="shared" si="17"/>
        <v>7</v>
      </c>
      <c r="F199" s="145" t="str">
        <f t="shared" si="18"/>
        <v>06</v>
      </c>
      <c r="G199" s="145" t="str">
        <f t="shared" si="19"/>
        <v>0</v>
      </c>
      <c r="H199" s="145" t="str">
        <f t="shared" si="20"/>
        <v>0</v>
      </c>
      <c r="I199" s="143">
        <v>12170600</v>
      </c>
      <c r="J199" s="145" t="s">
        <v>5306</v>
      </c>
      <c r="K199" s="145" t="s">
        <v>5505</v>
      </c>
      <c r="L199" s="146"/>
      <c r="M199" s="145" t="s">
        <v>2878</v>
      </c>
      <c r="N199" s="145"/>
      <c r="O199" s="145" t="s">
        <v>2878</v>
      </c>
      <c r="P199" s="147" t="s">
        <v>2880</v>
      </c>
    </row>
    <row r="200" spans="2:16" s="148" customFormat="1" ht="165" x14ac:dyDescent="0.25">
      <c r="B200" s="149" t="str">
        <f t="shared" si="14"/>
        <v>1</v>
      </c>
      <c r="C200" s="149" t="str">
        <f t="shared" si="15"/>
        <v>2</v>
      </c>
      <c r="D200" s="149" t="str">
        <f t="shared" si="16"/>
        <v>1</v>
      </c>
      <c r="E200" s="149" t="str">
        <f t="shared" si="17"/>
        <v>7</v>
      </c>
      <c r="F200" s="149" t="str">
        <f t="shared" si="18"/>
        <v>06</v>
      </c>
      <c r="G200" s="149" t="str">
        <f t="shared" si="19"/>
        <v>1</v>
      </c>
      <c r="H200" s="149" t="str">
        <f t="shared" si="20"/>
        <v>0</v>
      </c>
      <c r="I200" s="144">
        <v>12170610</v>
      </c>
      <c r="J200" s="149" t="s">
        <v>5306</v>
      </c>
      <c r="K200" s="149" t="s">
        <v>5505</v>
      </c>
      <c r="L200" s="150"/>
      <c r="M200" s="149" t="s">
        <v>5506</v>
      </c>
      <c r="N200" s="149"/>
      <c r="O200" s="149" t="s">
        <v>5507</v>
      </c>
      <c r="P200" s="151" t="s">
        <v>2880</v>
      </c>
    </row>
    <row r="201" spans="2:16" s="148" customFormat="1" ht="45" x14ac:dyDescent="0.25">
      <c r="B201" s="149" t="str">
        <f t="shared" si="14"/>
        <v>1</v>
      </c>
      <c r="C201" s="149" t="str">
        <f t="shared" si="15"/>
        <v>2</v>
      </c>
      <c r="D201" s="149" t="str">
        <f t="shared" si="16"/>
        <v>1</v>
      </c>
      <c r="E201" s="149" t="str">
        <f t="shared" si="17"/>
        <v>7</v>
      </c>
      <c r="F201" s="149" t="str">
        <f t="shared" si="18"/>
        <v>06</v>
      </c>
      <c r="G201" s="149" t="str">
        <f t="shared" si="19"/>
        <v>2</v>
      </c>
      <c r="H201" s="149" t="str">
        <f t="shared" si="20"/>
        <v>0</v>
      </c>
      <c r="I201" s="144">
        <v>12170620</v>
      </c>
      <c r="J201" s="149" t="s">
        <v>5307</v>
      </c>
      <c r="K201" s="149" t="s">
        <v>5505</v>
      </c>
      <c r="L201" s="150"/>
      <c r="M201" s="149" t="s">
        <v>5506</v>
      </c>
      <c r="N201" s="149"/>
      <c r="O201" s="149" t="s">
        <v>5508</v>
      </c>
      <c r="P201" s="151" t="s">
        <v>2880</v>
      </c>
    </row>
    <row r="202" spans="2:16" s="148" customFormat="1" ht="30" x14ac:dyDescent="0.25">
      <c r="B202" s="164" t="str">
        <f>MID($I202,1,1)</f>
        <v>1</v>
      </c>
      <c r="C202" s="164" t="str">
        <f>MID($I202,2,1)</f>
        <v>2</v>
      </c>
      <c r="D202" s="164" t="str">
        <f>MID($I202,3,1)</f>
        <v>1</v>
      </c>
      <c r="E202" s="164" t="str">
        <f>MID($I202,4,1)</f>
        <v>8</v>
      </c>
      <c r="F202" s="164" t="str">
        <f>MID($I202,5,2)</f>
        <v>00</v>
      </c>
      <c r="G202" s="164" t="str">
        <f>MID($I202,7,1)</f>
        <v>0</v>
      </c>
      <c r="H202" s="164" t="str">
        <f>MID($I202,8,1)</f>
        <v>0</v>
      </c>
      <c r="I202" s="165">
        <v>12180000</v>
      </c>
      <c r="J202" s="164" t="s">
        <v>5021</v>
      </c>
      <c r="K202" s="164" t="s">
        <v>5340</v>
      </c>
      <c r="L202" s="166"/>
      <c r="M202" s="164" t="s">
        <v>2878</v>
      </c>
      <c r="N202" s="164"/>
      <c r="O202" s="164" t="s">
        <v>2878</v>
      </c>
      <c r="P202" s="167" t="s">
        <v>2880</v>
      </c>
    </row>
    <row r="203" spans="2:16" s="148" customFormat="1" ht="45" x14ac:dyDescent="0.25">
      <c r="B203" s="145" t="str">
        <f t="shared" si="14"/>
        <v>1</v>
      </c>
      <c r="C203" s="145" t="str">
        <f t="shared" si="15"/>
        <v>2</v>
      </c>
      <c r="D203" s="145" t="str">
        <f t="shared" si="16"/>
        <v>1</v>
      </c>
      <c r="E203" s="145" t="str">
        <f t="shared" si="17"/>
        <v>8</v>
      </c>
      <c r="F203" s="145" t="str">
        <f t="shared" si="18"/>
        <v>01</v>
      </c>
      <c r="G203" s="145" t="str">
        <f t="shared" si="19"/>
        <v>0</v>
      </c>
      <c r="H203" s="145" t="str">
        <f t="shared" si="20"/>
        <v>0</v>
      </c>
      <c r="I203" s="143">
        <v>12180100</v>
      </c>
      <c r="J203" s="145" t="s">
        <v>5335</v>
      </c>
      <c r="K203" s="145" t="s">
        <v>5338</v>
      </c>
      <c r="L203" s="146"/>
      <c r="M203" s="145" t="s">
        <v>2878</v>
      </c>
      <c r="N203" s="145"/>
      <c r="O203" s="145" t="s">
        <v>2878</v>
      </c>
      <c r="P203" s="147" t="s">
        <v>2880</v>
      </c>
    </row>
    <row r="204" spans="2:16" s="153" customFormat="1" ht="30" x14ac:dyDescent="0.25">
      <c r="B204" s="149" t="str">
        <f t="shared" si="14"/>
        <v>1</v>
      </c>
      <c r="C204" s="149" t="str">
        <f t="shared" si="15"/>
        <v>2</v>
      </c>
      <c r="D204" s="149" t="str">
        <f t="shared" si="16"/>
        <v>1</v>
      </c>
      <c r="E204" s="149" t="str">
        <f t="shared" si="17"/>
        <v>8</v>
      </c>
      <c r="F204" s="149" t="str">
        <f t="shared" si="18"/>
        <v>01</v>
      </c>
      <c r="G204" s="149" t="str">
        <f t="shared" si="19"/>
        <v>1</v>
      </c>
      <c r="H204" s="149" t="str">
        <f t="shared" si="20"/>
        <v>0</v>
      </c>
      <c r="I204" s="144">
        <v>12180110</v>
      </c>
      <c r="J204" s="149" t="s">
        <v>5278</v>
      </c>
      <c r="K204" s="149" t="s">
        <v>5367</v>
      </c>
      <c r="L204" s="149"/>
      <c r="M204" s="149" t="s">
        <v>2878</v>
      </c>
      <c r="N204" s="149"/>
      <c r="O204" s="149" t="s">
        <v>2878</v>
      </c>
      <c r="P204" s="187" t="s">
        <v>2880</v>
      </c>
    </row>
    <row r="205" spans="2:16" s="153" customFormat="1" ht="30" x14ac:dyDescent="0.25">
      <c r="B205" s="149" t="str">
        <f t="shared" si="14"/>
        <v>1</v>
      </c>
      <c r="C205" s="149" t="str">
        <f t="shared" si="15"/>
        <v>2</v>
      </c>
      <c r="D205" s="149" t="str">
        <f t="shared" si="16"/>
        <v>1</v>
      </c>
      <c r="E205" s="149" t="str">
        <f t="shared" si="17"/>
        <v>8</v>
      </c>
      <c r="F205" s="149" t="str">
        <f t="shared" si="18"/>
        <v>01</v>
      </c>
      <c r="G205" s="149" t="str">
        <f t="shared" si="19"/>
        <v>2</v>
      </c>
      <c r="H205" s="149" t="str">
        <f t="shared" si="20"/>
        <v>0</v>
      </c>
      <c r="I205" s="144">
        <v>12180120</v>
      </c>
      <c r="J205" s="149" t="s">
        <v>5279</v>
      </c>
      <c r="K205" s="149" t="s">
        <v>5368</v>
      </c>
      <c r="L205" s="149"/>
      <c r="M205" s="149" t="s">
        <v>2878</v>
      </c>
      <c r="N205" s="149"/>
      <c r="O205" s="149" t="s">
        <v>2878</v>
      </c>
      <c r="P205" s="187" t="s">
        <v>2880</v>
      </c>
    </row>
    <row r="206" spans="2:16" s="153" customFormat="1" ht="30" x14ac:dyDescent="0.25">
      <c r="B206" s="149" t="str">
        <f t="shared" si="14"/>
        <v>1</v>
      </c>
      <c r="C206" s="149" t="str">
        <f t="shared" si="15"/>
        <v>2</v>
      </c>
      <c r="D206" s="149" t="str">
        <f t="shared" si="16"/>
        <v>1</v>
      </c>
      <c r="E206" s="149" t="str">
        <f t="shared" si="17"/>
        <v>8</v>
      </c>
      <c r="F206" s="149" t="str">
        <f t="shared" si="18"/>
        <v>01</v>
      </c>
      <c r="G206" s="149" t="str">
        <f t="shared" si="19"/>
        <v>3</v>
      </c>
      <c r="H206" s="149" t="str">
        <f t="shared" si="20"/>
        <v>0</v>
      </c>
      <c r="I206" s="144">
        <v>12180130</v>
      </c>
      <c r="J206" s="149" t="s">
        <v>5336</v>
      </c>
      <c r="K206" s="149" t="s">
        <v>5369</v>
      </c>
      <c r="L206" s="149"/>
      <c r="M206" s="149" t="s">
        <v>2878</v>
      </c>
      <c r="N206" s="149"/>
      <c r="O206" s="149" t="s">
        <v>2878</v>
      </c>
      <c r="P206" s="187" t="s">
        <v>2880</v>
      </c>
    </row>
    <row r="207" spans="2:16" s="153" customFormat="1" ht="45" x14ac:dyDescent="0.25">
      <c r="B207" s="149" t="str">
        <f t="shared" si="14"/>
        <v>1</v>
      </c>
      <c r="C207" s="149" t="str">
        <f t="shared" si="15"/>
        <v>2</v>
      </c>
      <c r="D207" s="149" t="str">
        <f t="shared" si="16"/>
        <v>1</v>
      </c>
      <c r="E207" s="149" t="str">
        <f t="shared" si="17"/>
        <v>8</v>
      </c>
      <c r="F207" s="149" t="str">
        <f t="shared" si="18"/>
        <v>01</v>
      </c>
      <c r="G207" s="149" t="str">
        <f t="shared" si="19"/>
        <v>4</v>
      </c>
      <c r="H207" s="149" t="str">
        <f t="shared" si="20"/>
        <v>0</v>
      </c>
      <c r="I207" s="144">
        <v>12180140</v>
      </c>
      <c r="J207" s="149" t="s">
        <v>5284</v>
      </c>
      <c r="K207" s="149" t="s">
        <v>5370</v>
      </c>
      <c r="L207" s="149"/>
      <c r="M207" s="149" t="s">
        <v>2878</v>
      </c>
      <c r="N207" s="149"/>
      <c r="O207" s="149" t="s">
        <v>2878</v>
      </c>
      <c r="P207" s="187" t="s">
        <v>2880</v>
      </c>
    </row>
    <row r="208" spans="2:16" s="153" customFormat="1" ht="45" x14ac:dyDescent="0.25">
      <c r="B208" s="149" t="str">
        <f t="shared" si="14"/>
        <v>1</v>
      </c>
      <c r="C208" s="149" t="str">
        <f t="shared" si="15"/>
        <v>2</v>
      </c>
      <c r="D208" s="149" t="str">
        <f t="shared" si="16"/>
        <v>1</v>
      </c>
      <c r="E208" s="149" t="str">
        <f t="shared" si="17"/>
        <v>8</v>
      </c>
      <c r="F208" s="149" t="str">
        <f t="shared" si="18"/>
        <v>01</v>
      </c>
      <c r="G208" s="149" t="str">
        <f t="shared" si="19"/>
        <v>5</v>
      </c>
      <c r="H208" s="149" t="str">
        <f t="shared" si="20"/>
        <v>0</v>
      </c>
      <c r="I208" s="144">
        <v>12180150</v>
      </c>
      <c r="J208" s="149" t="s">
        <v>5285</v>
      </c>
      <c r="K208" s="149" t="s">
        <v>5371</v>
      </c>
      <c r="L208" s="149"/>
      <c r="M208" s="149" t="s">
        <v>2878</v>
      </c>
      <c r="N208" s="149"/>
      <c r="O208" s="149" t="s">
        <v>2878</v>
      </c>
      <c r="P208" s="187" t="s">
        <v>2880</v>
      </c>
    </row>
    <row r="209" spans="2:16" s="153" customFormat="1" ht="45" x14ac:dyDescent="0.25">
      <c r="B209" s="149" t="str">
        <f t="shared" si="14"/>
        <v>1</v>
      </c>
      <c r="C209" s="149" t="str">
        <f t="shared" si="15"/>
        <v>2</v>
      </c>
      <c r="D209" s="149" t="str">
        <f t="shared" si="16"/>
        <v>1</v>
      </c>
      <c r="E209" s="149" t="str">
        <f t="shared" si="17"/>
        <v>8</v>
      </c>
      <c r="F209" s="149" t="str">
        <f t="shared" si="18"/>
        <v>01</v>
      </c>
      <c r="G209" s="149" t="str">
        <f t="shared" si="19"/>
        <v>6</v>
      </c>
      <c r="H209" s="149" t="str">
        <f t="shared" si="20"/>
        <v>0</v>
      </c>
      <c r="I209" s="144">
        <v>12180160</v>
      </c>
      <c r="J209" s="149" t="s">
        <v>5286</v>
      </c>
      <c r="K209" s="149" t="s">
        <v>5372</v>
      </c>
      <c r="L209" s="149"/>
      <c r="M209" s="149" t="s">
        <v>2878</v>
      </c>
      <c r="N209" s="149"/>
      <c r="O209" s="149" t="s">
        <v>2878</v>
      </c>
      <c r="P209" s="187" t="s">
        <v>2880</v>
      </c>
    </row>
    <row r="210" spans="2:16" s="153" customFormat="1" ht="45" x14ac:dyDescent="0.25">
      <c r="B210" s="145" t="str">
        <f t="shared" si="14"/>
        <v>1</v>
      </c>
      <c r="C210" s="145" t="str">
        <f t="shared" si="15"/>
        <v>2</v>
      </c>
      <c r="D210" s="145" t="str">
        <f t="shared" si="16"/>
        <v>1</v>
      </c>
      <c r="E210" s="145" t="str">
        <f t="shared" si="17"/>
        <v>8</v>
      </c>
      <c r="F210" s="145" t="str">
        <f t="shared" si="18"/>
        <v>02</v>
      </c>
      <c r="G210" s="145" t="str">
        <f t="shared" si="19"/>
        <v>0</v>
      </c>
      <c r="H210" s="145" t="str">
        <f t="shared" si="20"/>
        <v>0</v>
      </c>
      <c r="I210" s="143">
        <v>12180200</v>
      </c>
      <c r="J210" s="145" t="s">
        <v>5358</v>
      </c>
      <c r="K210" s="145" t="s">
        <v>5373</v>
      </c>
      <c r="L210" s="145"/>
      <c r="M210" s="145" t="s">
        <v>2878</v>
      </c>
      <c r="N210" s="145"/>
      <c r="O210" s="145" t="s">
        <v>2878</v>
      </c>
      <c r="P210" s="188" t="s">
        <v>2880</v>
      </c>
    </row>
    <row r="211" spans="2:16" s="153" customFormat="1" ht="45" x14ac:dyDescent="0.25">
      <c r="B211" s="149" t="str">
        <f t="shared" si="14"/>
        <v>1</v>
      </c>
      <c r="C211" s="149" t="str">
        <f t="shared" si="15"/>
        <v>2</v>
      </c>
      <c r="D211" s="149" t="str">
        <f t="shared" si="16"/>
        <v>1</v>
      </c>
      <c r="E211" s="149" t="str">
        <f t="shared" si="17"/>
        <v>8</v>
      </c>
      <c r="F211" s="149" t="str">
        <f t="shared" si="18"/>
        <v>02</v>
      </c>
      <c r="G211" s="149" t="str">
        <f t="shared" si="19"/>
        <v>1</v>
      </c>
      <c r="H211" s="149" t="str">
        <f t="shared" si="20"/>
        <v>0</v>
      </c>
      <c r="I211" s="144">
        <v>12180210</v>
      </c>
      <c r="J211" s="149" t="s">
        <v>5346</v>
      </c>
      <c r="K211" s="149" t="s">
        <v>5374</v>
      </c>
      <c r="L211" s="149"/>
      <c r="M211" s="149" t="s">
        <v>2878</v>
      </c>
      <c r="N211" s="149"/>
      <c r="O211" s="149" t="s">
        <v>2878</v>
      </c>
      <c r="P211" s="187" t="s">
        <v>2880</v>
      </c>
    </row>
    <row r="212" spans="2:16" s="153" customFormat="1" ht="45" x14ac:dyDescent="0.25">
      <c r="B212" s="149" t="str">
        <f t="shared" si="14"/>
        <v>1</v>
      </c>
      <c r="C212" s="149" t="str">
        <f t="shared" si="15"/>
        <v>2</v>
      </c>
      <c r="D212" s="149" t="str">
        <f t="shared" si="16"/>
        <v>1</v>
      </c>
      <c r="E212" s="149" t="str">
        <f t="shared" si="17"/>
        <v>8</v>
      </c>
      <c r="F212" s="149" t="str">
        <f t="shared" si="18"/>
        <v>02</v>
      </c>
      <c r="G212" s="149" t="str">
        <f t="shared" si="19"/>
        <v>2</v>
      </c>
      <c r="H212" s="149" t="str">
        <f t="shared" si="20"/>
        <v>0</v>
      </c>
      <c r="I212" s="144">
        <v>12180220</v>
      </c>
      <c r="J212" s="149" t="s">
        <v>5347</v>
      </c>
      <c r="K212" s="149" t="s">
        <v>5375</v>
      </c>
      <c r="L212" s="149"/>
      <c r="M212" s="149" t="s">
        <v>2878</v>
      </c>
      <c r="N212" s="149"/>
      <c r="O212" s="149" t="s">
        <v>2878</v>
      </c>
      <c r="P212" s="187" t="s">
        <v>2880</v>
      </c>
    </row>
    <row r="213" spans="2:16" s="153" customFormat="1" ht="45" x14ac:dyDescent="0.25">
      <c r="B213" s="149" t="str">
        <f t="shared" si="14"/>
        <v>1</v>
      </c>
      <c r="C213" s="149" t="str">
        <f t="shared" si="15"/>
        <v>2</v>
      </c>
      <c r="D213" s="149" t="str">
        <f t="shared" si="16"/>
        <v>1</v>
      </c>
      <c r="E213" s="149" t="str">
        <f t="shared" si="17"/>
        <v>8</v>
      </c>
      <c r="F213" s="149" t="str">
        <f t="shared" si="18"/>
        <v>02</v>
      </c>
      <c r="G213" s="149" t="str">
        <f t="shared" si="19"/>
        <v>3</v>
      </c>
      <c r="H213" s="149" t="str">
        <f t="shared" si="20"/>
        <v>0</v>
      </c>
      <c r="I213" s="144">
        <v>12180230</v>
      </c>
      <c r="J213" s="149" t="s">
        <v>5348</v>
      </c>
      <c r="K213" s="149" t="s">
        <v>5376</v>
      </c>
      <c r="L213" s="149"/>
      <c r="M213" s="149" t="s">
        <v>2878</v>
      </c>
      <c r="N213" s="149"/>
      <c r="O213" s="149" t="s">
        <v>2878</v>
      </c>
      <c r="P213" s="187" t="s">
        <v>2880</v>
      </c>
    </row>
    <row r="214" spans="2:16" s="153" customFormat="1" ht="45" x14ac:dyDescent="0.25">
      <c r="B214" s="149" t="str">
        <f t="shared" si="14"/>
        <v>1</v>
      </c>
      <c r="C214" s="149" t="str">
        <f t="shared" si="15"/>
        <v>2</v>
      </c>
      <c r="D214" s="149" t="str">
        <f t="shared" si="16"/>
        <v>1</v>
      </c>
      <c r="E214" s="149" t="str">
        <f t="shared" si="17"/>
        <v>8</v>
      </c>
      <c r="F214" s="149" t="str">
        <f t="shared" si="18"/>
        <v>02</v>
      </c>
      <c r="G214" s="149" t="str">
        <f t="shared" si="19"/>
        <v>4</v>
      </c>
      <c r="H214" s="149" t="str">
        <f t="shared" si="20"/>
        <v>0</v>
      </c>
      <c r="I214" s="144">
        <v>12180240</v>
      </c>
      <c r="J214" s="149" t="s">
        <v>5349</v>
      </c>
      <c r="K214" s="149" t="s">
        <v>5377</v>
      </c>
      <c r="L214" s="149"/>
      <c r="M214" s="149" t="s">
        <v>2878</v>
      </c>
      <c r="N214" s="149"/>
      <c r="O214" s="149" t="s">
        <v>2878</v>
      </c>
      <c r="P214" s="187" t="s">
        <v>2880</v>
      </c>
    </row>
    <row r="215" spans="2:16" s="153" customFormat="1" ht="45" x14ac:dyDescent="0.25">
      <c r="B215" s="149" t="str">
        <f t="shared" si="14"/>
        <v>1</v>
      </c>
      <c r="C215" s="149" t="str">
        <f t="shared" si="15"/>
        <v>2</v>
      </c>
      <c r="D215" s="149" t="str">
        <f t="shared" si="16"/>
        <v>1</v>
      </c>
      <c r="E215" s="149" t="str">
        <f t="shared" si="17"/>
        <v>8</v>
      </c>
      <c r="F215" s="149" t="str">
        <f t="shared" si="18"/>
        <v>02</v>
      </c>
      <c r="G215" s="149" t="str">
        <f t="shared" si="19"/>
        <v>5</v>
      </c>
      <c r="H215" s="149" t="str">
        <f t="shared" si="20"/>
        <v>0</v>
      </c>
      <c r="I215" s="144">
        <v>12180250</v>
      </c>
      <c r="J215" s="149" t="s">
        <v>5350</v>
      </c>
      <c r="K215" s="149" t="s">
        <v>5378</v>
      </c>
      <c r="L215" s="149"/>
      <c r="M215" s="149" t="s">
        <v>2878</v>
      </c>
      <c r="N215" s="149"/>
      <c r="O215" s="149" t="s">
        <v>2878</v>
      </c>
      <c r="P215" s="187" t="s">
        <v>2880</v>
      </c>
    </row>
    <row r="216" spans="2:16" s="153" customFormat="1" ht="45" x14ac:dyDescent="0.25">
      <c r="B216" s="149" t="str">
        <f t="shared" si="14"/>
        <v>1</v>
      </c>
      <c r="C216" s="149" t="str">
        <f t="shared" si="15"/>
        <v>2</v>
      </c>
      <c r="D216" s="149" t="str">
        <f t="shared" si="16"/>
        <v>1</v>
      </c>
      <c r="E216" s="149" t="str">
        <f t="shared" si="17"/>
        <v>8</v>
      </c>
      <c r="F216" s="149" t="str">
        <f t="shared" si="18"/>
        <v>02</v>
      </c>
      <c r="G216" s="149" t="str">
        <f t="shared" si="19"/>
        <v>6</v>
      </c>
      <c r="H216" s="149" t="str">
        <f t="shared" si="20"/>
        <v>0</v>
      </c>
      <c r="I216" s="144">
        <v>12180260</v>
      </c>
      <c r="J216" s="149" t="s">
        <v>5351</v>
      </c>
      <c r="K216" s="149" t="s">
        <v>5379</v>
      </c>
      <c r="L216" s="149"/>
      <c r="M216" s="149" t="s">
        <v>2878</v>
      </c>
      <c r="N216" s="149"/>
      <c r="O216" s="149" t="s">
        <v>2878</v>
      </c>
      <c r="P216" s="187" t="s">
        <v>2880</v>
      </c>
    </row>
    <row r="217" spans="2:16" s="153" customFormat="1" ht="45" x14ac:dyDescent="0.25">
      <c r="B217" s="145" t="str">
        <f t="shared" si="14"/>
        <v>1</v>
      </c>
      <c r="C217" s="145" t="str">
        <f t="shared" si="15"/>
        <v>2</v>
      </c>
      <c r="D217" s="145" t="str">
        <f t="shared" si="16"/>
        <v>1</v>
      </c>
      <c r="E217" s="145" t="str">
        <f t="shared" si="17"/>
        <v>8</v>
      </c>
      <c r="F217" s="145" t="str">
        <f t="shared" si="18"/>
        <v>03</v>
      </c>
      <c r="G217" s="145" t="str">
        <f t="shared" si="19"/>
        <v>0</v>
      </c>
      <c r="H217" s="145" t="str">
        <f t="shared" si="20"/>
        <v>0</v>
      </c>
      <c r="I217" s="143">
        <v>12180300</v>
      </c>
      <c r="J217" s="145" t="s">
        <v>5333</v>
      </c>
      <c r="K217" s="145" t="s">
        <v>5339</v>
      </c>
      <c r="L217" s="145"/>
      <c r="M217" s="145" t="s">
        <v>2878</v>
      </c>
      <c r="N217" s="145"/>
      <c r="O217" s="145" t="s">
        <v>2878</v>
      </c>
      <c r="P217" s="188" t="s">
        <v>2880</v>
      </c>
    </row>
    <row r="218" spans="2:16" s="153" customFormat="1" ht="30" x14ac:dyDescent="0.25">
      <c r="B218" s="149" t="str">
        <f t="shared" si="14"/>
        <v>1</v>
      </c>
      <c r="C218" s="149" t="str">
        <f t="shared" si="15"/>
        <v>2</v>
      </c>
      <c r="D218" s="149" t="str">
        <f t="shared" si="16"/>
        <v>1</v>
      </c>
      <c r="E218" s="149" t="str">
        <f t="shared" si="17"/>
        <v>8</v>
      </c>
      <c r="F218" s="149" t="str">
        <f t="shared" si="18"/>
        <v>03</v>
      </c>
      <c r="G218" s="149" t="str">
        <f t="shared" si="19"/>
        <v>1</v>
      </c>
      <c r="H218" s="149" t="str">
        <f t="shared" si="20"/>
        <v>0</v>
      </c>
      <c r="I218" s="144">
        <v>12180310</v>
      </c>
      <c r="J218" s="149" t="s">
        <v>5334</v>
      </c>
      <c r="K218" s="149" t="s">
        <v>5380</v>
      </c>
      <c r="L218" s="149"/>
      <c r="M218" s="149" t="s">
        <v>2878</v>
      </c>
      <c r="N218" s="149"/>
      <c r="O218" s="149" t="s">
        <v>2878</v>
      </c>
      <c r="P218" s="187" t="s">
        <v>2880</v>
      </c>
    </row>
    <row r="219" spans="2:16" s="153" customFormat="1" ht="30" x14ac:dyDescent="0.25">
      <c r="B219" s="149" t="str">
        <f t="shared" si="14"/>
        <v>1</v>
      </c>
      <c r="C219" s="149" t="str">
        <f t="shared" si="15"/>
        <v>2</v>
      </c>
      <c r="D219" s="149" t="str">
        <f t="shared" si="16"/>
        <v>1</v>
      </c>
      <c r="E219" s="149" t="str">
        <f t="shared" si="17"/>
        <v>8</v>
      </c>
      <c r="F219" s="149" t="str">
        <f t="shared" si="18"/>
        <v>03</v>
      </c>
      <c r="G219" s="149" t="str">
        <f t="shared" si="19"/>
        <v>2</v>
      </c>
      <c r="H219" s="149" t="str">
        <f t="shared" si="20"/>
        <v>0</v>
      </c>
      <c r="I219" s="144">
        <v>12180320</v>
      </c>
      <c r="J219" s="149" t="s">
        <v>5328</v>
      </c>
      <c r="K219" s="149" t="s">
        <v>5381</v>
      </c>
      <c r="L219" s="149"/>
      <c r="M219" s="149" t="s">
        <v>2878</v>
      </c>
      <c r="N219" s="149"/>
      <c r="O219" s="149" t="s">
        <v>2878</v>
      </c>
      <c r="P219" s="187" t="s">
        <v>2880</v>
      </c>
    </row>
    <row r="220" spans="2:16" s="153" customFormat="1" ht="30" x14ac:dyDescent="0.25">
      <c r="B220" s="149" t="str">
        <f t="shared" si="14"/>
        <v>1</v>
      </c>
      <c r="C220" s="149" t="str">
        <f t="shared" si="15"/>
        <v>2</v>
      </c>
      <c r="D220" s="149" t="str">
        <f t="shared" si="16"/>
        <v>1</v>
      </c>
      <c r="E220" s="149" t="str">
        <f t="shared" si="17"/>
        <v>8</v>
      </c>
      <c r="F220" s="149" t="str">
        <f t="shared" si="18"/>
        <v>03</v>
      </c>
      <c r="G220" s="149" t="str">
        <f t="shared" si="19"/>
        <v>3</v>
      </c>
      <c r="H220" s="149" t="str">
        <f t="shared" si="20"/>
        <v>0</v>
      </c>
      <c r="I220" s="144">
        <v>12180330</v>
      </c>
      <c r="J220" s="149" t="s">
        <v>5329</v>
      </c>
      <c r="K220" s="149" t="s">
        <v>5382</v>
      </c>
      <c r="L220" s="149"/>
      <c r="M220" s="149" t="s">
        <v>2878</v>
      </c>
      <c r="N220" s="149"/>
      <c r="O220" s="149" t="s">
        <v>2878</v>
      </c>
      <c r="P220" s="187" t="s">
        <v>2880</v>
      </c>
    </row>
    <row r="221" spans="2:16" s="153" customFormat="1" ht="45" x14ac:dyDescent="0.25">
      <c r="B221" s="149" t="str">
        <f t="shared" si="14"/>
        <v>1</v>
      </c>
      <c r="C221" s="149" t="str">
        <f t="shared" si="15"/>
        <v>2</v>
      </c>
      <c r="D221" s="149" t="str">
        <f t="shared" si="16"/>
        <v>1</v>
      </c>
      <c r="E221" s="149" t="str">
        <f t="shared" si="17"/>
        <v>8</v>
      </c>
      <c r="F221" s="149" t="str">
        <f t="shared" si="18"/>
        <v>03</v>
      </c>
      <c r="G221" s="149" t="str">
        <f t="shared" si="19"/>
        <v>4</v>
      </c>
      <c r="H221" s="149" t="str">
        <f t="shared" si="20"/>
        <v>0</v>
      </c>
      <c r="I221" s="144">
        <v>12180340</v>
      </c>
      <c r="J221" s="149" t="s">
        <v>5330</v>
      </c>
      <c r="K221" s="149" t="s">
        <v>5383</v>
      </c>
      <c r="L221" s="149"/>
      <c r="M221" s="149" t="s">
        <v>2878</v>
      </c>
      <c r="N221" s="149"/>
      <c r="O221" s="149" t="s">
        <v>2878</v>
      </c>
      <c r="P221" s="187" t="s">
        <v>2880</v>
      </c>
    </row>
    <row r="222" spans="2:16" s="153" customFormat="1" ht="45" x14ac:dyDescent="0.25">
      <c r="B222" s="149" t="str">
        <f t="shared" si="14"/>
        <v>1</v>
      </c>
      <c r="C222" s="149" t="str">
        <f t="shared" si="15"/>
        <v>2</v>
      </c>
      <c r="D222" s="149" t="str">
        <f t="shared" si="16"/>
        <v>1</v>
      </c>
      <c r="E222" s="149" t="str">
        <f t="shared" si="17"/>
        <v>8</v>
      </c>
      <c r="F222" s="149" t="str">
        <f t="shared" si="18"/>
        <v>03</v>
      </c>
      <c r="G222" s="149" t="str">
        <f t="shared" si="19"/>
        <v>5</v>
      </c>
      <c r="H222" s="149" t="str">
        <f t="shared" si="20"/>
        <v>0</v>
      </c>
      <c r="I222" s="144">
        <v>12180350</v>
      </c>
      <c r="J222" s="149" t="s">
        <v>5331</v>
      </c>
      <c r="K222" s="149" t="s">
        <v>5384</v>
      </c>
      <c r="L222" s="149"/>
      <c r="M222" s="149" t="s">
        <v>2878</v>
      </c>
      <c r="N222" s="149"/>
      <c r="O222" s="149" t="s">
        <v>2878</v>
      </c>
      <c r="P222" s="187" t="s">
        <v>2880</v>
      </c>
    </row>
    <row r="223" spans="2:16" s="153" customFormat="1" ht="45" x14ac:dyDescent="0.25">
      <c r="B223" s="149" t="str">
        <f t="shared" si="14"/>
        <v>1</v>
      </c>
      <c r="C223" s="149" t="str">
        <f t="shared" si="15"/>
        <v>2</v>
      </c>
      <c r="D223" s="149" t="str">
        <f t="shared" si="16"/>
        <v>1</v>
      </c>
      <c r="E223" s="149" t="str">
        <f t="shared" si="17"/>
        <v>8</v>
      </c>
      <c r="F223" s="149" t="str">
        <f t="shared" si="18"/>
        <v>03</v>
      </c>
      <c r="G223" s="149" t="str">
        <f t="shared" si="19"/>
        <v>6</v>
      </c>
      <c r="H223" s="149" t="str">
        <f t="shared" si="20"/>
        <v>0</v>
      </c>
      <c r="I223" s="144">
        <v>12180360</v>
      </c>
      <c r="J223" s="149" t="s">
        <v>5332</v>
      </c>
      <c r="K223" s="149" t="s">
        <v>5385</v>
      </c>
      <c r="L223" s="149"/>
      <c r="M223" s="149" t="s">
        <v>2878</v>
      </c>
      <c r="N223" s="149"/>
      <c r="O223" s="149" t="s">
        <v>2878</v>
      </c>
      <c r="P223" s="187" t="s">
        <v>2880</v>
      </c>
    </row>
    <row r="224" spans="2:16" s="153" customFormat="1" ht="45" x14ac:dyDescent="0.25">
      <c r="B224" s="145" t="str">
        <f t="shared" si="14"/>
        <v>1</v>
      </c>
      <c r="C224" s="145" t="str">
        <f t="shared" si="15"/>
        <v>2</v>
      </c>
      <c r="D224" s="145" t="str">
        <f t="shared" si="16"/>
        <v>1</v>
      </c>
      <c r="E224" s="145" t="str">
        <f t="shared" si="17"/>
        <v>8</v>
      </c>
      <c r="F224" s="145" t="str">
        <f t="shared" si="18"/>
        <v>04</v>
      </c>
      <c r="G224" s="145" t="str">
        <f t="shared" si="19"/>
        <v>0</v>
      </c>
      <c r="H224" s="145" t="str">
        <f t="shared" si="20"/>
        <v>0</v>
      </c>
      <c r="I224" s="143">
        <v>12180400</v>
      </c>
      <c r="J224" s="145" t="s">
        <v>5359</v>
      </c>
      <c r="K224" s="145" t="s">
        <v>5386</v>
      </c>
      <c r="L224" s="145"/>
      <c r="M224" s="145" t="s">
        <v>2878</v>
      </c>
      <c r="N224" s="145"/>
      <c r="O224" s="145" t="s">
        <v>2878</v>
      </c>
      <c r="P224" s="188" t="s">
        <v>2880</v>
      </c>
    </row>
    <row r="225" spans="2:16" s="153" customFormat="1" ht="45" x14ac:dyDescent="0.25">
      <c r="B225" s="149" t="str">
        <f t="shared" si="14"/>
        <v>1</v>
      </c>
      <c r="C225" s="149" t="str">
        <f t="shared" si="15"/>
        <v>2</v>
      </c>
      <c r="D225" s="149" t="str">
        <f t="shared" si="16"/>
        <v>1</v>
      </c>
      <c r="E225" s="149" t="str">
        <f t="shared" si="17"/>
        <v>8</v>
      </c>
      <c r="F225" s="149" t="str">
        <f t="shared" si="18"/>
        <v>04</v>
      </c>
      <c r="G225" s="149" t="str">
        <f t="shared" si="19"/>
        <v>1</v>
      </c>
      <c r="H225" s="149" t="str">
        <f t="shared" si="20"/>
        <v>0</v>
      </c>
      <c r="I225" s="144">
        <v>12180410</v>
      </c>
      <c r="J225" s="149" t="s">
        <v>5352</v>
      </c>
      <c r="K225" s="149" t="s">
        <v>5387</v>
      </c>
      <c r="L225" s="149"/>
      <c r="M225" s="149" t="s">
        <v>2878</v>
      </c>
      <c r="N225" s="149"/>
      <c r="O225" s="149" t="s">
        <v>2878</v>
      </c>
      <c r="P225" s="187" t="s">
        <v>2880</v>
      </c>
    </row>
    <row r="226" spans="2:16" s="153" customFormat="1" ht="45" x14ac:dyDescent="0.25">
      <c r="B226" s="149" t="str">
        <f t="shared" si="14"/>
        <v>1</v>
      </c>
      <c r="C226" s="149" t="str">
        <f t="shared" si="15"/>
        <v>2</v>
      </c>
      <c r="D226" s="149" t="str">
        <f t="shared" si="16"/>
        <v>1</v>
      </c>
      <c r="E226" s="149" t="str">
        <f t="shared" si="17"/>
        <v>8</v>
      </c>
      <c r="F226" s="149" t="str">
        <f t="shared" si="18"/>
        <v>04</v>
      </c>
      <c r="G226" s="149" t="str">
        <f t="shared" si="19"/>
        <v>2</v>
      </c>
      <c r="H226" s="149" t="str">
        <f t="shared" si="20"/>
        <v>0</v>
      </c>
      <c r="I226" s="144">
        <v>12180420</v>
      </c>
      <c r="J226" s="149" t="s">
        <v>5353</v>
      </c>
      <c r="K226" s="149" t="s">
        <v>5388</v>
      </c>
      <c r="L226" s="149"/>
      <c r="M226" s="149" t="s">
        <v>2878</v>
      </c>
      <c r="N226" s="149"/>
      <c r="O226" s="149" t="s">
        <v>2878</v>
      </c>
      <c r="P226" s="187" t="s">
        <v>2880</v>
      </c>
    </row>
    <row r="227" spans="2:16" s="153" customFormat="1" ht="45" x14ac:dyDescent="0.25">
      <c r="B227" s="149" t="str">
        <f t="shared" si="14"/>
        <v>1</v>
      </c>
      <c r="C227" s="149" t="str">
        <f t="shared" si="15"/>
        <v>2</v>
      </c>
      <c r="D227" s="149" t="str">
        <f t="shared" si="16"/>
        <v>1</v>
      </c>
      <c r="E227" s="149" t="str">
        <f t="shared" si="17"/>
        <v>8</v>
      </c>
      <c r="F227" s="149" t="str">
        <f t="shared" si="18"/>
        <v>04</v>
      </c>
      <c r="G227" s="149" t="str">
        <f t="shared" si="19"/>
        <v>3</v>
      </c>
      <c r="H227" s="149" t="str">
        <f t="shared" si="20"/>
        <v>0</v>
      </c>
      <c r="I227" s="144">
        <v>12180430</v>
      </c>
      <c r="J227" s="149" t="s">
        <v>5354</v>
      </c>
      <c r="K227" s="149" t="s">
        <v>5389</v>
      </c>
      <c r="L227" s="149"/>
      <c r="M227" s="149" t="s">
        <v>2878</v>
      </c>
      <c r="N227" s="149"/>
      <c r="O227" s="149" t="s">
        <v>2878</v>
      </c>
      <c r="P227" s="187" t="s">
        <v>2880</v>
      </c>
    </row>
    <row r="228" spans="2:16" s="153" customFormat="1" ht="45" x14ac:dyDescent="0.25">
      <c r="B228" s="149" t="str">
        <f t="shared" si="14"/>
        <v>1</v>
      </c>
      <c r="C228" s="149" t="str">
        <f t="shared" si="15"/>
        <v>2</v>
      </c>
      <c r="D228" s="149" t="str">
        <f t="shared" si="16"/>
        <v>1</v>
      </c>
      <c r="E228" s="149" t="str">
        <f t="shared" si="17"/>
        <v>8</v>
      </c>
      <c r="F228" s="149" t="str">
        <f t="shared" si="18"/>
        <v>04</v>
      </c>
      <c r="G228" s="149" t="str">
        <f t="shared" si="19"/>
        <v>4</v>
      </c>
      <c r="H228" s="149" t="str">
        <f t="shared" si="20"/>
        <v>0</v>
      </c>
      <c r="I228" s="144">
        <v>12180440</v>
      </c>
      <c r="J228" s="149" t="s">
        <v>5355</v>
      </c>
      <c r="K228" s="149" t="s">
        <v>5390</v>
      </c>
      <c r="L228" s="149"/>
      <c r="M228" s="149" t="s">
        <v>2878</v>
      </c>
      <c r="N228" s="149"/>
      <c r="O228" s="149" t="s">
        <v>2878</v>
      </c>
      <c r="P228" s="187" t="s">
        <v>2880</v>
      </c>
    </row>
    <row r="229" spans="2:16" s="153" customFormat="1" ht="45" x14ac:dyDescent="0.25">
      <c r="B229" s="149" t="str">
        <f t="shared" si="14"/>
        <v>1</v>
      </c>
      <c r="C229" s="149" t="str">
        <f t="shared" si="15"/>
        <v>2</v>
      </c>
      <c r="D229" s="149" t="str">
        <f t="shared" si="16"/>
        <v>1</v>
      </c>
      <c r="E229" s="149" t="str">
        <f t="shared" si="17"/>
        <v>8</v>
      </c>
      <c r="F229" s="149" t="str">
        <f t="shared" si="18"/>
        <v>04</v>
      </c>
      <c r="G229" s="149" t="str">
        <f t="shared" si="19"/>
        <v>5</v>
      </c>
      <c r="H229" s="149" t="str">
        <f t="shared" si="20"/>
        <v>0</v>
      </c>
      <c r="I229" s="144">
        <v>12180450</v>
      </c>
      <c r="J229" s="149" t="s">
        <v>5356</v>
      </c>
      <c r="K229" s="149" t="s">
        <v>5391</v>
      </c>
      <c r="L229" s="149"/>
      <c r="M229" s="149" t="s">
        <v>2878</v>
      </c>
      <c r="N229" s="149"/>
      <c r="O229" s="149" t="s">
        <v>2878</v>
      </c>
      <c r="P229" s="187" t="s">
        <v>2880</v>
      </c>
    </row>
    <row r="230" spans="2:16" s="153" customFormat="1" ht="45" x14ac:dyDescent="0.25">
      <c r="B230" s="149" t="str">
        <f t="shared" si="14"/>
        <v>1</v>
      </c>
      <c r="C230" s="149" t="str">
        <f t="shared" si="15"/>
        <v>2</v>
      </c>
      <c r="D230" s="149" t="str">
        <f t="shared" si="16"/>
        <v>1</v>
      </c>
      <c r="E230" s="149" t="str">
        <f t="shared" si="17"/>
        <v>8</v>
      </c>
      <c r="F230" s="149" t="str">
        <f t="shared" si="18"/>
        <v>04</v>
      </c>
      <c r="G230" s="149" t="str">
        <f t="shared" si="19"/>
        <v>6</v>
      </c>
      <c r="H230" s="149" t="str">
        <f t="shared" si="20"/>
        <v>0</v>
      </c>
      <c r="I230" s="144">
        <v>12180460</v>
      </c>
      <c r="J230" s="149" t="s">
        <v>5357</v>
      </c>
      <c r="K230" s="149" t="s">
        <v>5392</v>
      </c>
      <c r="L230" s="149"/>
      <c r="M230" s="149" t="s">
        <v>2878</v>
      </c>
      <c r="N230" s="149"/>
      <c r="O230" s="149" t="s">
        <v>2878</v>
      </c>
      <c r="P230" s="187" t="s">
        <v>2880</v>
      </c>
    </row>
    <row r="231" spans="2:16" s="153" customFormat="1" ht="30" x14ac:dyDescent="0.25">
      <c r="B231" s="145" t="str">
        <f t="shared" si="14"/>
        <v>1</v>
      </c>
      <c r="C231" s="145" t="str">
        <f t="shared" si="15"/>
        <v>2</v>
      </c>
      <c r="D231" s="145" t="str">
        <f t="shared" si="16"/>
        <v>1</v>
      </c>
      <c r="E231" s="145" t="str">
        <f t="shared" si="17"/>
        <v>8</v>
      </c>
      <c r="F231" s="145" t="str">
        <f t="shared" si="18"/>
        <v>05</v>
      </c>
      <c r="G231" s="145" t="str">
        <f t="shared" si="19"/>
        <v>0</v>
      </c>
      <c r="H231" s="145" t="str">
        <f t="shared" si="20"/>
        <v>0</v>
      </c>
      <c r="I231" s="143">
        <v>12180500</v>
      </c>
      <c r="J231" s="145" t="s">
        <v>5341</v>
      </c>
      <c r="K231" s="145" t="s">
        <v>5337</v>
      </c>
      <c r="L231" s="145"/>
      <c r="M231" s="145" t="s">
        <v>2878</v>
      </c>
      <c r="N231" s="145"/>
      <c r="O231" s="145" t="s">
        <v>2878</v>
      </c>
      <c r="P231" s="188" t="s">
        <v>2880</v>
      </c>
    </row>
    <row r="232" spans="2:16" s="148" customFormat="1" ht="30" x14ac:dyDescent="0.25">
      <c r="B232" s="149" t="str">
        <f t="shared" si="14"/>
        <v>1</v>
      </c>
      <c r="C232" s="149" t="str">
        <f t="shared" si="15"/>
        <v>2</v>
      </c>
      <c r="D232" s="149" t="str">
        <f t="shared" si="16"/>
        <v>1</v>
      </c>
      <c r="E232" s="149" t="str">
        <f t="shared" si="17"/>
        <v>8</v>
      </c>
      <c r="F232" s="149" t="str">
        <f t="shared" si="18"/>
        <v>05</v>
      </c>
      <c r="G232" s="149" t="str">
        <f t="shared" si="19"/>
        <v>1</v>
      </c>
      <c r="H232" s="149" t="str">
        <f t="shared" si="20"/>
        <v>0</v>
      </c>
      <c r="I232" s="144">
        <v>12180510</v>
      </c>
      <c r="J232" s="149" t="s">
        <v>4909</v>
      </c>
      <c r="K232" s="149" t="s">
        <v>5393</v>
      </c>
      <c r="L232" s="149"/>
      <c r="M232" s="149" t="s">
        <v>2878</v>
      </c>
      <c r="N232" s="149"/>
      <c r="O232" s="149" t="s">
        <v>2878</v>
      </c>
      <c r="P232" s="187" t="s">
        <v>2880</v>
      </c>
    </row>
    <row r="233" spans="2:16" s="148" customFormat="1" ht="30" x14ac:dyDescent="0.25">
      <c r="B233" s="149" t="str">
        <f t="shared" si="14"/>
        <v>1</v>
      </c>
      <c r="C233" s="149" t="str">
        <f t="shared" si="15"/>
        <v>2</v>
      </c>
      <c r="D233" s="149" t="str">
        <f t="shared" si="16"/>
        <v>1</v>
      </c>
      <c r="E233" s="149" t="str">
        <f t="shared" si="17"/>
        <v>8</v>
      </c>
      <c r="F233" s="149" t="str">
        <f t="shared" si="18"/>
        <v>05</v>
      </c>
      <c r="G233" s="149" t="str">
        <f t="shared" si="19"/>
        <v>2</v>
      </c>
      <c r="H233" s="149" t="str">
        <f t="shared" si="20"/>
        <v>0</v>
      </c>
      <c r="I233" s="144">
        <v>12180520</v>
      </c>
      <c r="J233" s="149" t="s">
        <v>4910</v>
      </c>
      <c r="K233" s="149" t="s">
        <v>5394</v>
      </c>
      <c r="L233" s="149"/>
      <c r="M233" s="149" t="s">
        <v>2878</v>
      </c>
      <c r="N233" s="149"/>
      <c r="O233" s="149" t="s">
        <v>2878</v>
      </c>
      <c r="P233" s="187" t="s">
        <v>2880</v>
      </c>
    </row>
    <row r="234" spans="2:16" s="148" customFormat="1" ht="30" x14ac:dyDescent="0.25">
      <c r="B234" s="149" t="str">
        <f t="shared" si="14"/>
        <v>1</v>
      </c>
      <c r="C234" s="149" t="str">
        <f t="shared" si="15"/>
        <v>2</v>
      </c>
      <c r="D234" s="149" t="str">
        <f t="shared" si="16"/>
        <v>1</v>
      </c>
      <c r="E234" s="149" t="str">
        <f t="shared" si="17"/>
        <v>8</v>
      </c>
      <c r="F234" s="149" t="str">
        <f t="shared" si="18"/>
        <v>05</v>
      </c>
      <c r="G234" s="149" t="str">
        <f t="shared" si="19"/>
        <v>3</v>
      </c>
      <c r="H234" s="149" t="str">
        <f t="shared" si="20"/>
        <v>0</v>
      </c>
      <c r="I234" s="144">
        <v>12180530</v>
      </c>
      <c r="J234" s="149" t="s">
        <v>4946</v>
      </c>
      <c r="K234" s="149" t="s">
        <v>5395</v>
      </c>
      <c r="L234" s="149"/>
      <c r="M234" s="149" t="s">
        <v>2878</v>
      </c>
      <c r="N234" s="149"/>
      <c r="O234" s="149" t="s">
        <v>2878</v>
      </c>
      <c r="P234" s="187" t="s">
        <v>2880</v>
      </c>
    </row>
    <row r="235" spans="2:16" s="153" customFormat="1" ht="30" x14ac:dyDescent="0.25">
      <c r="B235" s="145" t="str">
        <f t="shared" si="14"/>
        <v>1</v>
      </c>
      <c r="C235" s="145" t="str">
        <f t="shared" si="15"/>
        <v>2</v>
      </c>
      <c r="D235" s="145" t="str">
        <f t="shared" si="16"/>
        <v>1</v>
      </c>
      <c r="E235" s="145" t="str">
        <f t="shared" si="17"/>
        <v>8</v>
      </c>
      <c r="F235" s="145" t="str">
        <f t="shared" si="18"/>
        <v>06</v>
      </c>
      <c r="G235" s="145" t="str">
        <f t="shared" si="19"/>
        <v>0</v>
      </c>
      <c r="H235" s="145" t="str">
        <f t="shared" si="20"/>
        <v>0</v>
      </c>
      <c r="I235" s="143">
        <v>12180600</v>
      </c>
      <c r="J235" s="145" t="s">
        <v>5360</v>
      </c>
      <c r="K235" s="145" t="s">
        <v>5400</v>
      </c>
      <c r="L235" s="145"/>
      <c r="M235" s="145" t="s">
        <v>2878</v>
      </c>
      <c r="N235" s="145"/>
      <c r="O235" s="145" t="s">
        <v>2878</v>
      </c>
      <c r="P235" s="188" t="s">
        <v>2880</v>
      </c>
    </row>
    <row r="236" spans="2:16" s="153" customFormat="1" ht="30" x14ac:dyDescent="0.25">
      <c r="B236" s="149" t="str">
        <f t="shared" si="14"/>
        <v>1</v>
      </c>
      <c r="C236" s="149" t="str">
        <f t="shared" si="15"/>
        <v>2</v>
      </c>
      <c r="D236" s="149" t="str">
        <f t="shared" si="16"/>
        <v>1</v>
      </c>
      <c r="E236" s="149" t="str">
        <f t="shared" si="17"/>
        <v>8</v>
      </c>
      <c r="F236" s="149" t="str">
        <f t="shared" si="18"/>
        <v>06</v>
      </c>
      <c r="G236" s="149" t="str">
        <f t="shared" si="19"/>
        <v>1</v>
      </c>
      <c r="H236" s="149" t="str">
        <f t="shared" si="20"/>
        <v>0</v>
      </c>
      <c r="I236" s="144">
        <v>12180610</v>
      </c>
      <c r="J236" s="149" t="s">
        <v>5361</v>
      </c>
      <c r="K236" s="149" t="s">
        <v>5403</v>
      </c>
      <c r="L236" s="149"/>
      <c r="M236" s="149" t="s">
        <v>2878</v>
      </c>
      <c r="N236" s="149"/>
      <c r="O236" s="149" t="s">
        <v>2878</v>
      </c>
      <c r="P236" s="187" t="s">
        <v>2880</v>
      </c>
    </row>
    <row r="237" spans="2:16" s="153" customFormat="1" ht="30" x14ac:dyDescent="0.25">
      <c r="B237" s="149" t="str">
        <f t="shared" si="14"/>
        <v>1</v>
      </c>
      <c r="C237" s="149" t="str">
        <f t="shared" si="15"/>
        <v>2</v>
      </c>
      <c r="D237" s="149" t="str">
        <f t="shared" si="16"/>
        <v>1</v>
      </c>
      <c r="E237" s="149" t="str">
        <f t="shared" si="17"/>
        <v>8</v>
      </c>
      <c r="F237" s="149" t="str">
        <f t="shared" si="18"/>
        <v>06</v>
      </c>
      <c r="G237" s="149" t="str">
        <f t="shared" si="19"/>
        <v>2</v>
      </c>
      <c r="H237" s="149" t="str">
        <f t="shared" si="20"/>
        <v>0</v>
      </c>
      <c r="I237" s="144">
        <v>12180620</v>
      </c>
      <c r="J237" s="149" t="s">
        <v>5362</v>
      </c>
      <c r="K237" s="149" t="s">
        <v>5404</v>
      </c>
      <c r="L237" s="149"/>
      <c r="M237" s="149" t="s">
        <v>2878</v>
      </c>
      <c r="N237" s="149"/>
      <c r="O237" s="149" t="s">
        <v>2878</v>
      </c>
      <c r="P237" s="187" t="s">
        <v>2880</v>
      </c>
    </row>
    <row r="238" spans="2:16" s="153" customFormat="1" ht="30" x14ac:dyDescent="0.25">
      <c r="B238" s="149" t="str">
        <f t="shared" si="14"/>
        <v>1</v>
      </c>
      <c r="C238" s="149" t="str">
        <f t="shared" si="15"/>
        <v>2</v>
      </c>
      <c r="D238" s="149" t="str">
        <f t="shared" si="16"/>
        <v>1</v>
      </c>
      <c r="E238" s="149" t="str">
        <f t="shared" si="17"/>
        <v>8</v>
      </c>
      <c r="F238" s="149" t="str">
        <f t="shared" si="18"/>
        <v>06</v>
      </c>
      <c r="G238" s="149" t="str">
        <f t="shared" si="19"/>
        <v>3</v>
      </c>
      <c r="H238" s="149" t="str">
        <f t="shared" si="20"/>
        <v>0</v>
      </c>
      <c r="I238" s="144">
        <v>12180630</v>
      </c>
      <c r="J238" s="149" t="s">
        <v>5363</v>
      </c>
      <c r="K238" s="149" t="s">
        <v>5405</v>
      </c>
      <c r="L238" s="149"/>
      <c r="M238" s="149" t="s">
        <v>2878</v>
      </c>
      <c r="N238" s="149"/>
      <c r="O238" s="149" t="s">
        <v>2878</v>
      </c>
      <c r="P238" s="187" t="s">
        <v>2880</v>
      </c>
    </row>
    <row r="239" spans="2:16" s="148" customFormat="1" ht="30" x14ac:dyDescent="0.25">
      <c r="B239" s="145" t="str">
        <f t="shared" si="14"/>
        <v>1</v>
      </c>
      <c r="C239" s="145" t="str">
        <f t="shared" si="15"/>
        <v>2</v>
      </c>
      <c r="D239" s="145" t="str">
        <f t="shared" si="16"/>
        <v>1</v>
      </c>
      <c r="E239" s="145" t="str">
        <f t="shared" si="17"/>
        <v>8</v>
      </c>
      <c r="F239" s="145" t="str">
        <f t="shared" si="18"/>
        <v>07</v>
      </c>
      <c r="G239" s="145" t="str">
        <f t="shared" si="19"/>
        <v>0</v>
      </c>
      <c r="H239" s="145" t="str">
        <f t="shared" si="20"/>
        <v>0</v>
      </c>
      <c r="I239" s="143">
        <v>12180700</v>
      </c>
      <c r="J239" s="145" t="s">
        <v>5342</v>
      </c>
      <c r="K239" s="145" t="s">
        <v>5396</v>
      </c>
      <c r="L239" s="145"/>
      <c r="M239" s="145" t="s">
        <v>2878</v>
      </c>
      <c r="N239" s="145"/>
      <c r="O239" s="145" t="s">
        <v>2878</v>
      </c>
      <c r="P239" s="188" t="s">
        <v>2880</v>
      </c>
    </row>
    <row r="240" spans="2:16" s="148" customFormat="1" ht="30" x14ac:dyDescent="0.25">
      <c r="B240" s="149" t="str">
        <f t="shared" si="14"/>
        <v>1</v>
      </c>
      <c r="C240" s="149" t="str">
        <f t="shared" si="15"/>
        <v>2</v>
      </c>
      <c r="D240" s="149" t="str">
        <f t="shared" si="16"/>
        <v>1</v>
      </c>
      <c r="E240" s="149" t="str">
        <f t="shared" si="17"/>
        <v>8</v>
      </c>
      <c r="F240" s="149" t="str">
        <f t="shared" si="18"/>
        <v>07</v>
      </c>
      <c r="G240" s="149" t="str">
        <f t="shared" si="19"/>
        <v>1</v>
      </c>
      <c r="H240" s="149" t="str">
        <f t="shared" si="20"/>
        <v>0</v>
      </c>
      <c r="I240" s="144">
        <v>12180710</v>
      </c>
      <c r="J240" s="149" t="s">
        <v>5343</v>
      </c>
      <c r="K240" s="149" t="s">
        <v>5397</v>
      </c>
      <c r="L240" s="149"/>
      <c r="M240" s="149" t="s">
        <v>2878</v>
      </c>
      <c r="N240" s="149"/>
      <c r="O240" s="149" t="s">
        <v>2878</v>
      </c>
      <c r="P240" s="187" t="s">
        <v>2880</v>
      </c>
    </row>
    <row r="241" spans="2:16" s="148" customFormat="1" ht="30" x14ac:dyDescent="0.25">
      <c r="B241" s="149" t="str">
        <f t="shared" si="14"/>
        <v>1</v>
      </c>
      <c r="C241" s="149" t="str">
        <f t="shared" si="15"/>
        <v>2</v>
      </c>
      <c r="D241" s="149" t="str">
        <f t="shared" si="16"/>
        <v>1</v>
      </c>
      <c r="E241" s="149" t="str">
        <f t="shared" si="17"/>
        <v>8</v>
      </c>
      <c r="F241" s="149" t="str">
        <f t="shared" si="18"/>
        <v>07</v>
      </c>
      <c r="G241" s="149" t="str">
        <f t="shared" si="19"/>
        <v>2</v>
      </c>
      <c r="H241" s="149" t="str">
        <f t="shared" si="20"/>
        <v>0</v>
      </c>
      <c r="I241" s="144">
        <v>12180720</v>
      </c>
      <c r="J241" s="149" t="s">
        <v>5344</v>
      </c>
      <c r="K241" s="149" t="s">
        <v>5398</v>
      </c>
      <c r="L241" s="149"/>
      <c r="M241" s="149" t="s">
        <v>2878</v>
      </c>
      <c r="N241" s="149"/>
      <c r="O241" s="149" t="s">
        <v>2878</v>
      </c>
      <c r="P241" s="187" t="s">
        <v>2880</v>
      </c>
    </row>
    <row r="242" spans="2:16" s="148" customFormat="1" ht="30" x14ac:dyDescent="0.25">
      <c r="B242" s="149" t="str">
        <f t="shared" si="14"/>
        <v>1</v>
      </c>
      <c r="C242" s="149" t="str">
        <f t="shared" si="15"/>
        <v>2</v>
      </c>
      <c r="D242" s="149" t="str">
        <f t="shared" si="16"/>
        <v>1</v>
      </c>
      <c r="E242" s="149" t="str">
        <f t="shared" si="17"/>
        <v>8</v>
      </c>
      <c r="F242" s="149" t="str">
        <f t="shared" si="18"/>
        <v>07</v>
      </c>
      <c r="G242" s="149" t="str">
        <f t="shared" si="19"/>
        <v>3</v>
      </c>
      <c r="H242" s="149" t="str">
        <f t="shared" si="20"/>
        <v>0</v>
      </c>
      <c r="I242" s="144">
        <v>12180730</v>
      </c>
      <c r="J242" s="149" t="s">
        <v>5345</v>
      </c>
      <c r="K242" s="149" t="s">
        <v>5399</v>
      </c>
      <c r="L242" s="149"/>
      <c r="M242" s="149" t="s">
        <v>2878</v>
      </c>
      <c r="N242" s="149"/>
      <c r="O242" s="149" t="s">
        <v>2878</v>
      </c>
      <c r="P242" s="187" t="s">
        <v>2880</v>
      </c>
    </row>
    <row r="243" spans="2:16" s="153" customFormat="1" ht="30" x14ac:dyDescent="0.25">
      <c r="B243" s="145" t="str">
        <f t="shared" si="14"/>
        <v>1</v>
      </c>
      <c r="C243" s="145" t="str">
        <f t="shared" si="15"/>
        <v>2</v>
      </c>
      <c r="D243" s="145" t="str">
        <f t="shared" si="16"/>
        <v>1</v>
      </c>
      <c r="E243" s="145" t="str">
        <f t="shared" si="17"/>
        <v>8</v>
      </c>
      <c r="F243" s="145" t="str">
        <f t="shared" si="18"/>
        <v>08</v>
      </c>
      <c r="G243" s="145" t="str">
        <f t="shared" si="19"/>
        <v>0</v>
      </c>
      <c r="H243" s="145" t="str">
        <f t="shared" si="20"/>
        <v>0</v>
      </c>
      <c r="I243" s="143">
        <v>12180800</v>
      </c>
      <c r="J243" s="145" t="s">
        <v>5401</v>
      </c>
      <c r="K243" s="145" t="s">
        <v>5402</v>
      </c>
      <c r="L243" s="145"/>
      <c r="M243" s="145" t="s">
        <v>2878</v>
      </c>
      <c r="N243" s="145"/>
      <c r="O243" s="145" t="s">
        <v>2878</v>
      </c>
      <c r="P243" s="188" t="s">
        <v>2880</v>
      </c>
    </row>
    <row r="244" spans="2:16" s="153" customFormat="1" ht="30" x14ac:dyDescent="0.25">
      <c r="B244" s="149" t="str">
        <f t="shared" si="14"/>
        <v>1</v>
      </c>
      <c r="C244" s="149" t="str">
        <f t="shared" si="15"/>
        <v>2</v>
      </c>
      <c r="D244" s="149" t="str">
        <f t="shared" si="16"/>
        <v>1</v>
      </c>
      <c r="E244" s="149" t="str">
        <f t="shared" si="17"/>
        <v>8</v>
      </c>
      <c r="F244" s="149" t="str">
        <f t="shared" si="18"/>
        <v>08</v>
      </c>
      <c r="G244" s="149" t="str">
        <f t="shared" si="19"/>
        <v>1</v>
      </c>
      <c r="H244" s="149" t="str">
        <f t="shared" si="20"/>
        <v>0</v>
      </c>
      <c r="I244" s="144">
        <v>12180810</v>
      </c>
      <c r="J244" s="149" t="s">
        <v>5364</v>
      </c>
      <c r="K244" s="149" t="s">
        <v>5406</v>
      </c>
      <c r="L244" s="149"/>
      <c r="M244" s="149" t="s">
        <v>2878</v>
      </c>
      <c r="N244" s="149"/>
      <c r="O244" s="149" t="s">
        <v>2878</v>
      </c>
      <c r="P244" s="187" t="s">
        <v>2880</v>
      </c>
    </row>
    <row r="245" spans="2:16" s="153" customFormat="1" ht="30" x14ac:dyDescent="0.25">
      <c r="B245" s="149" t="str">
        <f t="shared" si="14"/>
        <v>1</v>
      </c>
      <c r="C245" s="149" t="str">
        <f t="shared" si="15"/>
        <v>2</v>
      </c>
      <c r="D245" s="149" t="str">
        <f t="shared" si="16"/>
        <v>1</v>
      </c>
      <c r="E245" s="149" t="str">
        <f t="shared" si="17"/>
        <v>8</v>
      </c>
      <c r="F245" s="149" t="str">
        <f t="shared" si="18"/>
        <v>08</v>
      </c>
      <c r="G245" s="149" t="str">
        <f t="shared" si="19"/>
        <v>2</v>
      </c>
      <c r="H245" s="149" t="str">
        <f t="shared" si="20"/>
        <v>0</v>
      </c>
      <c r="I245" s="144">
        <v>12180820</v>
      </c>
      <c r="J245" s="149" t="s">
        <v>5365</v>
      </c>
      <c r="K245" s="149" t="s">
        <v>5407</v>
      </c>
      <c r="L245" s="149"/>
      <c r="M245" s="149" t="s">
        <v>2878</v>
      </c>
      <c r="N245" s="149"/>
      <c r="O245" s="149" t="s">
        <v>2878</v>
      </c>
      <c r="P245" s="187" t="s">
        <v>2880</v>
      </c>
    </row>
    <row r="246" spans="2:16" s="153" customFormat="1" ht="45" x14ac:dyDescent="0.25">
      <c r="B246" s="149" t="str">
        <f t="shared" si="14"/>
        <v>1</v>
      </c>
      <c r="C246" s="149" t="str">
        <f t="shared" si="15"/>
        <v>2</v>
      </c>
      <c r="D246" s="149" t="str">
        <f t="shared" si="16"/>
        <v>1</v>
      </c>
      <c r="E246" s="149" t="str">
        <f t="shared" si="17"/>
        <v>8</v>
      </c>
      <c r="F246" s="149" t="str">
        <f t="shared" si="18"/>
        <v>08</v>
      </c>
      <c r="G246" s="149" t="str">
        <f t="shared" si="19"/>
        <v>3</v>
      </c>
      <c r="H246" s="149" t="str">
        <f t="shared" si="20"/>
        <v>0</v>
      </c>
      <c r="I246" s="144">
        <v>12180830</v>
      </c>
      <c r="J246" s="149" t="s">
        <v>5366</v>
      </c>
      <c r="K246" s="149" t="s">
        <v>5408</v>
      </c>
      <c r="L246" s="149"/>
      <c r="M246" s="149" t="s">
        <v>2878</v>
      </c>
      <c r="N246" s="149"/>
      <c r="O246" s="149" t="s">
        <v>2878</v>
      </c>
      <c r="P246" s="187" t="s">
        <v>2880</v>
      </c>
    </row>
    <row r="247" spans="2:16" s="148" customFormat="1" ht="30" x14ac:dyDescent="0.25">
      <c r="B247" s="164" t="str">
        <f t="shared" si="14"/>
        <v>1</v>
      </c>
      <c r="C247" s="164" t="str">
        <f t="shared" si="15"/>
        <v>2</v>
      </c>
      <c r="D247" s="164" t="str">
        <f t="shared" si="16"/>
        <v>1</v>
      </c>
      <c r="E247" s="164" t="str">
        <f t="shared" si="17"/>
        <v>9</v>
      </c>
      <c r="F247" s="164" t="str">
        <f t="shared" si="18"/>
        <v>00</v>
      </c>
      <c r="G247" s="164" t="str">
        <f t="shared" si="19"/>
        <v>0</v>
      </c>
      <c r="H247" s="164" t="str">
        <f t="shared" si="20"/>
        <v>0</v>
      </c>
      <c r="I247" s="165">
        <v>12190000</v>
      </c>
      <c r="J247" s="164" t="s">
        <v>482</v>
      </c>
      <c r="K247" s="164" t="s">
        <v>5509</v>
      </c>
      <c r="L247" s="166"/>
      <c r="M247" s="164" t="s">
        <v>2878</v>
      </c>
      <c r="N247" s="164"/>
      <c r="O247" s="164" t="s">
        <v>2878</v>
      </c>
      <c r="P247" s="167" t="s">
        <v>2880</v>
      </c>
    </row>
    <row r="248" spans="2:16" s="148" customFormat="1" ht="30" x14ac:dyDescent="0.25">
      <c r="B248" s="145" t="str">
        <f t="shared" si="14"/>
        <v>1</v>
      </c>
      <c r="C248" s="145" t="str">
        <f t="shared" si="15"/>
        <v>2</v>
      </c>
      <c r="D248" s="145" t="str">
        <f t="shared" si="16"/>
        <v>1</v>
      </c>
      <c r="E248" s="145" t="str">
        <f t="shared" si="17"/>
        <v>9</v>
      </c>
      <c r="F248" s="145" t="str">
        <f t="shared" si="18"/>
        <v>01</v>
      </c>
      <c r="G248" s="145" t="str">
        <f t="shared" si="19"/>
        <v>0</v>
      </c>
      <c r="H248" s="145" t="str">
        <f t="shared" si="20"/>
        <v>0</v>
      </c>
      <c r="I248" s="143">
        <v>12190100</v>
      </c>
      <c r="J248" s="145" t="s">
        <v>3233</v>
      </c>
      <c r="K248" s="145" t="s">
        <v>5510</v>
      </c>
      <c r="L248" s="146"/>
      <c r="M248" s="145" t="s">
        <v>2878</v>
      </c>
      <c r="N248" s="145"/>
      <c r="O248" s="145" t="s">
        <v>2878</v>
      </c>
      <c r="P248" s="188" t="s">
        <v>2880</v>
      </c>
    </row>
    <row r="249" spans="2:16" s="148" customFormat="1" ht="90" x14ac:dyDescent="0.25">
      <c r="B249" s="149" t="str">
        <f t="shared" si="14"/>
        <v>1</v>
      </c>
      <c r="C249" s="149" t="str">
        <f t="shared" si="15"/>
        <v>2</v>
      </c>
      <c r="D249" s="149" t="str">
        <f t="shared" si="16"/>
        <v>1</v>
      </c>
      <c r="E249" s="149" t="str">
        <f t="shared" si="17"/>
        <v>9</v>
      </c>
      <c r="F249" s="149" t="str">
        <f t="shared" si="18"/>
        <v>01</v>
      </c>
      <c r="G249" s="149" t="str">
        <f t="shared" si="19"/>
        <v>1</v>
      </c>
      <c r="H249" s="149" t="str">
        <f t="shared" si="20"/>
        <v>0</v>
      </c>
      <c r="I249" s="144">
        <v>12190110</v>
      </c>
      <c r="J249" s="149" t="s">
        <v>3233</v>
      </c>
      <c r="K249" s="149" t="s">
        <v>5510</v>
      </c>
      <c r="L249" s="150"/>
      <c r="M249" s="149" t="s">
        <v>5512</v>
      </c>
      <c r="N249" s="149"/>
      <c r="O249" s="149" t="s">
        <v>5511</v>
      </c>
      <c r="P249" s="187" t="s">
        <v>2880</v>
      </c>
    </row>
    <row r="250" spans="2:16" s="148" customFormat="1" ht="30" x14ac:dyDescent="0.25">
      <c r="B250" s="149" t="str">
        <f t="shared" si="14"/>
        <v>1</v>
      </c>
      <c r="C250" s="149" t="str">
        <f t="shared" si="15"/>
        <v>2</v>
      </c>
      <c r="D250" s="149" t="str">
        <f t="shared" si="16"/>
        <v>1</v>
      </c>
      <c r="E250" s="149" t="str">
        <f t="shared" si="17"/>
        <v>9</v>
      </c>
      <c r="F250" s="149" t="str">
        <f t="shared" si="18"/>
        <v>01</v>
      </c>
      <c r="G250" s="149" t="str">
        <f t="shared" si="19"/>
        <v>2</v>
      </c>
      <c r="H250" s="149" t="str">
        <f t="shared" si="20"/>
        <v>0</v>
      </c>
      <c r="I250" s="144">
        <v>12190120</v>
      </c>
      <c r="J250" s="149" t="s">
        <v>5308</v>
      </c>
      <c r="K250" s="149" t="s">
        <v>5513</v>
      </c>
      <c r="L250" s="150"/>
      <c r="M250" s="149" t="s">
        <v>5512</v>
      </c>
      <c r="N250" s="149"/>
      <c r="O250" s="149" t="s">
        <v>5514</v>
      </c>
      <c r="P250" s="187" t="s">
        <v>2880</v>
      </c>
    </row>
    <row r="251" spans="2:16" s="148" customFormat="1" ht="60" x14ac:dyDescent="0.25">
      <c r="B251" s="145" t="str">
        <f t="shared" si="14"/>
        <v>1</v>
      </c>
      <c r="C251" s="145" t="str">
        <f t="shared" si="15"/>
        <v>2</v>
      </c>
      <c r="D251" s="145" t="str">
        <f t="shared" si="16"/>
        <v>1</v>
      </c>
      <c r="E251" s="145" t="str">
        <f t="shared" si="17"/>
        <v>9</v>
      </c>
      <c r="F251" s="145" t="str">
        <f t="shared" si="18"/>
        <v>02</v>
      </c>
      <c r="G251" s="145" t="str">
        <f t="shared" si="19"/>
        <v>0</v>
      </c>
      <c r="H251" s="145" t="str">
        <f t="shared" si="20"/>
        <v>0</v>
      </c>
      <c r="I251" s="143">
        <v>12190200</v>
      </c>
      <c r="J251" s="145" t="s">
        <v>288</v>
      </c>
      <c r="K251" s="145" t="s">
        <v>3253</v>
      </c>
      <c r="L251" s="146"/>
      <c r="M251" s="145" t="s">
        <v>2878</v>
      </c>
      <c r="N251" s="145"/>
      <c r="O251" s="145" t="s">
        <v>2878</v>
      </c>
      <c r="P251" s="188" t="s">
        <v>2880</v>
      </c>
    </row>
    <row r="252" spans="2:16" s="148" customFormat="1" ht="75" x14ac:dyDescent="0.25">
      <c r="B252" s="149" t="str">
        <f t="shared" si="14"/>
        <v>1</v>
      </c>
      <c r="C252" s="149" t="str">
        <f t="shared" si="15"/>
        <v>2</v>
      </c>
      <c r="D252" s="149" t="str">
        <f t="shared" si="16"/>
        <v>1</v>
      </c>
      <c r="E252" s="149" t="str">
        <f t="shared" si="17"/>
        <v>9</v>
      </c>
      <c r="F252" s="149" t="str">
        <f t="shared" si="18"/>
        <v>02</v>
      </c>
      <c r="G252" s="149" t="str">
        <f t="shared" si="19"/>
        <v>1</v>
      </c>
      <c r="H252" s="149" t="str">
        <f t="shared" si="20"/>
        <v>0</v>
      </c>
      <c r="I252" s="144">
        <v>12190210</v>
      </c>
      <c r="J252" s="149" t="s">
        <v>288</v>
      </c>
      <c r="K252" s="149" t="s">
        <v>3253</v>
      </c>
      <c r="L252" s="150"/>
      <c r="M252" s="149" t="s">
        <v>5515</v>
      </c>
      <c r="N252" s="149"/>
      <c r="O252" s="149" t="s">
        <v>5516</v>
      </c>
      <c r="P252" s="187" t="s">
        <v>2880</v>
      </c>
    </row>
    <row r="253" spans="2:16" s="148" customFormat="1" ht="75" x14ac:dyDescent="0.25">
      <c r="B253" s="149" t="str">
        <f t="shared" si="14"/>
        <v>1</v>
      </c>
      <c r="C253" s="149" t="str">
        <f t="shared" si="15"/>
        <v>2</v>
      </c>
      <c r="D253" s="149" t="str">
        <f t="shared" si="16"/>
        <v>1</v>
      </c>
      <c r="E253" s="149" t="str">
        <f t="shared" si="17"/>
        <v>9</v>
      </c>
      <c r="F253" s="149" t="str">
        <f t="shared" si="18"/>
        <v>02</v>
      </c>
      <c r="G253" s="149" t="str">
        <f t="shared" si="19"/>
        <v>2</v>
      </c>
      <c r="H253" s="149" t="str">
        <f t="shared" si="20"/>
        <v>0</v>
      </c>
      <c r="I253" s="144">
        <v>12190220</v>
      </c>
      <c r="J253" s="149" t="s">
        <v>5309</v>
      </c>
      <c r="K253" s="149" t="s">
        <v>5517</v>
      </c>
      <c r="L253" s="150"/>
      <c r="M253" s="149" t="s">
        <v>5515</v>
      </c>
      <c r="N253" s="149"/>
      <c r="O253" s="149" t="s">
        <v>5417</v>
      </c>
      <c r="P253" s="187" t="s">
        <v>2880</v>
      </c>
    </row>
    <row r="254" spans="2:16" s="148" customFormat="1" ht="60" x14ac:dyDescent="0.25">
      <c r="B254" s="145" t="str">
        <f t="shared" si="14"/>
        <v>1</v>
      </c>
      <c r="C254" s="145" t="str">
        <f t="shared" si="15"/>
        <v>2</v>
      </c>
      <c r="D254" s="145" t="str">
        <f t="shared" si="16"/>
        <v>1</v>
      </c>
      <c r="E254" s="145" t="str">
        <f t="shared" si="17"/>
        <v>9</v>
      </c>
      <c r="F254" s="145" t="str">
        <f t="shared" si="18"/>
        <v>03</v>
      </c>
      <c r="G254" s="145" t="str">
        <f t="shared" si="19"/>
        <v>0</v>
      </c>
      <c r="H254" s="145" t="str">
        <f t="shared" si="20"/>
        <v>0</v>
      </c>
      <c r="I254" s="143">
        <v>12190300</v>
      </c>
      <c r="J254" s="145" t="s">
        <v>3257</v>
      </c>
      <c r="K254" s="145" t="s">
        <v>5518</v>
      </c>
      <c r="L254" s="146"/>
      <c r="M254" s="145" t="s">
        <v>2878</v>
      </c>
      <c r="N254" s="145"/>
      <c r="O254" s="145" t="s">
        <v>2878</v>
      </c>
      <c r="P254" s="188" t="s">
        <v>2880</v>
      </c>
    </row>
    <row r="255" spans="2:16" s="148" customFormat="1" ht="45" x14ac:dyDescent="0.25">
      <c r="B255" s="149" t="str">
        <f t="shared" si="14"/>
        <v>1</v>
      </c>
      <c r="C255" s="149" t="str">
        <f t="shared" si="15"/>
        <v>2</v>
      </c>
      <c r="D255" s="149" t="str">
        <f t="shared" si="16"/>
        <v>1</v>
      </c>
      <c r="E255" s="149" t="str">
        <f t="shared" si="17"/>
        <v>9</v>
      </c>
      <c r="F255" s="149" t="str">
        <f t="shared" si="18"/>
        <v>03</v>
      </c>
      <c r="G255" s="149" t="str">
        <f t="shared" si="19"/>
        <v>1</v>
      </c>
      <c r="H255" s="149" t="str">
        <f t="shared" si="20"/>
        <v>0</v>
      </c>
      <c r="I255" s="144">
        <v>12190310</v>
      </c>
      <c r="J255" s="149" t="s">
        <v>478</v>
      </c>
      <c r="K255" s="149" t="s">
        <v>3261</v>
      </c>
      <c r="L255" s="150"/>
      <c r="M255" s="149" t="s">
        <v>3262</v>
      </c>
      <c r="N255" s="149"/>
      <c r="O255" s="149" t="s">
        <v>5519</v>
      </c>
      <c r="P255" s="187" t="s">
        <v>2880</v>
      </c>
    </row>
    <row r="256" spans="2:16" s="148" customFormat="1" ht="120" x14ac:dyDescent="0.25">
      <c r="B256" s="149" t="str">
        <f t="shared" si="14"/>
        <v>1</v>
      </c>
      <c r="C256" s="149" t="str">
        <f t="shared" si="15"/>
        <v>2</v>
      </c>
      <c r="D256" s="149" t="str">
        <f t="shared" si="16"/>
        <v>1</v>
      </c>
      <c r="E256" s="149" t="str">
        <f t="shared" si="17"/>
        <v>9</v>
      </c>
      <c r="F256" s="149" t="str">
        <f t="shared" si="18"/>
        <v>03</v>
      </c>
      <c r="G256" s="149" t="str">
        <f t="shared" si="19"/>
        <v>2</v>
      </c>
      <c r="H256" s="149" t="str">
        <f t="shared" si="20"/>
        <v>0</v>
      </c>
      <c r="I256" s="144">
        <v>12190320</v>
      </c>
      <c r="J256" s="149" t="s">
        <v>480</v>
      </c>
      <c r="K256" s="149" t="s">
        <v>5520</v>
      </c>
      <c r="L256" s="150"/>
      <c r="M256" s="149" t="s">
        <v>3270</v>
      </c>
      <c r="N256" s="149"/>
      <c r="O256" s="149" t="s">
        <v>5519</v>
      </c>
      <c r="P256" s="187" t="s">
        <v>2880</v>
      </c>
    </row>
    <row r="257" spans="2:16" s="148" customFormat="1" ht="60" x14ac:dyDescent="0.25">
      <c r="B257" s="149" t="str">
        <f t="shared" si="14"/>
        <v>1</v>
      </c>
      <c r="C257" s="149" t="str">
        <f t="shared" si="15"/>
        <v>2</v>
      </c>
      <c r="D257" s="149" t="str">
        <f t="shared" si="16"/>
        <v>1</v>
      </c>
      <c r="E257" s="149" t="str">
        <f t="shared" si="17"/>
        <v>9</v>
      </c>
      <c r="F257" s="149" t="str">
        <f t="shared" si="18"/>
        <v>03</v>
      </c>
      <c r="G257" s="149" t="str">
        <f t="shared" si="19"/>
        <v>3</v>
      </c>
      <c r="H257" s="149" t="str">
        <f t="shared" si="20"/>
        <v>0</v>
      </c>
      <c r="I257" s="144">
        <v>12190330</v>
      </c>
      <c r="J257" s="149" t="s">
        <v>5310</v>
      </c>
      <c r="K257" s="149" t="s">
        <v>5521</v>
      </c>
      <c r="L257" s="150"/>
      <c r="M257" s="149" t="s">
        <v>3262</v>
      </c>
      <c r="N257" s="149"/>
      <c r="O257" s="149" t="s">
        <v>5417</v>
      </c>
      <c r="P257" s="187" t="s">
        <v>2880</v>
      </c>
    </row>
    <row r="258" spans="2:16" s="148" customFormat="1" ht="45" x14ac:dyDescent="0.25">
      <c r="B258" s="145" t="str">
        <f t="shared" si="14"/>
        <v>1</v>
      </c>
      <c r="C258" s="145" t="str">
        <f t="shared" si="15"/>
        <v>2</v>
      </c>
      <c r="D258" s="145" t="str">
        <f t="shared" si="16"/>
        <v>1</v>
      </c>
      <c r="E258" s="145" t="str">
        <f t="shared" si="17"/>
        <v>9</v>
      </c>
      <c r="F258" s="145" t="str">
        <f t="shared" si="18"/>
        <v>04</v>
      </c>
      <c r="G258" s="145" t="str">
        <f t="shared" si="19"/>
        <v>0</v>
      </c>
      <c r="H258" s="145" t="str">
        <f t="shared" si="20"/>
        <v>0</v>
      </c>
      <c r="I258" s="143">
        <v>12190400</v>
      </c>
      <c r="J258" s="145" t="s">
        <v>286</v>
      </c>
      <c r="K258" s="145" t="s">
        <v>5522</v>
      </c>
      <c r="L258" s="146"/>
      <c r="M258" s="145" t="s">
        <v>2878</v>
      </c>
      <c r="N258" s="145"/>
      <c r="O258" s="145" t="s">
        <v>2878</v>
      </c>
      <c r="P258" s="188" t="s">
        <v>2880</v>
      </c>
    </row>
    <row r="259" spans="2:16" s="148" customFormat="1" ht="135" x14ac:dyDescent="0.25">
      <c r="B259" s="149" t="str">
        <f t="shared" si="14"/>
        <v>1</v>
      </c>
      <c r="C259" s="149" t="str">
        <f t="shared" si="15"/>
        <v>2</v>
      </c>
      <c r="D259" s="149" t="str">
        <f t="shared" si="16"/>
        <v>1</v>
      </c>
      <c r="E259" s="149" t="str">
        <f t="shared" si="17"/>
        <v>9</v>
      </c>
      <c r="F259" s="149" t="str">
        <f t="shared" si="18"/>
        <v>04</v>
      </c>
      <c r="G259" s="149" t="str">
        <f t="shared" si="19"/>
        <v>1</v>
      </c>
      <c r="H259" s="149" t="str">
        <f t="shared" si="20"/>
        <v>0</v>
      </c>
      <c r="I259" s="144">
        <v>12190410</v>
      </c>
      <c r="J259" s="149" t="s">
        <v>286</v>
      </c>
      <c r="K259" s="149" t="s">
        <v>5522</v>
      </c>
      <c r="L259" s="150"/>
      <c r="M259" s="149" t="s">
        <v>5523</v>
      </c>
      <c r="N259" s="149"/>
      <c r="O259" s="149" t="s">
        <v>5524</v>
      </c>
      <c r="P259" s="187" t="s">
        <v>2880</v>
      </c>
    </row>
    <row r="260" spans="2:16" s="148" customFormat="1" ht="135" x14ac:dyDescent="0.25">
      <c r="B260" s="149" t="str">
        <f t="shared" si="14"/>
        <v>1</v>
      </c>
      <c r="C260" s="149" t="str">
        <f t="shared" si="15"/>
        <v>2</v>
      </c>
      <c r="D260" s="149" t="str">
        <f t="shared" si="16"/>
        <v>1</v>
      </c>
      <c r="E260" s="149" t="str">
        <f t="shared" si="17"/>
        <v>9</v>
      </c>
      <c r="F260" s="149" t="str">
        <f t="shared" si="18"/>
        <v>04</v>
      </c>
      <c r="G260" s="149" t="str">
        <f t="shared" si="19"/>
        <v>2</v>
      </c>
      <c r="H260" s="149" t="str">
        <f t="shared" si="20"/>
        <v>0</v>
      </c>
      <c r="I260" s="144">
        <v>12190420</v>
      </c>
      <c r="J260" s="149" t="s">
        <v>5311</v>
      </c>
      <c r="K260" s="149" t="s">
        <v>5525</v>
      </c>
      <c r="L260" s="150"/>
      <c r="M260" s="149" t="s">
        <v>5523</v>
      </c>
      <c r="N260" s="149"/>
      <c r="O260" s="149" t="s">
        <v>5417</v>
      </c>
      <c r="P260" s="187" t="s">
        <v>2880</v>
      </c>
    </row>
    <row r="261" spans="2:16" s="148" customFormat="1" ht="105" x14ac:dyDescent="0.25">
      <c r="B261" s="145" t="str">
        <f t="shared" si="14"/>
        <v>1</v>
      </c>
      <c r="C261" s="145" t="str">
        <f t="shared" si="15"/>
        <v>2</v>
      </c>
      <c r="D261" s="145" t="str">
        <f t="shared" si="16"/>
        <v>1</v>
      </c>
      <c r="E261" s="145" t="str">
        <f t="shared" si="17"/>
        <v>9</v>
      </c>
      <c r="F261" s="145" t="str">
        <f t="shared" si="18"/>
        <v>05</v>
      </c>
      <c r="G261" s="145" t="str">
        <f t="shared" si="19"/>
        <v>0</v>
      </c>
      <c r="H261" s="145" t="str">
        <f t="shared" si="20"/>
        <v>0</v>
      </c>
      <c r="I261" s="143">
        <v>12190500</v>
      </c>
      <c r="J261" s="145" t="s">
        <v>290</v>
      </c>
      <c r="K261" s="145" t="s">
        <v>5526</v>
      </c>
      <c r="L261" s="146"/>
      <c r="M261" s="145" t="s">
        <v>2878</v>
      </c>
      <c r="N261" s="145"/>
      <c r="O261" s="145" t="s">
        <v>2878</v>
      </c>
      <c r="P261" s="147" t="s">
        <v>2880</v>
      </c>
    </row>
    <row r="262" spans="2:16" s="148" customFormat="1" ht="105" x14ac:dyDescent="0.25">
      <c r="B262" s="149" t="str">
        <f t="shared" si="14"/>
        <v>1</v>
      </c>
      <c r="C262" s="149" t="str">
        <f t="shared" si="15"/>
        <v>2</v>
      </c>
      <c r="D262" s="149" t="str">
        <f t="shared" si="16"/>
        <v>1</v>
      </c>
      <c r="E262" s="149" t="str">
        <f t="shared" si="17"/>
        <v>9</v>
      </c>
      <c r="F262" s="149" t="str">
        <f t="shared" si="18"/>
        <v>05</v>
      </c>
      <c r="G262" s="149" t="str">
        <f t="shared" si="19"/>
        <v>1</v>
      </c>
      <c r="H262" s="149" t="str">
        <f t="shared" si="20"/>
        <v>0</v>
      </c>
      <c r="I262" s="144">
        <v>12190510</v>
      </c>
      <c r="J262" s="149" t="s">
        <v>290</v>
      </c>
      <c r="K262" s="149" t="s">
        <v>5527</v>
      </c>
      <c r="L262" s="150"/>
      <c r="M262" s="149" t="s">
        <v>5528</v>
      </c>
      <c r="N262" s="149"/>
      <c r="O262" s="149" t="s">
        <v>5529</v>
      </c>
      <c r="P262" s="187" t="s">
        <v>2880</v>
      </c>
    </row>
    <row r="263" spans="2:16" s="148" customFormat="1" ht="105" x14ac:dyDescent="0.25">
      <c r="B263" s="149" t="str">
        <f t="shared" si="14"/>
        <v>1</v>
      </c>
      <c r="C263" s="149" t="str">
        <f t="shared" si="15"/>
        <v>2</v>
      </c>
      <c r="D263" s="149" t="str">
        <f t="shared" si="16"/>
        <v>1</v>
      </c>
      <c r="E263" s="149" t="str">
        <f t="shared" si="17"/>
        <v>9</v>
      </c>
      <c r="F263" s="149" t="str">
        <f t="shared" si="18"/>
        <v>05</v>
      </c>
      <c r="G263" s="149" t="str">
        <f t="shared" si="19"/>
        <v>2</v>
      </c>
      <c r="H263" s="149" t="str">
        <f t="shared" si="20"/>
        <v>0</v>
      </c>
      <c r="I263" s="144">
        <v>12190520</v>
      </c>
      <c r="J263" s="149" t="s">
        <v>5312</v>
      </c>
      <c r="K263" s="149" t="s">
        <v>5530</v>
      </c>
      <c r="L263" s="150"/>
      <c r="M263" s="149" t="s">
        <v>5528</v>
      </c>
      <c r="N263" s="149"/>
      <c r="O263" s="149" t="s">
        <v>5417</v>
      </c>
      <c r="P263" s="187" t="s">
        <v>2880</v>
      </c>
    </row>
    <row r="264" spans="2:16" s="148" customFormat="1" ht="105" x14ac:dyDescent="0.25">
      <c r="B264" s="145" t="str">
        <f t="shared" si="14"/>
        <v>1</v>
      </c>
      <c r="C264" s="145" t="str">
        <f t="shared" si="15"/>
        <v>2</v>
      </c>
      <c r="D264" s="145" t="str">
        <f t="shared" si="16"/>
        <v>1</v>
      </c>
      <c r="E264" s="145" t="str">
        <f t="shared" si="17"/>
        <v>9</v>
      </c>
      <c r="F264" s="145" t="str">
        <f t="shared" si="18"/>
        <v>06</v>
      </c>
      <c r="G264" s="145" t="str">
        <f t="shared" si="19"/>
        <v>0</v>
      </c>
      <c r="H264" s="145" t="str">
        <f t="shared" si="20"/>
        <v>0</v>
      </c>
      <c r="I264" s="143">
        <v>12190600</v>
      </c>
      <c r="J264" s="145" t="s">
        <v>292</v>
      </c>
      <c r="K264" s="145" t="s">
        <v>5531</v>
      </c>
      <c r="L264" s="146"/>
      <c r="M264" s="145" t="s">
        <v>2878</v>
      </c>
      <c r="N264" s="145"/>
      <c r="O264" s="145" t="s">
        <v>2878</v>
      </c>
      <c r="P264" s="147" t="s">
        <v>2880</v>
      </c>
    </row>
    <row r="265" spans="2:16" s="148" customFormat="1" ht="105" x14ac:dyDescent="0.25">
      <c r="B265" s="149" t="str">
        <f t="shared" si="14"/>
        <v>1</v>
      </c>
      <c r="C265" s="149" t="str">
        <f t="shared" si="15"/>
        <v>2</v>
      </c>
      <c r="D265" s="149" t="str">
        <f t="shared" si="16"/>
        <v>1</v>
      </c>
      <c r="E265" s="149" t="str">
        <f t="shared" si="17"/>
        <v>9</v>
      </c>
      <c r="F265" s="149" t="str">
        <f t="shared" si="18"/>
        <v>06</v>
      </c>
      <c r="G265" s="149" t="str">
        <f t="shared" si="19"/>
        <v>1</v>
      </c>
      <c r="H265" s="149" t="str">
        <f t="shared" si="20"/>
        <v>0</v>
      </c>
      <c r="I265" s="144">
        <v>12190610</v>
      </c>
      <c r="J265" s="149" t="s">
        <v>292</v>
      </c>
      <c r="K265" s="149" t="s">
        <v>5531</v>
      </c>
      <c r="L265" s="150"/>
      <c r="M265" s="149" t="s">
        <v>5532</v>
      </c>
      <c r="N265" s="149"/>
      <c r="O265" s="149" t="s">
        <v>5533</v>
      </c>
      <c r="P265" s="187" t="s">
        <v>2880</v>
      </c>
    </row>
    <row r="266" spans="2:16" s="148" customFormat="1" ht="105" x14ac:dyDescent="0.25">
      <c r="B266" s="149" t="str">
        <f t="shared" si="14"/>
        <v>1</v>
      </c>
      <c r="C266" s="149" t="str">
        <f t="shared" si="15"/>
        <v>2</v>
      </c>
      <c r="D266" s="149" t="str">
        <f t="shared" si="16"/>
        <v>1</v>
      </c>
      <c r="E266" s="149" t="str">
        <f t="shared" si="17"/>
        <v>9</v>
      </c>
      <c r="F266" s="149" t="str">
        <f t="shared" si="18"/>
        <v>06</v>
      </c>
      <c r="G266" s="149" t="str">
        <f t="shared" si="19"/>
        <v>2</v>
      </c>
      <c r="H266" s="149" t="str">
        <f t="shared" si="20"/>
        <v>0</v>
      </c>
      <c r="I266" s="144">
        <v>12190620</v>
      </c>
      <c r="J266" s="149" t="s">
        <v>5313</v>
      </c>
      <c r="K266" s="149" t="s">
        <v>5534</v>
      </c>
      <c r="L266" s="150"/>
      <c r="M266" s="149" t="s">
        <v>5532</v>
      </c>
      <c r="N266" s="149"/>
      <c r="O266" s="149" t="s">
        <v>5417</v>
      </c>
      <c r="P266" s="187" t="s">
        <v>2880</v>
      </c>
    </row>
    <row r="267" spans="2:16" s="148" customFormat="1" ht="60" x14ac:dyDescent="0.25">
      <c r="B267" s="145" t="str">
        <f t="shared" si="14"/>
        <v>1</v>
      </c>
      <c r="C267" s="145" t="str">
        <f t="shared" si="15"/>
        <v>2</v>
      </c>
      <c r="D267" s="145" t="str">
        <f t="shared" si="16"/>
        <v>1</v>
      </c>
      <c r="E267" s="145" t="str">
        <f t="shared" si="17"/>
        <v>9</v>
      </c>
      <c r="F267" s="145" t="str">
        <f t="shared" si="18"/>
        <v>07</v>
      </c>
      <c r="G267" s="145" t="str">
        <f t="shared" si="19"/>
        <v>0</v>
      </c>
      <c r="H267" s="145" t="str">
        <f t="shared" si="20"/>
        <v>0</v>
      </c>
      <c r="I267" s="143">
        <v>12190700</v>
      </c>
      <c r="J267" s="145" t="s">
        <v>296</v>
      </c>
      <c r="K267" s="145" t="s">
        <v>5535</v>
      </c>
      <c r="L267" s="146"/>
      <c r="M267" s="145" t="s">
        <v>2878</v>
      </c>
      <c r="N267" s="145"/>
      <c r="O267" s="145" t="s">
        <v>2878</v>
      </c>
      <c r="P267" s="188" t="s">
        <v>2880</v>
      </c>
    </row>
    <row r="268" spans="2:16" s="148" customFormat="1" ht="105" x14ac:dyDescent="0.25">
      <c r="B268" s="149" t="str">
        <f t="shared" si="14"/>
        <v>1</v>
      </c>
      <c r="C268" s="149" t="str">
        <f t="shared" si="15"/>
        <v>2</v>
      </c>
      <c r="D268" s="149" t="str">
        <f t="shared" si="16"/>
        <v>1</v>
      </c>
      <c r="E268" s="149" t="str">
        <f t="shared" si="17"/>
        <v>9</v>
      </c>
      <c r="F268" s="149" t="str">
        <f t="shared" si="18"/>
        <v>07</v>
      </c>
      <c r="G268" s="149" t="str">
        <f t="shared" si="19"/>
        <v>1</v>
      </c>
      <c r="H268" s="149" t="str">
        <f t="shared" si="20"/>
        <v>0</v>
      </c>
      <c r="I268" s="144">
        <v>12190710</v>
      </c>
      <c r="J268" s="149" t="s">
        <v>296</v>
      </c>
      <c r="K268" s="149" t="s">
        <v>5535</v>
      </c>
      <c r="L268" s="150"/>
      <c r="M268" s="149" t="s">
        <v>5536</v>
      </c>
      <c r="N268" s="149"/>
      <c r="O268" s="149" t="s">
        <v>5537</v>
      </c>
      <c r="P268" s="187" t="s">
        <v>2880</v>
      </c>
    </row>
    <row r="269" spans="2:16" s="148" customFormat="1" ht="105" x14ac:dyDescent="0.25">
      <c r="B269" s="149" t="str">
        <f t="shared" si="14"/>
        <v>1</v>
      </c>
      <c r="C269" s="149" t="str">
        <f t="shared" si="15"/>
        <v>2</v>
      </c>
      <c r="D269" s="149" t="str">
        <f t="shared" si="16"/>
        <v>1</v>
      </c>
      <c r="E269" s="149" t="str">
        <f t="shared" si="17"/>
        <v>9</v>
      </c>
      <c r="F269" s="149" t="str">
        <f t="shared" si="18"/>
        <v>07</v>
      </c>
      <c r="G269" s="149" t="str">
        <f t="shared" si="19"/>
        <v>2</v>
      </c>
      <c r="H269" s="149" t="str">
        <f t="shared" si="20"/>
        <v>0</v>
      </c>
      <c r="I269" s="144">
        <v>12190720</v>
      </c>
      <c r="J269" s="149" t="s">
        <v>5314</v>
      </c>
      <c r="K269" s="149" t="s">
        <v>5538</v>
      </c>
      <c r="L269" s="150"/>
      <c r="M269" s="149" t="s">
        <v>5536</v>
      </c>
      <c r="N269" s="149"/>
      <c r="O269" s="149" t="s">
        <v>5417</v>
      </c>
      <c r="P269" s="187" t="s">
        <v>2880</v>
      </c>
    </row>
    <row r="270" spans="2:16" s="148" customFormat="1" ht="30" x14ac:dyDescent="0.25">
      <c r="B270" s="145" t="str">
        <f t="shared" si="14"/>
        <v>1</v>
      </c>
      <c r="C270" s="145" t="str">
        <f t="shared" si="15"/>
        <v>2</v>
      </c>
      <c r="D270" s="145" t="str">
        <f t="shared" si="16"/>
        <v>1</v>
      </c>
      <c r="E270" s="145" t="str">
        <f t="shared" si="17"/>
        <v>9</v>
      </c>
      <c r="F270" s="145" t="str">
        <f t="shared" si="18"/>
        <v>08</v>
      </c>
      <c r="G270" s="145" t="str">
        <f t="shared" si="19"/>
        <v>0</v>
      </c>
      <c r="H270" s="145" t="str">
        <f t="shared" si="20"/>
        <v>0</v>
      </c>
      <c r="I270" s="143">
        <v>12190800</v>
      </c>
      <c r="J270" s="145" t="s">
        <v>428</v>
      </c>
      <c r="K270" s="145" t="s">
        <v>3303</v>
      </c>
      <c r="L270" s="146"/>
      <c r="M270" s="145" t="s">
        <v>2878</v>
      </c>
      <c r="N270" s="145"/>
      <c r="O270" s="145" t="s">
        <v>2878</v>
      </c>
      <c r="P270" s="188" t="s">
        <v>2880</v>
      </c>
    </row>
    <row r="271" spans="2:16" s="148" customFormat="1" ht="75" x14ac:dyDescent="0.25">
      <c r="B271" s="149" t="str">
        <f t="shared" si="14"/>
        <v>1</v>
      </c>
      <c r="C271" s="149" t="str">
        <f t="shared" si="15"/>
        <v>2</v>
      </c>
      <c r="D271" s="149" t="str">
        <f t="shared" si="16"/>
        <v>1</v>
      </c>
      <c r="E271" s="149" t="str">
        <f t="shared" si="17"/>
        <v>9</v>
      </c>
      <c r="F271" s="149" t="str">
        <f t="shared" si="18"/>
        <v>08</v>
      </c>
      <c r="G271" s="149" t="str">
        <f t="shared" si="19"/>
        <v>1</v>
      </c>
      <c r="H271" s="149" t="str">
        <f t="shared" si="20"/>
        <v>0</v>
      </c>
      <c r="I271" s="144">
        <v>12190810</v>
      </c>
      <c r="J271" s="149" t="s">
        <v>428</v>
      </c>
      <c r="K271" s="149" t="s">
        <v>3303</v>
      </c>
      <c r="L271" s="150"/>
      <c r="M271" s="149" t="s">
        <v>5539</v>
      </c>
      <c r="N271" s="149"/>
      <c r="O271" s="149" t="s">
        <v>5537</v>
      </c>
      <c r="P271" s="187" t="s">
        <v>2880</v>
      </c>
    </row>
    <row r="272" spans="2:16" s="148" customFormat="1" ht="75" x14ac:dyDescent="0.25">
      <c r="B272" s="149" t="str">
        <f t="shared" si="14"/>
        <v>1</v>
      </c>
      <c r="C272" s="149" t="str">
        <f t="shared" si="15"/>
        <v>2</v>
      </c>
      <c r="D272" s="149" t="str">
        <f t="shared" si="16"/>
        <v>1</v>
      </c>
      <c r="E272" s="149" t="str">
        <f t="shared" si="17"/>
        <v>9</v>
      </c>
      <c r="F272" s="149" t="str">
        <f t="shared" si="18"/>
        <v>08</v>
      </c>
      <c r="G272" s="149" t="str">
        <f t="shared" si="19"/>
        <v>2</v>
      </c>
      <c r="H272" s="149" t="str">
        <f t="shared" si="20"/>
        <v>0</v>
      </c>
      <c r="I272" s="144">
        <v>12190820</v>
      </c>
      <c r="J272" s="149" t="s">
        <v>5315</v>
      </c>
      <c r="K272" s="149" t="s">
        <v>5540</v>
      </c>
      <c r="L272" s="150"/>
      <c r="M272" s="149" t="s">
        <v>5539</v>
      </c>
      <c r="N272" s="149"/>
      <c r="O272" s="149" t="s">
        <v>5417</v>
      </c>
      <c r="P272" s="187" t="s">
        <v>2880</v>
      </c>
    </row>
    <row r="273" spans="2:16" s="148" customFormat="1" ht="30" x14ac:dyDescent="0.25">
      <c r="B273" s="145" t="str">
        <f t="shared" si="14"/>
        <v>1</v>
      </c>
      <c r="C273" s="145" t="str">
        <f t="shared" si="15"/>
        <v>2</v>
      </c>
      <c r="D273" s="145" t="str">
        <f t="shared" si="16"/>
        <v>1</v>
      </c>
      <c r="E273" s="145" t="str">
        <f t="shared" si="17"/>
        <v>9</v>
      </c>
      <c r="F273" s="145" t="str">
        <f t="shared" si="18"/>
        <v>09</v>
      </c>
      <c r="G273" s="145" t="str">
        <f t="shared" si="19"/>
        <v>0</v>
      </c>
      <c r="H273" s="145" t="str">
        <f t="shared" si="20"/>
        <v>0</v>
      </c>
      <c r="I273" s="143">
        <v>12190900</v>
      </c>
      <c r="J273" s="145" t="s">
        <v>3309</v>
      </c>
      <c r="K273" s="145" t="s">
        <v>5541</v>
      </c>
      <c r="L273" s="146"/>
      <c r="M273" s="145" t="s">
        <v>2878</v>
      </c>
      <c r="N273" s="145"/>
      <c r="O273" s="145" t="s">
        <v>2878</v>
      </c>
      <c r="P273" s="188" t="s">
        <v>2880</v>
      </c>
    </row>
    <row r="274" spans="2:16" s="148" customFormat="1" ht="60" x14ac:dyDescent="0.25">
      <c r="B274" s="149" t="str">
        <f t="shared" si="14"/>
        <v>1</v>
      </c>
      <c r="C274" s="149" t="str">
        <f t="shared" si="15"/>
        <v>2</v>
      </c>
      <c r="D274" s="149" t="str">
        <f t="shared" si="16"/>
        <v>1</v>
      </c>
      <c r="E274" s="149" t="str">
        <f t="shared" si="17"/>
        <v>9</v>
      </c>
      <c r="F274" s="149" t="str">
        <f t="shared" si="18"/>
        <v>09</v>
      </c>
      <c r="G274" s="149" t="str">
        <f t="shared" si="19"/>
        <v>1</v>
      </c>
      <c r="H274" s="149" t="str">
        <f t="shared" si="20"/>
        <v>0</v>
      </c>
      <c r="I274" s="144">
        <v>12190910</v>
      </c>
      <c r="J274" s="149" t="s">
        <v>3309</v>
      </c>
      <c r="K274" s="149" t="s">
        <v>5541</v>
      </c>
      <c r="L274" s="150"/>
      <c r="M274" s="149" t="s">
        <v>3313</v>
      </c>
      <c r="N274" s="149"/>
      <c r="O274" s="149" t="s">
        <v>5542</v>
      </c>
      <c r="P274" s="187" t="s">
        <v>2880</v>
      </c>
    </row>
    <row r="275" spans="2:16" s="148" customFormat="1" ht="60" x14ac:dyDescent="0.25">
      <c r="B275" s="149" t="str">
        <f t="shared" si="14"/>
        <v>1</v>
      </c>
      <c r="C275" s="149" t="str">
        <f t="shared" si="15"/>
        <v>2</v>
      </c>
      <c r="D275" s="149" t="str">
        <f t="shared" si="16"/>
        <v>1</v>
      </c>
      <c r="E275" s="149" t="str">
        <f t="shared" si="17"/>
        <v>9</v>
      </c>
      <c r="F275" s="149" t="str">
        <f t="shared" si="18"/>
        <v>09</v>
      </c>
      <c r="G275" s="149" t="str">
        <f t="shared" si="19"/>
        <v>2</v>
      </c>
      <c r="H275" s="149" t="str">
        <f t="shared" si="20"/>
        <v>0</v>
      </c>
      <c r="I275" s="144">
        <v>12190920</v>
      </c>
      <c r="J275" s="149" t="s">
        <v>5316</v>
      </c>
      <c r="K275" s="149" t="s">
        <v>5543</v>
      </c>
      <c r="L275" s="150"/>
      <c r="M275" s="149" t="s">
        <v>3313</v>
      </c>
      <c r="N275" s="149"/>
      <c r="O275" s="149" t="s">
        <v>5417</v>
      </c>
      <c r="P275" s="187" t="s">
        <v>2880</v>
      </c>
    </row>
    <row r="276" spans="2:16" s="148" customFormat="1" ht="60" x14ac:dyDescent="0.25">
      <c r="B276" s="145" t="str">
        <f t="shared" si="14"/>
        <v>1</v>
      </c>
      <c r="C276" s="145" t="str">
        <f t="shared" si="15"/>
        <v>2</v>
      </c>
      <c r="D276" s="145" t="str">
        <f t="shared" si="16"/>
        <v>1</v>
      </c>
      <c r="E276" s="145" t="str">
        <f t="shared" si="17"/>
        <v>9</v>
      </c>
      <c r="F276" s="145" t="str">
        <f t="shared" si="18"/>
        <v>10</v>
      </c>
      <c r="G276" s="145" t="str">
        <f t="shared" si="19"/>
        <v>0</v>
      </c>
      <c r="H276" s="145" t="str">
        <f t="shared" si="20"/>
        <v>0</v>
      </c>
      <c r="I276" s="143">
        <v>12191000</v>
      </c>
      <c r="J276" s="145" t="s">
        <v>298</v>
      </c>
      <c r="K276" s="145" t="s">
        <v>5544</v>
      </c>
      <c r="L276" s="146"/>
      <c r="M276" s="145" t="s">
        <v>2878</v>
      </c>
      <c r="N276" s="145"/>
      <c r="O276" s="145" t="s">
        <v>2878</v>
      </c>
      <c r="P276" s="188" t="s">
        <v>2880</v>
      </c>
    </row>
    <row r="277" spans="2:16" s="148" customFormat="1" ht="105" x14ac:dyDescent="0.25">
      <c r="B277" s="149" t="str">
        <f t="shared" si="14"/>
        <v>1</v>
      </c>
      <c r="C277" s="149" t="str">
        <f t="shared" si="15"/>
        <v>2</v>
      </c>
      <c r="D277" s="149" t="str">
        <f t="shared" si="16"/>
        <v>1</v>
      </c>
      <c r="E277" s="149" t="str">
        <f t="shared" si="17"/>
        <v>9</v>
      </c>
      <c r="F277" s="149" t="str">
        <f t="shared" si="18"/>
        <v>10</v>
      </c>
      <c r="G277" s="149" t="str">
        <f t="shared" si="19"/>
        <v>1</v>
      </c>
      <c r="H277" s="149" t="str">
        <f t="shared" si="20"/>
        <v>0</v>
      </c>
      <c r="I277" s="144">
        <v>12191010</v>
      </c>
      <c r="J277" s="149" t="s">
        <v>298</v>
      </c>
      <c r="K277" s="149" t="s">
        <v>3320</v>
      </c>
      <c r="L277" s="150"/>
      <c r="M277" s="149" t="s">
        <v>3321</v>
      </c>
      <c r="N277" s="149"/>
      <c r="O277" s="149" t="s">
        <v>5545</v>
      </c>
      <c r="P277" s="187" t="s">
        <v>2880</v>
      </c>
    </row>
    <row r="278" spans="2:16" s="148" customFormat="1" ht="75" x14ac:dyDescent="0.25">
      <c r="B278" s="149" t="str">
        <f t="shared" si="14"/>
        <v>1</v>
      </c>
      <c r="C278" s="149" t="str">
        <f t="shared" si="15"/>
        <v>2</v>
      </c>
      <c r="D278" s="149" t="str">
        <f t="shared" si="16"/>
        <v>1</v>
      </c>
      <c r="E278" s="149" t="str">
        <f t="shared" si="17"/>
        <v>9</v>
      </c>
      <c r="F278" s="149" t="str">
        <f t="shared" si="18"/>
        <v>10</v>
      </c>
      <c r="G278" s="149" t="str">
        <f t="shared" si="19"/>
        <v>2</v>
      </c>
      <c r="H278" s="149" t="str">
        <f t="shared" si="20"/>
        <v>0</v>
      </c>
      <c r="I278" s="144">
        <v>12191020</v>
      </c>
      <c r="J278" s="149" t="s">
        <v>5317</v>
      </c>
      <c r="K278" s="149" t="s">
        <v>5546</v>
      </c>
      <c r="L278" s="150"/>
      <c r="M278" s="149" t="s">
        <v>3321</v>
      </c>
      <c r="N278" s="149"/>
      <c r="O278" s="149" t="s">
        <v>5476</v>
      </c>
      <c r="P278" s="187" t="s">
        <v>2880</v>
      </c>
    </row>
    <row r="279" spans="2:16" s="148" customFormat="1" ht="30" x14ac:dyDescent="0.25">
      <c r="B279" s="145" t="str">
        <f t="shared" si="14"/>
        <v>1</v>
      </c>
      <c r="C279" s="145" t="str">
        <f t="shared" si="15"/>
        <v>2</v>
      </c>
      <c r="D279" s="145" t="str">
        <f t="shared" si="16"/>
        <v>1</v>
      </c>
      <c r="E279" s="145" t="str">
        <f t="shared" si="17"/>
        <v>9</v>
      </c>
      <c r="F279" s="145" t="str">
        <f t="shared" si="18"/>
        <v>11</v>
      </c>
      <c r="G279" s="145" t="str">
        <f t="shared" si="19"/>
        <v>0</v>
      </c>
      <c r="H279" s="145" t="str">
        <f t="shared" si="20"/>
        <v>0</v>
      </c>
      <c r="I279" s="143">
        <v>12191100</v>
      </c>
      <c r="J279" s="145" t="s">
        <v>5318</v>
      </c>
      <c r="K279" s="145" t="s">
        <v>5547</v>
      </c>
      <c r="L279" s="146"/>
      <c r="M279" s="145" t="s">
        <v>2878</v>
      </c>
      <c r="N279" s="145"/>
      <c r="O279" s="145" t="s">
        <v>2878</v>
      </c>
      <c r="P279" s="188" t="s">
        <v>2880</v>
      </c>
    </row>
    <row r="280" spans="2:16" s="148" customFormat="1" ht="45" x14ac:dyDescent="0.25">
      <c r="B280" s="149" t="str">
        <f t="shared" si="14"/>
        <v>1</v>
      </c>
      <c r="C280" s="149" t="str">
        <f t="shared" si="15"/>
        <v>2</v>
      </c>
      <c r="D280" s="149" t="str">
        <f t="shared" si="16"/>
        <v>1</v>
      </c>
      <c r="E280" s="149" t="str">
        <f t="shared" si="17"/>
        <v>9</v>
      </c>
      <c r="F280" s="149" t="str">
        <f t="shared" si="18"/>
        <v>11</v>
      </c>
      <c r="G280" s="149" t="str">
        <f t="shared" si="19"/>
        <v>1</v>
      </c>
      <c r="H280" s="149" t="str">
        <f t="shared" si="20"/>
        <v>0</v>
      </c>
      <c r="I280" s="144">
        <v>12191110</v>
      </c>
      <c r="J280" s="149" t="s">
        <v>5318</v>
      </c>
      <c r="K280" s="149" t="s">
        <v>5547</v>
      </c>
      <c r="L280" s="150"/>
      <c r="M280" s="149" t="s">
        <v>3172</v>
      </c>
      <c r="N280" s="149"/>
      <c r="O280" s="149" t="s">
        <v>5548</v>
      </c>
      <c r="P280" s="187" t="s">
        <v>2880</v>
      </c>
    </row>
    <row r="281" spans="2:16" s="148" customFormat="1" ht="30" x14ac:dyDescent="0.25">
      <c r="B281" s="149" t="str">
        <f t="shared" si="14"/>
        <v>1</v>
      </c>
      <c r="C281" s="149" t="str">
        <f t="shared" si="15"/>
        <v>2</v>
      </c>
      <c r="D281" s="149" t="str">
        <f t="shared" si="16"/>
        <v>1</v>
      </c>
      <c r="E281" s="149" t="str">
        <f t="shared" si="17"/>
        <v>9</v>
      </c>
      <c r="F281" s="149" t="str">
        <f t="shared" si="18"/>
        <v>11</v>
      </c>
      <c r="G281" s="149" t="str">
        <f t="shared" si="19"/>
        <v>2</v>
      </c>
      <c r="H281" s="149" t="str">
        <f t="shared" si="20"/>
        <v>0</v>
      </c>
      <c r="I281" s="144">
        <v>12191120</v>
      </c>
      <c r="J281" s="149" t="s">
        <v>5319</v>
      </c>
      <c r="K281" s="149" t="s">
        <v>5549</v>
      </c>
      <c r="L281" s="150"/>
      <c r="M281" s="149" t="s">
        <v>3172</v>
      </c>
      <c r="N281" s="149"/>
      <c r="O281" s="149" t="s">
        <v>5508</v>
      </c>
      <c r="P281" s="187" t="s">
        <v>2880</v>
      </c>
    </row>
    <row r="282" spans="2:16" s="148" customFormat="1" ht="30" x14ac:dyDescent="0.25">
      <c r="B282" s="145" t="str">
        <f t="shared" si="14"/>
        <v>1</v>
      </c>
      <c r="C282" s="145" t="str">
        <f t="shared" si="15"/>
        <v>2</v>
      </c>
      <c r="D282" s="145" t="str">
        <f t="shared" si="16"/>
        <v>1</v>
      </c>
      <c r="E282" s="145" t="str">
        <f t="shared" si="17"/>
        <v>9</v>
      </c>
      <c r="F282" s="145" t="str">
        <f t="shared" si="18"/>
        <v>99</v>
      </c>
      <c r="G282" s="145" t="str">
        <f t="shared" si="19"/>
        <v>0</v>
      </c>
      <c r="H282" s="145" t="str">
        <f t="shared" si="20"/>
        <v>0</v>
      </c>
      <c r="I282" s="143">
        <v>12199900</v>
      </c>
      <c r="J282" s="145" t="s">
        <v>5320</v>
      </c>
      <c r="K282" s="145" t="s">
        <v>5550</v>
      </c>
      <c r="L282" s="146"/>
      <c r="M282" s="145" t="s">
        <v>2878</v>
      </c>
      <c r="N282" s="145"/>
      <c r="O282" s="145" t="s">
        <v>2878</v>
      </c>
      <c r="P282" s="188" t="s">
        <v>2880</v>
      </c>
    </row>
    <row r="283" spans="2:16" s="148" customFormat="1" ht="30" x14ac:dyDescent="0.25">
      <c r="B283" s="149" t="str">
        <f t="shared" si="14"/>
        <v>1</v>
      </c>
      <c r="C283" s="149" t="str">
        <f t="shared" si="15"/>
        <v>2</v>
      </c>
      <c r="D283" s="149" t="str">
        <f t="shared" si="16"/>
        <v>1</v>
      </c>
      <c r="E283" s="149" t="str">
        <f t="shared" si="17"/>
        <v>9</v>
      </c>
      <c r="F283" s="149" t="str">
        <f t="shared" si="18"/>
        <v>99</v>
      </c>
      <c r="G283" s="149" t="str">
        <f t="shared" si="19"/>
        <v>1</v>
      </c>
      <c r="H283" s="149" t="str">
        <f t="shared" si="20"/>
        <v>0</v>
      </c>
      <c r="I283" s="144">
        <v>12199910</v>
      </c>
      <c r="J283" s="149" t="s">
        <v>5320</v>
      </c>
      <c r="K283" s="149" t="s">
        <v>5550</v>
      </c>
      <c r="L283" s="150"/>
      <c r="M283" s="149" t="s">
        <v>3033</v>
      </c>
      <c r="N283" s="149"/>
      <c r="O283" s="149" t="s">
        <v>3329</v>
      </c>
      <c r="P283" s="187" t="s">
        <v>2880</v>
      </c>
    </row>
    <row r="284" spans="2:16" s="148" customFormat="1" ht="30" x14ac:dyDescent="0.25">
      <c r="B284" s="149" t="str">
        <f t="shared" si="14"/>
        <v>1</v>
      </c>
      <c r="C284" s="149" t="str">
        <f t="shared" si="15"/>
        <v>2</v>
      </c>
      <c r="D284" s="149" t="str">
        <f t="shared" si="16"/>
        <v>1</v>
      </c>
      <c r="E284" s="149" t="str">
        <f t="shared" si="17"/>
        <v>9</v>
      </c>
      <c r="F284" s="149" t="str">
        <f t="shared" si="18"/>
        <v>99</v>
      </c>
      <c r="G284" s="149" t="str">
        <f t="shared" si="19"/>
        <v>2</v>
      </c>
      <c r="H284" s="149" t="str">
        <f t="shared" si="20"/>
        <v>0</v>
      </c>
      <c r="I284" s="144">
        <v>12199920</v>
      </c>
      <c r="J284" s="149" t="s">
        <v>5321</v>
      </c>
      <c r="K284" s="149" t="s">
        <v>5551</v>
      </c>
      <c r="L284" s="150"/>
      <c r="M284" s="149" t="s">
        <v>3033</v>
      </c>
      <c r="N284" s="149"/>
      <c r="O284" s="149" t="s">
        <v>3329</v>
      </c>
      <c r="P284" s="187" t="s">
        <v>2880</v>
      </c>
    </row>
    <row r="285" spans="2:16" ht="75" x14ac:dyDescent="0.25">
      <c r="B285" s="126" t="str">
        <f t="shared" ref="B285:B305" si="21">MID($I285,1,1)</f>
        <v>1</v>
      </c>
      <c r="C285" s="126" t="str">
        <f t="shared" ref="C285:C305" si="22">MID($I285,2,1)</f>
        <v>2</v>
      </c>
      <c r="D285" s="126" t="str">
        <f t="shared" ref="D285:D305" si="23">MID($I285,3,1)</f>
        <v>2</v>
      </c>
      <c r="E285" s="126" t="str">
        <f t="shared" ref="E285:E305" si="24">MID($I285,4,1)</f>
        <v>0</v>
      </c>
      <c r="F285" s="126" t="str">
        <f t="shared" ref="F285:F305" si="25">MID($I285,5,2)</f>
        <v>00</v>
      </c>
      <c r="G285" s="126" t="str">
        <f t="shared" ref="G285:G305" si="26">MID($I285,7,1)</f>
        <v>0</v>
      </c>
      <c r="H285" s="126" t="str">
        <f t="shared" ref="H285:H305" si="27">MID($I285,8,1)</f>
        <v>0</v>
      </c>
      <c r="I285" s="127">
        <v>12200000</v>
      </c>
      <c r="J285" s="126" t="s">
        <v>3333</v>
      </c>
      <c r="K285" s="126" t="s">
        <v>3334</v>
      </c>
      <c r="L285" s="122"/>
      <c r="M285" s="126" t="s">
        <v>2878</v>
      </c>
      <c r="N285" s="126" t="s">
        <v>5016</v>
      </c>
      <c r="O285" s="126" t="s">
        <v>2878</v>
      </c>
      <c r="P285" s="128" t="s">
        <v>2880</v>
      </c>
    </row>
    <row r="286" spans="2:16" ht="45" x14ac:dyDescent="0.25">
      <c r="B286" s="108" t="str">
        <f t="shared" si="21"/>
        <v>1</v>
      </c>
      <c r="C286" s="108" t="str">
        <f t="shared" si="22"/>
        <v>2</v>
      </c>
      <c r="D286" s="108" t="str">
        <f t="shared" si="23"/>
        <v>2</v>
      </c>
      <c r="E286" s="108" t="str">
        <f t="shared" si="24"/>
        <v>0</v>
      </c>
      <c r="F286" s="108" t="str">
        <f t="shared" si="25"/>
        <v>01</v>
      </c>
      <c r="G286" s="108" t="str">
        <f t="shared" si="26"/>
        <v>0</v>
      </c>
      <c r="H286" s="108" t="str">
        <f t="shared" si="27"/>
        <v>0</v>
      </c>
      <c r="I286" s="109">
        <v>12200100</v>
      </c>
      <c r="J286" s="108" t="s">
        <v>3335</v>
      </c>
      <c r="K286" s="108" t="s">
        <v>3336</v>
      </c>
      <c r="L286" s="110"/>
      <c r="M286" s="108" t="s">
        <v>2878</v>
      </c>
      <c r="N286" s="108" t="s">
        <v>2879</v>
      </c>
      <c r="O286" s="108" t="s">
        <v>2878</v>
      </c>
      <c r="P286" s="111" t="s">
        <v>2880</v>
      </c>
    </row>
    <row r="287" spans="2:16" ht="30" x14ac:dyDescent="0.25">
      <c r="B287" s="114" t="str">
        <f t="shared" si="21"/>
        <v>1</v>
      </c>
      <c r="C287" s="114" t="str">
        <f t="shared" si="22"/>
        <v>2</v>
      </c>
      <c r="D287" s="114" t="str">
        <f t="shared" si="23"/>
        <v>2</v>
      </c>
      <c r="E287" s="114" t="str">
        <f t="shared" si="24"/>
        <v>0</v>
      </c>
      <c r="F287" s="114" t="str">
        <f t="shared" si="25"/>
        <v>01</v>
      </c>
      <c r="G287" s="114" t="str">
        <f t="shared" si="26"/>
        <v>1</v>
      </c>
      <c r="H287" s="114" t="str">
        <f t="shared" si="27"/>
        <v>0</v>
      </c>
      <c r="I287" s="115">
        <v>12200110</v>
      </c>
      <c r="J287" s="114" t="s">
        <v>3337</v>
      </c>
      <c r="K287" s="114" t="s">
        <v>3338</v>
      </c>
      <c r="L287" s="116"/>
      <c r="M287" s="114" t="s">
        <v>2878</v>
      </c>
      <c r="N287" s="114" t="s">
        <v>2879</v>
      </c>
      <c r="O287" s="114" t="s">
        <v>2878</v>
      </c>
      <c r="P287" s="117" t="s">
        <v>2880</v>
      </c>
    </row>
    <row r="288" spans="2:16" ht="30" x14ac:dyDescent="0.25">
      <c r="B288" s="114" t="str">
        <f t="shared" si="21"/>
        <v>1</v>
      </c>
      <c r="C288" s="114" t="str">
        <f t="shared" si="22"/>
        <v>2</v>
      </c>
      <c r="D288" s="114" t="str">
        <f t="shared" si="23"/>
        <v>2</v>
      </c>
      <c r="E288" s="114" t="str">
        <f t="shared" si="24"/>
        <v>0</v>
      </c>
      <c r="F288" s="114" t="str">
        <f t="shared" si="25"/>
        <v>01</v>
      </c>
      <c r="G288" s="114" t="str">
        <f t="shared" si="26"/>
        <v>2</v>
      </c>
      <c r="H288" s="114" t="str">
        <f t="shared" si="27"/>
        <v>0</v>
      </c>
      <c r="I288" s="115">
        <v>12200120</v>
      </c>
      <c r="J288" s="114" t="s">
        <v>3346</v>
      </c>
      <c r="K288" s="114" t="s">
        <v>3347</v>
      </c>
      <c r="L288" s="116"/>
      <c r="M288" s="114" t="s">
        <v>2878</v>
      </c>
      <c r="N288" s="114" t="s">
        <v>2879</v>
      </c>
      <c r="O288" s="114" t="s">
        <v>2878</v>
      </c>
      <c r="P288" s="117" t="s">
        <v>2880</v>
      </c>
    </row>
    <row r="289" spans="2:16" ht="30" x14ac:dyDescent="0.25">
      <c r="B289" s="108" t="str">
        <f t="shared" si="21"/>
        <v>1</v>
      </c>
      <c r="C289" s="108" t="str">
        <f t="shared" si="22"/>
        <v>2</v>
      </c>
      <c r="D289" s="108" t="str">
        <f t="shared" si="23"/>
        <v>2</v>
      </c>
      <c r="E289" s="108" t="str">
        <f t="shared" si="24"/>
        <v>0</v>
      </c>
      <c r="F289" s="108" t="str">
        <f t="shared" si="25"/>
        <v>02</v>
      </c>
      <c r="G289" s="108" t="str">
        <f t="shared" si="26"/>
        <v>0</v>
      </c>
      <c r="H289" s="108" t="str">
        <f t="shared" si="27"/>
        <v>0</v>
      </c>
      <c r="I289" s="109">
        <v>12200200</v>
      </c>
      <c r="J289" s="108" t="s">
        <v>3352</v>
      </c>
      <c r="K289" s="108" t="s">
        <v>3353</v>
      </c>
      <c r="L289" s="110"/>
      <c r="M289" s="108" t="s">
        <v>2878</v>
      </c>
      <c r="N289" s="108" t="s">
        <v>2879</v>
      </c>
      <c r="O289" s="108" t="s">
        <v>2878</v>
      </c>
      <c r="P289" s="111" t="s">
        <v>2880</v>
      </c>
    </row>
    <row r="290" spans="2:16" ht="105" x14ac:dyDescent="0.25">
      <c r="B290" s="114" t="str">
        <f t="shared" si="21"/>
        <v>1</v>
      </c>
      <c r="C290" s="114" t="str">
        <f t="shared" si="22"/>
        <v>2</v>
      </c>
      <c r="D290" s="114" t="str">
        <f t="shared" si="23"/>
        <v>2</v>
      </c>
      <c r="E290" s="114" t="str">
        <f t="shared" si="24"/>
        <v>0</v>
      </c>
      <c r="F290" s="114" t="str">
        <f t="shared" si="25"/>
        <v>02</v>
      </c>
      <c r="G290" s="114" t="str">
        <f t="shared" si="26"/>
        <v>1</v>
      </c>
      <c r="H290" s="114" t="str">
        <f t="shared" si="27"/>
        <v>0</v>
      </c>
      <c r="I290" s="115">
        <v>12200210</v>
      </c>
      <c r="J290" s="114" t="s">
        <v>3352</v>
      </c>
      <c r="K290" s="114" t="s">
        <v>3354</v>
      </c>
      <c r="L290" s="116"/>
      <c r="M290" s="114" t="s">
        <v>2878</v>
      </c>
      <c r="N290" s="114" t="s">
        <v>2879</v>
      </c>
      <c r="O290" s="114" t="s">
        <v>2878</v>
      </c>
      <c r="P290" s="117" t="s">
        <v>2880</v>
      </c>
    </row>
    <row r="291" spans="2:16" ht="75" x14ac:dyDescent="0.25">
      <c r="B291" s="108" t="str">
        <f t="shared" si="21"/>
        <v>1</v>
      </c>
      <c r="C291" s="108" t="str">
        <f t="shared" si="22"/>
        <v>2</v>
      </c>
      <c r="D291" s="108" t="str">
        <f t="shared" si="23"/>
        <v>2</v>
      </c>
      <c r="E291" s="108" t="str">
        <f t="shared" si="24"/>
        <v>0</v>
      </c>
      <c r="F291" s="108" t="str">
        <f t="shared" si="25"/>
        <v>03</v>
      </c>
      <c r="G291" s="108" t="str">
        <f t="shared" si="26"/>
        <v>0</v>
      </c>
      <c r="H291" s="108" t="str">
        <f t="shared" si="27"/>
        <v>0</v>
      </c>
      <c r="I291" s="109">
        <v>12200300</v>
      </c>
      <c r="J291" s="108" t="s">
        <v>501</v>
      </c>
      <c r="K291" s="108" t="s">
        <v>3362</v>
      </c>
      <c r="L291" s="110"/>
      <c r="M291" s="108" t="s">
        <v>2878</v>
      </c>
      <c r="N291" s="108" t="s">
        <v>2879</v>
      </c>
      <c r="O291" s="108" t="s">
        <v>2878</v>
      </c>
      <c r="P291" s="111" t="s">
        <v>2880</v>
      </c>
    </row>
    <row r="292" spans="2:16" ht="75" x14ac:dyDescent="0.25">
      <c r="B292" s="114" t="str">
        <f t="shared" si="21"/>
        <v>1</v>
      </c>
      <c r="C292" s="114" t="str">
        <f t="shared" si="22"/>
        <v>2</v>
      </c>
      <c r="D292" s="114" t="str">
        <f t="shared" si="23"/>
        <v>2</v>
      </c>
      <c r="E292" s="114" t="str">
        <f t="shared" si="24"/>
        <v>0</v>
      </c>
      <c r="F292" s="114" t="str">
        <f t="shared" si="25"/>
        <v>03</v>
      </c>
      <c r="G292" s="114" t="str">
        <f t="shared" si="26"/>
        <v>1</v>
      </c>
      <c r="H292" s="114" t="str">
        <f t="shared" si="27"/>
        <v>0</v>
      </c>
      <c r="I292" s="115">
        <v>12200310</v>
      </c>
      <c r="J292" s="114" t="s">
        <v>501</v>
      </c>
      <c r="K292" s="114" t="s">
        <v>3362</v>
      </c>
      <c r="L292" s="116"/>
      <c r="M292" s="114" t="s">
        <v>2878</v>
      </c>
      <c r="N292" s="114" t="s">
        <v>2879</v>
      </c>
      <c r="O292" s="114" t="s">
        <v>2878</v>
      </c>
      <c r="P292" s="117" t="s">
        <v>2880</v>
      </c>
    </row>
    <row r="293" spans="2:16" ht="150" x14ac:dyDescent="0.25">
      <c r="B293" s="108" t="str">
        <f t="shared" si="21"/>
        <v>1</v>
      </c>
      <c r="C293" s="108" t="str">
        <f t="shared" si="22"/>
        <v>2</v>
      </c>
      <c r="D293" s="108" t="str">
        <f t="shared" si="23"/>
        <v>2</v>
      </c>
      <c r="E293" s="108" t="str">
        <f t="shared" si="24"/>
        <v>0</v>
      </c>
      <c r="F293" s="108" t="str">
        <f t="shared" si="25"/>
        <v>04</v>
      </c>
      <c r="G293" s="108" t="str">
        <f t="shared" si="26"/>
        <v>0</v>
      </c>
      <c r="H293" s="108" t="str">
        <f t="shared" si="27"/>
        <v>0</v>
      </c>
      <c r="I293" s="109">
        <v>12200400</v>
      </c>
      <c r="J293" s="108" t="s">
        <v>3370</v>
      </c>
      <c r="K293" s="108" t="s">
        <v>3371</v>
      </c>
      <c r="L293" s="110"/>
      <c r="M293" s="108" t="s">
        <v>2878</v>
      </c>
      <c r="N293" s="108" t="s">
        <v>2879</v>
      </c>
      <c r="O293" s="108" t="s">
        <v>2878</v>
      </c>
      <c r="P293" s="111" t="s">
        <v>2880</v>
      </c>
    </row>
    <row r="294" spans="2:16" ht="150" x14ac:dyDescent="0.25">
      <c r="B294" s="114" t="str">
        <f t="shared" si="21"/>
        <v>1</v>
      </c>
      <c r="C294" s="114" t="str">
        <f t="shared" si="22"/>
        <v>2</v>
      </c>
      <c r="D294" s="114" t="str">
        <f t="shared" si="23"/>
        <v>2</v>
      </c>
      <c r="E294" s="114" t="str">
        <f t="shared" si="24"/>
        <v>0</v>
      </c>
      <c r="F294" s="114" t="str">
        <f t="shared" si="25"/>
        <v>04</v>
      </c>
      <c r="G294" s="114" t="str">
        <f t="shared" si="26"/>
        <v>1</v>
      </c>
      <c r="H294" s="114" t="str">
        <f t="shared" si="27"/>
        <v>0</v>
      </c>
      <c r="I294" s="115">
        <v>12200410</v>
      </c>
      <c r="J294" s="114" t="s">
        <v>3370</v>
      </c>
      <c r="K294" s="114" t="s">
        <v>3371</v>
      </c>
      <c r="L294" s="116"/>
      <c r="M294" s="114" t="s">
        <v>2878</v>
      </c>
      <c r="N294" s="114" t="s">
        <v>2879</v>
      </c>
      <c r="O294" s="114" t="s">
        <v>2878</v>
      </c>
      <c r="P294" s="117" t="s">
        <v>2880</v>
      </c>
    </row>
    <row r="295" spans="2:16" ht="78" customHeight="1" x14ac:dyDescent="0.25">
      <c r="B295" s="108" t="str">
        <f t="shared" si="21"/>
        <v>1</v>
      </c>
      <c r="C295" s="108" t="str">
        <f t="shared" si="22"/>
        <v>2</v>
      </c>
      <c r="D295" s="108" t="str">
        <f t="shared" si="23"/>
        <v>2</v>
      </c>
      <c r="E295" s="108" t="str">
        <f t="shared" si="24"/>
        <v>0</v>
      </c>
      <c r="F295" s="108" t="str">
        <f t="shared" si="25"/>
        <v>05</v>
      </c>
      <c r="G295" s="108" t="str">
        <f t="shared" si="26"/>
        <v>0</v>
      </c>
      <c r="H295" s="108" t="str">
        <f t="shared" si="27"/>
        <v>0</v>
      </c>
      <c r="I295" s="109">
        <v>12200500</v>
      </c>
      <c r="J295" s="108" t="s">
        <v>3379</v>
      </c>
      <c r="K295" s="108" t="s">
        <v>3380</v>
      </c>
      <c r="L295" s="110"/>
      <c r="M295" s="108" t="s">
        <v>2878</v>
      </c>
      <c r="N295" s="108" t="s">
        <v>2879</v>
      </c>
      <c r="O295" s="108" t="s">
        <v>2878</v>
      </c>
      <c r="P295" s="111" t="s">
        <v>2880</v>
      </c>
    </row>
    <row r="296" spans="2:16" ht="59.25" customHeight="1" x14ac:dyDescent="0.25">
      <c r="B296" s="114" t="str">
        <f t="shared" si="21"/>
        <v>1</v>
      </c>
      <c r="C296" s="114" t="str">
        <f t="shared" si="22"/>
        <v>2</v>
      </c>
      <c r="D296" s="114" t="str">
        <f t="shared" si="23"/>
        <v>2</v>
      </c>
      <c r="E296" s="114" t="str">
        <f t="shared" si="24"/>
        <v>0</v>
      </c>
      <c r="F296" s="114" t="str">
        <f t="shared" si="25"/>
        <v>05</v>
      </c>
      <c r="G296" s="114" t="str">
        <f t="shared" si="26"/>
        <v>1</v>
      </c>
      <c r="H296" s="114" t="str">
        <f t="shared" si="27"/>
        <v>0</v>
      </c>
      <c r="I296" s="115">
        <v>12200510</v>
      </c>
      <c r="J296" s="114" t="s">
        <v>3379</v>
      </c>
      <c r="K296" s="114" t="s">
        <v>3380</v>
      </c>
      <c r="L296" s="116"/>
      <c r="M296" s="114" t="s">
        <v>2878</v>
      </c>
      <c r="N296" s="114" t="s">
        <v>2879</v>
      </c>
      <c r="O296" s="114" t="s">
        <v>2878</v>
      </c>
      <c r="P296" s="117" t="s">
        <v>2880</v>
      </c>
    </row>
    <row r="297" spans="2:16" ht="54" customHeight="1" x14ac:dyDescent="0.25">
      <c r="B297" s="108" t="str">
        <f t="shared" si="21"/>
        <v>1</v>
      </c>
      <c r="C297" s="108" t="str">
        <f t="shared" si="22"/>
        <v>2</v>
      </c>
      <c r="D297" s="108" t="str">
        <f t="shared" si="23"/>
        <v>2</v>
      </c>
      <c r="E297" s="108" t="str">
        <f t="shared" si="24"/>
        <v>0</v>
      </c>
      <c r="F297" s="108" t="str">
        <f t="shared" si="25"/>
        <v>06</v>
      </c>
      <c r="G297" s="108" t="str">
        <f t="shared" si="26"/>
        <v>0</v>
      </c>
      <c r="H297" s="108" t="str">
        <f t="shared" si="27"/>
        <v>0</v>
      </c>
      <c r="I297" s="109">
        <v>12200600</v>
      </c>
      <c r="J297" s="108" t="s">
        <v>3388</v>
      </c>
      <c r="K297" s="108" t="s">
        <v>3389</v>
      </c>
      <c r="L297" s="110"/>
      <c r="M297" s="108" t="s">
        <v>2878</v>
      </c>
      <c r="N297" s="108" t="s">
        <v>2879</v>
      </c>
      <c r="O297" s="108" t="s">
        <v>2878</v>
      </c>
      <c r="P297" s="111" t="s">
        <v>2880</v>
      </c>
    </row>
    <row r="298" spans="2:16" ht="47.25" customHeight="1" x14ac:dyDescent="0.25">
      <c r="B298" s="114" t="str">
        <f t="shared" si="21"/>
        <v>1</v>
      </c>
      <c r="C298" s="114" t="str">
        <f t="shared" si="22"/>
        <v>2</v>
      </c>
      <c r="D298" s="114" t="str">
        <f t="shared" si="23"/>
        <v>2</v>
      </c>
      <c r="E298" s="114" t="str">
        <f t="shared" si="24"/>
        <v>0</v>
      </c>
      <c r="F298" s="114" t="str">
        <f t="shared" si="25"/>
        <v>06</v>
      </c>
      <c r="G298" s="114" t="str">
        <f t="shared" si="26"/>
        <v>1</v>
      </c>
      <c r="H298" s="114" t="str">
        <f t="shared" si="27"/>
        <v>0</v>
      </c>
      <c r="I298" s="115">
        <v>12200610</v>
      </c>
      <c r="J298" s="114" t="s">
        <v>3388</v>
      </c>
      <c r="K298" s="114" t="s">
        <v>3389</v>
      </c>
      <c r="L298" s="116"/>
      <c r="M298" s="114" t="s">
        <v>2878</v>
      </c>
      <c r="N298" s="114" t="s">
        <v>2879</v>
      </c>
      <c r="O298" s="114" t="s">
        <v>2878</v>
      </c>
      <c r="P298" s="117" t="s">
        <v>2880</v>
      </c>
    </row>
    <row r="299" spans="2:16" ht="90" x14ac:dyDescent="0.25">
      <c r="B299" s="108" t="str">
        <f t="shared" si="21"/>
        <v>1</v>
      </c>
      <c r="C299" s="108" t="str">
        <f t="shared" si="22"/>
        <v>2</v>
      </c>
      <c r="D299" s="108" t="str">
        <f t="shared" si="23"/>
        <v>2</v>
      </c>
      <c r="E299" s="108" t="str">
        <f t="shared" si="24"/>
        <v>0</v>
      </c>
      <c r="F299" s="108" t="str">
        <f t="shared" si="25"/>
        <v>07</v>
      </c>
      <c r="G299" s="108" t="str">
        <f t="shared" si="26"/>
        <v>0</v>
      </c>
      <c r="H299" s="108" t="str">
        <f t="shared" si="27"/>
        <v>0</v>
      </c>
      <c r="I299" s="109">
        <v>12200700</v>
      </c>
      <c r="J299" s="108" t="s">
        <v>3393</v>
      </c>
      <c r="K299" s="108" t="s">
        <v>3394</v>
      </c>
      <c r="L299" s="110"/>
      <c r="M299" s="108" t="s">
        <v>2878</v>
      </c>
      <c r="N299" s="108" t="s">
        <v>2879</v>
      </c>
      <c r="O299" s="108" t="s">
        <v>2878</v>
      </c>
      <c r="P299" s="111" t="s">
        <v>2880</v>
      </c>
    </row>
    <row r="300" spans="2:16" ht="90" x14ac:dyDescent="0.25">
      <c r="B300" s="114" t="str">
        <f t="shared" si="21"/>
        <v>1</v>
      </c>
      <c r="C300" s="114" t="str">
        <f t="shared" si="22"/>
        <v>2</v>
      </c>
      <c r="D300" s="114" t="str">
        <f t="shared" si="23"/>
        <v>2</v>
      </c>
      <c r="E300" s="114" t="str">
        <f t="shared" si="24"/>
        <v>0</v>
      </c>
      <c r="F300" s="114" t="str">
        <f t="shared" si="25"/>
        <v>07</v>
      </c>
      <c r="G300" s="114" t="str">
        <f t="shared" si="26"/>
        <v>1</v>
      </c>
      <c r="H300" s="114" t="str">
        <f t="shared" si="27"/>
        <v>0</v>
      </c>
      <c r="I300" s="115">
        <v>12200710</v>
      </c>
      <c r="J300" s="114" t="s">
        <v>3393</v>
      </c>
      <c r="K300" s="114" t="s">
        <v>3394</v>
      </c>
      <c r="L300" s="116"/>
      <c r="M300" s="114" t="s">
        <v>2878</v>
      </c>
      <c r="N300" s="114" t="s">
        <v>2879</v>
      </c>
      <c r="O300" s="114" t="s">
        <v>2878</v>
      </c>
      <c r="P300" s="117" t="s">
        <v>2880</v>
      </c>
    </row>
    <row r="301" spans="2:16" ht="45" x14ac:dyDescent="0.25">
      <c r="B301" s="108" t="str">
        <f t="shared" si="21"/>
        <v>1</v>
      </c>
      <c r="C301" s="108" t="str">
        <f t="shared" si="22"/>
        <v>2</v>
      </c>
      <c r="D301" s="108" t="str">
        <f t="shared" si="23"/>
        <v>2</v>
      </c>
      <c r="E301" s="108" t="str">
        <f t="shared" si="24"/>
        <v>0</v>
      </c>
      <c r="F301" s="108" t="str">
        <f t="shared" si="25"/>
        <v>08</v>
      </c>
      <c r="G301" s="108" t="str">
        <f t="shared" si="26"/>
        <v>0</v>
      </c>
      <c r="H301" s="108" t="str">
        <f t="shared" si="27"/>
        <v>0</v>
      </c>
      <c r="I301" s="109">
        <v>12200800</v>
      </c>
      <c r="J301" s="108" t="s">
        <v>3398</v>
      </c>
      <c r="K301" s="108" t="s">
        <v>3399</v>
      </c>
      <c r="L301" s="110"/>
      <c r="M301" s="108" t="s">
        <v>2878</v>
      </c>
      <c r="N301" s="108" t="s">
        <v>2879</v>
      </c>
      <c r="O301" s="108" t="s">
        <v>2878</v>
      </c>
      <c r="P301" s="111" t="s">
        <v>2880</v>
      </c>
    </row>
    <row r="302" spans="2:16" ht="45" x14ac:dyDescent="0.25">
      <c r="B302" s="114" t="str">
        <f t="shared" si="21"/>
        <v>1</v>
      </c>
      <c r="C302" s="114" t="str">
        <f t="shared" si="22"/>
        <v>2</v>
      </c>
      <c r="D302" s="114" t="str">
        <f t="shared" si="23"/>
        <v>2</v>
      </c>
      <c r="E302" s="114" t="str">
        <f t="shared" si="24"/>
        <v>0</v>
      </c>
      <c r="F302" s="114" t="str">
        <f t="shared" si="25"/>
        <v>08</v>
      </c>
      <c r="G302" s="114" t="str">
        <f t="shared" si="26"/>
        <v>1</v>
      </c>
      <c r="H302" s="114" t="str">
        <f t="shared" si="27"/>
        <v>0</v>
      </c>
      <c r="I302" s="115">
        <v>12200810</v>
      </c>
      <c r="J302" s="114" t="s">
        <v>3400</v>
      </c>
      <c r="K302" s="114" t="s">
        <v>3401</v>
      </c>
      <c r="L302" s="116"/>
      <c r="M302" s="114" t="s">
        <v>2878</v>
      </c>
      <c r="N302" s="114" t="s">
        <v>2879</v>
      </c>
      <c r="O302" s="114" t="s">
        <v>2878</v>
      </c>
      <c r="P302" s="117" t="s">
        <v>2880</v>
      </c>
    </row>
    <row r="303" spans="2:16" ht="45" x14ac:dyDescent="0.25">
      <c r="B303" s="114" t="str">
        <f t="shared" si="21"/>
        <v>1</v>
      </c>
      <c r="C303" s="114" t="str">
        <f t="shared" si="22"/>
        <v>2</v>
      </c>
      <c r="D303" s="114" t="str">
        <f t="shared" si="23"/>
        <v>2</v>
      </c>
      <c r="E303" s="114" t="str">
        <f t="shared" si="24"/>
        <v>0</v>
      </c>
      <c r="F303" s="114" t="str">
        <f t="shared" si="25"/>
        <v>08</v>
      </c>
      <c r="G303" s="114" t="str">
        <f t="shared" si="26"/>
        <v>2</v>
      </c>
      <c r="H303" s="114" t="str">
        <f t="shared" si="27"/>
        <v>0</v>
      </c>
      <c r="I303" s="115">
        <v>12200820</v>
      </c>
      <c r="J303" s="114" t="s">
        <v>3409</v>
      </c>
      <c r="K303" s="114" t="s">
        <v>3410</v>
      </c>
      <c r="L303" s="116"/>
      <c r="M303" s="114" t="s">
        <v>2878</v>
      </c>
      <c r="N303" s="114" t="s">
        <v>2879</v>
      </c>
      <c r="O303" s="114" t="s">
        <v>2878</v>
      </c>
      <c r="P303" s="117" t="s">
        <v>2880</v>
      </c>
    </row>
    <row r="304" spans="2:16" ht="75" x14ac:dyDescent="0.25">
      <c r="B304" s="108" t="str">
        <f t="shared" si="21"/>
        <v>1</v>
      </c>
      <c r="C304" s="108" t="str">
        <f t="shared" si="22"/>
        <v>2</v>
      </c>
      <c r="D304" s="108" t="str">
        <f t="shared" si="23"/>
        <v>2</v>
      </c>
      <c r="E304" s="108" t="str">
        <f t="shared" si="24"/>
        <v>0</v>
      </c>
      <c r="F304" s="108" t="str">
        <f t="shared" si="25"/>
        <v>09</v>
      </c>
      <c r="G304" s="108" t="str">
        <f t="shared" si="26"/>
        <v>0</v>
      </c>
      <c r="H304" s="108" t="str">
        <f t="shared" si="27"/>
        <v>0</v>
      </c>
      <c r="I304" s="109">
        <v>12200900</v>
      </c>
      <c r="J304" s="108" t="s">
        <v>519</v>
      </c>
      <c r="K304" s="108" t="s">
        <v>3417</v>
      </c>
      <c r="L304" s="110"/>
      <c r="M304" s="108" t="s">
        <v>2878</v>
      </c>
      <c r="N304" s="108" t="s">
        <v>2879</v>
      </c>
      <c r="O304" s="108" t="s">
        <v>2878</v>
      </c>
      <c r="P304" s="111" t="s">
        <v>2880</v>
      </c>
    </row>
    <row r="305" spans="2:16" ht="135" x14ac:dyDescent="0.25">
      <c r="B305" s="114" t="str">
        <f t="shared" si="21"/>
        <v>1</v>
      </c>
      <c r="C305" s="114" t="str">
        <f t="shared" si="22"/>
        <v>2</v>
      </c>
      <c r="D305" s="114" t="str">
        <f t="shared" si="23"/>
        <v>2</v>
      </c>
      <c r="E305" s="114" t="str">
        <f t="shared" si="24"/>
        <v>0</v>
      </c>
      <c r="F305" s="114" t="str">
        <f t="shared" si="25"/>
        <v>09</v>
      </c>
      <c r="G305" s="114" t="str">
        <f t="shared" si="26"/>
        <v>1</v>
      </c>
      <c r="H305" s="114" t="str">
        <f t="shared" si="27"/>
        <v>0</v>
      </c>
      <c r="I305" s="115">
        <v>12200910</v>
      </c>
      <c r="J305" s="114" t="s">
        <v>3418</v>
      </c>
      <c r="K305" s="114" t="s">
        <v>3419</v>
      </c>
      <c r="L305" s="116"/>
      <c r="M305" s="114" t="s">
        <v>2878</v>
      </c>
      <c r="N305" s="114" t="s">
        <v>2879</v>
      </c>
      <c r="O305" s="114" t="s">
        <v>2878</v>
      </c>
      <c r="P305" s="117" t="s">
        <v>2880</v>
      </c>
    </row>
    <row r="306" spans="2:16" ht="135" x14ac:dyDescent="0.25">
      <c r="B306" s="114" t="str">
        <f t="shared" ref="B306:B335" si="28">MID($I306,1,1)</f>
        <v>1</v>
      </c>
      <c r="C306" s="114" t="str">
        <f t="shared" ref="C306:C335" si="29">MID($I306,2,1)</f>
        <v>2</v>
      </c>
      <c r="D306" s="114" t="str">
        <f t="shared" ref="D306:D335" si="30">MID($I306,3,1)</f>
        <v>2</v>
      </c>
      <c r="E306" s="114" t="str">
        <f t="shared" ref="E306:E335" si="31">MID($I306,4,1)</f>
        <v>0</v>
      </c>
      <c r="F306" s="114" t="str">
        <f t="shared" ref="F306:F335" si="32">MID($I306,5,2)</f>
        <v>09</v>
      </c>
      <c r="G306" s="114" t="str">
        <f t="shared" ref="G306:G335" si="33">MID($I306,7,1)</f>
        <v>2</v>
      </c>
      <c r="H306" s="114" t="str">
        <f t="shared" ref="H306:H335" si="34">MID($I306,8,1)</f>
        <v>0</v>
      </c>
      <c r="I306" s="115">
        <v>12200920</v>
      </c>
      <c r="J306" s="114" t="s">
        <v>523</v>
      </c>
      <c r="K306" s="114" t="s">
        <v>3427</v>
      </c>
      <c r="L306" s="116"/>
      <c r="M306" s="114" t="s">
        <v>2878</v>
      </c>
      <c r="N306" s="114" t="s">
        <v>2879</v>
      </c>
      <c r="O306" s="114" t="s">
        <v>2878</v>
      </c>
      <c r="P306" s="117" t="s">
        <v>2880</v>
      </c>
    </row>
    <row r="307" spans="2:16" ht="30" x14ac:dyDescent="0.25">
      <c r="B307" s="108" t="str">
        <f t="shared" si="28"/>
        <v>1</v>
      </c>
      <c r="C307" s="108" t="str">
        <f t="shared" si="29"/>
        <v>2</v>
      </c>
      <c r="D307" s="108" t="str">
        <f t="shared" si="30"/>
        <v>2</v>
      </c>
      <c r="E307" s="108" t="str">
        <f t="shared" si="31"/>
        <v>0</v>
      </c>
      <c r="F307" s="108" t="str">
        <f t="shared" si="32"/>
        <v>10</v>
      </c>
      <c r="G307" s="108" t="str">
        <f t="shared" si="33"/>
        <v>0</v>
      </c>
      <c r="H307" s="108" t="str">
        <f t="shared" si="34"/>
        <v>0</v>
      </c>
      <c r="I307" s="109">
        <v>12201000</v>
      </c>
      <c r="J307" s="108" t="s">
        <v>533</v>
      </c>
      <c r="K307" s="108" t="s">
        <v>3435</v>
      </c>
      <c r="L307" s="110"/>
      <c r="M307" s="108" t="s">
        <v>2878</v>
      </c>
      <c r="N307" s="108" t="s">
        <v>2879</v>
      </c>
      <c r="O307" s="108" t="s">
        <v>2878</v>
      </c>
      <c r="P307" s="111" t="s">
        <v>2880</v>
      </c>
    </row>
    <row r="308" spans="2:16" ht="30" x14ac:dyDescent="0.25">
      <c r="B308" s="114" t="str">
        <f t="shared" si="28"/>
        <v>1</v>
      </c>
      <c r="C308" s="114" t="str">
        <f t="shared" si="29"/>
        <v>2</v>
      </c>
      <c r="D308" s="114" t="str">
        <f t="shared" si="30"/>
        <v>2</v>
      </c>
      <c r="E308" s="114" t="str">
        <f t="shared" si="31"/>
        <v>0</v>
      </c>
      <c r="F308" s="114" t="str">
        <f t="shared" si="32"/>
        <v>10</v>
      </c>
      <c r="G308" s="114" t="str">
        <f t="shared" si="33"/>
        <v>1</v>
      </c>
      <c r="H308" s="114" t="str">
        <f t="shared" si="34"/>
        <v>0</v>
      </c>
      <c r="I308" s="115">
        <v>12201010</v>
      </c>
      <c r="J308" s="114" t="s">
        <v>533</v>
      </c>
      <c r="K308" s="114" t="s">
        <v>3435</v>
      </c>
      <c r="L308" s="116"/>
      <c r="M308" s="114" t="s">
        <v>2878</v>
      </c>
      <c r="N308" s="114" t="s">
        <v>2879</v>
      </c>
      <c r="O308" s="114" t="s">
        <v>2878</v>
      </c>
      <c r="P308" s="117" t="s">
        <v>2880</v>
      </c>
    </row>
    <row r="309" spans="2:16" ht="15.75" x14ac:dyDescent="0.25">
      <c r="B309" s="108" t="str">
        <f t="shared" si="28"/>
        <v>1</v>
      </c>
      <c r="C309" s="108" t="str">
        <f t="shared" si="29"/>
        <v>2</v>
      </c>
      <c r="D309" s="108" t="str">
        <f t="shared" si="30"/>
        <v>2</v>
      </c>
      <c r="E309" s="108" t="str">
        <f t="shared" si="31"/>
        <v>0</v>
      </c>
      <c r="F309" s="108" t="str">
        <f t="shared" si="32"/>
        <v>11</v>
      </c>
      <c r="G309" s="108" t="str">
        <f t="shared" si="33"/>
        <v>0</v>
      </c>
      <c r="H309" s="108" t="str">
        <f t="shared" si="34"/>
        <v>0</v>
      </c>
      <c r="I309" s="109">
        <v>12201100</v>
      </c>
      <c r="J309" s="108" t="s">
        <v>535</v>
      </c>
      <c r="K309" s="108"/>
      <c r="L309" s="110"/>
      <c r="M309" s="108"/>
      <c r="N309" s="108"/>
      <c r="O309" s="108" t="s">
        <v>5092</v>
      </c>
      <c r="P309" s="111" t="s">
        <v>2880</v>
      </c>
    </row>
    <row r="310" spans="2:16" ht="30" x14ac:dyDescent="0.25">
      <c r="B310" s="114" t="str">
        <f t="shared" si="28"/>
        <v>1</v>
      </c>
      <c r="C310" s="114" t="str">
        <f t="shared" si="29"/>
        <v>2</v>
      </c>
      <c r="D310" s="114" t="str">
        <f t="shared" si="30"/>
        <v>2</v>
      </c>
      <c r="E310" s="114" t="str">
        <f t="shared" si="31"/>
        <v>0</v>
      </c>
      <c r="F310" s="114" t="str">
        <f t="shared" si="32"/>
        <v>11</v>
      </c>
      <c r="G310" s="114" t="str">
        <f t="shared" si="33"/>
        <v>1</v>
      </c>
      <c r="H310" s="114" t="str">
        <f t="shared" si="34"/>
        <v>0</v>
      </c>
      <c r="I310" s="115">
        <v>12201110</v>
      </c>
      <c r="J310" s="114" t="s">
        <v>5093</v>
      </c>
      <c r="K310" s="114"/>
      <c r="L310" s="116"/>
      <c r="M310" s="114"/>
      <c r="N310" s="114"/>
      <c r="O310" s="114" t="s">
        <v>5092</v>
      </c>
      <c r="P310" s="117" t="s">
        <v>2890</v>
      </c>
    </row>
    <row r="311" spans="2:16" ht="30" x14ac:dyDescent="0.25">
      <c r="B311" s="114" t="str">
        <f t="shared" si="28"/>
        <v>1</v>
      </c>
      <c r="C311" s="114" t="str">
        <f t="shared" si="29"/>
        <v>2</v>
      </c>
      <c r="D311" s="114" t="str">
        <f t="shared" si="30"/>
        <v>2</v>
      </c>
      <c r="E311" s="114" t="str">
        <f t="shared" si="31"/>
        <v>0</v>
      </c>
      <c r="F311" s="114" t="str">
        <f t="shared" si="32"/>
        <v>11</v>
      </c>
      <c r="G311" s="114" t="str">
        <f t="shared" si="33"/>
        <v>2</v>
      </c>
      <c r="H311" s="114" t="str">
        <f t="shared" si="34"/>
        <v>0</v>
      </c>
      <c r="I311" s="115">
        <v>12201120</v>
      </c>
      <c r="J311" s="114" t="s">
        <v>5094</v>
      </c>
      <c r="K311" s="114"/>
      <c r="L311" s="116"/>
      <c r="M311" s="114"/>
      <c r="N311" s="114"/>
      <c r="O311" s="114" t="s">
        <v>5092</v>
      </c>
      <c r="P311" s="117" t="s">
        <v>2890</v>
      </c>
    </row>
    <row r="312" spans="2:16" ht="30" x14ac:dyDescent="0.25">
      <c r="B312" s="108" t="str">
        <f t="shared" si="28"/>
        <v>1</v>
      </c>
      <c r="C312" s="108" t="str">
        <f t="shared" si="29"/>
        <v>2</v>
      </c>
      <c r="D312" s="108" t="str">
        <f t="shared" si="30"/>
        <v>2</v>
      </c>
      <c r="E312" s="108" t="str">
        <f t="shared" si="31"/>
        <v>0</v>
      </c>
      <c r="F312" s="108" t="str">
        <f t="shared" si="32"/>
        <v>99</v>
      </c>
      <c r="G312" s="108" t="str">
        <f t="shared" si="33"/>
        <v>0</v>
      </c>
      <c r="H312" s="108" t="str">
        <f t="shared" si="34"/>
        <v>0</v>
      </c>
      <c r="I312" s="109">
        <v>12209900</v>
      </c>
      <c r="J312" s="108" t="s">
        <v>557</v>
      </c>
      <c r="K312" s="108" t="s">
        <v>3443</v>
      </c>
      <c r="L312" s="110"/>
      <c r="M312" s="108" t="s">
        <v>2878</v>
      </c>
      <c r="N312" s="108" t="s">
        <v>2879</v>
      </c>
      <c r="O312" s="108" t="s">
        <v>2878</v>
      </c>
      <c r="P312" s="111" t="s">
        <v>2880</v>
      </c>
    </row>
    <row r="313" spans="2:16" ht="30" x14ac:dyDescent="0.25">
      <c r="B313" s="114" t="str">
        <f t="shared" si="28"/>
        <v>1</v>
      </c>
      <c r="C313" s="114" t="str">
        <f t="shared" si="29"/>
        <v>2</v>
      </c>
      <c r="D313" s="114" t="str">
        <f t="shared" si="30"/>
        <v>2</v>
      </c>
      <c r="E313" s="114" t="str">
        <f t="shared" si="31"/>
        <v>0</v>
      </c>
      <c r="F313" s="114" t="str">
        <f t="shared" si="32"/>
        <v>99</v>
      </c>
      <c r="G313" s="114" t="str">
        <f t="shared" si="33"/>
        <v>1</v>
      </c>
      <c r="H313" s="114" t="str">
        <f t="shared" si="34"/>
        <v>0</v>
      </c>
      <c r="I313" s="115">
        <v>12209910</v>
      </c>
      <c r="J313" s="114" t="s">
        <v>557</v>
      </c>
      <c r="K313" s="114" t="s">
        <v>3443</v>
      </c>
      <c r="L313" s="116"/>
      <c r="M313" s="114" t="s">
        <v>2878</v>
      </c>
      <c r="N313" s="114" t="s">
        <v>2879</v>
      </c>
      <c r="O313" s="114" t="s">
        <v>2878</v>
      </c>
      <c r="P313" s="117" t="s">
        <v>2880</v>
      </c>
    </row>
    <row r="314" spans="2:16" s="153" customFormat="1" ht="30" x14ac:dyDescent="0.25">
      <c r="B314" s="155" t="str">
        <f t="shared" si="28"/>
        <v>1</v>
      </c>
      <c r="C314" s="155" t="str">
        <f t="shared" si="29"/>
        <v>2</v>
      </c>
      <c r="D314" s="155" t="str">
        <f t="shared" si="30"/>
        <v>2</v>
      </c>
      <c r="E314" s="155" t="str">
        <f t="shared" si="31"/>
        <v>8</v>
      </c>
      <c r="F314" s="155" t="str">
        <f t="shared" si="32"/>
        <v>00</v>
      </c>
      <c r="G314" s="155" t="str">
        <f t="shared" si="33"/>
        <v>0</v>
      </c>
      <c r="H314" s="155" t="str">
        <f t="shared" si="34"/>
        <v>0</v>
      </c>
      <c r="I314" s="161">
        <v>12280000</v>
      </c>
      <c r="J314" s="155" t="s">
        <v>5095</v>
      </c>
      <c r="K314" s="155" t="s">
        <v>5096</v>
      </c>
      <c r="L314" s="106"/>
      <c r="M314" s="155"/>
      <c r="N314" s="155"/>
      <c r="O314" s="155" t="s">
        <v>5018</v>
      </c>
      <c r="P314" s="162" t="s">
        <v>2880</v>
      </c>
    </row>
    <row r="315" spans="2:16" s="153" customFormat="1" ht="30" x14ac:dyDescent="0.25">
      <c r="B315" s="113" t="str">
        <f t="shared" si="28"/>
        <v>1</v>
      </c>
      <c r="C315" s="113" t="str">
        <f t="shared" si="29"/>
        <v>2</v>
      </c>
      <c r="D315" s="113" t="str">
        <f t="shared" si="30"/>
        <v>2</v>
      </c>
      <c r="E315" s="113" t="str">
        <f t="shared" si="31"/>
        <v>8</v>
      </c>
      <c r="F315" s="113" t="str">
        <f t="shared" si="32"/>
        <v>01</v>
      </c>
      <c r="G315" s="113" t="str">
        <f t="shared" si="33"/>
        <v>0</v>
      </c>
      <c r="H315" s="113" t="str">
        <f t="shared" si="34"/>
        <v>0</v>
      </c>
      <c r="I315" s="112">
        <v>12280100</v>
      </c>
      <c r="J315" s="113" t="s">
        <v>5097</v>
      </c>
      <c r="K315" s="113" t="s">
        <v>5098</v>
      </c>
      <c r="L315" s="110"/>
      <c r="M315" s="113" t="s">
        <v>2878</v>
      </c>
      <c r="N315" s="113"/>
      <c r="O315" s="113" t="s">
        <v>2878</v>
      </c>
      <c r="P315" s="163" t="s">
        <v>2880</v>
      </c>
    </row>
    <row r="316" spans="2:16" s="153" customFormat="1" ht="30" x14ac:dyDescent="0.25">
      <c r="B316" s="130" t="str">
        <f t="shared" si="28"/>
        <v>1</v>
      </c>
      <c r="C316" s="130" t="str">
        <f t="shared" si="29"/>
        <v>2</v>
      </c>
      <c r="D316" s="130" t="str">
        <f t="shared" si="30"/>
        <v>2</v>
      </c>
      <c r="E316" s="130" t="str">
        <f t="shared" si="31"/>
        <v>8</v>
      </c>
      <c r="F316" s="130" t="str">
        <f t="shared" si="32"/>
        <v>01</v>
      </c>
      <c r="G316" s="130" t="str">
        <f t="shared" si="33"/>
        <v>1</v>
      </c>
      <c r="H316" s="130" t="str">
        <f t="shared" si="34"/>
        <v>0</v>
      </c>
      <c r="I316" s="129">
        <v>12280110</v>
      </c>
      <c r="J316" s="130" t="s">
        <v>5099</v>
      </c>
      <c r="K316" s="130" t="s">
        <v>5100</v>
      </c>
      <c r="L316" s="116"/>
      <c r="M316" s="130" t="s">
        <v>2878</v>
      </c>
      <c r="N316" s="130"/>
      <c r="O316" s="130" t="s">
        <v>5101</v>
      </c>
      <c r="P316" s="152" t="s">
        <v>2880</v>
      </c>
    </row>
    <row r="317" spans="2:16" ht="45" x14ac:dyDescent="0.25">
      <c r="B317" s="126" t="str">
        <f t="shared" si="28"/>
        <v>1</v>
      </c>
      <c r="C317" s="126" t="str">
        <f t="shared" si="29"/>
        <v>2</v>
      </c>
      <c r="D317" s="126" t="str">
        <f t="shared" si="30"/>
        <v>3</v>
      </c>
      <c r="E317" s="126" t="str">
        <f t="shared" si="31"/>
        <v>0</v>
      </c>
      <c r="F317" s="126" t="str">
        <f t="shared" si="32"/>
        <v>00</v>
      </c>
      <c r="G317" s="126" t="str">
        <f t="shared" si="33"/>
        <v>0</v>
      </c>
      <c r="H317" s="126" t="str">
        <f t="shared" si="34"/>
        <v>0</v>
      </c>
      <c r="I317" s="127">
        <v>12300000</v>
      </c>
      <c r="J317" s="126" t="s">
        <v>3449</v>
      </c>
      <c r="K317" s="126" t="s">
        <v>3450</v>
      </c>
      <c r="L317" s="122"/>
      <c r="M317" s="126" t="s">
        <v>2878</v>
      </c>
      <c r="N317" s="126" t="s">
        <v>5016</v>
      </c>
      <c r="O317" s="126" t="s">
        <v>2878</v>
      </c>
      <c r="P317" s="128" t="s">
        <v>2880</v>
      </c>
    </row>
    <row r="318" spans="2:16" ht="45" x14ac:dyDescent="0.25">
      <c r="B318" s="108" t="str">
        <f t="shared" si="28"/>
        <v>1</v>
      </c>
      <c r="C318" s="108" t="str">
        <f t="shared" si="29"/>
        <v>2</v>
      </c>
      <c r="D318" s="108" t="str">
        <f t="shared" si="30"/>
        <v>3</v>
      </c>
      <c r="E318" s="108" t="str">
        <f t="shared" si="31"/>
        <v>0</v>
      </c>
      <c r="F318" s="108" t="str">
        <f t="shared" si="32"/>
        <v>01</v>
      </c>
      <c r="G318" s="108" t="str">
        <f t="shared" si="33"/>
        <v>0</v>
      </c>
      <c r="H318" s="108" t="str">
        <f t="shared" si="34"/>
        <v>0</v>
      </c>
      <c r="I318" s="109">
        <v>12300100</v>
      </c>
      <c r="J318" s="108" t="s">
        <v>3449</v>
      </c>
      <c r="K318" s="108" t="s">
        <v>3450</v>
      </c>
      <c r="L318" s="110"/>
      <c r="M318" s="108" t="s">
        <v>2878</v>
      </c>
      <c r="N318" s="108" t="s">
        <v>2879</v>
      </c>
      <c r="O318" s="108" t="s">
        <v>2878</v>
      </c>
      <c r="P318" s="111" t="s">
        <v>2880</v>
      </c>
    </row>
    <row r="319" spans="2:16" ht="45" x14ac:dyDescent="0.25">
      <c r="B319" s="114" t="str">
        <f t="shared" si="28"/>
        <v>1</v>
      </c>
      <c r="C319" s="114" t="str">
        <f t="shared" si="29"/>
        <v>2</v>
      </c>
      <c r="D319" s="114" t="str">
        <f t="shared" si="30"/>
        <v>3</v>
      </c>
      <c r="E319" s="114" t="str">
        <f t="shared" si="31"/>
        <v>0</v>
      </c>
      <c r="F319" s="114" t="str">
        <f t="shared" si="32"/>
        <v>01</v>
      </c>
      <c r="G319" s="114" t="str">
        <f t="shared" si="33"/>
        <v>1</v>
      </c>
      <c r="H319" s="114" t="str">
        <f t="shared" si="34"/>
        <v>0</v>
      </c>
      <c r="I319" s="115">
        <v>12300110</v>
      </c>
      <c r="J319" s="114" t="s">
        <v>3449</v>
      </c>
      <c r="K319" s="114" t="s">
        <v>3450</v>
      </c>
      <c r="L319" s="116"/>
      <c r="M319" s="114" t="s">
        <v>2878</v>
      </c>
      <c r="N319" s="114" t="s">
        <v>2879</v>
      </c>
      <c r="O319" s="114" t="s">
        <v>2878</v>
      </c>
      <c r="P319" s="117" t="s">
        <v>2880</v>
      </c>
    </row>
    <row r="320" spans="2:16" ht="31.5" x14ac:dyDescent="0.25">
      <c r="B320" s="126" t="str">
        <f t="shared" si="28"/>
        <v>1</v>
      </c>
      <c r="C320" s="126" t="str">
        <f t="shared" si="29"/>
        <v>2</v>
      </c>
      <c r="D320" s="126" t="str">
        <f t="shared" si="30"/>
        <v>4</v>
      </c>
      <c r="E320" s="126" t="str">
        <f t="shared" si="31"/>
        <v>0</v>
      </c>
      <c r="F320" s="126" t="str">
        <f t="shared" si="32"/>
        <v>00</v>
      </c>
      <c r="G320" s="126" t="str">
        <f t="shared" si="33"/>
        <v>0</v>
      </c>
      <c r="H320" s="126" t="str">
        <f t="shared" si="34"/>
        <v>0</v>
      </c>
      <c r="I320" s="127">
        <v>12400000</v>
      </c>
      <c r="J320" s="126" t="s">
        <v>563</v>
      </c>
      <c r="K320" s="126" t="s">
        <v>564</v>
      </c>
      <c r="L320" s="122" t="s">
        <v>5017</v>
      </c>
      <c r="M320" s="126"/>
      <c r="N320" s="126"/>
      <c r="O320" s="126"/>
      <c r="P320" s="128" t="s">
        <v>2880</v>
      </c>
    </row>
    <row r="321" spans="2:16" ht="30" x14ac:dyDescent="0.25">
      <c r="B321" s="114" t="str">
        <f t="shared" si="28"/>
        <v>1</v>
      </c>
      <c r="C321" s="114" t="str">
        <f t="shared" si="29"/>
        <v>2</v>
      </c>
      <c r="D321" s="114" t="str">
        <f t="shared" si="30"/>
        <v>4</v>
      </c>
      <c r="E321" s="114" t="str">
        <f t="shared" si="31"/>
        <v>0</v>
      </c>
      <c r="F321" s="114" t="str">
        <f t="shared" si="32"/>
        <v>00</v>
      </c>
      <c r="G321" s="114" t="str">
        <f t="shared" si="33"/>
        <v>1</v>
      </c>
      <c r="H321" s="114" t="str">
        <f t="shared" si="34"/>
        <v>0</v>
      </c>
      <c r="I321" s="115">
        <v>12400010</v>
      </c>
      <c r="J321" s="114" t="s">
        <v>563</v>
      </c>
      <c r="K321" s="114" t="s">
        <v>564</v>
      </c>
      <c r="L321" s="116"/>
      <c r="M321" s="114"/>
      <c r="N321" s="114"/>
      <c r="O321" s="114"/>
      <c r="P321" s="117" t="s">
        <v>2880</v>
      </c>
    </row>
    <row r="322" spans="2:16" ht="30" x14ac:dyDescent="0.25">
      <c r="B322" s="123" t="str">
        <f t="shared" si="28"/>
        <v>1</v>
      </c>
      <c r="C322" s="123" t="str">
        <f t="shared" si="29"/>
        <v>3</v>
      </c>
      <c r="D322" s="123" t="str">
        <f t="shared" si="30"/>
        <v>0</v>
      </c>
      <c r="E322" s="123" t="str">
        <f t="shared" si="31"/>
        <v>0</v>
      </c>
      <c r="F322" s="123" t="str">
        <f t="shared" si="32"/>
        <v>00</v>
      </c>
      <c r="G322" s="123" t="str">
        <f t="shared" si="33"/>
        <v>0</v>
      </c>
      <c r="H322" s="123" t="str">
        <f t="shared" si="34"/>
        <v>0</v>
      </c>
      <c r="I322" s="124">
        <v>13000000</v>
      </c>
      <c r="J322" s="123" t="s">
        <v>565</v>
      </c>
      <c r="K322" s="123" t="s">
        <v>3455</v>
      </c>
      <c r="L322" s="103"/>
      <c r="M322" s="123" t="s">
        <v>2878</v>
      </c>
      <c r="N322" s="123" t="s">
        <v>5016</v>
      </c>
      <c r="O322" s="123" t="s">
        <v>2878</v>
      </c>
      <c r="P322" s="125" t="s">
        <v>2880</v>
      </c>
    </row>
    <row r="323" spans="2:16" ht="30" x14ac:dyDescent="0.25">
      <c r="B323" s="126" t="str">
        <f t="shared" si="28"/>
        <v>1</v>
      </c>
      <c r="C323" s="126" t="str">
        <f t="shared" si="29"/>
        <v>3</v>
      </c>
      <c r="D323" s="126" t="str">
        <f t="shared" si="30"/>
        <v>1</v>
      </c>
      <c r="E323" s="126" t="str">
        <f t="shared" si="31"/>
        <v>0</v>
      </c>
      <c r="F323" s="126" t="str">
        <f t="shared" si="32"/>
        <v>00</v>
      </c>
      <c r="G323" s="126" t="str">
        <f t="shared" si="33"/>
        <v>0</v>
      </c>
      <c r="H323" s="126" t="str">
        <f t="shared" si="34"/>
        <v>0</v>
      </c>
      <c r="I323" s="127">
        <v>13100000</v>
      </c>
      <c r="J323" s="126" t="s">
        <v>3456</v>
      </c>
      <c r="K323" s="126" t="s">
        <v>3457</v>
      </c>
      <c r="L323" s="122"/>
      <c r="M323" s="126" t="s">
        <v>2878</v>
      </c>
      <c r="N323" s="126" t="s">
        <v>5016</v>
      </c>
      <c r="O323" s="126" t="s">
        <v>2878</v>
      </c>
      <c r="P323" s="128" t="s">
        <v>2880</v>
      </c>
    </row>
    <row r="324" spans="2:16" ht="60" x14ac:dyDescent="0.25">
      <c r="B324" s="108" t="str">
        <f t="shared" si="28"/>
        <v>1</v>
      </c>
      <c r="C324" s="108" t="str">
        <f t="shared" si="29"/>
        <v>3</v>
      </c>
      <c r="D324" s="108" t="str">
        <f t="shared" si="30"/>
        <v>1</v>
      </c>
      <c r="E324" s="108" t="str">
        <f t="shared" si="31"/>
        <v>0</v>
      </c>
      <c r="F324" s="108" t="str">
        <f t="shared" si="32"/>
        <v>01</v>
      </c>
      <c r="G324" s="108" t="str">
        <f t="shared" si="33"/>
        <v>0</v>
      </c>
      <c r="H324" s="108" t="str">
        <f t="shared" si="34"/>
        <v>0</v>
      </c>
      <c r="I324" s="109">
        <v>13100100</v>
      </c>
      <c r="J324" s="108" t="s">
        <v>3458</v>
      </c>
      <c r="K324" s="108" t="s">
        <v>3459</v>
      </c>
      <c r="L324" s="110"/>
      <c r="M324" s="108" t="s">
        <v>2878</v>
      </c>
      <c r="N324" s="108" t="s">
        <v>2879</v>
      </c>
      <c r="O324" s="108" t="s">
        <v>2878</v>
      </c>
      <c r="P324" s="111" t="s">
        <v>2880</v>
      </c>
    </row>
    <row r="325" spans="2:16" ht="45" x14ac:dyDescent="0.25">
      <c r="B325" s="114" t="str">
        <f t="shared" si="28"/>
        <v>1</v>
      </c>
      <c r="C325" s="114" t="str">
        <f t="shared" si="29"/>
        <v>3</v>
      </c>
      <c r="D325" s="114" t="str">
        <f t="shared" si="30"/>
        <v>1</v>
      </c>
      <c r="E325" s="114" t="str">
        <f t="shared" si="31"/>
        <v>0</v>
      </c>
      <c r="F325" s="114" t="str">
        <f t="shared" si="32"/>
        <v>01</v>
      </c>
      <c r="G325" s="114" t="str">
        <f t="shared" si="33"/>
        <v>1</v>
      </c>
      <c r="H325" s="114" t="str">
        <f t="shared" si="34"/>
        <v>0</v>
      </c>
      <c r="I325" s="115">
        <v>13100110</v>
      </c>
      <c r="J325" s="114" t="s">
        <v>3460</v>
      </c>
      <c r="K325" s="114" t="s">
        <v>3461</v>
      </c>
      <c r="L325" s="116"/>
      <c r="M325" s="114" t="s">
        <v>2878</v>
      </c>
      <c r="N325" s="114" t="s">
        <v>3462</v>
      </c>
      <c r="O325" s="114" t="s">
        <v>2878</v>
      </c>
      <c r="P325" s="117" t="s">
        <v>2880</v>
      </c>
    </row>
    <row r="326" spans="2:16" ht="45" x14ac:dyDescent="0.25">
      <c r="B326" s="114" t="str">
        <f t="shared" si="28"/>
        <v>1</v>
      </c>
      <c r="C326" s="114" t="str">
        <f t="shared" si="29"/>
        <v>3</v>
      </c>
      <c r="D326" s="114" t="str">
        <f t="shared" si="30"/>
        <v>1</v>
      </c>
      <c r="E326" s="114" t="str">
        <f t="shared" si="31"/>
        <v>0</v>
      </c>
      <c r="F326" s="114" t="str">
        <f t="shared" si="32"/>
        <v>01</v>
      </c>
      <c r="G326" s="114" t="str">
        <f t="shared" si="33"/>
        <v>2</v>
      </c>
      <c r="H326" s="114" t="str">
        <f t="shared" si="34"/>
        <v>0</v>
      </c>
      <c r="I326" s="115">
        <v>13100120</v>
      </c>
      <c r="J326" s="114" t="s">
        <v>3470</v>
      </c>
      <c r="K326" s="114" t="s">
        <v>3471</v>
      </c>
      <c r="L326" s="116"/>
      <c r="M326" s="114" t="s">
        <v>2878</v>
      </c>
      <c r="N326" s="114" t="s">
        <v>3462</v>
      </c>
      <c r="O326" s="114" t="s">
        <v>2878</v>
      </c>
      <c r="P326" s="117" t="s">
        <v>2880</v>
      </c>
    </row>
    <row r="327" spans="2:16" ht="60" x14ac:dyDescent="0.25">
      <c r="B327" s="108" t="str">
        <f t="shared" si="28"/>
        <v>1</v>
      </c>
      <c r="C327" s="108" t="str">
        <f t="shared" si="29"/>
        <v>3</v>
      </c>
      <c r="D327" s="108" t="str">
        <f t="shared" si="30"/>
        <v>1</v>
      </c>
      <c r="E327" s="108" t="str">
        <f t="shared" si="31"/>
        <v>0</v>
      </c>
      <c r="F327" s="108" t="str">
        <f t="shared" si="32"/>
        <v>02</v>
      </c>
      <c r="G327" s="108" t="str">
        <f t="shared" si="33"/>
        <v>0</v>
      </c>
      <c r="H327" s="108" t="str">
        <f t="shared" si="34"/>
        <v>0</v>
      </c>
      <c r="I327" s="109">
        <v>13100200</v>
      </c>
      <c r="J327" s="108" t="s">
        <v>3479</v>
      </c>
      <c r="K327" s="108" t="s">
        <v>3480</v>
      </c>
      <c r="L327" s="110"/>
      <c r="M327" s="108" t="s">
        <v>2878</v>
      </c>
      <c r="N327" s="108" t="s">
        <v>2879</v>
      </c>
      <c r="O327" s="108" t="s">
        <v>2878</v>
      </c>
      <c r="P327" s="111" t="s">
        <v>2880</v>
      </c>
    </row>
    <row r="328" spans="2:16" ht="60" x14ac:dyDescent="0.25">
      <c r="B328" s="114" t="str">
        <f t="shared" si="28"/>
        <v>1</v>
      </c>
      <c r="C328" s="114" t="str">
        <f t="shared" si="29"/>
        <v>3</v>
      </c>
      <c r="D328" s="114" t="str">
        <f t="shared" si="30"/>
        <v>1</v>
      </c>
      <c r="E328" s="114" t="str">
        <f t="shared" si="31"/>
        <v>0</v>
      </c>
      <c r="F328" s="114" t="str">
        <f t="shared" si="32"/>
        <v>02</v>
      </c>
      <c r="G328" s="114" t="str">
        <f t="shared" si="33"/>
        <v>1</v>
      </c>
      <c r="H328" s="114" t="str">
        <f t="shared" si="34"/>
        <v>0</v>
      </c>
      <c r="I328" s="115">
        <v>13100210</v>
      </c>
      <c r="J328" s="114" t="s">
        <v>3479</v>
      </c>
      <c r="K328" s="114" t="s">
        <v>3480</v>
      </c>
      <c r="L328" s="116"/>
      <c r="M328" s="114" t="s">
        <v>2878</v>
      </c>
      <c r="N328" s="114" t="s">
        <v>2879</v>
      </c>
      <c r="O328" s="114" t="s">
        <v>2878</v>
      </c>
      <c r="P328" s="117" t="s">
        <v>2880</v>
      </c>
    </row>
    <row r="329" spans="2:16" ht="30" x14ac:dyDescent="0.25">
      <c r="B329" s="108" t="str">
        <f t="shared" si="28"/>
        <v>1</v>
      </c>
      <c r="C329" s="108" t="str">
        <f t="shared" si="29"/>
        <v>3</v>
      </c>
      <c r="D329" s="108" t="str">
        <f t="shared" si="30"/>
        <v>1</v>
      </c>
      <c r="E329" s="108" t="str">
        <f t="shared" si="31"/>
        <v>0</v>
      </c>
      <c r="F329" s="108" t="str">
        <f t="shared" si="32"/>
        <v>99</v>
      </c>
      <c r="G329" s="108" t="str">
        <f t="shared" si="33"/>
        <v>0</v>
      </c>
      <c r="H329" s="108" t="str">
        <f t="shared" si="34"/>
        <v>0</v>
      </c>
      <c r="I329" s="109">
        <v>13109900</v>
      </c>
      <c r="J329" s="108" t="s">
        <v>585</v>
      </c>
      <c r="K329" s="108" t="s">
        <v>3488</v>
      </c>
      <c r="L329" s="110"/>
      <c r="M329" s="108" t="s">
        <v>2878</v>
      </c>
      <c r="N329" s="108" t="s">
        <v>2879</v>
      </c>
      <c r="O329" s="108" t="s">
        <v>2878</v>
      </c>
      <c r="P329" s="111" t="s">
        <v>2880</v>
      </c>
    </row>
    <row r="330" spans="2:16" ht="30" x14ac:dyDescent="0.25">
      <c r="B330" s="114" t="str">
        <f t="shared" si="28"/>
        <v>1</v>
      </c>
      <c r="C330" s="114" t="str">
        <f t="shared" si="29"/>
        <v>3</v>
      </c>
      <c r="D330" s="114" t="str">
        <f t="shared" si="30"/>
        <v>1</v>
      </c>
      <c r="E330" s="114" t="str">
        <f t="shared" si="31"/>
        <v>0</v>
      </c>
      <c r="F330" s="114" t="str">
        <f t="shared" si="32"/>
        <v>99</v>
      </c>
      <c r="G330" s="114" t="str">
        <f t="shared" si="33"/>
        <v>1</v>
      </c>
      <c r="H330" s="114" t="str">
        <f t="shared" si="34"/>
        <v>0</v>
      </c>
      <c r="I330" s="115">
        <v>13109910</v>
      </c>
      <c r="J330" s="114" t="s">
        <v>585</v>
      </c>
      <c r="K330" s="114" t="s">
        <v>3488</v>
      </c>
      <c r="L330" s="116"/>
      <c r="M330" s="114" t="s">
        <v>2878</v>
      </c>
      <c r="N330" s="114" t="s">
        <v>2879</v>
      </c>
      <c r="O330" s="114" t="s">
        <v>2878</v>
      </c>
      <c r="P330" s="117" t="s">
        <v>2880</v>
      </c>
    </row>
    <row r="331" spans="2:16" ht="30" x14ac:dyDescent="0.25">
      <c r="B331" s="126" t="str">
        <f t="shared" si="28"/>
        <v>1</v>
      </c>
      <c r="C331" s="126" t="str">
        <f t="shared" si="29"/>
        <v>3</v>
      </c>
      <c r="D331" s="126" t="str">
        <f t="shared" si="30"/>
        <v>2</v>
      </c>
      <c r="E331" s="126" t="str">
        <f t="shared" si="31"/>
        <v>0</v>
      </c>
      <c r="F331" s="126" t="str">
        <f t="shared" si="32"/>
        <v>00</v>
      </c>
      <c r="G331" s="126" t="str">
        <f t="shared" si="33"/>
        <v>0</v>
      </c>
      <c r="H331" s="126" t="str">
        <f t="shared" si="34"/>
        <v>0</v>
      </c>
      <c r="I331" s="127">
        <v>13200000</v>
      </c>
      <c r="J331" s="126" t="s">
        <v>3495</v>
      </c>
      <c r="K331" s="126" t="s">
        <v>3496</v>
      </c>
      <c r="L331" s="122"/>
      <c r="M331" s="126" t="s">
        <v>2878</v>
      </c>
      <c r="N331" s="126" t="s">
        <v>5016</v>
      </c>
      <c r="O331" s="126" t="s">
        <v>2878</v>
      </c>
      <c r="P331" s="128" t="s">
        <v>2880</v>
      </c>
    </row>
    <row r="332" spans="2:16" ht="30" x14ac:dyDescent="0.25">
      <c r="B332" s="104" t="str">
        <f t="shared" si="28"/>
        <v>1</v>
      </c>
      <c r="C332" s="104" t="str">
        <f t="shared" si="29"/>
        <v>3</v>
      </c>
      <c r="D332" s="104" t="str">
        <f t="shared" si="30"/>
        <v>2</v>
      </c>
      <c r="E332" s="104" t="str">
        <f t="shared" si="31"/>
        <v>1</v>
      </c>
      <c r="F332" s="104" t="str">
        <f t="shared" si="32"/>
        <v>00</v>
      </c>
      <c r="G332" s="104" t="str">
        <f t="shared" si="33"/>
        <v>0</v>
      </c>
      <c r="H332" s="104" t="str">
        <f t="shared" si="34"/>
        <v>0</v>
      </c>
      <c r="I332" s="105">
        <v>13210000</v>
      </c>
      <c r="J332" s="104" t="s">
        <v>3497</v>
      </c>
      <c r="K332" s="104" t="s">
        <v>3498</v>
      </c>
      <c r="L332" s="106"/>
      <c r="M332" s="104" t="s">
        <v>2878</v>
      </c>
      <c r="N332" s="104" t="s">
        <v>2879</v>
      </c>
      <c r="O332" s="104" t="s">
        <v>2878</v>
      </c>
      <c r="P332" s="107" t="s">
        <v>2880</v>
      </c>
    </row>
    <row r="333" spans="2:16" ht="30" x14ac:dyDescent="0.25">
      <c r="B333" s="114" t="str">
        <f t="shared" si="28"/>
        <v>1</v>
      </c>
      <c r="C333" s="114" t="str">
        <f t="shared" si="29"/>
        <v>3</v>
      </c>
      <c r="D333" s="114" t="str">
        <f t="shared" si="30"/>
        <v>2</v>
      </c>
      <c r="E333" s="114" t="str">
        <f t="shared" si="31"/>
        <v>1</v>
      </c>
      <c r="F333" s="114" t="str">
        <f t="shared" si="32"/>
        <v>00</v>
      </c>
      <c r="G333" s="114" t="str">
        <f t="shared" si="33"/>
        <v>1</v>
      </c>
      <c r="H333" s="114" t="str">
        <f t="shared" si="34"/>
        <v>0</v>
      </c>
      <c r="I333" s="115">
        <v>13210010</v>
      </c>
      <c r="J333" s="114" t="s">
        <v>603</v>
      </c>
      <c r="K333" s="114" t="s">
        <v>3499</v>
      </c>
      <c r="L333" s="116"/>
      <c r="M333" s="114" t="s">
        <v>2878</v>
      </c>
      <c r="N333" s="114" t="s">
        <v>2879</v>
      </c>
      <c r="O333" s="114" t="s">
        <v>2878</v>
      </c>
      <c r="P333" s="117" t="s">
        <v>2880</v>
      </c>
    </row>
    <row r="334" spans="2:16" ht="45" x14ac:dyDescent="0.25">
      <c r="B334" s="114" t="str">
        <f t="shared" si="28"/>
        <v>1</v>
      </c>
      <c r="C334" s="114" t="str">
        <f t="shared" si="29"/>
        <v>3</v>
      </c>
      <c r="D334" s="114" t="str">
        <f t="shared" si="30"/>
        <v>2</v>
      </c>
      <c r="E334" s="114" t="str">
        <f t="shared" si="31"/>
        <v>1</v>
      </c>
      <c r="F334" s="114" t="str">
        <f t="shared" si="32"/>
        <v>00</v>
      </c>
      <c r="G334" s="114" t="str">
        <f t="shared" si="33"/>
        <v>2</v>
      </c>
      <c r="H334" s="114" t="str">
        <f t="shared" si="34"/>
        <v>0</v>
      </c>
      <c r="I334" s="115">
        <v>13210020</v>
      </c>
      <c r="J334" s="114" t="s">
        <v>605</v>
      </c>
      <c r="K334" s="114" t="s">
        <v>3503</v>
      </c>
      <c r="L334" s="116"/>
      <c r="M334" s="114" t="s">
        <v>3044</v>
      </c>
      <c r="N334" s="114" t="s">
        <v>2879</v>
      </c>
      <c r="O334" s="114" t="s">
        <v>3502</v>
      </c>
      <c r="P334" s="117" t="s">
        <v>2880</v>
      </c>
    </row>
    <row r="335" spans="2:16" ht="45" x14ac:dyDescent="0.25">
      <c r="B335" s="114" t="str">
        <f t="shared" si="28"/>
        <v>1</v>
      </c>
      <c r="C335" s="114" t="str">
        <f t="shared" si="29"/>
        <v>3</v>
      </c>
      <c r="D335" s="114" t="str">
        <f t="shared" si="30"/>
        <v>2</v>
      </c>
      <c r="E335" s="114" t="str">
        <f t="shared" si="31"/>
        <v>1</v>
      </c>
      <c r="F335" s="114" t="str">
        <f t="shared" si="32"/>
        <v>00</v>
      </c>
      <c r="G335" s="114" t="str">
        <f t="shared" si="33"/>
        <v>3</v>
      </c>
      <c r="H335" s="114" t="str">
        <f t="shared" si="34"/>
        <v>0</v>
      </c>
      <c r="I335" s="115">
        <v>13210030</v>
      </c>
      <c r="J335" s="114" t="s">
        <v>3505</v>
      </c>
      <c r="K335" s="114" t="s">
        <v>3506</v>
      </c>
      <c r="L335" s="116"/>
      <c r="M335" s="114" t="s">
        <v>3044</v>
      </c>
      <c r="N335" s="114" t="s">
        <v>2879</v>
      </c>
      <c r="O335" s="114" t="s">
        <v>3502</v>
      </c>
      <c r="P335" s="117" t="s">
        <v>2880</v>
      </c>
    </row>
    <row r="336" spans="2:16" ht="45" x14ac:dyDescent="0.25">
      <c r="B336" s="114" t="str">
        <f t="shared" ref="B336:B359" si="35">MID($I336,1,1)</f>
        <v>1</v>
      </c>
      <c r="C336" s="114" t="str">
        <f t="shared" ref="C336:C359" si="36">MID($I336,2,1)</f>
        <v>3</v>
      </c>
      <c r="D336" s="114" t="str">
        <f t="shared" ref="D336:D359" si="37">MID($I336,3,1)</f>
        <v>2</v>
      </c>
      <c r="E336" s="114" t="str">
        <f t="shared" ref="E336:E359" si="38">MID($I336,4,1)</f>
        <v>1</v>
      </c>
      <c r="F336" s="114" t="str">
        <f t="shared" ref="F336:F359" si="39">MID($I336,5,2)</f>
        <v>00</v>
      </c>
      <c r="G336" s="114" t="str">
        <f t="shared" ref="G336:G359" si="40">MID($I336,7,1)</f>
        <v>4</v>
      </c>
      <c r="H336" s="114" t="str">
        <f t="shared" ref="H336:H359" si="41">MID($I336,8,1)</f>
        <v>0</v>
      </c>
      <c r="I336" s="115">
        <v>13210040</v>
      </c>
      <c r="J336" s="114" t="s">
        <v>3508</v>
      </c>
      <c r="K336" s="114" t="s">
        <v>3509</v>
      </c>
      <c r="L336" s="116"/>
      <c r="M336" s="114" t="s">
        <v>2878</v>
      </c>
      <c r="N336" s="114" t="s">
        <v>2879</v>
      </c>
      <c r="O336" s="114" t="s">
        <v>2878</v>
      </c>
      <c r="P336" s="117" t="s">
        <v>2880</v>
      </c>
    </row>
    <row r="337" spans="2:16" ht="30" x14ac:dyDescent="0.25">
      <c r="B337" s="114" t="str">
        <f t="shared" si="35"/>
        <v>1</v>
      </c>
      <c r="C337" s="114" t="str">
        <f t="shared" si="36"/>
        <v>3</v>
      </c>
      <c r="D337" s="114" t="str">
        <f t="shared" si="37"/>
        <v>2</v>
      </c>
      <c r="E337" s="114" t="str">
        <f t="shared" si="38"/>
        <v>1</v>
      </c>
      <c r="F337" s="114" t="str">
        <f t="shared" si="39"/>
        <v>00</v>
      </c>
      <c r="G337" s="114" t="str">
        <f t="shared" si="40"/>
        <v>5</v>
      </c>
      <c r="H337" s="114" t="str">
        <f t="shared" si="41"/>
        <v>0</v>
      </c>
      <c r="I337" s="115">
        <v>13210050</v>
      </c>
      <c r="J337" s="114" t="s">
        <v>589</v>
      </c>
      <c r="K337" s="114" t="s">
        <v>3514</v>
      </c>
      <c r="L337" s="116"/>
      <c r="M337" s="114" t="s">
        <v>2878</v>
      </c>
      <c r="N337" s="114" t="s">
        <v>2879</v>
      </c>
      <c r="O337" s="114" t="s">
        <v>2878</v>
      </c>
      <c r="P337" s="117" t="s">
        <v>2880</v>
      </c>
    </row>
    <row r="338" spans="2:16" s="153" customFormat="1" ht="60" x14ac:dyDescent="0.25">
      <c r="B338" s="130" t="str">
        <f t="shared" si="35"/>
        <v>1</v>
      </c>
      <c r="C338" s="130" t="str">
        <f t="shared" si="36"/>
        <v>3</v>
      </c>
      <c r="D338" s="130" t="str">
        <f t="shared" si="37"/>
        <v>2</v>
      </c>
      <c r="E338" s="130" t="str">
        <f t="shared" si="38"/>
        <v>1</v>
      </c>
      <c r="F338" s="130" t="str">
        <f t="shared" si="39"/>
        <v>00</v>
      </c>
      <c r="G338" s="130" t="str">
        <f t="shared" si="40"/>
        <v>6</v>
      </c>
      <c r="H338" s="130" t="str">
        <f t="shared" si="41"/>
        <v>0</v>
      </c>
      <c r="I338" s="129">
        <v>13210060</v>
      </c>
      <c r="J338" s="130" t="s">
        <v>599</v>
      </c>
      <c r="K338" s="130" t="s">
        <v>3518</v>
      </c>
      <c r="L338" s="116"/>
      <c r="M338" s="130" t="s">
        <v>2878</v>
      </c>
      <c r="N338" s="130" t="s">
        <v>2879</v>
      </c>
      <c r="O338" s="130" t="s">
        <v>2878</v>
      </c>
      <c r="P338" s="152" t="s">
        <v>2880</v>
      </c>
    </row>
    <row r="339" spans="2:16" ht="30" x14ac:dyDescent="0.25">
      <c r="B339" s="104" t="str">
        <f t="shared" si="35"/>
        <v>1</v>
      </c>
      <c r="C339" s="104" t="str">
        <f t="shared" si="36"/>
        <v>3</v>
      </c>
      <c r="D339" s="104" t="str">
        <f t="shared" si="37"/>
        <v>2</v>
      </c>
      <c r="E339" s="104" t="str">
        <f t="shared" si="38"/>
        <v>2</v>
      </c>
      <c r="F339" s="104" t="str">
        <f t="shared" si="39"/>
        <v>00</v>
      </c>
      <c r="G339" s="104" t="str">
        <f t="shared" si="40"/>
        <v>0</v>
      </c>
      <c r="H339" s="104" t="str">
        <f t="shared" si="41"/>
        <v>0</v>
      </c>
      <c r="I339" s="105">
        <v>13220000</v>
      </c>
      <c r="J339" s="104" t="s">
        <v>594</v>
      </c>
      <c r="K339" s="104" t="s">
        <v>3522</v>
      </c>
      <c r="L339" s="106"/>
      <c r="M339" s="104" t="s">
        <v>2878</v>
      </c>
      <c r="N339" s="104" t="s">
        <v>2879</v>
      </c>
      <c r="O339" s="104" t="s">
        <v>2878</v>
      </c>
      <c r="P339" s="107" t="s">
        <v>2880</v>
      </c>
    </row>
    <row r="340" spans="2:16" ht="30" x14ac:dyDescent="0.25">
      <c r="B340" s="114" t="str">
        <f t="shared" si="35"/>
        <v>1</v>
      </c>
      <c r="C340" s="114" t="str">
        <f t="shared" si="36"/>
        <v>3</v>
      </c>
      <c r="D340" s="114" t="str">
        <f t="shared" si="37"/>
        <v>2</v>
      </c>
      <c r="E340" s="114" t="str">
        <f t="shared" si="38"/>
        <v>2</v>
      </c>
      <c r="F340" s="114" t="str">
        <f t="shared" si="39"/>
        <v>00</v>
      </c>
      <c r="G340" s="114" t="str">
        <f t="shared" si="40"/>
        <v>1</v>
      </c>
      <c r="H340" s="114" t="str">
        <f t="shared" si="41"/>
        <v>0</v>
      </c>
      <c r="I340" s="115">
        <v>13220010</v>
      </c>
      <c r="J340" s="114" t="s">
        <v>594</v>
      </c>
      <c r="K340" s="114" t="s">
        <v>3522</v>
      </c>
      <c r="L340" s="116"/>
      <c r="M340" s="114" t="s">
        <v>2878</v>
      </c>
      <c r="N340" s="114" t="s">
        <v>2879</v>
      </c>
      <c r="O340" s="114" t="s">
        <v>2878</v>
      </c>
      <c r="P340" s="117" t="s">
        <v>2880</v>
      </c>
    </row>
    <row r="341" spans="2:16" s="153" customFormat="1" ht="30" x14ac:dyDescent="0.25">
      <c r="B341" s="155" t="str">
        <f t="shared" si="35"/>
        <v>1</v>
      </c>
      <c r="C341" s="155" t="str">
        <f t="shared" si="36"/>
        <v>3</v>
      </c>
      <c r="D341" s="155" t="str">
        <f t="shared" si="37"/>
        <v>2</v>
      </c>
      <c r="E341" s="155" t="str">
        <f t="shared" si="38"/>
        <v>3</v>
      </c>
      <c r="F341" s="155" t="str">
        <f t="shared" si="39"/>
        <v>00</v>
      </c>
      <c r="G341" s="155" t="str">
        <f t="shared" si="40"/>
        <v>0</v>
      </c>
      <c r="H341" s="155" t="str">
        <f t="shared" si="41"/>
        <v>0</v>
      </c>
      <c r="I341" s="161">
        <v>13230000</v>
      </c>
      <c r="J341" s="155" t="s">
        <v>597</v>
      </c>
      <c r="K341" s="155" t="s">
        <v>3530</v>
      </c>
      <c r="L341" s="106"/>
      <c r="M341" s="155" t="s">
        <v>2878</v>
      </c>
      <c r="N341" s="155" t="s">
        <v>2879</v>
      </c>
      <c r="O341" s="155" t="s">
        <v>2878</v>
      </c>
      <c r="P341" s="162" t="s">
        <v>2880</v>
      </c>
    </row>
    <row r="342" spans="2:16" s="153" customFormat="1" ht="30" x14ac:dyDescent="0.25">
      <c r="B342" s="130" t="str">
        <f t="shared" si="35"/>
        <v>1</v>
      </c>
      <c r="C342" s="130" t="str">
        <f t="shared" si="36"/>
        <v>3</v>
      </c>
      <c r="D342" s="130" t="str">
        <f t="shared" si="37"/>
        <v>2</v>
      </c>
      <c r="E342" s="130" t="str">
        <f t="shared" si="38"/>
        <v>3</v>
      </c>
      <c r="F342" s="130" t="str">
        <f t="shared" si="39"/>
        <v>00</v>
      </c>
      <c r="G342" s="130" t="str">
        <f t="shared" si="40"/>
        <v>1</v>
      </c>
      <c r="H342" s="130" t="str">
        <f t="shared" si="41"/>
        <v>0</v>
      </c>
      <c r="I342" s="129">
        <v>13230010</v>
      </c>
      <c r="J342" s="130" t="s">
        <v>597</v>
      </c>
      <c r="K342" s="130" t="s">
        <v>3530</v>
      </c>
      <c r="L342" s="116"/>
      <c r="M342" s="130" t="s">
        <v>2878</v>
      </c>
      <c r="N342" s="130" t="s">
        <v>2879</v>
      </c>
      <c r="O342" s="130" t="s">
        <v>2878</v>
      </c>
      <c r="P342" s="152" t="s">
        <v>2880</v>
      </c>
    </row>
    <row r="343" spans="2:16" ht="30" x14ac:dyDescent="0.25">
      <c r="B343" s="104" t="str">
        <f t="shared" si="35"/>
        <v>1</v>
      </c>
      <c r="C343" s="104" t="str">
        <f t="shared" si="36"/>
        <v>3</v>
      </c>
      <c r="D343" s="104" t="str">
        <f t="shared" si="37"/>
        <v>2</v>
      </c>
      <c r="E343" s="104" t="str">
        <f t="shared" si="38"/>
        <v>9</v>
      </c>
      <c r="F343" s="104" t="str">
        <f t="shared" si="39"/>
        <v>00</v>
      </c>
      <c r="G343" s="104" t="str">
        <f t="shared" si="40"/>
        <v>0</v>
      </c>
      <c r="H343" s="104" t="str">
        <f t="shared" si="41"/>
        <v>0</v>
      </c>
      <c r="I343" s="105">
        <v>13290000</v>
      </c>
      <c r="J343" s="104" t="s">
        <v>3537</v>
      </c>
      <c r="K343" s="104" t="s">
        <v>3538</v>
      </c>
      <c r="L343" s="106"/>
      <c r="M343" s="104" t="s">
        <v>2878</v>
      </c>
      <c r="N343" s="104" t="s">
        <v>2879</v>
      </c>
      <c r="O343" s="104" t="s">
        <v>2878</v>
      </c>
      <c r="P343" s="107" t="s">
        <v>2880</v>
      </c>
    </row>
    <row r="344" spans="2:16" ht="30" x14ac:dyDescent="0.25">
      <c r="B344" s="114" t="str">
        <f t="shared" si="35"/>
        <v>1</v>
      </c>
      <c r="C344" s="114" t="str">
        <f t="shared" si="36"/>
        <v>3</v>
      </c>
      <c r="D344" s="114" t="str">
        <f t="shared" si="37"/>
        <v>2</v>
      </c>
      <c r="E344" s="114" t="str">
        <f t="shared" si="38"/>
        <v>9</v>
      </c>
      <c r="F344" s="114" t="str">
        <f t="shared" si="39"/>
        <v>00</v>
      </c>
      <c r="G344" s="114" t="str">
        <f t="shared" si="40"/>
        <v>1</v>
      </c>
      <c r="H344" s="114" t="str">
        <f t="shared" si="41"/>
        <v>0</v>
      </c>
      <c r="I344" s="115">
        <v>13290010</v>
      </c>
      <c r="J344" s="114" t="s">
        <v>3537</v>
      </c>
      <c r="K344" s="114" t="s">
        <v>3538</v>
      </c>
      <c r="L344" s="116"/>
      <c r="M344" s="114" t="s">
        <v>2878</v>
      </c>
      <c r="N344" s="114" t="s">
        <v>2879</v>
      </c>
      <c r="O344" s="114" t="s">
        <v>2878</v>
      </c>
      <c r="P344" s="117" t="s">
        <v>2880</v>
      </c>
    </row>
    <row r="345" spans="2:16" ht="45" x14ac:dyDescent="0.25">
      <c r="B345" s="126" t="str">
        <f t="shared" si="35"/>
        <v>1</v>
      </c>
      <c r="C345" s="126" t="str">
        <f t="shared" si="36"/>
        <v>3</v>
      </c>
      <c r="D345" s="126" t="str">
        <f t="shared" si="37"/>
        <v>3</v>
      </c>
      <c r="E345" s="126" t="str">
        <f t="shared" si="38"/>
        <v>0</v>
      </c>
      <c r="F345" s="126" t="str">
        <f t="shared" si="39"/>
        <v>00</v>
      </c>
      <c r="G345" s="126" t="str">
        <f t="shared" si="40"/>
        <v>0</v>
      </c>
      <c r="H345" s="126" t="str">
        <f t="shared" si="41"/>
        <v>0</v>
      </c>
      <c r="I345" s="127">
        <v>13300000</v>
      </c>
      <c r="J345" s="126" t="s">
        <v>3544</v>
      </c>
      <c r="K345" s="126" t="s">
        <v>3545</v>
      </c>
      <c r="L345" s="122"/>
      <c r="M345" s="126" t="s">
        <v>2878</v>
      </c>
      <c r="N345" s="126" t="s">
        <v>5016</v>
      </c>
      <c r="O345" s="126" t="s">
        <v>2878</v>
      </c>
      <c r="P345" s="128" t="s">
        <v>2880</v>
      </c>
    </row>
    <row r="346" spans="2:16" ht="45" x14ac:dyDescent="0.25">
      <c r="B346" s="104" t="str">
        <f t="shared" si="35"/>
        <v>1</v>
      </c>
      <c r="C346" s="104" t="str">
        <f t="shared" si="36"/>
        <v>3</v>
      </c>
      <c r="D346" s="104" t="str">
        <f t="shared" si="37"/>
        <v>3</v>
      </c>
      <c r="E346" s="104" t="str">
        <f t="shared" si="38"/>
        <v>1</v>
      </c>
      <c r="F346" s="104" t="str">
        <f t="shared" si="39"/>
        <v>00</v>
      </c>
      <c r="G346" s="104" t="str">
        <f t="shared" si="40"/>
        <v>0</v>
      </c>
      <c r="H346" s="104" t="str">
        <f t="shared" si="41"/>
        <v>0</v>
      </c>
      <c r="I346" s="105">
        <v>13310000</v>
      </c>
      <c r="J346" s="104" t="s">
        <v>3546</v>
      </c>
      <c r="K346" s="104" t="s">
        <v>3547</v>
      </c>
      <c r="L346" s="106"/>
      <c r="M346" s="104" t="s">
        <v>2878</v>
      </c>
      <c r="N346" s="104" t="s">
        <v>2879</v>
      </c>
      <c r="O346" s="104" t="s">
        <v>2878</v>
      </c>
      <c r="P346" s="107" t="s">
        <v>2880</v>
      </c>
    </row>
    <row r="347" spans="2:16" ht="45" x14ac:dyDescent="0.25">
      <c r="B347" s="108" t="str">
        <f t="shared" si="35"/>
        <v>1</v>
      </c>
      <c r="C347" s="108" t="str">
        <f t="shared" si="36"/>
        <v>3</v>
      </c>
      <c r="D347" s="108" t="str">
        <f t="shared" si="37"/>
        <v>3</v>
      </c>
      <c r="E347" s="108" t="str">
        <f t="shared" si="38"/>
        <v>1</v>
      </c>
      <c r="F347" s="108" t="str">
        <f t="shared" si="39"/>
        <v>01</v>
      </c>
      <c r="G347" s="108" t="str">
        <f t="shared" si="40"/>
        <v>0</v>
      </c>
      <c r="H347" s="108" t="str">
        <f t="shared" si="41"/>
        <v>0</v>
      </c>
      <c r="I347" s="109">
        <v>13310100</v>
      </c>
      <c r="J347" s="108" t="s">
        <v>3548</v>
      </c>
      <c r="K347" s="108" t="s">
        <v>3549</v>
      </c>
      <c r="L347" s="110"/>
      <c r="M347" s="108" t="s">
        <v>2878</v>
      </c>
      <c r="N347" s="108" t="s">
        <v>2879</v>
      </c>
      <c r="O347" s="108" t="s">
        <v>2878</v>
      </c>
      <c r="P347" s="111" t="s">
        <v>2880</v>
      </c>
    </row>
    <row r="348" spans="2:16" ht="45" x14ac:dyDescent="0.25">
      <c r="B348" s="114" t="str">
        <f t="shared" si="35"/>
        <v>1</v>
      </c>
      <c r="C348" s="114" t="str">
        <f t="shared" si="36"/>
        <v>3</v>
      </c>
      <c r="D348" s="114" t="str">
        <f t="shared" si="37"/>
        <v>3</v>
      </c>
      <c r="E348" s="114" t="str">
        <f t="shared" si="38"/>
        <v>1</v>
      </c>
      <c r="F348" s="114" t="str">
        <f t="shared" si="39"/>
        <v>01</v>
      </c>
      <c r="G348" s="114" t="str">
        <f t="shared" si="40"/>
        <v>1</v>
      </c>
      <c r="H348" s="114" t="str">
        <f t="shared" si="41"/>
        <v>0</v>
      </c>
      <c r="I348" s="115">
        <v>13310110</v>
      </c>
      <c r="J348" s="114" t="s">
        <v>3548</v>
      </c>
      <c r="K348" s="114" t="s">
        <v>3549</v>
      </c>
      <c r="L348" s="116"/>
      <c r="M348" s="114" t="s">
        <v>2878</v>
      </c>
      <c r="N348" s="114" t="s">
        <v>2879</v>
      </c>
      <c r="O348" s="114" t="s">
        <v>2878</v>
      </c>
      <c r="P348" s="117" t="s">
        <v>2880</v>
      </c>
    </row>
    <row r="349" spans="2:16" ht="45" x14ac:dyDescent="0.25">
      <c r="B349" s="108" t="str">
        <f t="shared" si="35"/>
        <v>1</v>
      </c>
      <c r="C349" s="108" t="str">
        <f t="shared" si="36"/>
        <v>3</v>
      </c>
      <c r="D349" s="108" t="str">
        <f t="shared" si="37"/>
        <v>3</v>
      </c>
      <c r="E349" s="108" t="str">
        <f t="shared" si="38"/>
        <v>1</v>
      </c>
      <c r="F349" s="108" t="str">
        <f t="shared" si="39"/>
        <v>02</v>
      </c>
      <c r="G349" s="108" t="str">
        <f t="shared" si="40"/>
        <v>0</v>
      </c>
      <c r="H349" s="108" t="str">
        <f t="shared" si="41"/>
        <v>0</v>
      </c>
      <c r="I349" s="109">
        <v>13310200</v>
      </c>
      <c r="J349" s="108" t="s">
        <v>3557</v>
      </c>
      <c r="K349" s="108" t="s">
        <v>3558</v>
      </c>
      <c r="L349" s="110"/>
      <c r="M349" s="108" t="s">
        <v>2878</v>
      </c>
      <c r="N349" s="108" t="s">
        <v>2879</v>
      </c>
      <c r="O349" s="108" t="s">
        <v>2878</v>
      </c>
      <c r="P349" s="111" t="s">
        <v>2880</v>
      </c>
    </row>
    <row r="350" spans="2:16" ht="45" x14ac:dyDescent="0.25">
      <c r="B350" s="114" t="str">
        <f t="shared" si="35"/>
        <v>1</v>
      </c>
      <c r="C350" s="114" t="str">
        <f t="shared" si="36"/>
        <v>3</v>
      </c>
      <c r="D350" s="114" t="str">
        <f t="shared" si="37"/>
        <v>3</v>
      </c>
      <c r="E350" s="114" t="str">
        <f t="shared" si="38"/>
        <v>1</v>
      </c>
      <c r="F350" s="114" t="str">
        <f t="shared" si="39"/>
        <v>02</v>
      </c>
      <c r="G350" s="114" t="str">
        <f t="shared" si="40"/>
        <v>1</v>
      </c>
      <c r="H350" s="114" t="str">
        <f t="shared" si="41"/>
        <v>0</v>
      </c>
      <c r="I350" s="115">
        <v>13310210</v>
      </c>
      <c r="J350" s="114" t="s">
        <v>3557</v>
      </c>
      <c r="K350" s="114" t="s">
        <v>3558</v>
      </c>
      <c r="L350" s="116"/>
      <c r="M350" s="114" t="s">
        <v>2878</v>
      </c>
      <c r="N350" s="114" t="s">
        <v>2879</v>
      </c>
      <c r="O350" s="114" t="s">
        <v>2878</v>
      </c>
      <c r="P350" s="117" t="s">
        <v>2880</v>
      </c>
    </row>
    <row r="351" spans="2:16" ht="45" x14ac:dyDescent="0.25">
      <c r="B351" s="108" t="str">
        <f t="shared" si="35"/>
        <v>1</v>
      </c>
      <c r="C351" s="108" t="str">
        <f t="shared" si="36"/>
        <v>3</v>
      </c>
      <c r="D351" s="108" t="str">
        <f t="shared" si="37"/>
        <v>3</v>
      </c>
      <c r="E351" s="108" t="str">
        <f t="shared" si="38"/>
        <v>1</v>
      </c>
      <c r="F351" s="108" t="str">
        <f t="shared" si="39"/>
        <v>03</v>
      </c>
      <c r="G351" s="108" t="str">
        <f t="shared" si="40"/>
        <v>0</v>
      </c>
      <c r="H351" s="108" t="str">
        <f t="shared" si="41"/>
        <v>0</v>
      </c>
      <c r="I351" s="109">
        <v>13310300</v>
      </c>
      <c r="J351" s="108" t="s">
        <v>3565</v>
      </c>
      <c r="K351" s="108" t="s">
        <v>3566</v>
      </c>
      <c r="L351" s="110"/>
      <c r="M351" s="108" t="s">
        <v>2878</v>
      </c>
      <c r="N351" s="108" t="s">
        <v>2879</v>
      </c>
      <c r="O351" s="108" t="s">
        <v>2878</v>
      </c>
      <c r="P351" s="111" t="s">
        <v>2880</v>
      </c>
    </row>
    <row r="352" spans="2:16" ht="45" x14ac:dyDescent="0.25">
      <c r="B352" s="114" t="str">
        <f t="shared" si="35"/>
        <v>1</v>
      </c>
      <c r="C352" s="114" t="str">
        <f t="shared" si="36"/>
        <v>3</v>
      </c>
      <c r="D352" s="114" t="str">
        <f t="shared" si="37"/>
        <v>3</v>
      </c>
      <c r="E352" s="114" t="str">
        <f t="shared" si="38"/>
        <v>1</v>
      </c>
      <c r="F352" s="114" t="str">
        <f t="shared" si="39"/>
        <v>03</v>
      </c>
      <c r="G352" s="114" t="str">
        <f t="shared" si="40"/>
        <v>1</v>
      </c>
      <c r="H352" s="114" t="str">
        <f t="shared" si="41"/>
        <v>0</v>
      </c>
      <c r="I352" s="115">
        <v>13310310</v>
      </c>
      <c r="J352" s="114" t="s">
        <v>3565</v>
      </c>
      <c r="K352" s="114" t="s">
        <v>3566</v>
      </c>
      <c r="L352" s="116"/>
      <c r="M352" s="114" t="s">
        <v>2878</v>
      </c>
      <c r="N352" s="114" t="s">
        <v>2879</v>
      </c>
      <c r="O352" s="114" t="s">
        <v>2878</v>
      </c>
      <c r="P352" s="117" t="s">
        <v>2880</v>
      </c>
    </row>
    <row r="353" spans="2:16" ht="45" x14ac:dyDescent="0.25">
      <c r="B353" s="108" t="str">
        <f t="shared" si="35"/>
        <v>1</v>
      </c>
      <c r="C353" s="108" t="str">
        <f t="shared" si="36"/>
        <v>3</v>
      </c>
      <c r="D353" s="108" t="str">
        <f t="shared" si="37"/>
        <v>3</v>
      </c>
      <c r="E353" s="108" t="str">
        <f t="shared" si="38"/>
        <v>1</v>
      </c>
      <c r="F353" s="108" t="str">
        <f t="shared" si="39"/>
        <v>04</v>
      </c>
      <c r="G353" s="108" t="str">
        <f t="shared" si="40"/>
        <v>0</v>
      </c>
      <c r="H353" s="108" t="str">
        <f t="shared" si="41"/>
        <v>0</v>
      </c>
      <c r="I353" s="109">
        <v>13310400</v>
      </c>
      <c r="J353" s="108" t="s">
        <v>3572</v>
      </c>
      <c r="K353" s="108" t="s">
        <v>3573</v>
      </c>
      <c r="L353" s="110"/>
      <c r="M353" s="108" t="s">
        <v>2878</v>
      </c>
      <c r="N353" s="108" t="s">
        <v>2879</v>
      </c>
      <c r="O353" s="108" t="s">
        <v>2878</v>
      </c>
      <c r="P353" s="111" t="s">
        <v>2880</v>
      </c>
    </row>
    <row r="354" spans="2:16" ht="45" x14ac:dyDescent="0.25">
      <c r="B354" s="114" t="str">
        <f t="shared" si="35"/>
        <v>1</v>
      </c>
      <c r="C354" s="114" t="str">
        <f t="shared" si="36"/>
        <v>3</v>
      </c>
      <c r="D354" s="114" t="str">
        <f t="shared" si="37"/>
        <v>3</v>
      </c>
      <c r="E354" s="114" t="str">
        <f t="shared" si="38"/>
        <v>1</v>
      </c>
      <c r="F354" s="114" t="str">
        <f t="shared" si="39"/>
        <v>04</v>
      </c>
      <c r="G354" s="114" t="str">
        <f t="shared" si="40"/>
        <v>1</v>
      </c>
      <c r="H354" s="114" t="str">
        <f t="shared" si="41"/>
        <v>0</v>
      </c>
      <c r="I354" s="115">
        <v>13310410</v>
      </c>
      <c r="J354" s="114" t="s">
        <v>3572</v>
      </c>
      <c r="K354" s="114" t="s">
        <v>3573</v>
      </c>
      <c r="L354" s="116"/>
      <c r="M354" s="114" t="s">
        <v>2878</v>
      </c>
      <c r="N354" s="114" t="s">
        <v>2879</v>
      </c>
      <c r="O354" s="114" t="s">
        <v>2878</v>
      </c>
      <c r="P354" s="117" t="s">
        <v>2880</v>
      </c>
    </row>
    <row r="355" spans="2:16" ht="45" x14ac:dyDescent="0.25">
      <c r="B355" s="108" t="str">
        <f t="shared" si="35"/>
        <v>1</v>
      </c>
      <c r="C355" s="108" t="str">
        <f t="shared" si="36"/>
        <v>3</v>
      </c>
      <c r="D355" s="108" t="str">
        <f t="shared" si="37"/>
        <v>3</v>
      </c>
      <c r="E355" s="108" t="str">
        <f t="shared" si="38"/>
        <v>1</v>
      </c>
      <c r="F355" s="108" t="str">
        <f t="shared" si="39"/>
        <v>05</v>
      </c>
      <c r="G355" s="108" t="str">
        <f t="shared" si="40"/>
        <v>0</v>
      </c>
      <c r="H355" s="108" t="str">
        <f t="shared" si="41"/>
        <v>0</v>
      </c>
      <c r="I355" s="109">
        <v>13310500</v>
      </c>
      <c r="J355" s="108" t="s">
        <v>3580</v>
      </c>
      <c r="K355" s="108" t="s">
        <v>3581</v>
      </c>
      <c r="L355" s="110"/>
      <c r="M355" s="108" t="s">
        <v>2878</v>
      </c>
      <c r="N355" s="108" t="s">
        <v>2879</v>
      </c>
      <c r="O355" s="108" t="s">
        <v>2878</v>
      </c>
      <c r="P355" s="111" t="s">
        <v>2880</v>
      </c>
    </row>
    <row r="356" spans="2:16" ht="45" x14ac:dyDescent="0.25">
      <c r="B356" s="114" t="str">
        <f t="shared" si="35"/>
        <v>1</v>
      </c>
      <c r="C356" s="114" t="str">
        <f t="shared" si="36"/>
        <v>3</v>
      </c>
      <c r="D356" s="114" t="str">
        <f t="shared" si="37"/>
        <v>3</v>
      </c>
      <c r="E356" s="114" t="str">
        <f t="shared" si="38"/>
        <v>1</v>
      </c>
      <c r="F356" s="114" t="str">
        <f t="shared" si="39"/>
        <v>05</v>
      </c>
      <c r="G356" s="114" t="str">
        <f t="shared" si="40"/>
        <v>1</v>
      </c>
      <c r="H356" s="114" t="str">
        <f t="shared" si="41"/>
        <v>0</v>
      </c>
      <c r="I356" s="115">
        <v>13310510</v>
      </c>
      <c r="J356" s="114" t="s">
        <v>3580</v>
      </c>
      <c r="K356" s="114" t="s">
        <v>3581</v>
      </c>
      <c r="L356" s="116"/>
      <c r="M356" s="114" t="s">
        <v>2878</v>
      </c>
      <c r="N356" s="114" t="s">
        <v>2879</v>
      </c>
      <c r="O356" s="114" t="s">
        <v>2878</v>
      </c>
      <c r="P356" s="117" t="s">
        <v>2880</v>
      </c>
    </row>
    <row r="357" spans="2:16" ht="45" x14ac:dyDescent="0.25">
      <c r="B357" s="104" t="str">
        <f t="shared" si="35"/>
        <v>1</v>
      </c>
      <c r="C357" s="104" t="str">
        <f t="shared" si="36"/>
        <v>3</v>
      </c>
      <c r="D357" s="104" t="str">
        <f t="shared" si="37"/>
        <v>3</v>
      </c>
      <c r="E357" s="104" t="str">
        <f t="shared" si="38"/>
        <v>2</v>
      </c>
      <c r="F357" s="104" t="str">
        <f t="shared" si="39"/>
        <v>00</v>
      </c>
      <c r="G357" s="104" t="str">
        <f t="shared" si="40"/>
        <v>0</v>
      </c>
      <c r="H357" s="104" t="str">
        <f t="shared" si="41"/>
        <v>0</v>
      </c>
      <c r="I357" s="105">
        <v>13320000</v>
      </c>
      <c r="J357" s="104" t="s">
        <v>3589</v>
      </c>
      <c r="K357" s="104" t="s">
        <v>3590</v>
      </c>
      <c r="L357" s="106"/>
      <c r="M357" s="104" t="s">
        <v>2878</v>
      </c>
      <c r="N357" s="104" t="s">
        <v>2879</v>
      </c>
      <c r="O357" s="104" t="s">
        <v>2878</v>
      </c>
      <c r="P357" s="107" t="s">
        <v>2880</v>
      </c>
    </row>
    <row r="358" spans="2:16" ht="45" x14ac:dyDescent="0.25">
      <c r="B358" s="108" t="str">
        <f t="shared" si="35"/>
        <v>1</v>
      </c>
      <c r="C358" s="108" t="str">
        <f t="shared" si="36"/>
        <v>3</v>
      </c>
      <c r="D358" s="108" t="str">
        <f t="shared" si="37"/>
        <v>3</v>
      </c>
      <c r="E358" s="108" t="str">
        <f t="shared" si="38"/>
        <v>2</v>
      </c>
      <c r="F358" s="108" t="str">
        <f t="shared" si="39"/>
        <v>01</v>
      </c>
      <c r="G358" s="108" t="str">
        <f t="shared" si="40"/>
        <v>0</v>
      </c>
      <c r="H358" s="108" t="str">
        <f t="shared" si="41"/>
        <v>0</v>
      </c>
      <c r="I358" s="109">
        <v>13320100</v>
      </c>
      <c r="J358" s="108" t="s">
        <v>3591</v>
      </c>
      <c r="K358" s="108" t="s">
        <v>3592</v>
      </c>
      <c r="L358" s="110"/>
      <c r="M358" s="108" t="s">
        <v>2878</v>
      </c>
      <c r="N358" s="108" t="s">
        <v>2879</v>
      </c>
      <c r="O358" s="108" t="s">
        <v>2878</v>
      </c>
      <c r="P358" s="111" t="s">
        <v>2880</v>
      </c>
    </row>
    <row r="359" spans="2:16" ht="45" x14ac:dyDescent="0.25">
      <c r="B359" s="114" t="str">
        <f t="shared" si="35"/>
        <v>1</v>
      </c>
      <c r="C359" s="114" t="str">
        <f t="shared" si="36"/>
        <v>3</v>
      </c>
      <c r="D359" s="114" t="str">
        <f t="shared" si="37"/>
        <v>3</v>
      </c>
      <c r="E359" s="114" t="str">
        <f t="shared" si="38"/>
        <v>2</v>
      </c>
      <c r="F359" s="114" t="str">
        <f t="shared" si="39"/>
        <v>01</v>
      </c>
      <c r="G359" s="114" t="str">
        <f t="shared" si="40"/>
        <v>1</v>
      </c>
      <c r="H359" s="114" t="str">
        <f t="shared" si="41"/>
        <v>0</v>
      </c>
      <c r="I359" s="115">
        <v>13320110</v>
      </c>
      <c r="J359" s="114" t="s">
        <v>3593</v>
      </c>
      <c r="K359" s="114" t="s">
        <v>3592</v>
      </c>
      <c r="L359" s="116"/>
      <c r="M359" s="114" t="s">
        <v>2878</v>
      </c>
      <c r="N359" s="114" t="s">
        <v>2879</v>
      </c>
      <c r="O359" s="114" t="s">
        <v>2878</v>
      </c>
      <c r="P359" s="117" t="s">
        <v>2880</v>
      </c>
    </row>
    <row r="360" spans="2:16" ht="75" x14ac:dyDescent="0.25">
      <c r="B360" s="114" t="str">
        <f t="shared" ref="B360:B375" si="42">MID($I360,1,1)</f>
        <v>1</v>
      </c>
      <c r="C360" s="114" t="str">
        <f t="shared" ref="C360:C375" si="43">MID($I360,2,1)</f>
        <v>3</v>
      </c>
      <c r="D360" s="114" t="str">
        <f t="shared" ref="D360:D375" si="44">MID($I360,3,1)</f>
        <v>3</v>
      </c>
      <c r="E360" s="114" t="str">
        <f t="shared" ref="E360:E375" si="45">MID($I360,4,1)</f>
        <v>2</v>
      </c>
      <c r="F360" s="114" t="str">
        <f t="shared" ref="F360:F375" si="46">MID($I360,5,2)</f>
        <v>01</v>
      </c>
      <c r="G360" s="114" t="str">
        <f t="shared" ref="G360:G375" si="47">MID($I360,7,1)</f>
        <v>2</v>
      </c>
      <c r="H360" s="114" t="str">
        <f t="shared" ref="H360:H375" si="48">MID($I360,8,1)</f>
        <v>0</v>
      </c>
      <c r="I360" s="115">
        <v>13320120</v>
      </c>
      <c r="J360" s="114" t="s">
        <v>3601</v>
      </c>
      <c r="K360" s="114" t="s">
        <v>3602</v>
      </c>
      <c r="L360" s="116"/>
      <c r="M360" s="114" t="s">
        <v>2878</v>
      </c>
      <c r="N360" s="114" t="s">
        <v>2879</v>
      </c>
      <c r="O360" s="114" t="s">
        <v>2878</v>
      </c>
      <c r="P360" s="117" t="s">
        <v>2880</v>
      </c>
    </row>
    <row r="361" spans="2:16" ht="45" x14ac:dyDescent="0.25">
      <c r="B361" s="108" t="str">
        <f t="shared" si="42"/>
        <v>1</v>
      </c>
      <c r="C361" s="108" t="str">
        <f t="shared" si="43"/>
        <v>3</v>
      </c>
      <c r="D361" s="108" t="str">
        <f t="shared" si="44"/>
        <v>3</v>
      </c>
      <c r="E361" s="108" t="str">
        <f t="shared" si="45"/>
        <v>2</v>
      </c>
      <c r="F361" s="108" t="str">
        <f t="shared" si="46"/>
        <v>02</v>
      </c>
      <c r="G361" s="108" t="str">
        <f t="shared" si="47"/>
        <v>0</v>
      </c>
      <c r="H361" s="108" t="str">
        <f t="shared" si="48"/>
        <v>0</v>
      </c>
      <c r="I361" s="109">
        <v>13320200</v>
      </c>
      <c r="J361" s="108" t="s">
        <v>3610</v>
      </c>
      <c r="K361" s="108" t="s">
        <v>3611</v>
      </c>
      <c r="L361" s="110"/>
      <c r="M361" s="108" t="s">
        <v>2878</v>
      </c>
      <c r="N361" s="108" t="s">
        <v>2879</v>
      </c>
      <c r="O361" s="108" t="s">
        <v>2878</v>
      </c>
      <c r="P361" s="111" t="s">
        <v>2880</v>
      </c>
    </row>
    <row r="362" spans="2:16" ht="45" x14ac:dyDescent="0.25">
      <c r="B362" s="114" t="str">
        <f t="shared" si="42"/>
        <v>1</v>
      </c>
      <c r="C362" s="114" t="str">
        <f t="shared" si="43"/>
        <v>3</v>
      </c>
      <c r="D362" s="114" t="str">
        <f t="shared" si="44"/>
        <v>3</v>
      </c>
      <c r="E362" s="114" t="str">
        <f t="shared" si="45"/>
        <v>2</v>
      </c>
      <c r="F362" s="114" t="str">
        <f t="shared" si="46"/>
        <v>02</v>
      </c>
      <c r="G362" s="114" t="str">
        <f t="shared" si="47"/>
        <v>1</v>
      </c>
      <c r="H362" s="114" t="str">
        <f t="shared" si="48"/>
        <v>0</v>
      </c>
      <c r="I362" s="115">
        <v>13320210</v>
      </c>
      <c r="J362" s="114" t="s">
        <v>3610</v>
      </c>
      <c r="K362" s="114" t="s">
        <v>3611</v>
      </c>
      <c r="L362" s="116"/>
      <c r="M362" s="114" t="s">
        <v>2878</v>
      </c>
      <c r="N362" s="114" t="s">
        <v>2879</v>
      </c>
      <c r="O362" s="114" t="s">
        <v>2878</v>
      </c>
      <c r="P362" s="117" t="s">
        <v>2880</v>
      </c>
    </row>
    <row r="363" spans="2:16" ht="45" x14ac:dyDescent="0.25">
      <c r="B363" s="108" t="str">
        <f t="shared" si="42"/>
        <v>1</v>
      </c>
      <c r="C363" s="108" t="str">
        <f t="shared" si="43"/>
        <v>3</v>
      </c>
      <c r="D363" s="108" t="str">
        <f t="shared" si="44"/>
        <v>3</v>
      </c>
      <c r="E363" s="108" t="str">
        <f t="shared" si="45"/>
        <v>2</v>
      </c>
      <c r="F363" s="108" t="str">
        <f t="shared" si="46"/>
        <v>03</v>
      </c>
      <c r="G363" s="108" t="str">
        <f t="shared" si="47"/>
        <v>0</v>
      </c>
      <c r="H363" s="108" t="str">
        <f t="shared" si="48"/>
        <v>0</v>
      </c>
      <c r="I363" s="109">
        <v>13320300</v>
      </c>
      <c r="J363" s="108" t="s">
        <v>3618</v>
      </c>
      <c r="K363" s="108" t="s">
        <v>3619</v>
      </c>
      <c r="L363" s="110"/>
      <c r="M363" s="108" t="s">
        <v>2878</v>
      </c>
      <c r="N363" s="108" t="s">
        <v>2879</v>
      </c>
      <c r="O363" s="108" t="s">
        <v>2878</v>
      </c>
      <c r="P363" s="111" t="s">
        <v>2880</v>
      </c>
    </row>
    <row r="364" spans="2:16" ht="45" x14ac:dyDescent="0.25">
      <c r="B364" s="114" t="str">
        <f t="shared" si="42"/>
        <v>1</v>
      </c>
      <c r="C364" s="114" t="str">
        <f t="shared" si="43"/>
        <v>3</v>
      </c>
      <c r="D364" s="114" t="str">
        <f t="shared" si="44"/>
        <v>3</v>
      </c>
      <c r="E364" s="114" t="str">
        <f t="shared" si="45"/>
        <v>2</v>
      </c>
      <c r="F364" s="114" t="str">
        <f t="shared" si="46"/>
        <v>03</v>
      </c>
      <c r="G364" s="114" t="str">
        <f t="shared" si="47"/>
        <v>1</v>
      </c>
      <c r="H364" s="114" t="str">
        <f t="shared" si="48"/>
        <v>0</v>
      </c>
      <c r="I364" s="115">
        <v>13320310</v>
      </c>
      <c r="J364" s="114" t="s">
        <v>3618</v>
      </c>
      <c r="K364" s="114" t="s">
        <v>3619</v>
      </c>
      <c r="L364" s="116"/>
      <c r="M364" s="114" t="s">
        <v>2878</v>
      </c>
      <c r="N364" s="114" t="s">
        <v>2879</v>
      </c>
      <c r="O364" s="114" t="s">
        <v>2878</v>
      </c>
      <c r="P364" s="117" t="s">
        <v>2880</v>
      </c>
    </row>
    <row r="365" spans="2:16" ht="30" x14ac:dyDescent="0.25">
      <c r="B365" s="108" t="str">
        <f t="shared" si="42"/>
        <v>1</v>
      </c>
      <c r="C365" s="108" t="str">
        <f t="shared" si="43"/>
        <v>3</v>
      </c>
      <c r="D365" s="108" t="str">
        <f t="shared" si="44"/>
        <v>3</v>
      </c>
      <c r="E365" s="108" t="str">
        <f t="shared" si="45"/>
        <v>2</v>
      </c>
      <c r="F365" s="108" t="str">
        <f t="shared" si="46"/>
        <v>04</v>
      </c>
      <c r="G365" s="108" t="str">
        <f t="shared" si="47"/>
        <v>0</v>
      </c>
      <c r="H365" s="108" t="str">
        <f t="shared" si="48"/>
        <v>0</v>
      </c>
      <c r="I365" s="109">
        <v>13320400</v>
      </c>
      <c r="J365" s="108" t="s">
        <v>3625</v>
      </c>
      <c r="K365" s="108" t="s">
        <v>3626</v>
      </c>
      <c r="L365" s="110"/>
      <c r="M365" s="108" t="s">
        <v>2878</v>
      </c>
      <c r="N365" s="108" t="s">
        <v>2879</v>
      </c>
      <c r="O365" s="108" t="s">
        <v>2878</v>
      </c>
      <c r="P365" s="111" t="s">
        <v>2880</v>
      </c>
    </row>
    <row r="366" spans="2:16" ht="30" x14ac:dyDescent="0.25">
      <c r="B366" s="114" t="str">
        <f t="shared" si="42"/>
        <v>1</v>
      </c>
      <c r="C366" s="114" t="str">
        <f t="shared" si="43"/>
        <v>3</v>
      </c>
      <c r="D366" s="114" t="str">
        <f t="shared" si="44"/>
        <v>3</v>
      </c>
      <c r="E366" s="114" t="str">
        <f t="shared" si="45"/>
        <v>2</v>
      </c>
      <c r="F366" s="114" t="str">
        <f t="shared" si="46"/>
        <v>04</v>
      </c>
      <c r="G366" s="114" t="str">
        <f t="shared" si="47"/>
        <v>1</v>
      </c>
      <c r="H366" s="114" t="str">
        <f t="shared" si="48"/>
        <v>0</v>
      </c>
      <c r="I366" s="115">
        <v>13320410</v>
      </c>
      <c r="J366" s="114" t="s">
        <v>3625</v>
      </c>
      <c r="K366" s="114" t="s">
        <v>3626</v>
      </c>
      <c r="L366" s="116"/>
      <c r="M366" s="114" t="s">
        <v>2878</v>
      </c>
      <c r="N366" s="114" t="s">
        <v>2879</v>
      </c>
      <c r="O366" s="114" t="s">
        <v>2878</v>
      </c>
      <c r="P366" s="117" t="s">
        <v>2880</v>
      </c>
    </row>
    <row r="367" spans="2:16" ht="30" x14ac:dyDescent="0.25">
      <c r="B367" s="104" t="str">
        <f t="shared" si="42"/>
        <v>1</v>
      </c>
      <c r="C367" s="104" t="str">
        <f t="shared" si="43"/>
        <v>3</v>
      </c>
      <c r="D367" s="104" t="str">
        <f t="shared" si="44"/>
        <v>3</v>
      </c>
      <c r="E367" s="104" t="str">
        <f t="shared" si="45"/>
        <v>3</v>
      </c>
      <c r="F367" s="104" t="str">
        <f t="shared" si="46"/>
        <v>00</v>
      </c>
      <c r="G367" s="104" t="str">
        <f t="shared" si="47"/>
        <v>0</v>
      </c>
      <c r="H367" s="104" t="str">
        <f t="shared" si="48"/>
        <v>0</v>
      </c>
      <c r="I367" s="105">
        <v>13330000</v>
      </c>
      <c r="J367" s="104" t="s">
        <v>3634</v>
      </c>
      <c r="K367" s="104" t="s">
        <v>3635</v>
      </c>
      <c r="L367" s="106"/>
      <c r="M367" s="104" t="s">
        <v>2878</v>
      </c>
      <c r="N367" s="104" t="s">
        <v>2879</v>
      </c>
      <c r="O367" s="104" t="s">
        <v>2878</v>
      </c>
      <c r="P367" s="107" t="s">
        <v>2880</v>
      </c>
    </row>
    <row r="368" spans="2:16" ht="120" x14ac:dyDescent="0.25">
      <c r="B368" s="114" t="str">
        <f t="shared" si="42"/>
        <v>1</v>
      </c>
      <c r="C368" s="114" t="str">
        <f t="shared" si="43"/>
        <v>3</v>
      </c>
      <c r="D368" s="114" t="str">
        <f t="shared" si="44"/>
        <v>3</v>
      </c>
      <c r="E368" s="114" t="str">
        <f t="shared" si="45"/>
        <v>3</v>
      </c>
      <c r="F368" s="114" t="str">
        <f t="shared" si="46"/>
        <v>00</v>
      </c>
      <c r="G368" s="114" t="str">
        <f t="shared" si="47"/>
        <v>1</v>
      </c>
      <c r="H368" s="114" t="str">
        <f t="shared" si="48"/>
        <v>0</v>
      </c>
      <c r="I368" s="115">
        <v>13330010</v>
      </c>
      <c r="J368" s="114" t="s">
        <v>3636</v>
      </c>
      <c r="K368" s="114" t="s">
        <v>3637</v>
      </c>
      <c r="L368" s="116"/>
      <c r="M368" s="114" t="s">
        <v>2878</v>
      </c>
      <c r="N368" s="114" t="s">
        <v>2879</v>
      </c>
      <c r="O368" s="114" t="s">
        <v>2878</v>
      </c>
      <c r="P368" s="117" t="s">
        <v>2880</v>
      </c>
    </row>
    <row r="369" spans="2:16" ht="105" x14ac:dyDescent="0.25">
      <c r="B369" s="114" t="str">
        <f t="shared" si="42"/>
        <v>1</v>
      </c>
      <c r="C369" s="114" t="str">
        <f t="shared" si="43"/>
        <v>3</v>
      </c>
      <c r="D369" s="114" t="str">
        <f t="shared" si="44"/>
        <v>3</v>
      </c>
      <c r="E369" s="114" t="str">
        <f t="shared" si="45"/>
        <v>3</v>
      </c>
      <c r="F369" s="114" t="str">
        <f t="shared" si="46"/>
        <v>00</v>
      </c>
      <c r="G369" s="114" t="str">
        <f t="shared" si="47"/>
        <v>2</v>
      </c>
      <c r="H369" s="114" t="str">
        <f t="shared" si="48"/>
        <v>0</v>
      </c>
      <c r="I369" s="115">
        <v>13330020</v>
      </c>
      <c r="J369" s="114" t="s">
        <v>3645</v>
      </c>
      <c r="K369" s="114" t="s">
        <v>3646</v>
      </c>
      <c r="L369" s="116"/>
      <c r="M369" s="114" t="s">
        <v>2878</v>
      </c>
      <c r="N369" s="114" t="s">
        <v>2879</v>
      </c>
      <c r="O369" s="114" t="s">
        <v>2878</v>
      </c>
      <c r="P369" s="117" t="s">
        <v>2880</v>
      </c>
    </row>
    <row r="370" spans="2:16" ht="45" x14ac:dyDescent="0.25">
      <c r="B370" s="114" t="str">
        <f t="shared" si="42"/>
        <v>1</v>
      </c>
      <c r="C370" s="114" t="str">
        <f t="shared" si="43"/>
        <v>3</v>
      </c>
      <c r="D370" s="114" t="str">
        <f t="shared" si="44"/>
        <v>3</v>
      </c>
      <c r="E370" s="114" t="str">
        <f t="shared" si="45"/>
        <v>3</v>
      </c>
      <c r="F370" s="114" t="str">
        <f t="shared" si="46"/>
        <v>00</v>
      </c>
      <c r="G370" s="114" t="str">
        <f t="shared" si="47"/>
        <v>3</v>
      </c>
      <c r="H370" s="114" t="str">
        <f t="shared" si="48"/>
        <v>0</v>
      </c>
      <c r="I370" s="115">
        <v>13330030</v>
      </c>
      <c r="J370" s="114" t="s">
        <v>3653</v>
      </c>
      <c r="K370" s="114" t="s">
        <v>3654</v>
      </c>
      <c r="L370" s="116"/>
      <c r="M370" s="114" t="s">
        <v>2878</v>
      </c>
      <c r="N370" s="114" t="s">
        <v>2879</v>
      </c>
      <c r="O370" s="114" t="s">
        <v>2878</v>
      </c>
      <c r="P370" s="117" t="s">
        <v>2880</v>
      </c>
    </row>
    <row r="371" spans="2:16" ht="90" x14ac:dyDescent="0.25">
      <c r="B371" s="114" t="str">
        <f t="shared" si="42"/>
        <v>1</v>
      </c>
      <c r="C371" s="114" t="str">
        <f t="shared" si="43"/>
        <v>3</v>
      </c>
      <c r="D371" s="114" t="str">
        <f t="shared" si="44"/>
        <v>3</v>
      </c>
      <c r="E371" s="114" t="str">
        <f t="shared" si="45"/>
        <v>3</v>
      </c>
      <c r="F371" s="114" t="str">
        <f t="shared" si="46"/>
        <v>00</v>
      </c>
      <c r="G371" s="114" t="str">
        <f t="shared" si="47"/>
        <v>4</v>
      </c>
      <c r="H371" s="114" t="str">
        <f t="shared" si="48"/>
        <v>0</v>
      </c>
      <c r="I371" s="115">
        <v>13330040</v>
      </c>
      <c r="J371" s="114" t="s">
        <v>3661</v>
      </c>
      <c r="K371" s="114" t="s">
        <v>3662</v>
      </c>
      <c r="L371" s="116"/>
      <c r="M371" s="114" t="s">
        <v>2878</v>
      </c>
      <c r="N371" s="114" t="s">
        <v>2879</v>
      </c>
      <c r="O371" s="114" t="s">
        <v>2878</v>
      </c>
      <c r="P371" s="117" t="s">
        <v>2880</v>
      </c>
    </row>
    <row r="372" spans="2:16" ht="165" x14ac:dyDescent="0.25">
      <c r="B372" s="114" t="str">
        <f t="shared" si="42"/>
        <v>1</v>
      </c>
      <c r="C372" s="114" t="str">
        <f t="shared" si="43"/>
        <v>3</v>
      </c>
      <c r="D372" s="114" t="str">
        <f t="shared" si="44"/>
        <v>3</v>
      </c>
      <c r="E372" s="114" t="str">
        <f t="shared" si="45"/>
        <v>3</v>
      </c>
      <c r="F372" s="114" t="str">
        <f t="shared" si="46"/>
        <v>00</v>
      </c>
      <c r="G372" s="114" t="str">
        <f t="shared" si="47"/>
        <v>5</v>
      </c>
      <c r="H372" s="114" t="str">
        <f t="shared" si="48"/>
        <v>0</v>
      </c>
      <c r="I372" s="115">
        <v>13330050</v>
      </c>
      <c r="J372" s="114" t="s">
        <v>3670</v>
      </c>
      <c r="K372" s="114" t="s">
        <v>3671</v>
      </c>
      <c r="L372" s="116"/>
      <c r="M372" s="114" t="s">
        <v>2878</v>
      </c>
      <c r="N372" s="114" t="s">
        <v>2879</v>
      </c>
      <c r="O372" s="114" t="s">
        <v>2878</v>
      </c>
      <c r="P372" s="117" t="s">
        <v>2880</v>
      </c>
    </row>
    <row r="373" spans="2:16" ht="75" x14ac:dyDescent="0.25">
      <c r="B373" s="114" t="str">
        <f t="shared" si="42"/>
        <v>1</v>
      </c>
      <c r="C373" s="114" t="str">
        <f t="shared" si="43"/>
        <v>3</v>
      </c>
      <c r="D373" s="114" t="str">
        <f t="shared" si="44"/>
        <v>3</v>
      </c>
      <c r="E373" s="114" t="str">
        <f t="shared" si="45"/>
        <v>3</v>
      </c>
      <c r="F373" s="114" t="str">
        <f t="shared" si="46"/>
        <v>00</v>
      </c>
      <c r="G373" s="114" t="str">
        <f t="shared" si="47"/>
        <v>6</v>
      </c>
      <c r="H373" s="114" t="str">
        <f t="shared" si="48"/>
        <v>0</v>
      </c>
      <c r="I373" s="115">
        <v>13330060</v>
      </c>
      <c r="J373" s="114" t="s">
        <v>3679</v>
      </c>
      <c r="K373" s="114" t="s">
        <v>3680</v>
      </c>
      <c r="L373" s="116"/>
      <c r="M373" s="114" t="s">
        <v>2878</v>
      </c>
      <c r="N373" s="114" t="s">
        <v>2879</v>
      </c>
      <c r="O373" s="114" t="s">
        <v>2878</v>
      </c>
      <c r="P373" s="117" t="s">
        <v>2880</v>
      </c>
    </row>
    <row r="374" spans="2:16" ht="30" x14ac:dyDescent="0.25">
      <c r="B374" s="114" t="str">
        <f t="shared" si="42"/>
        <v>1</v>
      </c>
      <c r="C374" s="114" t="str">
        <f t="shared" si="43"/>
        <v>3</v>
      </c>
      <c r="D374" s="114" t="str">
        <f t="shared" si="44"/>
        <v>3</v>
      </c>
      <c r="E374" s="114" t="str">
        <f t="shared" si="45"/>
        <v>3</v>
      </c>
      <c r="F374" s="114" t="str">
        <f t="shared" si="46"/>
        <v>00</v>
      </c>
      <c r="G374" s="114" t="str">
        <f t="shared" si="47"/>
        <v>7</v>
      </c>
      <c r="H374" s="114" t="str">
        <f t="shared" si="48"/>
        <v>0</v>
      </c>
      <c r="I374" s="115">
        <v>13330070</v>
      </c>
      <c r="J374" s="114" t="s">
        <v>3688</v>
      </c>
      <c r="K374" s="114" t="s">
        <v>3689</v>
      </c>
      <c r="L374" s="116"/>
      <c r="M374" s="114" t="s">
        <v>2878</v>
      </c>
      <c r="N374" s="114" t="s">
        <v>2879</v>
      </c>
      <c r="O374" s="114" t="s">
        <v>2878</v>
      </c>
      <c r="P374" s="117" t="s">
        <v>2880</v>
      </c>
    </row>
    <row r="375" spans="2:16" ht="45" x14ac:dyDescent="0.25">
      <c r="B375" s="114" t="str">
        <f t="shared" si="42"/>
        <v>1</v>
      </c>
      <c r="C375" s="114" t="str">
        <f t="shared" si="43"/>
        <v>3</v>
      </c>
      <c r="D375" s="114" t="str">
        <f t="shared" si="44"/>
        <v>3</v>
      </c>
      <c r="E375" s="114" t="str">
        <f t="shared" si="45"/>
        <v>3</v>
      </c>
      <c r="F375" s="114" t="str">
        <f t="shared" si="46"/>
        <v>00</v>
      </c>
      <c r="G375" s="114" t="str">
        <f t="shared" si="47"/>
        <v>9</v>
      </c>
      <c r="H375" s="114" t="str">
        <f t="shared" si="48"/>
        <v>0</v>
      </c>
      <c r="I375" s="115">
        <v>13330090</v>
      </c>
      <c r="J375" s="114" t="s">
        <v>3696</v>
      </c>
      <c r="K375" s="114" t="s">
        <v>3697</v>
      </c>
      <c r="L375" s="116"/>
      <c r="M375" s="114" t="s">
        <v>2878</v>
      </c>
      <c r="N375" s="114" t="s">
        <v>2879</v>
      </c>
      <c r="O375" s="114" t="s">
        <v>2878</v>
      </c>
      <c r="P375" s="117" t="s">
        <v>2880</v>
      </c>
    </row>
    <row r="376" spans="2:16" ht="30" x14ac:dyDescent="0.25">
      <c r="B376" s="104" t="str">
        <f t="shared" ref="B376:B414" si="49">MID($I376,1,1)</f>
        <v>1</v>
      </c>
      <c r="C376" s="104" t="str">
        <f t="shared" ref="C376:C414" si="50">MID($I376,2,1)</f>
        <v>3</v>
      </c>
      <c r="D376" s="104" t="str">
        <f t="shared" ref="D376:D414" si="51">MID($I376,3,1)</f>
        <v>3</v>
      </c>
      <c r="E376" s="104" t="str">
        <f t="shared" ref="E376:E414" si="52">MID($I376,4,1)</f>
        <v>9</v>
      </c>
      <c r="F376" s="104" t="str">
        <f t="shared" ref="F376:F414" si="53">MID($I376,5,2)</f>
        <v>00</v>
      </c>
      <c r="G376" s="104" t="str">
        <f t="shared" ref="G376:G414" si="54">MID($I376,7,1)</f>
        <v>0</v>
      </c>
      <c r="H376" s="104" t="str">
        <f t="shared" ref="H376:H414" si="55">MID($I376,8,1)</f>
        <v>0</v>
      </c>
      <c r="I376" s="105">
        <v>13390000</v>
      </c>
      <c r="J376" s="104" t="s">
        <v>3705</v>
      </c>
      <c r="K376" s="104" t="s">
        <v>3706</v>
      </c>
      <c r="L376" s="106"/>
      <c r="M376" s="104" t="s">
        <v>2878</v>
      </c>
      <c r="N376" s="104" t="s">
        <v>2879</v>
      </c>
      <c r="O376" s="104" t="s">
        <v>2878</v>
      </c>
      <c r="P376" s="107" t="s">
        <v>2880</v>
      </c>
    </row>
    <row r="377" spans="2:16" ht="30" x14ac:dyDescent="0.25">
      <c r="B377" s="108" t="str">
        <f t="shared" si="49"/>
        <v>1</v>
      </c>
      <c r="C377" s="108" t="str">
        <f t="shared" si="50"/>
        <v>3</v>
      </c>
      <c r="D377" s="108" t="str">
        <f t="shared" si="51"/>
        <v>3</v>
      </c>
      <c r="E377" s="108" t="str">
        <f t="shared" si="52"/>
        <v>9</v>
      </c>
      <c r="F377" s="108" t="str">
        <f t="shared" si="53"/>
        <v>01</v>
      </c>
      <c r="G377" s="108" t="str">
        <f t="shared" si="54"/>
        <v>0</v>
      </c>
      <c r="H377" s="108" t="str">
        <f t="shared" si="55"/>
        <v>0</v>
      </c>
      <c r="I377" s="109">
        <v>13390100</v>
      </c>
      <c r="J377" s="108" t="s">
        <v>3705</v>
      </c>
      <c r="K377" s="108" t="s">
        <v>3706</v>
      </c>
      <c r="L377" s="110"/>
      <c r="M377" s="108" t="s">
        <v>2878</v>
      </c>
      <c r="N377" s="108" t="s">
        <v>2879</v>
      </c>
      <c r="O377" s="108" t="s">
        <v>2878</v>
      </c>
      <c r="P377" s="111" t="s">
        <v>2880</v>
      </c>
    </row>
    <row r="378" spans="2:16" ht="30" x14ac:dyDescent="0.25">
      <c r="B378" s="114" t="str">
        <f t="shared" si="49"/>
        <v>1</v>
      </c>
      <c r="C378" s="114" t="str">
        <f t="shared" si="50"/>
        <v>3</v>
      </c>
      <c r="D378" s="114" t="str">
        <f t="shared" si="51"/>
        <v>3</v>
      </c>
      <c r="E378" s="114" t="str">
        <f t="shared" si="52"/>
        <v>9</v>
      </c>
      <c r="F378" s="114" t="str">
        <f t="shared" si="53"/>
        <v>01</v>
      </c>
      <c r="G378" s="114" t="str">
        <f t="shared" si="54"/>
        <v>1</v>
      </c>
      <c r="H378" s="114" t="str">
        <f t="shared" si="55"/>
        <v>0</v>
      </c>
      <c r="I378" s="115">
        <v>13390110</v>
      </c>
      <c r="J378" s="114" t="s">
        <v>3705</v>
      </c>
      <c r="K378" s="114" t="s">
        <v>3706</v>
      </c>
      <c r="L378" s="116"/>
      <c r="M378" s="114" t="s">
        <v>2878</v>
      </c>
      <c r="N378" s="114" t="s">
        <v>2879</v>
      </c>
      <c r="O378" s="114" t="s">
        <v>2878</v>
      </c>
      <c r="P378" s="117" t="s">
        <v>2880</v>
      </c>
    </row>
    <row r="379" spans="2:16" ht="30" x14ac:dyDescent="0.25">
      <c r="B379" s="108" t="str">
        <f t="shared" si="49"/>
        <v>1</v>
      </c>
      <c r="C379" s="108" t="str">
        <f t="shared" si="50"/>
        <v>3</v>
      </c>
      <c r="D379" s="108" t="str">
        <f t="shared" si="51"/>
        <v>3</v>
      </c>
      <c r="E379" s="108" t="str">
        <f t="shared" si="52"/>
        <v>9</v>
      </c>
      <c r="F379" s="108" t="str">
        <f t="shared" si="53"/>
        <v>99</v>
      </c>
      <c r="G379" s="108" t="str">
        <f t="shared" si="54"/>
        <v>0</v>
      </c>
      <c r="H379" s="108" t="str">
        <f t="shared" si="55"/>
        <v>0</v>
      </c>
      <c r="I379" s="109">
        <v>13399900</v>
      </c>
      <c r="J379" s="108" t="s">
        <v>3711</v>
      </c>
      <c r="K379" s="108" t="s">
        <v>3712</v>
      </c>
      <c r="L379" s="110"/>
      <c r="M379" s="108" t="s">
        <v>2878</v>
      </c>
      <c r="N379" s="108" t="s">
        <v>2879</v>
      </c>
      <c r="O379" s="108" t="s">
        <v>2878</v>
      </c>
      <c r="P379" s="111" t="s">
        <v>2880</v>
      </c>
    </row>
    <row r="380" spans="2:16" ht="30" x14ac:dyDescent="0.25">
      <c r="B380" s="114" t="str">
        <f t="shared" si="49"/>
        <v>1</v>
      </c>
      <c r="C380" s="114" t="str">
        <f t="shared" si="50"/>
        <v>3</v>
      </c>
      <c r="D380" s="114" t="str">
        <f t="shared" si="51"/>
        <v>3</v>
      </c>
      <c r="E380" s="114" t="str">
        <f t="shared" si="52"/>
        <v>9</v>
      </c>
      <c r="F380" s="114" t="str">
        <f t="shared" si="53"/>
        <v>99</v>
      </c>
      <c r="G380" s="114" t="str">
        <f t="shared" si="54"/>
        <v>1</v>
      </c>
      <c r="H380" s="114" t="str">
        <f t="shared" si="55"/>
        <v>0</v>
      </c>
      <c r="I380" s="115">
        <v>13399910</v>
      </c>
      <c r="J380" s="114" t="s">
        <v>3711</v>
      </c>
      <c r="K380" s="114" t="s">
        <v>3712</v>
      </c>
      <c r="L380" s="116"/>
      <c r="M380" s="114" t="s">
        <v>2878</v>
      </c>
      <c r="N380" s="114" t="s">
        <v>2879</v>
      </c>
      <c r="O380" s="114" t="s">
        <v>2878</v>
      </c>
      <c r="P380" s="117" t="s">
        <v>2880</v>
      </c>
    </row>
    <row r="381" spans="2:16" ht="30" x14ac:dyDescent="0.25">
      <c r="B381" s="126" t="str">
        <f t="shared" si="49"/>
        <v>1</v>
      </c>
      <c r="C381" s="126" t="str">
        <f t="shared" si="50"/>
        <v>3</v>
      </c>
      <c r="D381" s="126" t="str">
        <f t="shared" si="51"/>
        <v>4</v>
      </c>
      <c r="E381" s="126" t="str">
        <f t="shared" si="52"/>
        <v>0</v>
      </c>
      <c r="F381" s="126" t="str">
        <f t="shared" si="53"/>
        <v>00</v>
      </c>
      <c r="G381" s="126" t="str">
        <f t="shared" si="54"/>
        <v>0</v>
      </c>
      <c r="H381" s="126" t="str">
        <f t="shared" si="55"/>
        <v>0</v>
      </c>
      <c r="I381" s="127">
        <v>13400000</v>
      </c>
      <c r="J381" s="126" t="s">
        <v>3718</v>
      </c>
      <c r="K381" s="126" t="s">
        <v>3719</v>
      </c>
      <c r="L381" s="122"/>
      <c r="M381" s="126" t="s">
        <v>2878</v>
      </c>
      <c r="N381" s="126" t="s">
        <v>5016</v>
      </c>
      <c r="O381" s="126" t="s">
        <v>2878</v>
      </c>
      <c r="P381" s="128" t="s">
        <v>2880</v>
      </c>
    </row>
    <row r="382" spans="2:16" ht="30" x14ac:dyDescent="0.25">
      <c r="B382" s="104" t="str">
        <f t="shared" si="49"/>
        <v>1</v>
      </c>
      <c r="C382" s="104" t="str">
        <f t="shared" si="50"/>
        <v>3</v>
      </c>
      <c r="D382" s="104" t="str">
        <f t="shared" si="51"/>
        <v>4</v>
      </c>
      <c r="E382" s="104" t="str">
        <f t="shared" si="52"/>
        <v>1</v>
      </c>
      <c r="F382" s="104" t="str">
        <f t="shared" si="53"/>
        <v>00</v>
      </c>
      <c r="G382" s="104" t="str">
        <f t="shared" si="54"/>
        <v>0</v>
      </c>
      <c r="H382" s="104" t="str">
        <f t="shared" si="55"/>
        <v>0</v>
      </c>
      <c r="I382" s="105">
        <v>13410000</v>
      </c>
      <c r="J382" s="104" t="s">
        <v>3720</v>
      </c>
      <c r="K382" s="104" t="s">
        <v>3721</v>
      </c>
      <c r="L382" s="106"/>
      <c r="M382" s="104" t="s">
        <v>2878</v>
      </c>
      <c r="N382" s="104" t="s">
        <v>856</v>
      </c>
      <c r="O382" s="104" t="s">
        <v>2878</v>
      </c>
      <c r="P382" s="107" t="s">
        <v>2880</v>
      </c>
    </row>
    <row r="383" spans="2:16" ht="30" x14ac:dyDescent="0.25">
      <c r="B383" s="108" t="str">
        <f t="shared" si="49"/>
        <v>1</v>
      </c>
      <c r="C383" s="108" t="str">
        <f t="shared" si="50"/>
        <v>3</v>
      </c>
      <c r="D383" s="108" t="str">
        <f t="shared" si="51"/>
        <v>4</v>
      </c>
      <c r="E383" s="108" t="str">
        <f t="shared" si="52"/>
        <v>1</v>
      </c>
      <c r="F383" s="108" t="str">
        <f t="shared" si="53"/>
        <v>01</v>
      </c>
      <c r="G383" s="108" t="str">
        <f t="shared" si="54"/>
        <v>0</v>
      </c>
      <c r="H383" s="108" t="str">
        <f t="shared" si="55"/>
        <v>0</v>
      </c>
      <c r="I383" s="109">
        <v>13410100</v>
      </c>
      <c r="J383" s="108" t="s">
        <v>3722</v>
      </c>
      <c r="K383" s="108" t="s">
        <v>3723</v>
      </c>
      <c r="L383" s="110"/>
      <c r="M383" s="108" t="s">
        <v>2878</v>
      </c>
      <c r="N383" s="108" t="s">
        <v>2879</v>
      </c>
      <c r="O383" s="108" t="s">
        <v>2878</v>
      </c>
      <c r="P383" s="111" t="s">
        <v>2880</v>
      </c>
    </row>
    <row r="384" spans="2:16" ht="45" x14ac:dyDescent="0.25">
      <c r="B384" s="114" t="str">
        <f t="shared" si="49"/>
        <v>1</v>
      </c>
      <c r="C384" s="114" t="str">
        <f t="shared" si="50"/>
        <v>3</v>
      </c>
      <c r="D384" s="114" t="str">
        <f t="shared" si="51"/>
        <v>4</v>
      </c>
      <c r="E384" s="114" t="str">
        <f t="shared" si="52"/>
        <v>1</v>
      </c>
      <c r="F384" s="114" t="str">
        <f t="shared" si="53"/>
        <v>01</v>
      </c>
      <c r="G384" s="114" t="str">
        <f t="shared" si="54"/>
        <v>1</v>
      </c>
      <c r="H384" s="114" t="str">
        <f t="shared" si="55"/>
        <v>0</v>
      </c>
      <c r="I384" s="115">
        <v>13410110</v>
      </c>
      <c r="J384" s="114" t="s">
        <v>3724</v>
      </c>
      <c r="K384" s="114" t="s">
        <v>3725</v>
      </c>
      <c r="L384" s="116"/>
      <c r="M384" s="114" t="s">
        <v>2878</v>
      </c>
      <c r="N384" s="114" t="s">
        <v>2879</v>
      </c>
      <c r="O384" s="114" t="s">
        <v>2878</v>
      </c>
      <c r="P384" s="117" t="s">
        <v>2880</v>
      </c>
    </row>
    <row r="385" spans="2:16" ht="30" x14ac:dyDescent="0.25">
      <c r="B385" s="114" t="str">
        <f t="shared" si="49"/>
        <v>1</v>
      </c>
      <c r="C385" s="114" t="str">
        <f t="shared" si="50"/>
        <v>3</v>
      </c>
      <c r="D385" s="114" t="str">
        <f t="shared" si="51"/>
        <v>4</v>
      </c>
      <c r="E385" s="114" t="str">
        <f t="shared" si="52"/>
        <v>1</v>
      </c>
      <c r="F385" s="114" t="str">
        <f t="shared" si="53"/>
        <v>01</v>
      </c>
      <c r="G385" s="114" t="str">
        <f t="shared" si="54"/>
        <v>2</v>
      </c>
      <c r="H385" s="114" t="str">
        <f t="shared" si="55"/>
        <v>0</v>
      </c>
      <c r="I385" s="115">
        <v>13410120</v>
      </c>
      <c r="J385" s="114" t="s">
        <v>671</v>
      </c>
      <c r="K385" s="114" t="s">
        <v>3730</v>
      </c>
      <c r="L385" s="116"/>
      <c r="M385" s="114" t="s">
        <v>2878</v>
      </c>
      <c r="N385" s="114" t="s">
        <v>2879</v>
      </c>
      <c r="O385" s="114" t="s">
        <v>2878</v>
      </c>
      <c r="P385" s="117" t="s">
        <v>2880</v>
      </c>
    </row>
    <row r="386" spans="2:16" ht="30" x14ac:dyDescent="0.25">
      <c r="B386" s="108" t="str">
        <f t="shared" si="49"/>
        <v>1</v>
      </c>
      <c r="C386" s="108" t="str">
        <f t="shared" si="50"/>
        <v>3</v>
      </c>
      <c r="D386" s="108" t="str">
        <f t="shared" si="51"/>
        <v>4</v>
      </c>
      <c r="E386" s="108" t="str">
        <f t="shared" si="52"/>
        <v>1</v>
      </c>
      <c r="F386" s="108" t="str">
        <f t="shared" si="53"/>
        <v>02</v>
      </c>
      <c r="G386" s="108" t="str">
        <f t="shared" si="54"/>
        <v>0</v>
      </c>
      <c r="H386" s="108" t="str">
        <f t="shared" si="55"/>
        <v>0</v>
      </c>
      <c r="I386" s="109">
        <v>13410200</v>
      </c>
      <c r="J386" s="108" t="s">
        <v>3735</v>
      </c>
      <c r="K386" s="108" t="s">
        <v>3721</v>
      </c>
      <c r="L386" s="110"/>
      <c r="M386" s="108" t="s">
        <v>2878</v>
      </c>
      <c r="N386" s="108" t="s">
        <v>856</v>
      </c>
      <c r="O386" s="108" t="s">
        <v>2878</v>
      </c>
      <c r="P386" s="111" t="s">
        <v>2880</v>
      </c>
    </row>
    <row r="387" spans="2:16" ht="45" x14ac:dyDescent="0.25">
      <c r="B387" s="114" t="str">
        <f t="shared" si="49"/>
        <v>1</v>
      </c>
      <c r="C387" s="114" t="str">
        <f t="shared" si="50"/>
        <v>3</v>
      </c>
      <c r="D387" s="114" t="str">
        <f t="shared" si="51"/>
        <v>4</v>
      </c>
      <c r="E387" s="114" t="str">
        <f t="shared" si="52"/>
        <v>1</v>
      </c>
      <c r="F387" s="114" t="str">
        <f t="shared" si="53"/>
        <v>02</v>
      </c>
      <c r="G387" s="114" t="str">
        <f t="shared" si="54"/>
        <v>1</v>
      </c>
      <c r="H387" s="114" t="str">
        <f t="shared" si="55"/>
        <v>0</v>
      </c>
      <c r="I387" s="115">
        <v>13410210</v>
      </c>
      <c r="J387" s="114" t="s">
        <v>857</v>
      </c>
      <c r="K387" s="114" t="s">
        <v>3736</v>
      </c>
      <c r="L387" s="116"/>
      <c r="M387" s="114" t="s">
        <v>2878</v>
      </c>
      <c r="N387" s="114" t="s">
        <v>2879</v>
      </c>
      <c r="O387" s="114" t="s">
        <v>2878</v>
      </c>
      <c r="P387" s="117" t="s">
        <v>2880</v>
      </c>
    </row>
    <row r="388" spans="2:16" ht="97.5" customHeight="1" x14ac:dyDescent="0.25">
      <c r="B388" s="114" t="str">
        <f t="shared" si="49"/>
        <v>1</v>
      </c>
      <c r="C388" s="114" t="str">
        <f t="shared" si="50"/>
        <v>3</v>
      </c>
      <c r="D388" s="114" t="str">
        <f t="shared" si="51"/>
        <v>4</v>
      </c>
      <c r="E388" s="114" t="str">
        <f t="shared" si="52"/>
        <v>1</v>
      </c>
      <c r="F388" s="114" t="str">
        <f t="shared" si="53"/>
        <v>02</v>
      </c>
      <c r="G388" s="114" t="str">
        <f t="shared" si="54"/>
        <v>2</v>
      </c>
      <c r="H388" s="114" t="str">
        <f t="shared" si="55"/>
        <v>0</v>
      </c>
      <c r="I388" s="115">
        <v>13410220</v>
      </c>
      <c r="J388" s="114" t="s">
        <v>861</v>
      </c>
      <c r="K388" s="114" t="s">
        <v>3741</v>
      </c>
      <c r="L388" s="116"/>
      <c r="M388" s="114" t="s">
        <v>2878</v>
      </c>
      <c r="N388" s="114" t="s">
        <v>2879</v>
      </c>
      <c r="O388" s="114" t="s">
        <v>2878</v>
      </c>
      <c r="P388" s="117" t="s">
        <v>2880</v>
      </c>
    </row>
    <row r="389" spans="2:16" ht="92.25" customHeight="1" x14ac:dyDescent="0.25">
      <c r="B389" s="114" t="str">
        <f t="shared" si="49"/>
        <v>1</v>
      </c>
      <c r="C389" s="114" t="str">
        <f t="shared" si="50"/>
        <v>3</v>
      </c>
      <c r="D389" s="114" t="str">
        <f t="shared" si="51"/>
        <v>4</v>
      </c>
      <c r="E389" s="114" t="str">
        <f t="shared" si="52"/>
        <v>1</v>
      </c>
      <c r="F389" s="114" t="str">
        <f t="shared" si="53"/>
        <v>02</v>
      </c>
      <c r="G389" s="114" t="str">
        <f t="shared" si="54"/>
        <v>3</v>
      </c>
      <c r="H389" s="114" t="str">
        <f t="shared" si="55"/>
        <v>0</v>
      </c>
      <c r="I389" s="115">
        <v>13410230</v>
      </c>
      <c r="J389" s="114" t="s">
        <v>3746</v>
      </c>
      <c r="K389" s="114" t="s">
        <v>3747</v>
      </c>
      <c r="L389" s="116"/>
      <c r="M389" s="114" t="s">
        <v>2878</v>
      </c>
      <c r="N389" s="114" t="s">
        <v>2879</v>
      </c>
      <c r="O389" s="114" t="s">
        <v>2878</v>
      </c>
      <c r="P389" s="117" t="s">
        <v>2880</v>
      </c>
    </row>
    <row r="390" spans="2:16" ht="75" x14ac:dyDescent="0.25">
      <c r="B390" s="114" t="str">
        <f t="shared" si="49"/>
        <v>1</v>
      </c>
      <c r="C390" s="114" t="str">
        <f t="shared" si="50"/>
        <v>3</v>
      </c>
      <c r="D390" s="114" t="str">
        <f t="shared" si="51"/>
        <v>4</v>
      </c>
      <c r="E390" s="114" t="str">
        <f t="shared" si="52"/>
        <v>1</v>
      </c>
      <c r="F390" s="114" t="str">
        <f t="shared" si="53"/>
        <v>02</v>
      </c>
      <c r="G390" s="114" t="str">
        <f t="shared" si="54"/>
        <v>4</v>
      </c>
      <c r="H390" s="114" t="str">
        <f t="shared" si="55"/>
        <v>0</v>
      </c>
      <c r="I390" s="115">
        <v>13410240</v>
      </c>
      <c r="J390" s="114" t="s">
        <v>865</v>
      </c>
      <c r="K390" s="114" t="s">
        <v>3751</v>
      </c>
      <c r="L390" s="116"/>
      <c r="M390" s="114" t="s">
        <v>2878</v>
      </c>
      <c r="N390" s="114" t="s">
        <v>2879</v>
      </c>
      <c r="O390" s="114" t="s">
        <v>2878</v>
      </c>
      <c r="P390" s="117" t="s">
        <v>2880</v>
      </c>
    </row>
    <row r="391" spans="2:16" ht="30" x14ac:dyDescent="0.25">
      <c r="B391" s="108" t="str">
        <f t="shared" si="49"/>
        <v>1</v>
      </c>
      <c r="C391" s="108" t="str">
        <f t="shared" si="50"/>
        <v>3</v>
      </c>
      <c r="D391" s="108" t="str">
        <f t="shared" si="51"/>
        <v>4</v>
      </c>
      <c r="E391" s="108" t="str">
        <f t="shared" si="52"/>
        <v>1</v>
      </c>
      <c r="F391" s="108" t="str">
        <f t="shared" si="53"/>
        <v>03</v>
      </c>
      <c r="G391" s="108" t="str">
        <f t="shared" si="54"/>
        <v>0</v>
      </c>
      <c r="H391" s="108" t="str">
        <f t="shared" si="55"/>
        <v>0</v>
      </c>
      <c r="I391" s="109">
        <v>13410300</v>
      </c>
      <c r="J391" s="108" t="s">
        <v>3755</v>
      </c>
      <c r="K391" s="108" t="s">
        <v>3721</v>
      </c>
      <c r="L391" s="110"/>
      <c r="M391" s="108" t="s">
        <v>2878</v>
      </c>
      <c r="N391" s="108" t="s">
        <v>856</v>
      </c>
      <c r="O391" s="108" t="s">
        <v>2878</v>
      </c>
      <c r="P391" s="111" t="s">
        <v>2880</v>
      </c>
    </row>
    <row r="392" spans="2:16" ht="45" x14ac:dyDescent="0.25">
      <c r="B392" s="114" t="str">
        <f t="shared" si="49"/>
        <v>1</v>
      </c>
      <c r="C392" s="114" t="str">
        <f t="shared" si="50"/>
        <v>3</v>
      </c>
      <c r="D392" s="114" t="str">
        <f t="shared" si="51"/>
        <v>4</v>
      </c>
      <c r="E392" s="114" t="str">
        <f t="shared" si="52"/>
        <v>1</v>
      </c>
      <c r="F392" s="114" t="str">
        <f t="shared" si="53"/>
        <v>03</v>
      </c>
      <c r="G392" s="114" t="str">
        <f t="shared" si="54"/>
        <v>1</v>
      </c>
      <c r="H392" s="114" t="str">
        <f t="shared" si="55"/>
        <v>0</v>
      </c>
      <c r="I392" s="115">
        <v>13410310</v>
      </c>
      <c r="J392" s="114" t="s">
        <v>867</v>
      </c>
      <c r="K392" s="114" t="s">
        <v>3756</v>
      </c>
      <c r="L392" s="116"/>
      <c r="M392" s="114" t="s">
        <v>2878</v>
      </c>
      <c r="N392" s="114" t="s">
        <v>2879</v>
      </c>
      <c r="O392" s="114" t="s">
        <v>2878</v>
      </c>
      <c r="P392" s="117" t="s">
        <v>2880</v>
      </c>
    </row>
    <row r="393" spans="2:16" ht="150" x14ac:dyDescent="0.25">
      <c r="B393" s="114" t="str">
        <f t="shared" si="49"/>
        <v>1</v>
      </c>
      <c r="C393" s="114" t="str">
        <f t="shared" si="50"/>
        <v>3</v>
      </c>
      <c r="D393" s="114" t="str">
        <f t="shared" si="51"/>
        <v>4</v>
      </c>
      <c r="E393" s="114" t="str">
        <f t="shared" si="52"/>
        <v>1</v>
      </c>
      <c r="F393" s="114" t="str">
        <f t="shared" si="53"/>
        <v>03</v>
      </c>
      <c r="G393" s="114" t="str">
        <f t="shared" si="54"/>
        <v>2</v>
      </c>
      <c r="H393" s="114" t="str">
        <f t="shared" si="55"/>
        <v>0</v>
      </c>
      <c r="I393" s="115">
        <v>13410320</v>
      </c>
      <c r="J393" s="114" t="s">
        <v>3761</v>
      </c>
      <c r="K393" s="114" t="s">
        <v>3762</v>
      </c>
      <c r="L393" s="116"/>
      <c r="M393" s="114" t="s">
        <v>2878</v>
      </c>
      <c r="N393" s="114" t="s">
        <v>2879</v>
      </c>
      <c r="O393" s="114" t="s">
        <v>2878</v>
      </c>
      <c r="P393" s="117" t="s">
        <v>2880</v>
      </c>
    </row>
    <row r="394" spans="2:16" ht="93.75" customHeight="1" x14ac:dyDescent="0.25">
      <c r="B394" s="114" t="str">
        <f t="shared" si="49"/>
        <v>1</v>
      </c>
      <c r="C394" s="114" t="str">
        <f t="shared" si="50"/>
        <v>3</v>
      </c>
      <c r="D394" s="114" t="str">
        <f t="shared" si="51"/>
        <v>4</v>
      </c>
      <c r="E394" s="114" t="str">
        <f t="shared" si="52"/>
        <v>1</v>
      </c>
      <c r="F394" s="114" t="str">
        <f t="shared" si="53"/>
        <v>03</v>
      </c>
      <c r="G394" s="114" t="str">
        <f t="shared" si="54"/>
        <v>3</v>
      </c>
      <c r="H394" s="114" t="str">
        <f t="shared" si="55"/>
        <v>0</v>
      </c>
      <c r="I394" s="115">
        <v>13410330</v>
      </c>
      <c r="J394" s="114" t="s">
        <v>873</v>
      </c>
      <c r="K394" s="114" t="s">
        <v>3767</v>
      </c>
      <c r="L394" s="116"/>
      <c r="M394" s="114" t="s">
        <v>2878</v>
      </c>
      <c r="N394" s="114" t="s">
        <v>2879</v>
      </c>
      <c r="O394" s="114" t="s">
        <v>2878</v>
      </c>
      <c r="P394" s="117" t="s">
        <v>2880</v>
      </c>
    </row>
    <row r="395" spans="2:16" ht="75" x14ac:dyDescent="0.25">
      <c r="B395" s="114" t="str">
        <f t="shared" si="49"/>
        <v>1</v>
      </c>
      <c r="C395" s="114" t="str">
        <f t="shared" si="50"/>
        <v>3</v>
      </c>
      <c r="D395" s="114" t="str">
        <f t="shared" si="51"/>
        <v>4</v>
      </c>
      <c r="E395" s="114" t="str">
        <f t="shared" si="52"/>
        <v>1</v>
      </c>
      <c r="F395" s="114" t="str">
        <f t="shared" si="53"/>
        <v>03</v>
      </c>
      <c r="G395" s="114" t="str">
        <f t="shared" si="54"/>
        <v>4</v>
      </c>
      <c r="H395" s="114" t="str">
        <f t="shared" si="55"/>
        <v>0</v>
      </c>
      <c r="I395" s="115">
        <v>13410340</v>
      </c>
      <c r="J395" s="114" t="s">
        <v>875</v>
      </c>
      <c r="K395" s="114" t="s">
        <v>3771</v>
      </c>
      <c r="L395" s="116"/>
      <c r="M395" s="114" t="s">
        <v>2878</v>
      </c>
      <c r="N395" s="114" t="s">
        <v>2879</v>
      </c>
      <c r="O395" s="114" t="s">
        <v>2878</v>
      </c>
      <c r="P395" s="117" t="s">
        <v>2880</v>
      </c>
    </row>
    <row r="396" spans="2:16" ht="45" x14ac:dyDescent="0.25">
      <c r="B396" s="108" t="str">
        <f t="shared" si="49"/>
        <v>1</v>
      </c>
      <c r="C396" s="108" t="str">
        <f t="shared" si="50"/>
        <v>3</v>
      </c>
      <c r="D396" s="108" t="str">
        <f t="shared" si="51"/>
        <v>4</v>
      </c>
      <c r="E396" s="108" t="str">
        <f t="shared" si="52"/>
        <v>1</v>
      </c>
      <c r="F396" s="108" t="str">
        <f t="shared" si="53"/>
        <v>04</v>
      </c>
      <c r="G396" s="108" t="str">
        <f t="shared" si="54"/>
        <v>0</v>
      </c>
      <c r="H396" s="108" t="str">
        <f t="shared" si="55"/>
        <v>0</v>
      </c>
      <c r="I396" s="109">
        <v>13410400</v>
      </c>
      <c r="J396" s="108" t="s">
        <v>3775</v>
      </c>
      <c r="K396" s="108" t="s">
        <v>3776</v>
      </c>
      <c r="L396" s="110"/>
      <c r="M396" s="108" t="s">
        <v>2878</v>
      </c>
      <c r="N396" s="108" t="s">
        <v>856</v>
      </c>
      <c r="O396" s="108" t="s">
        <v>2878</v>
      </c>
      <c r="P396" s="111" t="s">
        <v>2880</v>
      </c>
    </row>
    <row r="397" spans="2:16" ht="83.25" customHeight="1" x14ac:dyDescent="0.25">
      <c r="B397" s="114" t="str">
        <f t="shared" si="49"/>
        <v>1</v>
      </c>
      <c r="C397" s="114" t="str">
        <f t="shared" si="50"/>
        <v>3</v>
      </c>
      <c r="D397" s="114" t="str">
        <f t="shared" si="51"/>
        <v>4</v>
      </c>
      <c r="E397" s="114" t="str">
        <f t="shared" si="52"/>
        <v>1</v>
      </c>
      <c r="F397" s="114" t="str">
        <f t="shared" si="53"/>
        <v>04</v>
      </c>
      <c r="G397" s="114" t="str">
        <f t="shared" si="54"/>
        <v>1</v>
      </c>
      <c r="H397" s="114" t="str">
        <f t="shared" si="55"/>
        <v>0</v>
      </c>
      <c r="I397" s="115">
        <v>13410410</v>
      </c>
      <c r="J397" s="114" t="s">
        <v>877</v>
      </c>
      <c r="K397" s="114" t="s">
        <v>3777</v>
      </c>
      <c r="L397" s="116"/>
      <c r="M397" s="114" t="s">
        <v>2878</v>
      </c>
      <c r="N397" s="114" t="s">
        <v>2879</v>
      </c>
      <c r="O397" s="114" t="s">
        <v>2878</v>
      </c>
      <c r="P397" s="117" t="s">
        <v>2880</v>
      </c>
    </row>
    <row r="398" spans="2:16" ht="114" customHeight="1" x14ac:dyDescent="0.25">
      <c r="B398" s="114" t="str">
        <f t="shared" si="49"/>
        <v>1</v>
      </c>
      <c r="C398" s="114" t="str">
        <f t="shared" si="50"/>
        <v>3</v>
      </c>
      <c r="D398" s="114" t="str">
        <f t="shared" si="51"/>
        <v>4</v>
      </c>
      <c r="E398" s="114" t="str">
        <f t="shared" si="52"/>
        <v>1</v>
      </c>
      <c r="F398" s="114" t="str">
        <f t="shared" si="53"/>
        <v>04</v>
      </c>
      <c r="G398" s="114" t="str">
        <f t="shared" si="54"/>
        <v>2</v>
      </c>
      <c r="H398" s="114" t="str">
        <f t="shared" si="55"/>
        <v>0</v>
      </c>
      <c r="I398" s="115">
        <v>13410420</v>
      </c>
      <c r="J398" s="114" t="s">
        <v>881</v>
      </c>
      <c r="K398" s="114" t="s">
        <v>3782</v>
      </c>
      <c r="L398" s="116"/>
      <c r="M398" s="114" t="s">
        <v>2878</v>
      </c>
      <c r="N398" s="114" t="s">
        <v>2879</v>
      </c>
      <c r="O398" s="114" t="s">
        <v>2878</v>
      </c>
      <c r="P398" s="117" t="s">
        <v>2880</v>
      </c>
    </row>
    <row r="399" spans="2:16" ht="73.5" customHeight="1" x14ac:dyDescent="0.25">
      <c r="B399" s="114" t="str">
        <f t="shared" si="49"/>
        <v>1</v>
      </c>
      <c r="C399" s="114" t="str">
        <f t="shared" si="50"/>
        <v>3</v>
      </c>
      <c r="D399" s="114" t="str">
        <f t="shared" si="51"/>
        <v>4</v>
      </c>
      <c r="E399" s="114" t="str">
        <f t="shared" si="52"/>
        <v>1</v>
      </c>
      <c r="F399" s="114" t="str">
        <f t="shared" si="53"/>
        <v>04</v>
      </c>
      <c r="G399" s="114" t="str">
        <f t="shared" si="54"/>
        <v>3</v>
      </c>
      <c r="H399" s="114" t="str">
        <f t="shared" si="55"/>
        <v>0</v>
      </c>
      <c r="I399" s="115">
        <v>13410430</v>
      </c>
      <c r="J399" s="114" t="s">
        <v>3786</v>
      </c>
      <c r="K399" s="114" t="s">
        <v>3787</v>
      </c>
      <c r="L399" s="116"/>
      <c r="M399" s="114" t="s">
        <v>2878</v>
      </c>
      <c r="N399" s="114" t="s">
        <v>2879</v>
      </c>
      <c r="O399" s="114" t="s">
        <v>2878</v>
      </c>
      <c r="P399" s="117" t="s">
        <v>2880</v>
      </c>
    </row>
    <row r="400" spans="2:16" ht="72" customHeight="1" x14ac:dyDescent="0.25">
      <c r="B400" s="114" t="str">
        <f t="shared" si="49"/>
        <v>1</v>
      </c>
      <c r="C400" s="114" t="str">
        <f t="shared" si="50"/>
        <v>3</v>
      </c>
      <c r="D400" s="114" t="str">
        <f t="shared" si="51"/>
        <v>4</v>
      </c>
      <c r="E400" s="114" t="str">
        <f t="shared" si="52"/>
        <v>1</v>
      </c>
      <c r="F400" s="114" t="str">
        <f t="shared" si="53"/>
        <v>04</v>
      </c>
      <c r="G400" s="114" t="str">
        <f t="shared" si="54"/>
        <v>4</v>
      </c>
      <c r="H400" s="114" t="str">
        <f t="shared" si="55"/>
        <v>0</v>
      </c>
      <c r="I400" s="115">
        <v>13410440</v>
      </c>
      <c r="J400" s="114" t="s">
        <v>3791</v>
      </c>
      <c r="K400" s="114" t="s">
        <v>3792</v>
      </c>
      <c r="L400" s="116"/>
      <c r="M400" s="114" t="s">
        <v>2878</v>
      </c>
      <c r="N400" s="114" t="s">
        <v>2879</v>
      </c>
      <c r="O400" s="114" t="s">
        <v>2878</v>
      </c>
      <c r="P400" s="117" t="s">
        <v>2880</v>
      </c>
    </row>
    <row r="401" spans="2:16" ht="45" x14ac:dyDescent="0.25">
      <c r="B401" s="104" t="str">
        <f t="shared" si="49"/>
        <v>1</v>
      </c>
      <c r="C401" s="104" t="str">
        <f t="shared" si="50"/>
        <v>3</v>
      </c>
      <c r="D401" s="104" t="str">
        <f t="shared" si="51"/>
        <v>4</v>
      </c>
      <c r="E401" s="104" t="str">
        <f t="shared" si="52"/>
        <v>2</v>
      </c>
      <c r="F401" s="104" t="str">
        <f t="shared" si="53"/>
        <v>00</v>
      </c>
      <c r="G401" s="104" t="str">
        <f t="shared" si="54"/>
        <v>0</v>
      </c>
      <c r="H401" s="104" t="str">
        <f t="shared" si="55"/>
        <v>0</v>
      </c>
      <c r="I401" s="105">
        <v>13420000</v>
      </c>
      <c r="J401" s="104" t="s">
        <v>3796</v>
      </c>
      <c r="K401" s="104" t="s">
        <v>3797</v>
      </c>
      <c r="L401" s="106"/>
      <c r="M401" s="104" t="s">
        <v>2878</v>
      </c>
      <c r="N401" s="104" t="s">
        <v>834</v>
      </c>
      <c r="O401" s="104" t="s">
        <v>2878</v>
      </c>
      <c r="P401" s="107" t="s">
        <v>2880</v>
      </c>
    </row>
    <row r="402" spans="2:16" ht="45" x14ac:dyDescent="0.25">
      <c r="B402" s="108" t="str">
        <f t="shared" si="49"/>
        <v>1</v>
      </c>
      <c r="C402" s="108" t="str">
        <f t="shared" si="50"/>
        <v>3</v>
      </c>
      <c r="D402" s="108" t="str">
        <f t="shared" si="51"/>
        <v>4</v>
      </c>
      <c r="E402" s="108" t="str">
        <f t="shared" si="52"/>
        <v>2</v>
      </c>
      <c r="F402" s="108" t="str">
        <f t="shared" si="53"/>
        <v>02</v>
      </c>
      <c r="G402" s="108" t="str">
        <f t="shared" si="54"/>
        <v>0</v>
      </c>
      <c r="H402" s="108" t="str">
        <f t="shared" si="55"/>
        <v>0</v>
      </c>
      <c r="I402" s="109">
        <v>13420200</v>
      </c>
      <c r="J402" s="108" t="s">
        <v>3798</v>
      </c>
      <c r="K402" s="108" t="s">
        <v>3799</v>
      </c>
      <c r="L402" s="110"/>
      <c r="M402" s="108" t="s">
        <v>2878</v>
      </c>
      <c r="N402" s="108" t="s">
        <v>834</v>
      </c>
      <c r="O402" s="108" t="s">
        <v>2878</v>
      </c>
      <c r="P402" s="111" t="s">
        <v>2880</v>
      </c>
    </row>
    <row r="403" spans="2:16" ht="60" x14ac:dyDescent="0.25">
      <c r="B403" s="114" t="str">
        <f t="shared" si="49"/>
        <v>1</v>
      </c>
      <c r="C403" s="114" t="str">
        <f t="shared" si="50"/>
        <v>3</v>
      </c>
      <c r="D403" s="114" t="str">
        <f t="shared" si="51"/>
        <v>4</v>
      </c>
      <c r="E403" s="114" t="str">
        <f t="shared" si="52"/>
        <v>2</v>
      </c>
      <c r="F403" s="114" t="str">
        <f t="shared" si="53"/>
        <v>02</v>
      </c>
      <c r="G403" s="114" t="str">
        <f t="shared" si="54"/>
        <v>1</v>
      </c>
      <c r="H403" s="114" t="str">
        <f t="shared" si="55"/>
        <v>0</v>
      </c>
      <c r="I403" s="115">
        <v>13420210</v>
      </c>
      <c r="J403" s="114" t="s">
        <v>3800</v>
      </c>
      <c r="K403" s="114" t="s">
        <v>3801</v>
      </c>
      <c r="L403" s="116"/>
      <c r="M403" s="114" t="s">
        <v>2878</v>
      </c>
      <c r="N403" s="114" t="s">
        <v>2879</v>
      </c>
      <c r="O403" s="114" t="s">
        <v>2878</v>
      </c>
      <c r="P403" s="117" t="s">
        <v>2880</v>
      </c>
    </row>
    <row r="404" spans="2:16" ht="60" x14ac:dyDescent="0.25">
      <c r="B404" s="114" t="str">
        <f t="shared" si="49"/>
        <v>1</v>
      </c>
      <c r="C404" s="114" t="str">
        <f t="shared" si="50"/>
        <v>3</v>
      </c>
      <c r="D404" s="114" t="str">
        <f t="shared" si="51"/>
        <v>4</v>
      </c>
      <c r="E404" s="114" t="str">
        <f t="shared" si="52"/>
        <v>2</v>
      </c>
      <c r="F404" s="114" t="str">
        <f t="shared" si="53"/>
        <v>02</v>
      </c>
      <c r="G404" s="114" t="str">
        <f t="shared" si="54"/>
        <v>4</v>
      </c>
      <c r="H404" s="114" t="str">
        <f t="shared" si="55"/>
        <v>0</v>
      </c>
      <c r="I404" s="115">
        <v>13420240</v>
      </c>
      <c r="J404" s="114" t="s">
        <v>3806</v>
      </c>
      <c r="K404" s="114" t="s">
        <v>3807</v>
      </c>
      <c r="L404" s="116"/>
      <c r="M404" s="114" t="s">
        <v>2878</v>
      </c>
      <c r="N404" s="114" t="s">
        <v>834</v>
      </c>
      <c r="O404" s="114" t="s">
        <v>2878</v>
      </c>
      <c r="P404" s="117" t="s">
        <v>2880</v>
      </c>
    </row>
    <row r="405" spans="2:16" ht="45" x14ac:dyDescent="0.25">
      <c r="B405" s="108" t="str">
        <f t="shared" si="49"/>
        <v>1</v>
      </c>
      <c r="C405" s="108" t="str">
        <f t="shared" si="50"/>
        <v>3</v>
      </c>
      <c r="D405" s="108" t="str">
        <f t="shared" si="51"/>
        <v>4</v>
      </c>
      <c r="E405" s="108" t="str">
        <f t="shared" si="52"/>
        <v>2</v>
      </c>
      <c r="F405" s="108" t="str">
        <f t="shared" si="53"/>
        <v>03</v>
      </c>
      <c r="G405" s="108" t="str">
        <f t="shared" si="54"/>
        <v>0</v>
      </c>
      <c r="H405" s="108" t="str">
        <f t="shared" si="55"/>
        <v>0</v>
      </c>
      <c r="I405" s="109">
        <v>13420300</v>
      </c>
      <c r="J405" s="108" t="s">
        <v>3812</v>
      </c>
      <c r="K405" s="108" t="s">
        <v>3813</v>
      </c>
      <c r="L405" s="110"/>
      <c r="M405" s="108" t="s">
        <v>2878</v>
      </c>
      <c r="N405" s="108" t="s">
        <v>834</v>
      </c>
      <c r="O405" s="108" t="s">
        <v>2878</v>
      </c>
      <c r="P405" s="111" t="s">
        <v>2880</v>
      </c>
    </row>
    <row r="406" spans="2:16" ht="60" x14ac:dyDescent="0.25">
      <c r="B406" s="114" t="str">
        <f t="shared" si="49"/>
        <v>1</v>
      </c>
      <c r="C406" s="114" t="str">
        <f t="shared" si="50"/>
        <v>3</v>
      </c>
      <c r="D406" s="114" t="str">
        <f t="shared" si="51"/>
        <v>4</v>
      </c>
      <c r="E406" s="114" t="str">
        <f t="shared" si="52"/>
        <v>2</v>
      </c>
      <c r="F406" s="114" t="str">
        <f t="shared" si="53"/>
        <v>03</v>
      </c>
      <c r="G406" s="114" t="str">
        <f t="shared" si="54"/>
        <v>1</v>
      </c>
      <c r="H406" s="114" t="str">
        <f t="shared" si="55"/>
        <v>0</v>
      </c>
      <c r="I406" s="115">
        <v>13420310</v>
      </c>
      <c r="J406" s="114" t="s">
        <v>3814</v>
      </c>
      <c r="K406" s="114" t="s">
        <v>3815</v>
      </c>
      <c r="L406" s="116"/>
      <c r="M406" s="114" t="s">
        <v>2878</v>
      </c>
      <c r="N406" s="114" t="s">
        <v>2879</v>
      </c>
      <c r="O406" s="114" t="s">
        <v>2878</v>
      </c>
      <c r="P406" s="117" t="s">
        <v>2880</v>
      </c>
    </row>
    <row r="407" spans="2:16" ht="60" x14ac:dyDescent="0.25">
      <c r="B407" s="114" t="str">
        <f t="shared" si="49"/>
        <v>1</v>
      </c>
      <c r="C407" s="114" t="str">
        <f t="shared" si="50"/>
        <v>3</v>
      </c>
      <c r="D407" s="114" t="str">
        <f t="shared" si="51"/>
        <v>4</v>
      </c>
      <c r="E407" s="114" t="str">
        <f t="shared" si="52"/>
        <v>2</v>
      </c>
      <c r="F407" s="114" t="str">
        <f t="shared" si="53"/>
        <v>03</v>
      </c>
      <c r="G407" s="114" t="str">
        <f t="shared" si="54"/>
        <v>4</v>
      </c>
      <c r="H407" s="114" t="str">
        <f t="shared" si="55"/>
        <v>0</v>
      </c>
      <c r="I407" s="115">
        <v>13420340</v>
      </c>
      <c r="J407" s="114" t="s">
        <v>3820</v>
      </c>
      <c r="K407" s="114" t="s">
        <v>3821</v>
      </c>
      <c r="L407" s="116"/>
      <c r="M407" s="114" t="s">
        <v>2878</v>
      </c>
      <c r="N407" s="114" t="s">
        <v>834</v>
      </c>
      <c r="O407" s="114" t="s">
        <v>2878</v>
      </c>
      <c r="P407" s="117" t="s">
        <v>2880</v>
      </c>
    </row>
    <row r="408" spans="2:16" ht="45" x14ac:dyDescent="0.25">
      <c r="B408" s="104" t="str">
        <f t="shared" si="49"/>
        <v>1</v>
      </c>
      <c r="C408" s="104" t="str">
        <f t="shared" si="50"/>
        <v>3</v>
      </c>
      <c r="D408" s="104" t="str">
        <f t="shared" si="51"/>
        <v>4</v>
      </c>
      <c r="E408" s="104" t="str">
        <f t="shared" si="52"/>
        <v>3</v>
      </c>
      <c r="F408" s="104" t="str">
        <f t="shared" si="53"/>
        <v>00</v>
      </c>
      <c r="G408" s="104" t="str">
        <f t="shared" si="54"/>
        <v>0</v>
      </c>
      <c r="H408" s="104" t="str">
        <f t="shared" si="55"/>
        <v>0</v>
      </c>
      <c r="I408" s="105">
        <v>13430000</v>
      </c>
      <c r="J408" s="104" t="s">
        <v>3826</v>
      </c>
      <c r="K408" s="104" t="s">
        <v>3827</v>
      </c>
      <c r="L408" s="106"/>
      <c r="M408" s="104" t="s">
        <v>2878</v>
      </c>
      <c r="N408" s="104" t="s">
        <v>2879</v>
      </c>
      <c r="O408" s="104" t="s">
        <v>2878</v>
      </c>
      <c r="P408" s="107" t="s">
        <v>2880</v>
      </c>
    </row>
    <row r="409" spans="2:16" ht="30" x14ac:dyDescent="0.25">
      <c r="B409" s="108" t="str">
        <f t="shared" si="49"/>
        <v>1</v>
      </c>
      <c r="C409" s="108" t="str">
        <f t="shared" si="50"/>
        <v>3</v>
      </c>
      <c r="D409" s="108" t="str">
        <f t="shared" si="51"/>
        <v>4</v>
      </c>
      <c r="E409" s="108" t="str">
        <f t="shared" si="52"/>
        <v>3</v>
      </c>
      <c r="F409" s="108" t="str">
        <f t="shared" si="53"/>
        <v>01</v>
      </c>
      <c r="G409" s="108" t="str">
        <f t="shared" si="54"/>
        <v>0</v>
      </c>
      <c r="H409" s="108" t="str">
        <f t="shared" si="55"/>
        <v>0</v>
      </c>
      <c r="I409" s="109">
        <v>13430100</v>
      </c>
      <c r="J409" s="108" t="s">
        <v>3828</v>
      </c>
      <c r="K409" s="108" t="s">
        <v>3829</v>
      </c>
      <c r="L409" s="110"/>
      <c r="M409" s="108" t="s">
        <v>2878</v>
      </c>
      <c r="N409" s="108" t="s">
        <v>2879</v>
      </c>
      <c r="O409" s="108" t="s">
        <v>2878</v>
      </c>
      <c r="P409" s="111" t="s">
        <v>2880</v>
      </c>
    </row>
    <row r="410" spans="2:16" s="148" customFormat="1" ht="45" x14ac:dyDescent="0.25">
      <c r="B410" s="149" t="str">
        <f t="shared" si="49"/>
        <v>1</v>
      </c>
      <c r="C410" s="149" t="str">
        <f t="shared" si="50"/>
        <v>3</v>
      </c>
      <c r="D410" s="149" t="str">
        <f t="shared" si="51"/>
        <v>4</v>
      </c>
      <c r="E410" s="149" t="str">
        <f t="shared" si="52"/>
        <v>3</v>
      </c>
      <c r="F410" s="149" t="str">
        <f t="shared" si="53"/>
        <v>01</v>
      </c>
      <c r="G410" s="149" t="str">
        <f t="shared" si="54"/>
        <v>1</v>
      </c>
      <c r="H410" s="149" t="str">
        <f t="shared" si="55"/>
        <v>0</v>
      </c>
      <c r="I410" s="144">
        <v>13430110</v>
      </c>
      <c r="J410" s="149" t="s">
        <v>5324</v>
      </c>
      <c r="K410" s="149" t="s">
        <v>5552</v>
      </c>
      <c r="L410" s="150"/>
      <c r="M410" s="149" t="s">
        <v>5553</v>
      </c>
      <c r="N410" s="149"/>
      <c r="O410" s="149" t="s">
        <v>5554</v>
      </c>
      <c r="P410" s="151" t="s">
        <v>2880</v>
      </c>
    </row>
    <row r="411" spans="2:16" s="148" customFormat="1" ht="45" x14ac:dyDescent="0.25">
      <c r="B411" s="149" t="str">
        <f t="shared" si="49"/>
        <v>1</v>
      </c>
      <c r="C411" s="149" t="str">
        <f t="shared" si="50"/>
        <v>3</v>
      </c>
      <c r="D411" s="149" t="str">
        <f t="shared" si="51"/>
        <v>4</v>
      </c>
      <c r="E411" s="149" t="str">
        <f t="shared" si="52"/>
        <v>3</v>
      </c>
      <c r="F411" s="149" t="str">
        <f t="shared" si="53"/>
        <v>01</v>
      </c>
      <c r="G411" s="149" t="str">
        <f t="shared" si="54"/>
        <v>2</v>
      </c>
      <c r="H411" s="149" t="str">
        <f t="shared" si="55"/>
        <v>0</v>
      </c>
      <c r="I411" s="144">
        <v>13430120</v>
      </c>
      <c r="J411" s="149" t="s">
        <v>5322</v>
      </c>
      <c r="K411" s="149" t="s">
        <v>5555</v>
      </c>
      <c r="L411" s="150"/>
      <c r="M411" s="149" t="s">
        <v>5556</v>
      </c>
      <c r="N411" s="149"/>
      <c r="O411" s="149" t="s">
        <v>5557</v>
      </c>
      <c r="P411" s="151" t="s">
        <v>2880</v>
      </c>
    </row>
    <row r="412" spans="2:16" s="148" customFormat="1" ht="75" x14ac:dyDescent="0.25">
      <c r="B412" s="149" t="str">
        <f t="shared" si="49"/>
        <v>1</v>
      </c>
      <c r="C412" s="149" t="str">
        <f t="shared" si="50"/>
        <v>3</v>
      </c>
      <c r="D412" s="149" t="str">
        <f t="shared" si="51"/>
        <v>4</v>
      </c>
      <c r="E412" s="149" t="str">
        <f t="shared" si="52"/>
        <v>3</v>
      </c>
      <c r="F412" s="149" t="str">
        <f t="shared" si="53"/>
        <v>01</v>
      </c>
      <c r="G412" s="149" t="str">
        <f t="shared" si="54"/>
        <v>3</v>
      </c>
      <c r="H412" s="149" t="str">
        <f t="shared" si="55"/>
        <v>0</v>
      </c>
      <c r="I412" s="144">
        <v>13430130</v>
      </c>
      <c r="J412" s="149" t="s">
        <v>5323</v>
      </c>
      <c r="K412" s="149" t="s">
        <v>5558</v>
      </c>
      <c r="L412" s="150"/>
      <c r="M412" s="149" t="s">
        <v>5559</v>
      </c>
      <c r="N412" s="149"/>
      <c r="O412" s="149" t="s">
        <v>5560</v>
      </c>
      <c r="P412" s="151" t="s">
        <v>2880</v>
      </c>
    </row>
    <row r="413" spans="2:16" ht="45" x14ac:dyDescent="0.25">
      <c r="B413" s="108" t="str">
        <f t="shared" si="49"/>
        <v>1</v>
      </c>
      <c r="C413" s="108" t="str">
        <f t="shared" si="50"/>
        <v>3</v>
      </c>
      <c r="D413" s="108" t="str">
        <f t="shared" si="51"/>
        <v>4</v>
      </c>
      <c r="E413" s="108" t="str">
        <f t="shared" si="52"/>
        <v>3</v>
      </c>
      <c r="F413" s="108" t="str">
        <f t="shared" si="53"/>
        <v>02</v>
      </c>
      <c r="G413" s="108" t="str">
        <f t="shared" si="54"/>
        <v>0</v>
      </c>
      <c r="H413" s="108" t="str">
        <f t="shared" si="55"/>
        <v>0</v>
      </c>
      <c r="I413" s="109">
        <v>13430200</v>
      </c>
      <c r="J413" s="108" t="s">
        <v>3835</v>
      </c>
      <c r="K413" s="108" t="s">
        <v>3836</v>
      </c>
      <c r="L413" s="110"/>
      <c r="M413" s="108" t="s">
        <v>2878</v>
      </c>
      <c r="N413" s="108" t="s">
        <v>2879</v>
      </c>
      <c r="O413" s="108" t="s">
        <v>2878</v>
      </c>
      <c r="P413" s="111" t="s">
        <v>2880</v>
      </c>
    </row>
    <row r="414" spans="2:16" ht="60" x14ac:dyDescent="0.25">
      <c r="B414" s="114" t="str">
        <f t="shared" si="49"/>
        <v>1</v>
      </c>
      <c r="C414" s="114" t="str">
        <f t="shared" si="50"/>
        <v>3</v>
      </c>
      <c r="D414" s="114" t="str">
        <f t="shared" si="51"/>
        <v>4</v>
      </c>
      <c r="E414" s="114" t="str">
        <f t="shared" si="52"/>
        <v>3</v>
      </c>
      <c r="F414" s="114" t="str">
        <f t="shared" si="53"/>
        <v>02</v>
      </c>
      <c r="G414" s="114" t="str">
        <f t="shared" si="54"/>
        <v>1</v>
      </c>
      <c r="H414" s="114" t="str">
        <f t="shared" si="55"/>
        <v>0</v>
      </c>
      <c r="I414" s="115">
        <v>13430210</v>
      </c>
      <c r="J414" s="114" t="s">
        <v>3837</v>
      </c>
      <c r="K414" s="114" t="s">
        <v>3838</v>
      </c>
      <c r="L414" s="116"/>
      <c r="M414" s="114" t="s">
        <v>2878</v>
      </c>
      <c r="N414" s="114" t="s">
        <v>2879</v>
      </c>
      <c r="O414" s="114" t="s">
        <v>2878</v>
      </c>
      <c r="P414" s="117" t="s">
        <v>2880</v>
      </c>
    </row>
    <row r="415" spans="2:16" ht="60" x14ac:dyDescent="0.25">
      <c r="B415" s="114" t="str">
        <f t="shared" ref="B415:B437" si="56">MID($I415,1,1)</f>
        <v>1</v>
      </c>
      <c r="C415" s="114" t="str">
        <f t="shared" ref="C415:C437" si="57">MID($I415,2,1)</f>
        <v>3</v>
      </c>
      <c r="D415" s="114" t="str">
        <f t="shared" ref="D415:D437" si="58">MID($I415,3,1)</f>
        <v>4</v>
      </c>
      <c r="E415" s="114" t="str">
        <f t="shared" ref="E415:E437" si="59">MID($I415,4,1)</f>
        <v>3</v>
      </c>
      <c r="F415" s="114" t="str">
        <f t="shared" ref="F415:F437" si="60">MID($I415,5,2)</f>
        <v>02</v>
      </c>
      <c r="G415" s="114" t="str">
        <f t="shared" ref="G415:G437" si="61">MID($I415,7,1)</f>
        <v>4</v>
      </c>
      <c r="H415" s="114" t="str">
        <f t="shared" ref="H415:H437" si="62">MID($I415,8,1)</f>
        <v>0</v>
      </c>
      <c r="I415" s="115">
        <v>13430240</v>
      </c>
      <c r="J415" s="114" t="s">
        <v>3843</v>
      </c>
      <c r="K415" s="114" t="s">
        <v>3844</v>
      </c>
      <c r="L415" s="116"/>
      <c r="M415" s="114" t="s">
        <v>2878</v>
      </c>
      <c r="N415" s="114" t="s">
        <v>2879</v>
      </c>
      <c r="O415" s="114" t="s">
        <v>2878</v>
      </c>
      <c r="P415" s="117" t="s">
        <v>2880</v>
      </c>
    </row>
    <row r="416" spans="2:16" ht="30" x14ac:dyDescent="0.25">
      <c r="B416" s="104" t="str">
        <f t="shared" si="56"/>
        <v>1</v>
      </c>
      <c r="C416" s="104" t="str">
        <f t="shared" si="57"/>
        <v>3</v>
      </c>
      <c r="D416" s="104" t="str">
        <f t="shared" si="58"/>
        <v>4</v>
      </c>
      <c r="E416" s="104" t="str">
        <f t="shared" si="59"/>
        <v>4</v>
      </c>
      <c r="F416" s="104" t="str">
        <f t="shared" si="60"/>
        <v>00</v>
      </c>
      <c r="G416" s="104" t="str">
        <f t="shared" si="61"/>
        <v>0</v>
      </c>
      <c r="H416" s="104" t="str">
        <f t="shared" si="62"/>
        <v>0</v>
      </c>
      <c r="I416" s="105">
        <v>13440000</v>
      </c>
      <c r="J416" s="104" t="s">
        <v>724</v>
      </c>
      <c r="K416" s="104" t="s">
        <v>3849</v>
      </c>
      <c r="L416" s="106"/>
      <c r="M416" s="104" t="s">
        <v>2878</v>
      </c>
      <c r="N416" s="104" t="s">
        <v>2879</v>
      </c>
      <c r="O416" s="104" t="s">
        <v>2878</v>
      </c>
      <c r="P416" s="107" t="s">
        <v>2880</v>
      </c>
    </row>
    <row r="417" spans="2:16" ht="30" x14ac:dyDescent="0.25">
      <c r="B417" s="108" t="str">
        <f t="shared" si="56"/>
        <v>1</v>
      </c>
      <c r="C417" s="108" t="str">
        <f t="shared" si="57"/>
        <v>3</v>
      </c>
      <c r="D417" s="108" t="str">
        <f t="shared" si="58"/>
        <v>4</v>
      </c>
      <c r="E417" s="108" t="str">
        <f t="shared" si="59"/>
        <v>4</v>
      </c>
      <c r="F417" s="108" t="str">
        <f t="shared" si="60"/>
        <v>01</v>
      </c>
      <c r="G417" s="108" t="str">
        <f t="shared" si="61"/>
        <v>0</v>
      </c>
      <c r="H417" s="108" t="str">
        <f t="shared" si="62"/>
        <v>0</v>
      </c>
      <c r="I417" s="109">
        <v>13440100</v>
      </c>
      <c r="J417" s="108" t="s">
        <v>3850</v>
      </c>
      <c r="K417" s="108" t="s">
        <v>3851</v>
      </c>
      <c r="L417" s="110"/>
      <c r="M417" s="108" t="s">
        <v>2878</v>
      </c>
      <c r="N417" s="108" t="s">
        <v>2879</v>
      </c>
      <c r="O417" s="108" t="s">
        <v>2878</v>
      </c>
      <c r="P417" s="111" t="s">
        <v>2880</v>
      </c>
    </row>
    <row r="418" spans="2:16" ht="30" x14ac:dyDescent="0.25">
      <c r="B418" s="114" t="str">
        <f t="shared" si="56"/>
        <v>1</v>
      </c>
      <c r="C418" s="114" t="str">
        <f t="shared" si="57"/>
        <v>3</v>
      </c>
      <c r="D418" s="114" t="str">
        <f t="shared" si="58"/>
        <v>4</v>
      </c>
      <c r="E418" s="114" t="str">
        <f t="shared" si="59"/>
        <v>4</v>
      </c>
      <c r="F418" s="114" t="str">
        <f t="shared" si="60"/>
        <v>01</v>
      </c>
      <c r="G418" s="114" t="str">
        <f t="shared" si="61"/>
        <v>1</v>
      </c>
      <c r="H418" s="114" t="str">
        <f t="shared" si="62"/>
        <v>0</v>
      </c>
      <c r="I418" s="115">
        <v>13440110</v>
      </c>
      <c r="J418" s="114" t="s">
        <v>3850</v>
      </c>
      <c r="K418" s="114" t="s">
        <v>3851</v>
      </c>
      <c r="L418" s="116"/>
      <c r="M418" s="114" t="s">
        <v>2878</v>
      </c>
      <c r="N418" s="114" t="s">
        <v>2879</v>
      </c>
      <c r="O418" s="114" t="s">
        <v>2878</v>
      </c>
      <c r="P418" s="117" t="s">
        <v>2880</v>
      </c>
    </row>
    <row r="419" spans="2:16" ht="30" x14ac:dyDescent="0.25">
      <c r="B419" s="108" t="str">
        <f t="shared" si="56"/>
        <v>1</v>
      </c>
      <c r="C419" s="108" t="str">
        <f t="shared" si="57"/>
        <v>3</v>
      </c>
      <c r="D419" s="108" t="str">
        <f t="shared" si="58"/>
        <v>4</v>
      </c>
      <c r="E419" s="108" t="str">
        <f t="shared" si="59"/>
        <v>4</v>
      </c>
      <c r="F419" s="108" t="str">
        <f t="shared" si="60"/>
        <v>02</v>
      </c>
      <c r="G419" s="108" t="str">
        <f t="shared" si="61"/>
        <v>0</v>
      </c>
      <c r="H419" s="108" t="str">
        <f t="shared" si="62"/>
        <v>0</v>
      </c>
      <c r="I419" s="109">
        <v>13440200</v>
      </c>
      <c r="J419" s="108" t="s">
        <v>3859</v>
      </c>
      <c r="K419" s="108" t="s">
        <v>3860</v>
      </c>
      <c r="L419" s="110"/>
      <c r="M419" s="108" t="s">
        <v>2878</v>
      </c>
      <c r="N419" s="108" t="s">
        <v>2879</v>
      </c>
      <c r="O419" s="108" t="s">
        <v>2878</v>
      </c>
      <c r="P419" s="111" t="s">
        <v>2880</v>
      </c>
    </row>
    <row r="420" spans="2:16" ht="30" x14ac:dyDescent="0.25">
      <c r="B420" s="114" t="str">
        <f t="shared" si="56"/>
        <v>1</v>
      </c>
      <c r="C420" s="114" t="str">
        <f t="shared" si="57"/>
        <v>3</v>
      </c>
      <c r="D420" s="114" t="str">
        <f t="shared" si="58"/>
        <v>4</v>
      </c>
      <c r="E420" s="114" t="str">
        <f t="shared" si="59"/>
        <v>4</v>
      </c>
      <c r="F420" s="114" t="str">
        <f t="shared" si="60"/>
        <v>02</v>
      </c>
      <c r="G420" s="114" t="str">
        <f t="shared" si="61"/>
        <v>1</v>
      </c>
      <c r="H420" s="114" t="str">
        <f t="shared" si="62"/>
        <v>0</v>
      </c>
      <c r="I420" s="115">
        <v>13440210</v>
      </c>
      <c r="J420" s="114" t="s">
        <v>3859</v>
      </c>
      <c r="K420" s="114" t="s">
        <v>3860</v>
      </c>
      <c r="L420" s="116"/>
      <c r="M420" s="114" t="s">
        <v>2878</v>
      </c>
      <c r="N420" s="114" t="s">
        <v>2879</v>
      </c>
      <c r="O420" s="114" t="s">
        <v>2878</v>
      </c>
      <c r="P420" s="117" t="s">
        <v>2880</v>
      </c>
    </row>
    <row r="421" spans="2:16" ht="30" x14ac:dyDescent="0.25">
      <c r="B421" s="104" t="str">
        <f t="shared" si="56"/>
        <v>1</v>
      </c>
      <c r="C421" s="104" t="str">
        <f t="shared" si="57"/>
        <v>3</v>
      </c>
      <c r="D421" s="104" t="str">
        <f t="shared" si="58"/>
        <v>4</v>
      </c>
      <c r="E421" s="104" t="str">
        <f t="shared" si="59"/>
        <v>5</v>
      </c>
      <c r="F421" s="104" t="str">
        <f t="shared" si="60"/>
        <v>00</v>
      </c>
      <c r="G421" s="104" t="str">
        <f t="shared" si="61"/>
        <v>0</v>
      </c>
      <c r="H421" s="104" t="str">
        <f t="shared" si="62"/>
        <v>0</v>
      </c>
      <c r="I421" s="105">
        <v>13450000</v>
      </c>
      <c r="J421" s="104" t="s">
        <v>3868</v>
      </c>
      <c r="K421" s="104" t="s">
        <v>3869</v>
      </c>
      <c r="L421" s="106"/>
      <c r="M421" s="104" t="s">
        <v>2878</v>
      </c>
      <c r="N421" s="104" t="s">
        <v>2879</v>
      </c>
      <c r="O421" s="104" t="s">
        <v>2878</v>
      </c>
      <c r="P421" s="107" t="s">
        <v>2880</v>
      </c>
    </row>
    <row r="422" spans="2:16" ht="75" x14ac:dyDescent="0.25">
      <c r="B422" s="108" t="str">
        <f t="shared" si="56"/>
        <v>1</v>
      </c>
      <c r="C422" s="108" t="str">
        <f t="shared" si="57"/>
        <v>3</v>
      </c>
      <c r="D422" s="108" t="str">
        <f t="shared" si="58"/>
        <v>4</v>
      </c>
      <c r="E422" s="108" t="str">
        <f t="shared" si="59"/>
        <v>5</v>
      </c>
      <c r="F422" s="108" t="str">
        <f t="shared" si="60"/>
        <v>01</v>
      </c>
      <c r="G422" s="108" t="str">
        <f t="shared" si="61"/>
        <v>0</v>
      </c>
      <c r="H422" s="108" t="str">
        <f t="shared" si="62"/>
        <v>0</v>
      </c>
      <c r="I422" s="109">
        <v>13450100</v>
      </c>
      <c r="J422" s="108" t="s">
        <v>3870</v>
      </c>
      <c r="K422" s="108" t="s">
        <v>3871</v>
      </c>
      <c r="L422" s="110"/>
      <c r="M422" s="108" t="s">
        <v>2878</v>
      </c>
      <c r="N422" s="108" t="s">
        <v>2879</v>
      </c>
      <c r="O422" s="108" t="s">
        <v>2878</v>
      </c>
      <c r="P422" s="111" t="s">
        <v>2880</v>
      </c>
    </row>
    <row r="423" spans="2:16" ht="75" x14ac:dyDescent="0.25">
      <c r="B423" s="114" t="str">
        <f t="shared" si="56"/>
        <v>1</v>
      </c>
      <c r="C423" s="114" t="str">
        <f t="shared" si="57"/>
        <v>3</v>
      </c>
      <c r="D423" s="114" t="str">
        <f t="shared" si="58"/>
        <v>4</v>
      </c>
      <c r="E423" s="114" t="str">
        <f t="shared" si="59"/>
        <v>5</v>
      </c>
      <c r="F423" s="114" t="str">
        <f t="shared" si="60"/>
        <v>01</v>
      </c>
      <c r="G423" s="114" t="str">
        <f t="shared" si="61"/>
        <v>1</v>
      </c>
      <c r="H423" s="114" t="str">
        <f t="shared" si="62"/>
        <v>0</v>
      </c>
      <c r="I423" s="115">
        <v>13450110</v>
      </c>
      <c r="J423" s="114" t="s">
        <v>3870</v>
      </c>
      <c r="K423" s="114" t="s">
        <v>3871</v>
      </c>
      <c r="L423" s="116"/>
      <c r="M423" s="114" t="s">
        <v>2878</v>
      </c>
      <c r="N423" s="114" t="s">
        <v>2879</v>
      </c>
      <c r="O423" s="114" t="s">
        <v>2878</v>
      </c>
      <c r="P423" s="117" t="s">
        <v>2880</v>
      </c>
    </row>
    <row r="424" spans="2:16" ht="30" x14ac:dyDescent="0.25">
      <c r="B424" s="108" t="str">
        <f t="shared" si="56"/>
        <v>1</v>
      </c>
      <c r="C424" s="108" t="str">
        <f t="shared" si="57"/>
        <v>3</v>
      </c>
      <c r="D424" s="108" t="str">
        <f t="shared" si="58"/>
        <v>4</v>
      </c>
      <c r="E424" s="108" t="str">
        <f t="shared" si="59"/>
        <v>5</v>
      </c>
      <c r="F424" s="108" t="str">
        <f t="shared" si="60"/>
        <v>02</v>
      </c>
      <c r="G424" s="108" t="str">
        <f t="shared" si="61"/>
        <v>0</v>
      </c>
      <c r="H424" s="108" t="str">
        <f t="shared" si="62"/>
        <v>0</v>
      </c>
      <c r="I424" s="109">
        <v>13450200</v>
      </c>
      <c r="J424" s="108" t="s">
        <v>3879</v>
      </c>
      <c r="K424" s="108" t="s">
        <v>3880</v>
      </c>
      <c r="L424" s="110"/>
      <c r="M424" s="108" t="s">
        <v>2878</v>
      </c>
      <c r="N424" s="108" t="s">
        <v>2879</v>
      </c>
      <c r="O424" s="108" t="s">
        <v>2878</v>
      </c>
      <c r="P424" s="111" t="s">
        <v>2880</v>
      </c>
    </row>
    <row r="425" spans="2:16" ht="30" x14ac:dyDescent="0.25">
      <c r="B425" s="114" t="str">
        <f t="shared" si="56"/>
        <v>1</v>
      </c>
      <c r="C425" s="114" t="str">
        <f t="shared" si="57"/>
        <v>3</v>
      </c>
      <c r="D425" s="114" t="str">
        <f t="shared" si="58"/>
        <v>4</v>
      </c>
      <c r="E425" s="114" t="str">
        <f t="shared" si="59"/>
        <v>5</v>
      </c>
      <c r="F425" s="114" t="str">
        <f t="shared" si="60"/>
        <v>02</v>
      </c>
      <c r="G425" s="114" t="str">
        <f t="shared" si="61"/>
        <v>1</v>
      </c>
      <c r="H425" s="114" t="str">
        <f t="shared" si="62"/>
        <v>0</v>
      </c>
      <c r="I425" s="115">
        <v>13450210</v>
      </c>
      <c r="J425" s="114" t="s">
        <v>3879</v>
      </c>
      <c r="K425" s="114" t="s">
        <v>3880</v>
      </c>
      <c r="L425" s="116"/>
      <c r="M425" s="114" t="s">
        <v>2878</v>
      </c>
      <c r="N425" s="114" t="s">
        <v>2879</v>
      </c>
      <c r="O425" s="114" t="s">
        <v>2878</v>
      </c>
      <c r="P425" s="117" t="s">
        <v>2880</v>
      </c>
    </row>
    <row r="426" spans="2:16" ht="30" x14ac:dyDescent="0.25">
      <c r="B426" s="108" t="str">
        <f t="shared" si="56"/>
        <v>1</v>
      </c>
      <c r="C426" s="108" t="str">
        <f t="shared" si="57"/>
        <v>3</v>
      </c>
      <c r="D426" s="108" t="str">
        <f t="shared" si="58"/>
        <v>4</v>
      </c>
      <c r="E426" s="108" t="str">
        <f t="shared" si="59"/>
        <v>5</v>
      </c>
      <c r="F426" s="108" t="str">
        <f t="shared" si="60"/>
        <v>03</v>
      </c>
      <c r="G426" s="108" t="str">
        <f t="shared" si="61"/>
        <v>0</v>
      </c>
      <c r="H426" s="108" t="str">
        <f t="shared" si="62"/>
        <v>0</v>
      </c>
      <c r="I426" s="109">
        <v>13450300</v>
      </c>
      <c r="J426" s="108" t="s">
        <v>3888</v>
      </c>
      <c r="K426" s="108" t="s">
        <v>3889</v>
      </c>
      <c r="L426" s="110"/>
      <c r="M426" s="108" t="s">
        <v>2878</v>
      </c>
      <c r="N426" s="108" t="s">
        <v>2879</v>
      </c>
      <c r="O426" s="108" t="s">
        <v>2878</v>
      </c>
      <c r="P426" s="111" t="s">
        <v>2880</v>
      </c>
    </row>
    <row r="427" spans="2:16" ht="30" x14ac:dyDescent="0.25">
      <c r="B427" s="114" t="str">
        <f t="shared" si="56"/>
        <v>1</v>
      </c>
      <c r="C427" s="114" t="str">
        <f t="shared" si="57"/>
        <v>3</v>
      </c>
      <c r="D427" s="114" t="str">
        <f t="shared" si="58"/>
        <v>4</v>
      </c>
      <c r="E427" s="114" t="str">
        <f t="shared" si="59"/>
        <v>5</v>
      </c>
      <c r="F427" s="114" t="str">
        <f t="shared" si="60"/>
        <v>03</v>
      </c>
      <c r="G427" s="114" t="str">
        <f t="shared" si="61"/>
        <v>1</v>
      </c>
      <c r="H427" s="114" t="str">
        <f t="shared" si="62"/>
        <v>0</v>
      </c>
      <c r="I427" s="115">
        <v>13450310</v>
      </c>
      <c r="J427" s="114" t="s">
        <v>3890</v>
      </c>
      <c r="K427" s="114" t="s">
        <v>3891</v>
      </c>
      <c r="L427" s="116"/>
      <c r="M427" s="114" t="s">
        <v>2878</v>
      </c>
      <c r="N427" s="114" t="s">
        <v>2879</v>
      </c>
      <c r="O427" s="114" t="s">
        <v>2878</v>
      </c>
      <c r="P427" s="117" t="s">
        <v>2880</v>
      </c>
    </row>
    <row r="428" spans="2:16" ht="30" x14ac:dyDescent="0.25">
      <c r="B428" s="114" t="str">
        <f t="shared" si="56"/>
        <v>1</v>
      </c>
      <c r="C428" s="114" t="str">
        <f t="shared" si="57"/>
        <v>3</v>
      </c>
      <c r="D428" s="114" t="str">
        <f t="shared" si="58"/>
        <v>4</v>
      </c>
      <c r="E428" s="114" t="str">
        <f t="shared" si="59"/>
        <v>5</v>
      </c>
      <c r="F428" s="114" t="str">
        <f t="shared" si="60"/>
        <v>03</v>
      </c>
      <c r="G428" s="114" t="str">
        <f t="shared" si="61"/>
        <v>2</v>
      </c>
      <c r="H428" s="114" t="str">
        <f t="shared" si="62"/>
        <v>0</v>
      </c>
      <c r="I428" s="115">
        <v>13450320</v>
      </c>
      <c r="J428" s="114" t="s">
        <v>3899</v>
      </c>
      <c r="K428" s="114" t="s">
        <v>3900</v>
      </c>
      <c r="L428" s="116"/>
      <c r="M428" s="114" t="s">
        <v>2878</v>
      </c>
      <c r="N428" s="114" t="s">
        <v>2879</v>
      </c>
      <c r="O428" s="114" t="s">
        <v>2878</v>
      </c>
      <c r="P428" s="117" t="s">
        <v>2880</v>
      </c>
    </row>
    <row r="429" spans="2:16" s="148" customFormat="1" ht="60" x14ac:dyDescent="0.25">
      <c r="B429" s="149" t="str">
        <f t="shared" si="56"/>
        <v>1</v>
      </c>
      <c r="C429" s="149" t="str">
        <f t="shared" si="57"/>
        <v>3</v>
      </c>
      <c r="D429" s="149" t="str">
        <f t="shared" si="58"/>
        <v>4</v>
      </c>
      <c r="E429" s="149" t="str">
        <f t="shared" si="59"/>
        <v>5</v>
      </c>
      <c r="F429" s="149" t="str">
        <f t="shared" si="60"/>
        <v>03</v>
      </c>
      <c r="G429" s="149" t="str">
        <f t="shared" si="61"/>
        <v>3</v>
      </c>
      <c r="H429" s="149" t="str">
        <f t="shared" si="62"/>
        <v>0</v>
      </c>
      <c r="I429" s="144">
        <v>13450330</v>
      </c>
      <c r="J429" s="149" t="s">
        <v>5240</v>
      </c>
      <c r="K429" s="149" t="s">
        <v>5241</v>
      </c>
      <c r="L429" s="150"/>
      <c r="M429" s="149" t="s">
        <v>2878</v>
      </c>
      <c r="N429" s="149" t="s">
        <v>5242</v>
      </c>
      <c r="O429" s="149" t="s">
        <v>5243</v>
      </c>
      <c r="P429" s="151" t="s">
        <v>2880</v>
      </c>
    </row>
    <row r="430" spans="2:16" ht="30" x14ac:dyDescent="0.25">
      <c r="B430" s="104" t="str">
        <f t="shared" si="56"/>
        <v>1</v>
      </c>
      <c r="C430" s="104" t="str">
        <f t="shared" si="57"/>
        <v>3</v>
      </c>
      <c r="D430" s="104" t="str">
        <f t="shared" si="58"/>
        <v>4</v>
      </c>
      <c r="E430" s="104" t="str">
        <f t="shared" si="59"/>
        <v>6</v>
      </c>
      <c r="F430" s="104" t="str">
        <f t="shared" si="60"/>
        <v>00</v>
      </c>
      <c r="G430" s="104" t="str">
        <f t="shared" si="61"/>
        <v>0</v>
      </c>
      <c r="H430" s="104" t="str">
        <f t="shared" si="62"/>
        <v>0</v>
      </c>
      <c r="I430" s="105">
        <v>13460000</v>
      </c>
      <c r="J430" s="104" t="s">
        <v>3908</v>
      </c>
      <c r="K430" s="104" t="s">
        <v>3909</v>
      </c>
      <c r="L430" s="106"/>
      <c r="M430" s="104" t="s">
        <v>2878</v>
      </c>
      <c r="N430" s="104" t="s">
        <v>2879</v>
      </c>
      <c r="O430" s="104" t="s">
        <v>2878</v>
      </c>
      <c r="P430" s="107" t="s">
        <v>2880</v>
      </c>
    </row>
    <row r="431" spans="2:16" ht="45" x14ac:dyDescent="0.25">
      <c r="B431" s="108" t="str">
        <f t="shared" si="56"/>
        <v>1</v>
      </c>
      <c r="C431" s="108" t="str">
        <f t="shared" si="57"/>
        <v>3</v>
      </c>
      <c r="D431" s="108" t="str">
        <f t="shared" si="58"/>
        <v>4</v>
      </c>
      <c r="E431" s="108" t="str">
        <f t="shared" si="59"/>
        <v>6</v>
      </c>
      <c r="F431" s="108" t="str">
        <f t="shared" si="60"/>
        <v>01</v>
      </c>
      <c r="G431" s="108" t="str">
        <f t="shared" si="61"/>
        <v>0</v>
      </c>
      <c r="H431" s="108" t="str">
        <f t="shared" si="62"/>
        <v>0</v>
      </c>
      <c r="I431" s="109">
        <v>13460100</v>
      </c>
      <c r="J431" s="108" t="s">
        <v>3910</v>
      </c>
      <c r="K431" s="108" t="s">
        <v>3911</v>
      </c>
      <c r="L431" s="110"/>
      <c r="M431" s="108" t="s">
        <v>2878</v>
      </c>
      <c r="N431" s="108" t="s">
        <v>2879</v>
      </c>
      <c r="O431" s="108" t="s">
        <v>2878</v>
      </c>
      <c r="P431" s="111" t="s">
        <v>2880</v>
      </c>
    </row>
    <row r="432" spans="2:16" ht="90" x14ac:dyDescent="0.25">
      <c r="B432" s="114" t="str">
        <f t="shared" si="56"/>
        <v>1</v>
      </c>
      <c r="C432" s="114" t="str">
        <f t="shared" si="57"/>
        <v>3</v>
      </c>
      <c r="D432" s="114" t="str">
        <f t="shared" si="58"/>
        <v>4</v>
      </c>
      <c r="E432" s="114" t="str">
        <f t="shared" si="59"/>
        <v>6</v>
      </c>
      <c r="F432" s="114" t="str">
        <f t="shared" si="60"/>
        <v>01</v>
      </c>
      <c r="G432" s="114" t="str">
        <f t="shared" si="61"/>
        <v>1</v>
      </c>
      <c r="H432" s="114" t="str">
        <f t="shared" si="62"/>
        <v>0</v>
      </c>
      <c r="I432" s="115">
        <v>13460110</v>
      </c>
      <c r="J432" s="114" t="s">
        <v>3912</v>
      </c>
      <c r="K432" s="114" t="s">
        <v>3913</v>
      </c>
      <c r="L432" s="116"/>
      <c r="M432" s="114" t="s">
        <v>2878</v>
      </c>
      <c r="N432" s="114" t="s">
        <v>2879</v>
      </c>
      <c r="O432" s="114" t="s">
        <v>2878</v>
      </c>
      <c r="P432" s="117" t="s">
        <v>2880</v>
      </c>
    </row>
    <row r="433" spans="2:16" ht="90" x14ac:dyDescent="0.25">
      <c r="B433" s="114" t="str">
        <f t="shared" si="56"/>
        <v>1</v>
      </c>
      <c r="C433" s="114" t="str">
        <f t="shared" si="57"/>
        <v>3</v>
      </c>
      <c r="D433" s="114" t="str">
        <f t="shared" si="58"/>
        <v>4</v>
      </c>
      <c r="E433" s="114" t="str">
        <f t="shared" si="59"/>
        <v>6</v>
      </c>
      <c r="F433" s="114" t="str">
        <f t="shared" si="60"/>
        <v>01</v>
      </c>
      <c r="G433" s="114" t="str">
        <f t="shared" si="61"/>
        <v>2</v>
      </c>
      <c r="H433" s="114" t="str">
        <f t="shared" si="62"/>
        <v>0</v>
      </c>
      <c r="I433" s="115">
        <v>13460120</v>
      </c>
      <c r="J433" s="114" t="s">
        <v>3921</v>
      </c>
      <c r="K433" s="114" t="s">
        <v>3922</v>
      </c>
      <c r="L433" s="116"/>
      <c r="M433" s="114" t="s">
        <v>2878</v>
      </c>
      <c r="N433" s="114" t="s">
        <v>2879</v>
      </c>
      <c r="O433" s="114" t="s">
        <v>2878</v>
      </c>
      <c r="P433" s="117" t="s">
        <v>2880</v>
      </c>
    </row>
    <row r="434" spans="2:16" ht="45" x14ac:dyDescent="0.25">
      <c r="B434" s="108" t="str">
        <f t="shared" si="56"/>
        <v>1</v>
      </c>
      <c r="C434" s="108" t="str">
        <f t="shared" si="57"/>
        <v>3</v>
      </c>
      <c r="D434" s="108" t="str">
        <f t="shared" si="58"/>
        <v>4</v>
      </c>
      <c r="E434" s="108" t="str">
        <f t="shared" si="59"/>
        <v>6</v>
      </c>
      <c r="F434" s="108" t="str">
        <f t="shared" si="60"/>
        <v>02</v>
      </c>
      <c r="G434" s="108" t="str">
        <f t="shared" si="61"/>
        <v>0</v>
      </c>
      <c r="H434" s="108" t="str">
        <f t="shared" si="62"/>
        <v>0</v>
      </c>
      <c r="I434" s="109">
        <v>13460200</v>
      </c>
      <c r="J434" s="108" t="s">
        <v>3930</v>
      </c>
      <c r="K434" s="108" t="s">
        <v>3931</v>
      </c>
      <c r="L434" s="110"/>
      <c r="M434" s="108" t="s">
        <v>2878</v>
      </c>
      <c r="N434" s="108" t="s">
        <v>2879</v>
      </c>
      <c r="O434" s="108" t="s">
        <v>2878</v>
      </c>
      <c r="P434" s="111" t="s">
        <v>2880</v>
      </c>
    </row>
    <row r="435" spans="2:16" ht="105" x14ac:dyDescent="0.25">
      <c r="B435" s="114" t="str">
        <f t="shared" si="56"/>
        <v>1</v>
      </c>
      <c r="C435" s="114" t="str">
        <f t="shared" si="57"/>
        <v>3</v>
      </c>
      <c r="D435" s="114" t="str">
        <f t="shared" si="58"/>
        <v>4</v>
      </c>
      <c r="E435" s="114" t="str">
        <f t="shared" si="59"/>
        <v>6</v>
      </c>
      <c r="F435" s="114" t="str">
        <f t="shared" si="60"/>
        <v>02</v>
      </c>
      <c r="G435" s="114" t="str">
        <f t="shared" si="61"/>
        <v>1</v>
      </c>
      <c r="H435" s="114" t="str">
        <f t="shared" si="62"/>
        <v>0</v>
      </c>
      <c r="I435" s="115">
        <v>13460210</v>
      </c>
      <c r="J435" s="114" t="s">
        <v>3932</v>
      </c>
      <c r="K435" s="114" t="s">
        <v>3933</v>
      </c>
      <c r="L435" s="116"/>
      <c r="M435" s="114" t="s">
        <v>2878</v>
      </c>
      <c r="N435" s="114" t="s">
        <v>2879</v>
      </c>
      <c r="O435" s="114" t="s">
        <v>2878</v>
      </c>
      <c r="P435" s="117" t="s">
        <v>2880</v>
      </c>
    </row>
    <row r="436" spans="2:16" ht="105" x14ac:dyDescent="0.25">
      <c r="B436" s="114" t="str">
        <f t="shared" si="56"/>
        <v>1</v>
      </c>
      <c r="C436" s="114" t="str">
        <f t="shared" si="57"/>
        <v>3</v>
      </c>
      <c r="D436" s="114" t="str">
        <f t="shared" si="58"/>
        <v>4</v>
      </c>
      <c r="E436" s="114" t="str">
        <f t="shared" si="59"/>
        <v>6</v>
      </c>
      <c r="F436" s="114" t="str">
        <f t="shared" si="60"/>
        <v>02</v>
      </c>
      <c r="G436" s="114" t="str">
        <f t="shared" si="61"/>
        <v>2</v>
      </c>
      <c r="H436" s="114" t="str">
        <f t="shared" si="62"/>
        <v>0</v>
      </c>
      <c r="I436" s="115">
        <v>13460220</v>
      </c>
      <c r="J436" s="114" t="s">
        <v>3941</v>
      </c>
      <c r="K436" s="114" t="s">
        <v>3942</v>
      </c>
      <c r="L436" s="116"/>
      <c r="M436" s="114" t="s">
        <v>2878</v>
      </c>
      <c r="N436" s="114" t="s">
        <v>2879</v>
      </c>
      <c r="O436" s="114" t="s">
        <v>2878</v>
      </c>
      <c r="P436" s="117" t="s">
        <v>2880</v>
      </c>
    </row>
    <row r="437" spans="2:16" ht="30" x14ac:dyDescent="0.25">
      <c r="B437" s="108" t="str">
        <f t="shared" si="56"/>
        <v>1</v>
      </c>
      <c r="C437" s="108" t="str">
        <f t="shared" si="57"/>
        <v>3</v>
      </c>
      <c r="D437" s="108" t="str">
        <f t="shared" si="58"/>
        <v>4</v>
      </c>
      <c r="E437" s="108" t="str">
        <f t="shared" si="59"/>
        <v>6</v>
      </c>
      <c r="F437" s="108" t="str">
        <f t="shared" si="60"/>
        <v>99</v>
      </c>
      <c r="G437" s="108" t="str">
        <f t="shared" si="61"/>
        <v>0</v>
      </c>
      <c r="H437" s="108" t="str">
        <f t="shared" si="62"/>
        <v>0</v>
      </c>
      <c r="I437" s="109">
        <v>13469900</v>
      </c>
      <c r="J437" s="108" t="s">
        <v>3950</v>
      </c>
      <c r="K437" s="108" t="s">
        <v>3951</v>
      </c>
      <c r="L437" s="110"/>
      <c r="M437" s="108" t="s">
        <v>2878</v>
      </c>
      <c r="N437" s="108" t="s">
        <v>2879</v>
      </c>
      <c r="O437" s="108" t="s">
        <v>2878</v>
      </c>
      <c r="P437" s="111" t="s">
        <v>2880</v>
      </c>
    </row>
    <row r="438" spans="2:16" ht="30" x14ac:dyDescent="0.25">
      <c r="B438" s="114" t="str">
        <f t="shared" ref="B438:B462" si="63">MID($I438,1,1)</f>
        <v>1</v>
      </c>
      <c r="C438" s="114" t="str">
        <f t="shared" ref="C438:C462" si="64">MID($I438,2,1)</f>
        <v>3</v>
      </c>
      <c r="D438" s="114" t="str">
        <f t="shared" ref="D438:D462" si="65">MID($I438,3,1)</f>
        <v>4</v>
      </c>
      <c r="E438" s="114" t="str">
        <f t="shared" ref="E438:E462" si="66">MID($I438,4,1)</f>
        <v>6</v>
      </c>
      <c r="F438" s="114" t="str">
        <f t="shared" ref="F438:F462" si="67">MID($I438,5,2)</f>
        <v>99</v>
      </c>
      <c r="G438" s="114" t="str">
        <f t="shared" ref="G438:G462" si="68">MID($I438,7,1)</f>
        <v>1</v>
      </c>
      <c r="H438" s="114" t="str">
        <f t="shared" ref="H438:H462" si="69">MID($I438,8,1)</f>
        <v>0</v>
      </c>
      <c r="I438" s="115">
        <v>13469910</v>
      </c>
      <c r="J438" s="114" t="s">
        <v>3952</v>
      </c>
      <c r="K438" s="114" t="s">
        <v>3953</v>
      </c>
      <c r="L438" s="116"/>
      <c r="M438" s="114" t="s">
        <v>2878</v>
      </c>
      <c r="N438" s="114" t="s">
        <v>2879</v>
      </c>
      <c r="O438" s="114" t="s">
        <v>2878</v>
      </c>
      <c r="P438" s="117" t="s">
        <v>2880</v>
      </c>
    </row>
    <row r="439" spans="2:16" ht="45" x14ac:dyDescent="0.25">
      <c r="B439" s="114" t="str">
        <f t="shared" si="63"/>
        <v>1</v>
      </c>
      <c r="C439" s="114" t="str">
        <f t="shared" si="64"/>
        <v>3</v>
      </c>
      <c r="D439" s="114" t="str">
        <f t="shared" si="65"/>
        <v>4</v>
      </c>
      <c r="E439" s="114" t="str">
        <f t="shared" si="66"/>
        <v>6</v>
      </c>
      <c r="F439" s="114" t="str">
        <f t="shared" si="67"/>
        <v>99</v>
      </c>
      <c r="G439" s="114" t="str">
        <f t="shared" si="68"/>
        <v>2</v>
      </c>
      <c r="H439" s="114" t="str">
        <f t="shared" si="69"/>
        <v>0</v>
      </c>
      <c r="I439" s="115">
        <v>13469920</v>
      </c>
      <c r="J439" s="114" t="s">
        <v>3961</v>
      </c>
      <c r="K439" s="114" t="s">
        <v>3962</v>
      </c>
      <c r="L439" s="116"/>
      <c r="M439" s="114" t="s">
        <v>2878</v>
      </c>
      <c r="N439" s="114" t="s">
        <v>2879</v>
      </c>
      <c r="O439" s="114" t="s">
        <v>2878</v>
      </c>
      <c r="P439" s="117" t="s">
        <v>2880</v>
      </c>
    </row>
    <row r="440" spans="2:16" ht="60" x14ac:dyDescent="0.25">
      <c r="B440" s="114" t="str">
        <f t="shared" si="63"/>
        <v>1</v>
      </c>
      <c r="C440" s="114" t="str">
        <f t="shared" si="64"/>
        <v>3</v>
      </c>
      <c r="D440" s="114" t="str">
        <f t="shared" si="65"/>
        <v>4</v>
      </c>
      <c r="E440" s="114" t="str">
        <f t="shared" si="66"/>
        <v>6</v>
      </c>
      <c r="F440" s="114" t="str">
        <f t="shared" si="67"/>
        <v>99</v>
      </c>
      <c r="G440" s="114" t="str">
        <f t="shared" si="68"/>
        <v>3</v>
      </c>
      <c r="H440" s="114" t="str">
        <f t="shared" si="69"/>
        <v>0</v>
      </c>
      <c r="I440" s="115">
        <v>13469930</v>
      </c>
      <c r="J440" s="114" t="s">
        <v>3969</v>
      </c>
      <c r="K440" s="114" t="s">
        <v>3970</v>
      </c>
      <c r="L440" s="116"/>
      <c r="M440" s="114" t="s">
        <v>2878</v>
      </c>
      <c r="N440" s="114" t="s">
        <v>2879</v>
      </c>
      <c r="O440" s="114" t="s">
        <v>2878</v>
      </c>
      <c r="P440" s="117" t="s">
        <v>2880</v>
      </c>
    </row>
    <row r="441" spans="2:16" ht="30" x14ac:dyDescent="0.25">
      <c r="B441" s="104" t="str">
        <f t="shared" si="63"/>
        <v>1</v>
      </c>
      <c r="C441" s="104" t="str">
        <f t="shared" si="64"/>
        <v>3</v>
      </c>
      <c r="D441" s="104" t="str">
        <f t="shared" si="65"/>
        <v>4</v>
      </c>
      <c r="E441" s="104" t="str">
        <f t="shared" si="66"/>
        <v>9</v>
      </c>
      <c r="F441" s="104" t="str">
        <f t="shared" si="67"/>
        <v>00</v>
      </c>
      <c r="G441" s="104" t="str">
        <f t="shared" si="68"/>
        <v>0</v>
      </c>
      <c r="H441" s="104" t="str">
        <f t="shared" si="69"/>
        <v>0</v>
      </c>
      <c r="I441" s="105">
        <v>13490000</v>
      </c>
      <c r="J441" s="104" t="s">
        <v>3978</v>
      </c>
      <c r="K441" s="104" t="s">
        <v>3979</v>
      </c>
      <c r="L441" s="106"/>
      <c r="M441" s="104" t="s">
        <v>2878</v>
      </c>
      <c r="N441" s="104" t="s">
        <v>2879</v>
      </c>
      <c r="O441" s="104" t="s">
        <v>2878</v>
      </c>
      <c r="P441" s="107" t="s">
        <v>2880</v>
      </c>
    </row>
    <row r="442" spans="2:16" ht="30" x14ac:dyDescent="0.25">
      <c r="B442" s="108" t="str">
        <f t="shared" si="63"/>
        <v>1</v>
      </c>
      <c r="C442" s="108" t="str">
        <f t="shared" si="64"/>
        <v>3</v>
      </c>
      <c r="D442" s="108" t="str">
        <f t="shared" si="65"/>
        <v>4</v>
      </c>
      <c r="E442" s="108" t="str">
        <f t="shared" si="66"/>
        <v>9</v>
      </c>
      <c r="F442" s="108" t="str">
        <f t="shared" si="67"/>
        <v>01</v>
      </c>
      <c r="G442" s="108" t="str">
        <f t="shared" si="68"/>
        <v>0</v>
      </c>
      <c r="H442" s="108" t="str">
        <f t="shared" si="69"/>
        <v>0</v>
      </c>
      <c r="I442" s="109">
        <v>13490100</v>
      </c>
      <c r="J442" s="108" t="s">
        <v>3980</v>
      </c>
      <c r="K442" s="108" t="s">
        <v>3981</v>
      </c>
      <c r="L442" s="110"/>
      <c r="M442" s="108" t="s">
        <v>2878</v>
      </c>
      <c r="N442" s="108" t="s">
        <v>2879</v>
      </c>
      <c r="O442" s="108" t="s">
        <v>2878</v>
      </c>
      <c r="P442" s="111" t="s">
        <v>2880</v>
      </c>
    </row>
    <row r="443" spans="2:16" ht="30" x14ac:dyDescent="0.25">
      <c r="B443" s="114" t="str">
        <f t="shared" si="63"/>
        <v>1</v>
      </c>
      <c r="C443" s="114" t="str">
        <f t="shared" si="64"/>
        <v>3</v>
      </c>
      <c r="D443" s="114" t="str">
        <f t="shared" si="65"/>
        <v>4</v>
      </c>
      <c r="E443" s="114" t="str">
        <f t="shared" si="66"/>
        <v>9</v>
      </c>
      <c r="F443" s="114" t="str">
        <f t="shared" si="67"/>
        <v>01</v>
      </c>
      <c r="G443" s="114" t="str">
        <f t="shared" si="68"/>
        <v>1</v>
      </c>
      <c r="H443" s="114" t="str">
        <f t="shared" si="69"/>
        <v>0</v>
      </c>
      <c r="I443" s="115">
        <v>13490110</v>
      </c>
      <c r="J443" s="114" t="s">
        <v>3980</v>
      </c>
      <c r="K443" s="114" t="s">
        <v>3981</v>
      </c>
      <c r="L443" s="116"/>
      <c r="M443" s="114" t="s">
        <v>2878</v>
      </c>
      <c r="N443" s="114" t="s">
        <v>2879</v>
      </c>
      <c r="O443" s="114" t="s">
        <v>2878</v>
      </c>
      <c r="P443" s="117" t="s">
        <v>2880</v>
      </c>
    </row>
    <row r="444" spans="2:16" ht="30" x14ac:dyDescent="0.25">
      <c r="B444" s="108" t="str">
        <f t="shared" si="63"/>
        <v>1</v>
      </c>
      <c r="C444" s="108" t="str">
        <f t="shared" si="64"/>
        <v>3</v>
      </c>
      <c r="D444" s="108" t="str">
        <f t="shared" si="65"/>
        <v>4</v>
      </c>
      <c r="E444" s="108" t="str">
        <f t="shared" si="66"/>
        <v>9</v>
      </c>
      <c r="F444" s="108" t="str">
        <f t="shared" si="67"/>
        <v>99</v>
      </c>
      <c r="G444" s="108" t="str">
        <f t="shared" si="68"/>
        <v>0</v>
      </c>
      <c r="H444" s="108" t="str">
        <f t="shared" si="69"/>
        <v>0</v>
      </c>
      <c r="I444" s="109">
        <v>13499900</v>
      </c>
      <c r="J444" s="108" t="s">
        <v>3989</v>
      </c>
      <c r="K444" s="108" t="s">
        <v>3990</v>
      </c>
      <c r="L444" s="110"/>
      <c r="M444" s="108" t="s">
        <v>2878</v>
      </c>
      <c r="N444" s="108" t="s">
        <v>2879</v>
      </c>
      <c r="O444" s="108" t="s">
        <v>2878</v>
      </c>
      <c r="P444" s="111" t="s">
        <v>2880</v>
      </c>
    </row>
    <row r="445" spans="2:16" ht="30" x14ac:dyDescent="0.25">
      <c r="B445" s="114" t="str">
        <f t="shared" si="63"/>
        <v>1</v>
      </c>
      <c r="C445" s="114" t="str">
        <f t="shared" si="64"/>
        <v>3</v>
      </c>
      <c r="D445" s="114" t="str">
        <f t="shared" si="65"/>
        <v>4</v>
      </c>
      <c r="E445" s="114" t="str">
        <f t="shared" si="66"/>
        <v>9</v>
      </c>
      <c r="F445" s="114" t="str">
        <f t="shared" si="67"/>
        <v>99</v>
      </c>
      <c r="G445" s="114" t="str">
        <f t="shared" si="68"/>
        <v>1</v>
      </c>
      <c r="H445" s="114" t="str">
        <f t="shared" si="69"/>
        <v>0</v>
      </c>
      <c r="I445" s="115">
        <v>13499910</v>
      </c>
      <c r="J445" s="114" t="s">
        <v>3989</v>
      </c>
      <c r="K445" s="114" t="s">
        <v>3990</v>
      </c>
      <c r="L445" s="116"/>
      <c r="M445" s="114" t="s">
        <v>2878</v>
      </c>
      <c r="N445" s="114" t="s">
        <v>2879</v>
      </c>
      <c r="O445" s="114" t="s">
        <v>2878</v>
      </c>
      <c r="P445" s="117" t="s">
        <v>2880</v>
      </c>
    </row>
    <row r="446" spans="2:16" ht="30" x14ac:dyDescent="0.25">
      <c r="B446" s="126" t="str">
        <f t="shared" si="63"/>
        <v>1</v>
      </c>
      <c r="C446" s="126" t="str">
        <f t="shared" si="64"/>
        <v>3</v>
      </c>
      <c r="D446" s="126" t="str">
        <f t="shared" si="65"/>
        <v>5</v>
      </c>
      <c r="E446" s="126" t="str">
        <f t="shared" si="66"/>
        <v>0</v>
      </c>
      <c r="F446" s="126" t="str">
        <f t="shared" si="67"/>
        <v>00</v>
      </c>
      <c r="G446" s="126" t="str">
        <f t="shared" si="68"/>
        <v>0</v>
      </c>
      <c r="H446" s="126" t="str">
        <f t="shared" si="69"/>
        <v>0</v>
      </c>
      <c r="I446" s="127">
        <v>13500000</v>
      </c>
      <c r="J446" s="126" t="s">
        <v>3997</v>
      </c>
      <c r="K446" s="126" t="s">
        <v>3998</v>
      </c>
      <c r="L446" s="122"/>
      <c r="M446" s="126" t="s">
        <v>2878</v>
      </c>
      <c r="N446" s="126" t="s">
        <v>5016</v>
      </c>
      <c r="O446" s="126" t="s">
        <v>2878</v>
      </c>
      <c r="P446" s="128" t="s">
        <v>2880</v>
      </c>
    </row>
    <row r="447" spans="2:16" ht="45" x14ac:dyDescent="0.25">
      <c r="B447" s="108" t="str">
        <f t="shared" si="63"/>
        <v>1</v>
      </c>
      <c r="C447" s="108" t="str">
        <f t="shared" si="64"/>
        <v>3</v>
      </c>
      <c r="D447" s="108" t="str">
        <f t="shared" si="65"/>
        <v>5</v>
      </c>
      <c r="E447" s="108" t="str">
        <f t="shared" si="66"/>
        <v>0</v>
      </c>
      <c r="F447" s="108" t="str">
        <f t="shared" si="67"/>
        <v>01</v>
      </c>
      <c r="G447" s="108" t="str">
        <f t="shared" si="68"/>
        <v>0</v>
      </c>
      <c r="H447" s="108" t="str">
        <f t="shared" si="69"/>
        <v>0</v>
      </c>
      <c r="I447" s="109">
        <v>13500100</v>
      </c>
      <c r="J447" s="108" t="s">
        <v>3999</v>
      </c>
      <c r="K447" s="108" t="s">
        <v>4000</v>
      </c>
      <c r="L447" s="110"/>
      <c r="M447" s="108" t="s">
        <v>2878</v>
      </c>
      <c r="N447" s="108" t="s">
        <v>2879</v>
      </c>
      <c r="O447" s="108" t="s">
        <v>2878</v>
      </c>
      <c r="P447" s="111" t="s">
        <v>2880</v>
      </c>
    </row>
    <row r="448" spans="2:16" ht="45" x14ac:dyDescent="0.25">
      <c r="B448" s="114" t="str">
        <f t="shared" si="63"/>
        <v>1</v>
      </c>
      <c r="C448" s="114" t="str">
        <f t="shared" si="64"/>
        <v>3</v>
      </c>
      <c r="D448" s="114" t="str">
        <f t="shared" si="65"/>
        <v>5</v>
      </c>
      <c r="E448" s="114" t="str">
        <f t="shared" si="66"/>
        <v>0</v>
      </c>
      <c r="F448" s="114" t="str">
        <f t="shared" si="67"/>
        <v>01</v>
      </c>
      <c r="G448" s="114" t="str">
        <f t="shared" si="68"/>
        <v>1</v>
      </c>
      <c r="H448" s="114" t="str">
        <f t="shared" si="69"/>
        <v>0</v>
      </c>
      <c r="I448" s="115">
        <v>13500110</v>
      </c>
      <c r="J448" s="114" t="s">
        <v>3999</v>
      </c>
      <c r="K448" s="114" t="s">
        <v>4000</v>
      </c>
      <c r="L448" s="116"/>
      <c r="M448" s="114" t="s">
        <v>2878</v>
      </c>
      <c r="N448" s="114" t="s">
        <v>2879</v>
      </c>
      <c r="O448" s="114" t="s">
        <v>2878</v>
      </c>
      <c r="P448" s="117" t="s">
        <v>2880</v>
      </c>
    </row>
    <row r="449" spans="2:16" ht="45" x14ac:dyDescent="0.25">
      <c r="B449" s="108" t="str">
        <f t="shared" si="63"/>
        <v>1</v>
      </c>
      <c r="C449" s="108" t="str">
        <f t="shared" si="64"/>
        <v>3</v>
      </c>
      <c r="D449" s="108" t="str">
        <f t="shared" si="65"/>
        <v>5</v>
      </c>
      <c r="E449" s="108" t="str">
        <f t="shared" si="66"/>
        <v>0</v>
      </c>
      <c r="F449" s="108" t="str">
        <f t="shared" si="67"/>
        <v>02</v>
      </c>
      <c r="G449" s="108" t="str">
        <f t="shared" si="68"/>
        <v>0</v>
      </c>
      <c r="H449" s="108" t="str">
        <f t="shared" si="69"/>
        <v>0</v>
      </c>
      <c r="I449" s="109">
        <v>13500200</v>
      </c>
      <c r="J449" s="108" t="s">
        <v>4007</v>
      </c>
      <c r="K449" s="108" t="s">
        <v>4008</v>
      </c>
      <c r="L449" s="110"/>
      <c r="M449" s="108" t="s">
        <v>2878</v>
      </c>
      <c r="N449" s="108" t="s">
        <v>2879</v>
      </c>
      <c r="O449" s="108" t="s">
        <v>2878</v>
      </c>
      <c r="P449" s="111" t="s">
        <v>2880</v>
      </c>
    </row>
    <row r="450" spans="2:16" ht="45" x14ac:dyDescent="0.25">
      <c r="B450" s="114" t="str">
        <f t="shared" si="63"/>
        <v>1</v>
      </c>
      <c r="C450" s="114" t="str">
        <f t="shared" si="64"/>
        <v>3</v>
      </c>
      <c r="D450" s="114" t="str">
        <f t="shared" si="65"/>
        <v>5</v>
      </c>
      <c r="E450" s="114" t="str">
        <f t="shared" si="66"/>
        <v>0</v>
      </c>
      <c r="F450" s="114" t="str">
        <f t="shared" si="67"/>
        <v>02</v>
      </c>
      <c r="G450" s="114" t="str">
        <f t="shared" si="68"/>
        <v>1</v>
      </c>
      <c r="H450" s="114" t="str">
        <f t="shared" si="69"/>
        <v>0</v>
      </c>
      <c r="I450" s="115">
        <v>13500210</v>
      </c>
      <c r="J450" s="114" t="s">
        <v>4007</v>
      </c>
      <c r="K450" s="114" t="s">
        <v>4008</v>
      </c>
      <c r="L450" s="116"/>
      <c r="M450" s="114" t="s">
        <v>2878</v>
      </c>
      <c r="N450" s="114" t="s">
        <v>2879</v>
      </c>
      <c r="O450" s="114" t="s">
        <v>2878</v>
      </c>
      <c r="P450" s="117" t="s">
        <v>2880</v>
      </c>
    </row>
    <row r="451" spans="2:16" ht="45" x14ac:dyDescent="0.25">
      <c r="B451" s="108" t="str">
        <f t="shared" si="63"/>
        <v>1</v>
      </c>
      <c r="C451" s="108" t="str">
        <f t="shared" si="64"/>
        <v>3</v>
      </c>
      <c r="D451" s="108" t="str">
        <f t="shared" si="65"/>
        <v>5</v>
      </c>
      <c r="E451" s="108" t="str">
        <f t="shared" si="66"/>
        <v>0</v>
      </c>
      <c r="F451" s="108" t="str">
        <f t="shared" si="67"/>
        <v>03</v>
      </c>
      <c r="G451" s="108" t="str">
        <f t="shared" si="68"/>
        <v>0</v>
      </c>
      <c r="H451" s="108" t="str">
        <f t="shared" si="69"/>
        <v>0</v>
      </c>
      <c r="I451" s="109">
        <v>13500300</v>
      </c>
      <c r="J451" s="108" t="s">
        <v>4011</v>
      </c>
      <c r="K451" s="108" t="s">
        <v>4012</v>
      </c>
      <c r="L451" s="110"/>
      <c r="M451" s="108" t="s">
        <v>2878</v>
      </c>
      <c r="N451" s="108"/>
      <c r="O451" s="108" t="s">
        <v>4013</v>
      </c>
      <c r="P451" s="111" t="s">
        <v>2880</v>
      </c>
    </row>
    <row r="452" spans="2:16" ht="30" x14ac:dyDescent="0.25">
      <c r="B452" s="114" t="str">
        <f t="shared" si="63"/>
        <v>1</v>
      </c>
      <c r="C452" s="114" t="str">
        <f t="shared" si="64"/>
        <v>3</v>
      </c>
      <c r="D452" s="114" t="str">
        <f t="shared" si="65"/>
        <v>5</v>
      </c>
      <c r="E452" s="114" t="str">
        <f t="shared" si="66"/>
        <v>0</v>
      </c>
      <c r="F452" s="114" t="str">
        <f t="shared" si="67"/>
        <v>03</v>
      </c>
      <c r="G452" s="114" t="str">
        <f t="shared" si="68"/>
        <v>1</v>
      </c>
      <c r="H452" s="114" t="str">
        <f t="shared" si="69"/>
        <v>0</v>
      </c>
      <c r="I452" s="115">
        <v>13500310</v>
      </c>
      <c r="J452" s="114" t="s">
        <v>4011</v>
      </c>
      <c r="K452" s="114" t="s">
        <v>4012</v>
      </c>
      <c r="L452" s="116"/>
      <c r="M452" s="114" t="s">
        <v>4014</v>
      </c>
      <c r="N452" s="114"/>
      <c r="O452" s="114" t="s">
        <v>4014</v>
      </c>
      <c r="P452" s="117" t="s">
        <v>2880</v>
      </c>
    </row>
    <row r="453" spans="2:16" s="148" customFormat="1" ht="60" x14ac:dyDescent="0.25">
      <c r="B453" s="145" t="str">
        <f t="shared" si="63"/>
        <v>1</v>
      </c>
      <c r="C453" s="145" t="str">
        <f t="shared" si="64"/>
        <v>3</v>
      </c>
      <c r="D453" s="145" t="str">
        <f t="shared" si="65"/>
        <v>5</v>
      </c>
      <c r="E453" s="145" t="str">
        <f t="shared" si="66"/>
        <v>0</v>
      </c>
      <c r="F453" s="145" t="str">
        <f t="shared" si="67"/>
        <v>04</v>
      </c>
      <c r="G453" s="145" t="str">
        <f t="shared" si="68"/>
        <v>0</v>
      </c>
      <c r="H453" s="145" t="str">
        <f t="shared" si="69"/>
        <v>0</v>
      </c>
      <c r="I453" s="143">
        <v>13500400</v>
      </c>
      <c r="J453" s="145" t="s">
        <v>5584</v>
      </c>
      <c r="K453" s="145" t="s">
        <v>5585</v>
      </c>
      <c r="L453" s="146"/>
      <c r="M453" s="145" t="s">
        <v>2878</v>
      </c>
      <c r="N453" s="145" t="s">
        <v>5587</v>
      </c>
      <c r="O453" s="145" t="s">
        <v>5586</v>
      </c>
      <c r="P453" s="147" t="s">
        <v>2880</v>
      </c>
    </row>
    <row r="454" spans="2:16" s="148" customFormat="1" ht="60" x14ac:dyDescent="0.25">
      <c r="B454" s="149" t="str">
        <f t="shared" si="63"/>
        <v>1</v>
      </c>
      <c r="C454" s="149" t="str">
        <f t="shared" si="64"/>
        <v>3</v>
      </c>
      <c r="D454" s="149" t="str">
        <f t="shared" si="65"/>
        <v>5</v>
      </c>
      <c r="E454" s="149" t="str">
        <f t="shared" si="66"/>
        <v>0</v>
      </c>
      <c r="F454" s="149" t="str">
        <f t="shared" si="67"/>
        <v>04</v>
      </c>
      <c r="G454" s="149" t="str">
        <f t="shared" si="68"/>
        <v>1</v>
      </c>
      <c r="H454" s="149" t="str">
        <f t="shared" si="69"/>
        <v>0</v>
      </c>
      <c r="I454" s="144">
        <v>13500410</v>
      </c>
      <c r="J454" s="149" t="s">
        <v>5584</v>
      </c>
      <c r="K454" s="149" t="s">
        <v>5585</v>
      </c>
      <c r="L454" s="150"/>
      <c r="M454" s="149" t="s">
        <v>4014</v>
      </c>
      <c r="N454" s="149" t="s">
        <v>5587</v>
      </c>
      <c r="O454" s="149" t="s">
        <v>5586</v>
      </c>
      <c r="P454" s="151" t="s">
        <v>2880</v>
      </c>
    </row>
    <row r="455" spans="2:16" ht="30" x14ac:dyDescent="0.25">
      <c r="B455" s="126" t="str">
        <f t="shared" si="63"/>
        <v>1</v>
      </c>
      <c r="C455" s="126" t="str">
        <f t="shared" si="64"/>
        <v>3</v>
      </c>
      <c r="D455" s="126" t="str">
        <f t="shared" si="65"/>
        <v>6</v>
      </c>
      <c r="E455" s="126" t="str">
        <f t="shared" si="66"/>
        <v>0</v>
      </c>
      <c r="F455" s="126" t="str">
        <f t="shared" si="67"/>
        <v>00</v>
      </c>
      <c r="G455" s="126" t="str">
        <f t="shared" si="68"/>
        <v>0</v>
      </c>
      <c r="H455" s="126" t="str">
        <f t="shared" si="69"/>
        <v>0</v>
      </c>
      <c r="I455" s="127">
        <v>13600000</v>
      </c>
      <c r="J455" s="126" t="s">
        <v>4018</v>
      </c>
      <c r="K455" s="126" t="s">
        <v>4019</v>
      </c>
      <c r="L455" s="122"/>
      <c r="M455" s="126" t="s">
        <v>2878</v>
      </c>
      <c r="N455" s="126" t="s">
        <v>5016</v>
      </c>
      <c r="O455" s="126" t="s">
        <v>2878</v>
      </c>
      <c r="P455" s="128" t="s">
        <v>2880</v>
      </c>
    </row>
    <row r="456" spans="2:16" ht="90" x14ac:dyDescent="0.25">
      <c r="B456" s="108" t="str">
        <f t="shared" si="63"/>
        <v>1</v>
      </c>
      <c r="C456" s="108" t="str">
        <f t="shared" si="64"/>
        <v>3</v>
      </c>
      <c r="D456" s="108" t="str">
        <f t="shared" si="65"/>
        <v>6</v>
      </c>
      <c r="E456" s="108" t="str">
        <f t="shared" si="66"/>
        <v>0</v>
      </c>
      <c r="F456" s="108" t="str">
        <f t="shared" si="67"/>
        <v>01</v>
      </c>
      <c r="G456" s="108" t="str">
        <f t="shared" si="68"/>
        <v>0</v>
      </c>
      <c r="H456" s="108" t="str">
        <f t="shared" si="69"/>
        <v>0</v>
      </c>
      <c r="I456" s="109">
        <v>13600100</v>
      </c>
      <c r="J456" s="108" t="s">
        <v>4020</v>
      </c>
      <c r="K456" s="108" t="s">
        <v>4021</v>
      </c>
      <c r="L456" s="110"/>
      <c r="M456" s="108" t="s">
        <v>2878</v>
      </c>
      <c r="N456" s="108" t="s">
        <v>2879</v>
      </c>
      <c r="O456" s="108" t="s">
        <v>2878</v>
      </c>
      <c r="P456" s="111" t="s">
        <v>2880</v>
      </c>
    </row>
    <row r="457" spans="2:16" ht="90" x14ac:dyDescent="0.25">
      <c r="B457" s="114" t="str">
        <f t="shared" si="63"/>
        <v>1</v>
      </c>
      <c r="C457" s="114" t="str">
        <f t="shared" si="64"/>
        <v>3</v>
      </c>
      <c r="D457" s="114" t="str">
        <f t="shared" si="65"/>
        <v>6</v>
      </c>
      <c r="E457" s="114" t="str">
        <f t="shared" si="66"/>
        <v>0</v>
      </c>
      <c r="F457" s="114" t="str">
        <f t="shared" si="67"/>
        <v>01</v>
      </c>
      <c r="G457" s="114" t="str">
        <f t="shared" si="68"/>
        <v>1</v>
      </c>
      <c r="H457" s="114" t="str">
        <f t="shared" si="69"/>
        <v>0</v>
      </c>
      <c r="I457" s="115">
        <v>13600110</v>
      </c>
      <c r="J457" s="114" t="s">
        <v>4020</v>
      </c>
      <c r="K457" s="114" t="s">
        <v>4021</v>
      </c>
      <c r="L457" s="116"/>
      <c r="M457" s="114" t="s">
        <v>2878</v>
      </c>
      <c r="N457" s="114" t="s">
        <v>2879</v>
      </c>
      <c r="O457" s="114" t="s">
        <v>2878</v>
      </c>
      <c r="P457" s="117" t="s">
        <v>2880</v>
      </c>
    </row>
    <row r="458" spans="2:16" ht="30" x14ac:dyDescent="0.25">
      <c r="B458" s="126" t="str">
        <f t="shared" si="63"/>
        <v>1</v>
      </c>
      <c r="C458" s="126" t="str">
        <f t="shared" si="64"/>
        <v>3</v>
      </c>
      <c r="D458" s="126" t="str">
        <f t="shared" si="65"/>
        <v>9</v>
      </c>
      <c r="E458" s="126" t="str">
        <f t="shared" si="66"/>
        <v>0</v>
      </c>
      <c r="F458" s="126" t="str">
        <f t="shared" si="67"/>
        <v>00</v>
      </c>
      <c r="G458" s="126" t="str">
        <f t="shared" si="68"/>
        <v>0</v>
      </c>
      <c r="H458" s="126" t="str">
        <f t="shared" si="69"/>
        <v>0</v>
      </c>
      <c r="I458" s="127">
        <v>13900000</v>
      </c>
      <c r="J458" s="126" t="s">
        <v>4029</v>
      </c>
      <c r="K458" s="126" t="s">
        <v>4030</v>
      </c>
      <c r="L458" s="122"/>
      <c r="M458" s="126" t="s">
        <v>2878</v>
      </c>
      <c r="N458" s="126" t="s">
        <v>5016</v>
      </c>
      <c r="O458" s="126" t="s">
        <v>2878</v>
      </c>
      <c r="P458" s="128" t="s">
        <v>2880</v>
      </c>
    </row>
    <row r="459" spans="2:16" ht="30" x14ac:dyDescent="0.25">
      <c r="B459" s="114" t="str">
        <f t="shared" si="63"/>
        <v>1</v>
      </c>
      <c r="C459" s="114" t="str">
        <f t="shared" si="64"/>
        <v>3</v>
      </c>
      <c r="D459" s="114" t="str">
        <f t="shared" si="65"/>
        <v>9</v>
      </c>
      <c r="E459" s="114" t="str">
        <f t="shared" si="66"/>
        <v>0</v>
      </c>
      <c r="F459" s="114" t="str">
        <f t="shared" si="67"/>
        <v>00</v>
      </c>
      <c r="G459" s="114" t="str">
        <f t="shared" si="68"/>
        <v>1</v>
      </c>
      <c r="H459" s="114" t="str">
        <f t="shared" si="69"/>
        <v>0</v>
      </c>
      <c r="I459" s="115">
        <v>13900010</v>
      </c>
      <c r="J459" s="114" t="s">
        <v>4029</v>
      </c>
      <c r="K459" s="114" t="s">
        <v>4030</v>
      </c>
      <c r="L459" s="116"/>
      <c r="M459" s="114" t="s">
        <v>2878</v>
      </c>
      <c r="N459" s="114" t="s">
        <v>2879</v>
      </c>
      <c r="O459" s="114" t="s">
        <v>2878</v>
      </c>
      <c r="P459" s="117" t="s">
        <v>2880</v>
      </c>
    </row>
    <row r="460" spans="2:16" ht="30" x14ac:dyDescent="0.25">
      <c r="B460" s="123" t="str">
        <f t="shared" si="63"/>
        <v>1</v>
      </c>
      <c r="C460" s="123" t="str">
        <f t="shared" si="64"/>
        <v>4</v>
      </c>
      <c r="D460" s="123" t="str">
        <f t="shared" si="65"/>
        <v>0</v>
      </c>
      <c r="E460" s="123" t="str">
        <f t="shared" si="66"/>
        <v>0</v>
      </c>
      <c r="F460" s="123" t="str">
        <f t="shared" si="67"/>
        <v>00</v>
      </c>
      <c r="G460" s="123" t="str">
        <f t="shared" si="68"/>
        <v>0</v>
      </c>
      <c r="H460" s="123" t="str">
        <f t="shared" si="69"/>
        <v>0</v>
      </c>
      <c r="I460" s="124">
        <v>14000000</v>
      </c>
      <c r="J460" s="123" t="s">
        <v>910</v>
      </c>
      <c r="K460" s="123" t="s">
        <v>4037</v>
      </c>
      <c r="L460" s="103"/>
      <c r="M460" s="123" t="s">
        <v>2878</v>
      </c>
      <c r="N460" s="123" t="s">
        <v>5016</v>
      </c>
      <c r="O460" s="123" t="s">
        <v>2878</v>
      </c>
      <c r="P460" s="125" t="s">
        <v>2880</v>
      </c>
    </row>
    <row r="461" spans="2:16" ht="75" x14ac:dyDescent="0.25">
      <c r="B461" s="114" t="str">
        <f t="shared" si="63"/>
        <v>1</v>
      </c>
      <c r="C461" s="114" t="str">
        <f t="shared" si="64"/>
        <v>4</v>
      </c>
      <c r="D461" s="114" t="str">
        <f t="shared" si="65"/>
        <v>0</v>
      </c>
      <c r="E461" s="114" t="str">
        <f t="shared" si="66"/>
        <v>0</v>
      </c>
      <c r="F461" s="114" t="str">
        <f t="shared" si="67"/>
        <v>00</v>
      </c>
      <c r="G461" s="114" t="str">
        <f t="shared" si="68"/>
        <v>1</v>
      </c>
      <c r="H461" s="114" t="str">
        <f t="shared" si="69"/>
        <v>0</v>
      </c>
      <c r="I461" s="115">
        <v>14000010</v>
      </c>
      <c r="J461" s="114" t="s">
        <v>910</v>
      </c>
      <c r="K461" s="114" t="s">
        <v>4038</v>
      </c>
      <c r="L461" s="116"/>
      <c r="M461" s="114" t="s">
        <v>2878</v>
      </c>
      <c r="N461" s="114" t="s">
        <v>2879</v>
      </c>
      <c r="O461" s="114" t="s">
        <v>2878</v>
      </c>
      <c r="P461" s="117" t="s">
        <v>2880</v>
      </c>
    </row>
    <row r="462" spans="2:16" ht="30" x14ac:dyDescent="0.25">
      <c r="B462" s="123" t="str">
        <f t="shared" si="63"/>
        <v>1</v>
      </c>
      <c r="C462" s="123" t="str">
        <f t="shared" si="64"/>
        <v>5</v>
      </c>
      <c r="D462" s="123" t="str">
        <f t="shared" si="65"/>
        <v>0</v>
      </c>
      <c r="E462" s="123" t="str">
        <f t="shared" si="66"/>
        <v>0</v>
      </c>
      <c r="F462" s="123" t="str">
        <f t="shared" si="67"/>
        <v>00</v>
      </c>
      <c r="G462" s="123" t="str">
        <f t="shared" si="68"/>
        <v>0</v>
      </c>
      <c r="H462" s="123" t="str">
        <f t="shared" si="69"/>
        <v>0</v>
      </c>
      <c r="I462" s="124">
        <v>15000000</v>
      </c>
      <c r="J462" s="123" t="s">
        <v>918</v>
      </c>
      <c r="K462" s="123" t="s">
        <v>4045</v>
      </c>
      <c r="L462" s="103"/>
      <c r="M462" s="123" t="s">
        <v>2878</v>
      </c>
      <c r="N462" s="123" t="s">
        <v>5016</v>
      </c>
      <c r="O462" s="123" t="s">
        <v>2878</v>
      </c>
      <c r="P462" s="125" t="s">
        <v>2880</v>
      </c>
    </row>
    <row r="463" spans="2:16" ht="45" x14ac:dyDescent="0.25">
      <c r="B463" s="114" t="str">
        <f t="shared" ref="B463:B484" si="70">MID($I463,1,1)</f>
        <v>1</v>
      </c>
      <c r="C463" s="114" t="str">
        <f t="shared" ref="C463:C484" si="71">MID($I463,2,1)</f>
        <v>5</v>
      </c>
      <c r="D463" s="114" t="str">
        <f t="shared" ref="D463:D484" si="72">MID($I463,3,1)</f>
        <v>0</v>
      </c>
      <c r="E463" s="114" t="str">
        <f t="shared" ref="E463:E484" si="73">MID($I463,4,1)</f>
        <v>0</v>
      </c>
      <c r="F463" s="114" t="str">
        <f t="shared" ref="F463:F484" si="74">MID($I463,5,2)</f>
        <v>00</v>
      </c>
      <c r="G463" s="114" t="str">
        <f t="shared" ref="G463:G484" si="75">MID($I463,7,1)</f>
        <v>1</v>
      </c>
      <c r="H463" s="114" t="str">
        <f t="shared" ref="H463:H484" si="76">MID($I463,8,1)</f>
        <v>0</v>
      </c>
      <c r="I463" s="115">
        <v>15000010</v>
      </c>
      <c r="J463" s="114" t="s">
        <v>918</v>
      </c>
      <c r="K463" s="114" t="s">
        <v>4046</v>
      </c>
      <c r="L463" s="116"/>
      <c r="M463" s="114" t="s">
        <v>2878</v>
      </c>
      <c r="N463" s="114" t="s">
        <v>2879</v>
      </c>
      <c r="O463" s="114" t="s">
        <v>2878</v>
      </c>
      <c r="P463" s="117" t="s">
        <v>2880</v>
      </c>
    </row>
    <row r="464" spans="2:16" ht="30" x14ac:dyDescent="0.25">
      <c r="B464" s="123" t="str">
        <f t="shared" si="70"/>
        <v>1</v>
      </c>
      <c r="C464" s="123" t="str">
        <f t="shared" si="71"/>
        <v>6</v>
      </c>
      <c r="D464" s="123" t="str">
        <f t="shared" si="72"/>
        <v>0</v>
      </c>
      <c r="E464" s="123" t="str">
        <f t="shared" si="73"/>
        <v>0</v>
      </c>
      <c r="F464" s="123" t="str">
        <f t="shared" si="74"/>
        <v>00</v>
      </c>
      <c r="G464" s="123" t="str">
        <f t="shared" si="75"/>
        <v>0</v>
      </c>
      <c r="H464" s="123" t="str">
        <f t="shared" si="76"/>
        <v>0</v>
      </c>
      <c r="I464" s="124">
        <v>16000000</v>
      </c>
      <c r="J464" s="123" t="s">
        <v>952</v>
      </c>
      <c r="K464" s="123" t="s">
        <v>4052</v>
      </c>
      <c r="L464" s="103"/>
      <c r="M464" s="123" t="s">
        <v>2878</v>
      </c>
      <c r="N464" s="123" t="s">
        <v>5016</v>
      </c>
      <c r="O464" s="123" t="s">
        <v>2878</v>
      </c>
      <c r="P464" s="125" t="s">
        <v>2880</v>
      </c>
    </row>
    <row r="465" spans="2:16" ht="60" x14ac:dyDescent="0.25">
      <c r="B465" s="126" t="str">
        <f t="shared" si="70"/>
        <v>1</v>
      </c>
      <c r="C465" s="126" t="str">
        <f t="shared" si="71"/>
        <v>6</v>
      </c>
      <c r="D465" s="126" t="str">
        <f t="shared" si="72"/>
        <v>1</v>
      </c>
      <c r="E465" s="126" t="str">
        <f t="shared" si="73"/>
        <v>0</v>
      </c>
      <c r="F465" s="126" t="str">
        <f t="shared" si="74"/>
        <v>00</v>
      </c>
      <c r="G465" s="126" t="str">
        <f t="shared" si="75"/>
        <v>0</v>
      </c>
      <c r="H465" s="126" t="str">
        <f t="shared" si="76"/>
        <v>0</v>
      </c>
      <c r="I465" s="127">
        <v>16100000</v>
      </c>
      <c r="J465" s="126" t="s">
        <v>4053</v>
      </c>
      <c r="K465" s="126" t="s">
        <v>4054</v>
      </c>
      <c r="L465" s="122"/>
      <c r="M465" s="126" t="s">
        <v>2878</v>
      </c>
      <c r="N465" s="126" t="s">
        <v>5016</v>
      </c>
      <c r="O465" s="126" t="s">
        <v>2878</v>
      </c>
      <c r="P465" s="128" t="s">
        <v>2880</v>
      </c>
    </row>
    <row r="466" spans="2:16" ht="30" x14ac:dyDescent="0.25">
      <c r="B466" s="108" t="str">
        <f t="shared" si="70"/>
        <v>1</v>
      </c>
      <c r="C466" s="108" t="str">
        <f t="shared" si="71"/>
        <v>6</v>
      </c>
      <c r="D466" s="108" t="str">
        <f t="shared" si="72"/>
        <v>1</v>
      </c>
      <c r="E466" s="108" t="str">
        <f t="shared" si="73"/>
        <v>0</v>
      </c>
      <c r="F466" s="108" t="str">
        <f t="shared" si="74"/>
        <v>01</v>
      </c>
      <c r="G466" s="108" t="str">
        <f t="shared" si="75"/>
        <v>0</v>
      </c>
      <c r="H466" s="108" t="str">
        <f t="shared" si="76"/>
        <v>0</v>
      </c>
      <c r="I466" s="109">
        <v>16100100</v>
      </c>
      <c r="J466" s="108" t="s">
        <v>4053</v>
      </c>
      <c r="K466" s="108" t="s">
        <v>4055</v>
      </c>
      <c r="L466" s="110"/>
      <c r="M466" s="108" t="s">
        <v>2878</v>
      </c>
      <c r="N466" s="108" t="s">
        <v>2879</v>
      </c>
      <c r="O466" s="108" t="s">
        <v>2878</v>
      </c>
      <c r="P466" s="111" t="s">
        <v>2880</v>
      </c>
    </row>
    <row r="467" spans="2:16" ht="30" x14ac:dyDescent="0.25">
      <c r="B467" s="114" t="str">
        <f t="shared" si="70"/>
        <v>1</v>
      </c>
      <c r="C467" s="114" t="str">
        <f t="shared" si="71"/>
        <v>6</v>
      </c>
      <c r="D467" s="114" t="str">
        <f t="shared" si="72"/>
        <v>1</v>
      </c>
      <c r="E467" s="114" t="str">
        <f t="shared" si="73"/>
        <v>0</v>
      </c>
      <c r="F467" s="114" t="str">
        <f t="shared" si="74"/>
        <v>01</v>
      </c>
      <c r="G467" s="114" t="str">
        <f t="shared" si="75"/>
        <v>1</v>
      </c>
      <c r="H467" s="114" t="str">
        <f t="shared" si="76"/>
        <v>0</v>
      </c>
      <c r="I467" s="115">
        <v>16100110</v>
      </c>
      <c r="J467" s="114" t="s">
        <v>4053</v>
      </c>
      <c r="K467" s="114" t="s">
        <v>4055</v>
      </c>
      <c r="L467" s="116"/>
      <c r="M467" s="114" t="s">
        <v>2878</v>
      </c>
      <c r="N467" s="114" t="s">
        <v>2879</v>
      </c>
      <c r="O467" s="114" t="s">
        <v>2878</v>
      </c>
      <c r="P467" s="117" t="s">
        <v>2880</v>
      </c>
    </row>
    <row r="468" spans="2:16" ht="30" x14ac:dyDescent="0.25">
      <c r="B468" s="108" t="str">
        <f t="shared" si="70"/>
        <v>1</v>
      </c>
      <c r="C468" s="108" t="str">
        <f t="shared" si="71"/>
        <v>6</v>
      </c>
      <c r="D468" s="108" t="str">
        <f t="shared" si="72"/>
        <v>1</v>
      </c>
      <c r="E468" s="108" t="str">
        <f t="shared" si="73"/>
        <v>0</v>
      </c>
      <c r="F468" s="108" t="str">
        <f t="shared" si="74"/>
        <v>02</v>
      </c>
      <c r="G468" s="108" t="str">
        <f t="shared" si="75"/>
        <v>0</v>
      </c>
      <c r="H468" s="108" t="str">
        <f t="shared" si="76"/>
        <v>0</v>
      </c>
      <c r="I468" s="109">
        <v>16100200</v>
      </c>
      <c r="J468" s="108" t="s">
        <v>4958</v>
      </c>
      <c r="K468" s="108" t="s">
        <v>4959</v>
      </c>
      <c r="L468" s="110"/>
      <c r="M468" s="108"/>
      <c r="N468" s="108"/>
      <c r="O468" s="108"/>
      <c r="P468" s="111" t="s">
        <v>2880</v>
      </c>
    </row>
    <row r="469" spans="2:16" ht="30" x14ac:dyDescent="0.25">
      <c r="B469" s="114" t="str">
        <f t="shared" si="70"/>
        <v>1</v>
      </c>
      <c r="C469" s="114" t="str">
        <f t="shared" si="71"/>
        <v>6</v>
      </c>
      <c r="D469" s="114" t="str">
        <f t="shared" si="72"/>
        <v>1</v>
      </c>
      <c r="E469" s="114" t="str">
        <f t="shared" si="73"/>
        <v>0</v>
      </c>
      <c r="F469" s="114" t="str">
        <f t="shared" si="74"/>
        <v>02</v>
      </c>
      <c r="G469" s="114" t="str">
        <f t="shared" si="75"/>
        <v>1</v>
      </c>
      <c r="H469" s="114" t="str">
        <f t="shared" si="76"/>
        <v>0</v>
      </c>
      <c r="I469" s="115">
        <v>16100210</v>
      </c>
      <c r="J469" s="114" t="s">
        <v>4958</v>
      </c>
      <c r="K469" s="114" t="s">
        <v>4959</v>
      </c>
      <c r="L469" s="116"/>
      <c r="M469" s="114"/>
      <c r="N469" s="114"/>
      <c r="O469" s="114"/>
      <c r="P469" s="117" t="s">
        <v>2880</v>
      </c>
    </row>
    <row r="470" spans="2:16" ht="30" x14ac:dyDescent="0.25">
      <c r="B470" s="108" t="str">
        <f t="shared" si="70"/>
        <v>1</v>
      </c>
      <c r="C470" s="108" t="str">
        <f t="shared" si="71"/>
        <v>6</v>
      </c>
      <c r="D470" s="108" t="str">
        <f t="shared" si="72"/>
        <v>1</v>
      </c>
      <c r="E470" s="108" t="str">
        <f t="shared" si="73"/>
        <v>0</v>
      </c>
      <c r="F470" s="108" t="str">
        <f t="shared" si="74"/>
        <v>03</v>
      </c>
      <c r="G470" s="108" t="str">
        <f t="shared" si="75"/>
        <v>0</v>
      </c>
      <c r="H470" s="108" t="str">
        <f t="shared" si="76"/>
        <v>0</v>
      </c>
      <c r="I470" s="109">
        <v>16100300</v>
      </c>
      <c r="J470" s="108" t="s">
        <v>4062</v>
      </c>
      <c r="K470" s="108" t="s">
        <v>4063</v>
      </c>
      <c r="L470" s="110"/>
      <c r="M470" s="108" t="s">
        <v>2878</v>
      </c>
      <c r="N470" s="108" t="s">
        <v>2879</v>
      </c>
      <c r="O470" s="108" t="s">
        <v>2878</v>
      </c>
      <c r="P470" s="111" t="s">
        <v>2880</v>
      </c>
    </row>
    <row r="471" spans="2:16" ht="118.5" customHeight="1" x14ac:dyDescent="0.25">
      <c r="B471" s="114" t="str">
        <f t="shared" si="70"/>
        <v>1</v>
      </c>
      <c r="C471" s="114" t="str">
        <f t="shared" si="71"/>
        <v>6</v>
      </c>
      <c r="D471" s="114" t="str">
        <f t="shared" si="72"/>
        <v>1</v>
      </c>
      <c r="E471" s="114" t="str">
        <f t="shared" si="73"/>
        <v>0</v>
      </c>
      <c r="F471" s="114" t="str">
        <f t="shared" si="74"/>
        <v>03</v>
      </c>
      <c r="G471" s="114" t="str">
        <f t="shared" si="75"/>
        <v>1</v>
      </c>
      <c r="H471" s="114" t="str">
        <f t="shared" si="76"/>
        <v>0</v>
      </c>
      <c r="I471" s="115">
        <v>16100310</v>
      </c>
      <c r="J471" s="114" t="s">
        <v>4062</v>
      </c>
      <c r="K471" s="114" t="s">
        <v>4064</v>
      </c>
      <c r="L471" s="116"/>
      <c r="M471" s="114" t="s">
        <v>2878</v>
      </c>
      <c r="N471" s="114" t="s">
        <v>2879</v>
      </c>
      <c r="O471" s="114" t="s">
        <v>2878</v>
      </c>
      <c r="P471" s="117" t="s">
        <v>2880</v>
      </c>
    </row>
    <row r="472" spans="2:16" ht="45" x14ac:dyDescent="0.25">
      <c r="B472" s="108" t="str">
        <f t="shared" si="70"/>
        <v>1</v>
      </c>
      <c r="C472" s="108" t="str">
        <f t="shared" si="71"/>
        <v>6</v>
      </c>
      <c r="D472" s="108" t="str">
        <f t="shared" si="72"/>
        <v>1</v>
      </c>
      <c r="E472" s="108" t="str">
        <f t="shared" si="73"/>
        <v>0</v>
      </c>
      <c r="F472" s="108" t="str">
        <f t="shared" si="74"/>
        <v>04</v>
      </c>
      <c r="G472" s="108" t="str">
        <f t="shared" si="75"/>
        <v>0</v>
      </c>
      <c r="H472" s="108" t="str">
        <f t="shared" si="76"/>
        <v>0</v>
      </c>
      <c r="I472" s="109">
        <v>16100400</v>
      </c>
      <c r="J472" s="108" t="s">
        <v>4072</v>
      </c>
      <c r="K472" s="108" t="s">
        <v>4073</v>
      </c>
      <c r="L472" s="110"/>
      <c r="M472" s="108" t="s">
        <v>2878</v>
      </c>
      <c r="N472" s="108" t="s">
        <v>2879</v>
      </c>
      <c r="O472" s="108" t="s">
        <v>2878</v>
      </c>
      <c r="P472" s="111" t="s">
        <v>2880</v>
      </c>
    </row>
    <row r="473" spans="2:16" ht="75" x14ac:dyDescent="0.25">
      <c r="B473" s="114" t="str">
        <f t="shared" si="70"/>
        <v>1</v>
      </c>
      <c r="C473" s="114" t="str">
        <f t="shared" si="71"/>
        <v>6</v>
      </c>
      <c r="D473" s="114" t="str">
        <f t="shared" si="72"/>
        <v>1</v>
      </c>
      <c r="E473" s="114" t="str">
        <f t="shared" si="73"/>
        <v>0</v>
      </c>
      <c r="F473" s="114" t="str">
        <f t="shared" si="74"/>
        <v>04</v>
      </c>
      <c r="G473" s="114" t="str">
        <f t="shared" si="75"/>
        <v>1</v>
      </c>
      <c r="H473" s="114" t="str">
        <f t="shared" si="76"/>
        <v>0</v>
      </c>
      <c r="I473" s="115">
        <v>16100410</v>
      </c>
      <c r="J473" s="114" t="s">
        <v>4072</v>
      </c>
      <c r="K473" s="114" t="s">
        <v>4074</v>
      </c>
      <c r="L473" s="116"/>
      <c r="M473" s="114" t="s">
        <v>2878</v>
      </c>
      <c r="N473" s="114" t="s">
        <v>2879</v>
      </c>
      <c r="O473" s="114" t="s">
        <v>2878</v>
      </c>
      <c r="P473" s="117" t="s">
        <v>2880</v>
      </c>
    </row>
    <row r="474" spans="2:16" ht="60" x14ac:dyDescent="0.25">
      <c r="B474" s="126" t="str">
        <f t="shared" si="70"/>
        <v>1</v>
      </c>
      <c r="C474" s="126" t="str">
        <f t="shared" si="71"/>
        <v>6</v>
      </c>
      <c r="D474" s="126" t="str">
        <f t="shared" si="72"/>
        <v>2</v>
      </c>
      <c r="E474" s="126" t="str">
        <f t="shared" si="73"/>
        <v>0</v>
      </c>
      <c r="F474" s="126" t="str">
        <f t="shared" si="74"/>
        <v>00</v>
      </c>
      <c r="G474" s="126" t="str">
        <f t="shared" si="75"/>
        <v>0</v>
      </c>
      <c r="H474" s="126" t="str">
        <f t="shared" si="76"/>
        <v>0</v>
      </c>
      <c r="I474" s="127">
        <v>16200000</v>
      </c>
      <c r="J474" s="126" t="s">
        <v>4081</v>
      </c>
      <c r="K474" s="126" t="s">
        <v>4082</v>
      </c>
      <c r="L474" s="122"/>
      <c r="M474" s="126" t="s">
        <v>2878</v>
      </c>
      <c r="N474" s="126" t="s">
        <v>5016</v>
      </c>
      <c r="O474" s="126" t="s">
        <v>2878</v>
      </c>
      <c r="P474" s="128" t="s">
        <v>2880</v>
      </c>
    </row>
    <row r="475" spans="2:16" ht="45" x14ac:dyDescent="0.25">
      <c r="B475" s="108" t="str">
        <f t="shared" si="70"/>
        <v>1</v>
      </c>
      <c r="C475" s="108" t="str">
        <f t="shared" si="71"/>
        <v>6</v>
      </c>
      <c r="D475" s="108" t="str">
        <f t="shared" si="72"/>
        <v>2</v>
      </c>
      <c r="E475" s="108" t="str">
        <f t="shared" si="73"/>
        <v>0</v>
      </c>
      <c r="F475" s="108" t="str">
        <f t="shared" si="74"/>
        <v>01</v>
      </c>
      <c r="G475" s="108" t="str">
        <f t="shared" si="75"/>
        <v>0</v>
      </c>
      <c r="H475" s="108" t="str">
        <f t="shared" si="76"/>
        <v>0</v>
      </c>
      <c r="I475" s="109">
        <v>16200100</v>
      </c>
      <c r="J475" s="108" t="s">
        <v>4083</v>
      </c>
      <c r="K475" s="108" t="s">
        <v>4084</v>
      </c>
      <c r="L475" s="110"/>
      <c r="M475" s="108" t="s">
        <v>2878</v>
      </c>
      <c r="N475" s="108" t="s">
        <v>2879</v>
      </c>
      <c r="O475" s="108" t="s">
        <v>2878</v>
      </c>
      <c r="P475" s="111" t="s">
        <v>2880</v>
      </c>
    </row>
    <row r="476" spans="2:16" ht="45" x14ac:dyDescent="0.25">
      <c r="B476" s="114" t="str">
        <f t="shared" si="70"/>
        <v>1</v>
      </c>
      <c r="C476" s="114" t="str">
        <f t="shared" si="71"/>
        <v>6</v>
      </c>
      <c r="D476" s="114" t="str">
        <f t="shared" si="72"/>
        <v>2</v>
      </c>
      <c r="E476" s="114" t="str">
        <f t="shared" si="73"/>
        <v>0</v>
      </c>
      <c r="F476" s="114" t="str">
        <f t="shared" si="74"/>
        <v>01</v>
      </c>
      <c r="G476" s="114" t="str">
        <f t="shared" si="75"/>
        <v>1</v>
      </c>
      <c r="H476" s="114" t="str">
        <f t="shared" si="76"/>
        <v>0</v>
      </c>
      <c r="I476" s="115">
        <v>16200110</v>
      </c>
      <c r="J476" s="114" t="s">
        <v>4083</v>
      </c>
      <c r="K476" s="114" t="s">
        <v>4085</v>
      </c>
      <c r="L476" s="116"/>
      <c r="M476" s="114" t="s">
        <v>2878</v>
      </c>
      <c r="N476" s="114" t="s">
        <v>2879</v>
      </c>
      <c r="O476" s="114" t="s">
        <v>2878</v>
      </c>
      <c r="P476" s="117" t="s">
        <v>2880</v>
      </c>
    </row>
    <row r="477" spans="2:16" ht="45" x14ac:dyDescent="0.25">
      <c r="B477" s="108" t="str">
        <f t="shared" si="70"/>
        <v>1</v>
      </c>
      <c r="C477" s="108" t="str">
        <f t="shared" si="71"/>
        <v>6</v>
      </c>
      <c r="D477" s="108" t="str">
        <f t="shared" si="72"/>
        <v>2</v>
      </c>
      <c r="E477" s="108" t="str">
        <f t="shared" si="73"/>
        <v>0</v>
      </c>
      <c r="F477" s="108" t="str">
        <f t="shared" si="74"/>
        <v>02</v>
      </c>
      <c r="G477" s="108" t="str">
        <f t="shared" si="75"/>
        <v>0</v>
      </c>
      <c r="H477" s="108" t="str">
        <f t="shared" si="76"/>
        <v>0</v>
      </c>
      <c r="I477" s="109">
        <v>16200200</v>
      </c>
      <c r="J477" s="108" t="s">
        <v>988</v>
      </c>
      <c r="K477" s="108" t="s">
        <v>4092</v>
      </c>
      <c r="L477" s="110"/>
      <c r="M477" s="108" t="s">
        <v>2878</v>
      </c>
      <c r="N477" s="108" t="s">
        <v>2879</v>
      </c>
      <c r="O477" s="108" t="s">
        <v>2878</v>
      </c>
      <c r="P477" s="111" t="s">
        <v>2880</v>
      </c>
    </row>
    <row r="478" spans="2:16" ht="45" x14ac:dyDescent="0.25">
      <c r="B478" s="114" t="str">
        <f t="shared" si="70"/>
        <v>1</v>
      </c>
      <c r="C478" s="114" t="str">
        <f t="shared" si="71"/>
        <v>6</v>
      </c>
      <c r="D478" s="114" t="str">
        <f t="shared" si="72"/>
        <v>2</v>
      </c>
      <c r="E478" s="114" t="str">
        <f t="shared" si="73"/>
        <v>0</v>
      </c>
      <c r="F478" s="114" t="str">
        <f t="shared" si="74"/>
        <v>02</v>
      </c>
      <c r="G478" s="114" t="str">
        <f t="shared" si="75"/>
        <v>1</v>
      </c>
      <c r="H478" s="114" t="str">
        <f t="shared" si="76"/>
        <v>0</v>
      </c>
      <c r="I478" s="115">
        <v>16200210</v>
      </c>
      <c r="J478" s="114" t="s">
        <v>988</v>
      </c>
      <c r="K478" s="114" t="s">
        <v>4093</v>
      </c>
      <c r="L478" s="116"/>
      <c r="M478" s="114" t="s">
        <v>2878</v>
      </c>
      <c r="N478" s="114" t="s">
        <v>2879</v>
      </c>
      <c r="O478" s="114" t="s">
        <v>2878</v>
      </c>
      <c r="P478" s="117" t="s">
        <v>2880</v>
      </c>
    </row>
    <row r="479" spans="2:16" ht="30" x14ac:dyDescent="0.25">
      <c r="B479" s="108" t="str">
        <f t="shared" si="70"/>
        <v>1</v>
      </c>
      <c r="C479" s="108" t="str">
        <f t="shared" si="71"/>
        <v>6</v>
      </c>
      <c r="D479" s="108" t="str">
        <f t="shared" si="72"/>
        <v>2</v>
      </c>
      <c r="E479" s="108" t="str">
        <f t="shared" si="73"/>
        <v>0</v>
      </c>
      <c r="F479" s="108" t="str">
        <f t="shared" si="74"/>
        <v>03</v>
      </c>
      <c r="G479" s="108" t="str">
        <f t="shared" si="75"/>
        <v>0</v>
      </c>
      <c r="H479" s="108" t="str">
        <f t="shared" si="76"/>
        <v>0</v>
      </c>
      <c r="I479" s="109">
        <v>16200300</v>
      </c>
      <c r="J479" s="108" t="s">
        <v>1026</v>
      </c>
      <c r="K479" s="108" t="s">
        <v>4099</v>
      </c>
      <c r="L479" s="110"/>
      <c r="M479" s="108" t="s">
        <v>2878</v>
      </c>
      <c r="N479" s="108" t="s">
        <v>2879</v>
      </c>
      <c r="O479" s="108" t="s">
        <v>2878</v>
      </c>
      <c r="P479" s="111" t="s">
        <v>2880</v>
      </c>
    </row>
    <row r="480" spans="2:16" ht="30" x14ac:dyDescent="0.25">
      <c r="B480" s="114" t="str">
        <f t="shared" si="70"/>
        <v>1</v>
      </c>
      <c r="C480" s="114" t="str">
        <f t="shared" si="71"/>
        <v>6</v>
      </c>
      <c r="D480" s="114" t="str">
        <f t="shared" si="72"/>
        <v>2</v>
      </c>
      <c r="E480" s="114" t="str">
        <f t="shared" si="73"/>
        <v>0</v>
      </c>
      <c r="F480" s="114" t="str">
        <f t="shared" si="74"/>
        <v>03</v>
      </c>
      <c r="G480" s="114" t="str">
        <f t="shared" si="75"/>
        <v>1</v>
      </c>
      <c r="H480" s="114" t="str">
        <f t="shared" si="76"/>
        <v>0</v>
      </c>
      <c r="I480" s="115">
        <v>16200310</v>
      </c>
      <c r="J480" s="114" t="s">
        <v>1026</v>
      </c>
      <c r="K480" s="114" t="s">
        <v>4100</v>
      </c>
      <c r="L480" s="116"/>
      <c r="M480" s="114" t="s">
        <v>2878</v>
      </c>
      <c r="N480" s="114" t="s">
        <v>2879</v>
      </c>
      <c r="O480" s="114" t="s">
        <v>2878</v>
      </c>
      <c r="P480" s="117" t="s">
        <v>2880</v>
      </c>
    </row>
    <row r="481" spans="2:16" ht="75" x14ac:dyDescent="0.25">
      <c r="B481" s="108" t="str">
        <f t="shared" si="70"/>
        <v>1</v>
      </c>
      <c r="C481" s="108" t="str">
        <f t="shared" si="71"/>
        <v>6</v>
      </c>
      <c r="D481" s="108" t="str">
        <f t="shared" si="72"/>
        <v>2</v>
      </c>
      <c r="E481" s="108" t="str">
        <f t="shared" si="73"/>
        <v>0</v>
      </c>
      <c r="F481" s="108" t="str">
        <f t="shared" si="74"/>
        <v>04</v>
      </c>
      <c r="G481" s="108" t="str">
        <f t="shared" si="75"/>
        <v>0</v>
      </c>
      <c r="H481" s="108" t="str">
        <f t="shared" si="76"/>
        <v>0</v>
      </c>
      <c r="I481" s="109">
        <v>16200400</v>
      </c>
      <c r="J481" s="108" t="s">
        <v>4107</v>
      </c>
      <c r="K481" s="108" t="s">
        <v>4108</v>
      </c>
      <c r="L481" s="110"/>
      <c r="M481" s="108" t="s">
        <v>2878</v>
      </c>
      <c r="N481" s="108" t="s">
        <v>2879</v>
      </c>
      <c r="O481" s="108" t="s">
        <v>2878</v>
      </c>
      <c r="P481" s="111" t="s">
        <v>2880</v>
      </c>
    </row>
    <row r="482" spans="2:16" ht="75" x14ac:dyDescent="0.25">
      <c r="B482" s="114" t="str">
        <f t="shared" si="70"/>
        <v>1</v>
      </c>
      <c r="C482" s="114" t="str">
        <f t="shared" si="71"/>
        <v>6</v>
      </c>
      <c r="D482" s="114" t="str">
        <f t="shared" si="72"/>
        <v>2</v>
      </c>
      <c r="E482" s="114" t="str">
        <f t="shared" si="73"/>
        <v>0</v>
      </c>
      <c r="F482" s="114" t="str">
        <f t="shared" si="74"/>
        <v>04</v>
      </c>
      <c r="G482" s="114" t="str">
        <f t="shared" si="75"/>
        <v>1</v>
      </c>
      <c r="H482" s="114" t="str">
        <f t="shared" si="76"/>
        <v>0</v>
      </c>
      <c r="I482" s="115">
        <v>16200410</v>
      </c>
      <c r="J482" s="114" t="s">
        <v>1129</v>
      </c>
      <c r="K482" s="114" t="s">
        <v>4109</v>
      </c>
      <c r="L482" s="116"/>
      <c r="M482" s="114" t="s">
        <v>2878</v>
      </c>
      <c r="N482" s="114" t="s">
        <v>2879</v>
      </c>
      <c r="O482" s="114" t="s">
        <v>2878</v>
      </c>
      <c r="P482" s="117" t="s">
        <v>2880</v>
      </c>
    </row>
    <row r="483" spans="2:16" ht="30" x14ac:dyDescent="0.25">
      <c r="B483" s="114" t="str">
        <f t="shared" si="70"/>
        <v>1</v>
      </c>
      <c r="C483" s="114" t="str">
        <f t="shared" si="71"/>
        <v>6</v>
      </c>
      <c r="D483" s="114" t="str">
        <f t="shared" si="72"/>
        <v>2</v>
      </c>
      <c r="E483" s="114" t="str">
        <f t="shared" si="73"/>
        <v>0</v>
      </c>
      <c r="F483" s="114" t="str">
        <f t="shared" si="74"/>
        <v>04</v>
      </c>
      <c r="G483" s="114" t="str">
        <f t="shared" si="75"/>
        <v>2</v>
      </c>
      <c r="H483" s="114" t="str">
        <f t="shared" si="76"/>
        <v>0</v>
      </c>
      <c r="I483" s="115">
        <v>16200420</v>
      </c>
      <c r="J483" s="114" t="s">
        <v>1131</v>
      </c>
      <c r="K483" s="114" t="s">
        <v>4117</v>
      </c>
      <c r="L483" s="116"/>
      <c r="M483" s="114" t="s">
        <v>2878</v>
      </c>
      <c r="N483" s="114" t="s">
        <v>2879</v>
      </c>
      <c r="O483" s="114" t="s">
        <v>2878</v>
      </c>
      <c r="P483" s="117" t="s">
        <v>2880</v>
      </c>
    </row>
    <row r="484" spans="2:16" ht="60" x14ac:dyDescent="0.25">
      <c r="B484" s="114" t="str">
        <f t="shared" si="70"/>
        <v>1</v>
      </c>
      <c r="C484" s="114" t="str">
        <f t="shared" si="71"/>
        <v>6</v>
      </c>
      <c r="D484" s="114" t="str">
        <f t="shared" si="72"/>
        <v>2</v>
      </c>
      <c r="E484" s="114" t="str">
        <f t="shared" si="73"/>
        <v>0</v>
      </c>
      <c r="F484" s="114" t="str">
        <f t="shared" si="74"/>
        <v>04</v>
      </c>
      <c r="G484" s="114" t="str">
        <f t="shared" si="75"/>
        <v>3</v>
      </c>
      <c r="H484" s="114" t="str">
        <f t="shared" si="76"/>
        <v>0</v>
      </c>
      <c r="I484" s="115">
        <v>16200430</v>
      </c>
      <c r="J484" s="114" t="s">
        <v>4125</v>
      </c>
      <c r="K484" s="114" t="s">
        <v>4126</v>
      </c>
      <c r="L484" s="116"/>
      <c r="M484" s="114" t="s">
        <v>2878</v>
      </c>
      <c r="N484" s="114" t="s">
        <v>2879</v>
      </c>
      <c r="O484" s="114" t="s">
        <v>2878</v>
      </c>
      <c r="P484" s="117" t="s">
        <v>2880</v>
      </c>
    </row>
    <row r="485" spans="2:16" ht="45" x14ac:dyDescent="0.25">
      <c r="B485" s="126" t="str">
        <f t="shared" ref="B485:B520" si="77">MID($I485,1,1)</f>
        <v>1</v>
      </c>
      <c r="C485" s="126" t="str">
        <f t="shared" ref="C485:C520" si="78">MID($I485,2,1)</f>
        <v>6</v>
      </c>
      <c r="D485" s="126" t="str">
        <f t="shared" ref="D485:D520" si="79">MID($I485,3,1)</f>
        <v>3</v>
      </c>
      <c r="E485" s="126" t="str">
        <f t="shared" ref="E485:E520" si="80">MID($I485,4,1)</f>
        <v>0</v>
      </c>
      <c r="F485" s="126" t="str">
        <f t="shared" ref="F485:F520" si="81">MID($I485,5,2)</f>
        <v>00</v>
      </c>
      <c r="G485" s="126" t="str">
        <f t="shared" ref="G485:G520" si="82">MID($I485,7,1)</f>
        <v>0</v>
      </c>
      <c r="H485" s="126" t="str">
        <f t="shared" ref="H485:H520" si="83">MID($I485,8,1)</f>
        <v>0</v>
      </c>
      <c r="I485" s="127">
        <v>16300000</v>
      </c>
      <c r="J485" s="126" t="s">
        <v>4134</v>
      </c>
      <c r="K485" s="126" t="s">
        <v>4135</v>
      </c>
      <c r="L485" s="122"/>
      <c r="M485" s="126" t="s">
        <v>2878</v>
      </c>
      <c r="N485" s="126" t="s">
        <v>5016</v>
      </c>
      <c r="O485" s="126" t="s">
        <v>2878</v>
      </c>
      <c r="P485" s="128" t="s">
        <v>2880</v>
      </c>
    </row>
    <row r="486" spans="2:16" ht="75" x14ac:dyDescent="0.25">
      <c r="B486" s="108" t="str">
        <f t="shared" si="77"/>
        <v>1</v>
      </c>
      <c r="C486" s="108" t="str">
        <f t="shared" si="78"/>
        <v>6</v>
      </c>
      <c r="D486" s="108" t="str">
        <f t="shared" si="79"/>
        <v>3</v>
      </c>
      <c r="E486" s="108" t="str">
        <f t="shared" si="80"/>
        <v>0</v>
      </c>
      <c r="F486" s="108" t="str">
        <f t="shared" si="81"/>
        <v>01</v>
      </c>
      <c r="G486" s="108" t="str">
        <f t="shared" si="82"/>
        <v>0</v>
      </c>
      <c r="H486" s="108" t="str">
        <f t="shared" si="83"/>
        <v>0</v>
      </c>
      <c r="I486" s="109">
        <v>16300100</v>
      </c>
      <c r="J486" s="108" t="s">
        <v>4136</v>
      </c>
      <c r="K486" s="108" t="s">
        <v>4137</v>
      </c>
      <c r="L486" s="110"/>
      <c r="M486" s="108" t="s">
        <v>2878</v>
      </c>
      <c r="N486" s="108" t="s">
        <v>2879</v>
      </c>
      <c r="O486" s="108" t="s">
        <v>2878</v>
      </c>
      <c r="P486" s="111" t="s">
        <v>2880</v>
      </c>
    </row>
    <row r="487" spans="2:16" ht="105" x14ac:dyDescent="0.25">
      <c r="B487" s="114" t="str">
        <f t="shared" si="77"/>
        <v>1</v>
      </c>
      <c r="C487" s="114" t="str">
        <f t="shared" si="78"/>
        <v>6</v>
      </c>
      <c r="D487" s="114" t="str">
        <f t="shared" si="79"/>
        <v>3</v>
      </c>
      <c r="E487" s="114" t="str">
        <f t="shared" si="80"/>
        <v>0</v>
      </c>
      <c r="F487" s="114" t="str">
        <f t="shared" si="81"/>
        <v>01</v>
      </c>
      <c r="G487" s="114" t="str">
        <f t="shared" si="82"/>
        <v>1</v>
      </c>
      <c r="H487" s="114" t="str">
        <f t="shared" si="83"/>
        <v>0</v>
      </c>
      <c r="I487" s="115">
        <v>16300110</v>
      </c>
      <c r="J487" s="114" t="s">
        <v>4136</v>
      </c>
      <c r="K487" s="114" t="s">
        <v>4138</v>
      </c>
      <c r="L487" s="116"/>
      <c r="M487" s="114" t="s">
        <v>4067</v>
      </c>
      <c r="N487" s="114" t="s">
        <v>2879</v>
      </c>
      <c r="O487" s="114" t="s">
        <v>4139</v>
      </c>
      <c r="P487" s="117" t="s">
        <v>2880</v>
      </c>
    </row>
    <row r="488" spans="2:16" ht="75" x14ac:dyDescent="0.25">
      <c r="B488" s="108" t="str">
        <f t="shared" si="77"/>
        <v>1</v>
      </c>
      <c r="C488" s="108" t="str">
        <f t="shared" si="78"/>
        <v>6</v>
      </c>
      <c r="D488" s="108" t="str">
        <f t="shared" si="79"/>
        <v>3</v>
      </c>
      <c r="E488" s="108" t="str">
        <f t="shared" si="80"/>
        <v>0</v>
      </c>
      <c r="F488" s="108" t="str">
        <f t="shared" si="81"/>
        <v>02</v>
      </c>
      <c r="G488" s="108" t="str">
        <f t="shared" si="82"/>
        <v>0</v>
      </c>
      <c r="H488" s="108" t="str">
        <f t="shared" si="83"/>
        <v>0</v>
      </c>
      <c r="I488" s="109">
        <v>16300200</v>
      </c>
      <c r="J488" s="108" t="s">
        <v>4145</v>
      </c>
      <c r="K488" s="108" t="s">
        <v>4146</v>
      </c>
      <c r="L488" s="110"/>
      <c r="M488" s="108" t="s">
        <v>2878</v>
      </c>
      <c r="N488" s="108" t="s">
        <v>2879</v>
      </c>
      <c r="O488" s="108" t="s">
        <v>2878</v>
      </c>
      <c r="P488" s="111" t="s">
        <v>2880</v>
      </c>
    </row>
    <row r="489" spans="2:16" ht="45" x14ac:dyDescent="0.25">
      <c r="B489" s="114" t="str">
        <f t="shared" si="77"/>
        <v>1</v>
      </c>
      <c r="C489" s="114" t="str">
        <f t="shared" si="78"/>
        <v>6</v>
      </c>
      <c r="D489" s="114" t="str">
        <f t="shared" si="79"/>
        <v>3</v>
      </c>
      <c r="E489" s="114" t="str">
        <f t="shared" si="80"/>
        <v>0</v>
      </c>
      <c r="F489" s="114" t="str">
        <f t="shared" si="81"/>
        <v>02</v>
      </c>
      <c r="G489" s="114" t="str">
        <f t="shared" si="82"/>
        <v>1</v>
      </c>
      <c r="H489" s="114" t="str">
        <f t="shared" si="83"/>
        <v>0</v>
      </c>
      <c r="I489" s="115">
        <v>16300210</v>
      </c>
      <c r="J489" s="114" t="s">
        <v>1020</v>
      </c>
      <c r="K489" s="114" t="s">
        <v>4147</v>
      </c>
      <c r="L489" s="116"/>
      <c r="M489" s="114" t="s">
        <v>2878</v>
      </c>
      <c r="N489" s="114" t="s">
        <v>2879</v>
      </c>
      <c r="O489" s="114" t="s">
        <v>2878</v>
      </c>
      <c r="P489" s="117" t="s">
        <v>2880</v>
      </c>
    </row>
    <row r="490" spans="2:16" ht="60" x14ac:dyDescent="0.25">
      <c r="B490" s="114" t="str">
        <f t="shared" si="77"/>
        <v>1</v>
      </c>
      <c r="C490" s="114" t="str">
        <f t="shared" si="78"/>
        <v>6</v>
      </c>
      <c r="D490" s="114" t="str">
        <f t="shared" si="79"/>
        <v>3</v>
      </c>
      <c r="E490" s="114" t="str">
        <f t="shared" si="80"/>
        <v>0</v>
      </c>
      <c r="F490" s="114" t="str">
        <f t="shared" si="81"/>
        <v>02</v>
      </c>
      <c r="G490" s="114" t="str">
        <f t="shared" si="82"/>
        <v>2</v>
      </c>
      <c r="H490" s="114" t="str">
        <f t="shared" si="83"/>
        <v>0</v>
      </c>
      <c r="I490" s="115">
        <v>16300220</v>
      </c>
      <c r="J490" s="114" t="s">
        <v>4155</v>
      </c>
      <c r="K490" s="114" t="s">
        <v>4156</v>
      </c>
      <c r="L490" s="116"/>
      <c r="M490" s="114" t="s">
        <v>2878</v>
      </c>
      <c r="N490" s="114" t="s">
        <v>2879</v>
      </c>
      <c r="O490" s="114" t="s">
        <v>2878</v>
      </c>
      <c r="P490" s="117" t="s">
        <v>2880</v>
      </c>
    </row>
    <row r="491" spans="2:16" s="148" customFormat="1" ht="45" x14ac:dyDescent="0.25">
      <c r="B491" s="164" t="str">
        <f t="shared" si="77"/>
        <v>1</v>
      </c>
      <c r="C491" s="164" t="str">
        <f t="shared" si="78"/>
        <v>6</v>
      </c>
      <c r="D491" s="164" t="str">
        <f t="shared" si="79"/>
        <v>3</v>
      </c>
      <c r="E491" s="164" t="str">
        <f t="shared" si="80"/>
        <v>8</v>
      </c>
      <c r="F491" s="164" t="str">
        <f t="shared" si="81"/>
        <v>00</v>
      </c>
      <c r="G491" s="164" t="str">
        <f t="shared" si="82"/>
        <v>0</v>
      </c>
      <c r="H491" s="164" t="str">
        <f t="shared" si="83"/>
        <v>0</v>
      </c>
      <c r="I491" s="165">
        <v>16380000</v>
      </c>
      <c r="J491" s="164" t="s">
        <v>5561</v>
      </c>
      <c r="K491" s="164" t="s">
        <v>4135</v>
      </c>
      <c r="L491" s="166"/>
      <c r="M491" s="164" t="s">
        <v>2878</v>
      </c>
      <c r="N491" s="164"/>
      <c r="O491" s="164" t="s">
        <v>2878</v>
      </c>
      <c r="P491" s="167" t="s">
        <v>2880</v>
      </c>
    </row>
    <row r="492" spans="2:16" s="148" customFormat="1" ht="75" x14ac:dyDescent="0.25">
      <c r="B492" s="145" t="str">
        <f t="shared" si="77"/>
        <v>1</v>
      </c>
      <c r="C492" s="145" t="str">
        <f t="shared" si="78"/>
        <v>6</v>
      </c>
      <c r="D492" s="145" t="str">
        <f t="shared" si="79"/>
        <v>3</v>
      </c>
      <c r="E492" s="145" t="str">
        <f t="shared" si="80"/>
        <v>8</v>
      </c>
      <c r="F492" s="145" t="str">
        <f t="shared" si="81"/>
        <v>01</v>
      </c>
      <c r="G492" s="145" t="str">
        <f t="shared" si="82"/>
        <v>0</v>
      </c>
      <c r="H492" s="145" t="str">
        <f t="shared" si="83"/>
        <v>0</v>
      </c>
      <c r="I492" s="143">
        <v>16380100</v>
      </c>
      <c r="J492" s="145" t="s">
        <v>5562</v>
      </c>
      <c r="K492" s="145" t="s">
        <v>5564</v>
      </c>
      <c r="L492" s="146"/>
      <c r="M492" s="145" t="s">
        <v>2878</v>
      </c>
      <c r="N492" s="145"/>
      <c r="O492" s="145" t="s">
        <v>2878</v>
      </c>
      <c r="P492" s="147" t="s">
        <v>2880</v>
      </c>
    </row>
    <row r="493" spans="2:16" s="148" customFormat="1" ht="45" x14ac:dyDescent="0.25">
      <c r="B493" s="149" t="str">
        <f t="shared" si="77"/>
        <v>1</v>
      </c>
      <c r="C493" s="149" t="str">
        <f t="shared" si="78"/>
        <v>6</v>
      </c>
      <c r="D493" s="149" t="str">
        <f t="shared" si="79"/>
        <v>3</v>
      </c>
      <c r="E493" s="149" t="str">
        <f t="shared" si="80"/>
        <v>8</v>
      </c>
      <c r="F493" s="149" t="str">
        <f t="shared" si="81"/>
        <v>01</v>
      </c>
      <c r="G493" s="149" t="str">
        <f t="shared" si="82"/>
        <v>1</v>
      </c>
      <c r="H493" s="149" t="str">
        <f t="shared" si="83"/>
        <v>0</v>
      </c>
      <c r="I493" s="144">
        <v>16380110</v>
      </c>
      <c r="J493" s="149" t="s">
        <v>1014</v>
      </c>
      <c r="K493" s="149" t="s">
        <v>5565</v>
      </c>
      <c r="L493" s="150"/>
      <c r="M493" s="149" t="s">
        <v>2878</v>
      </c>
      <c r="N493" s="149"/>
      <c r="O493" s="149" t="s">
        <v>2878</v>
      </c>
      <c r="P493" s="151" t="s">
        <v>2880</v>
      </c>
    </row>
    <row r="494" spans="2:16" s="148" customFormat="1" ht="30" x14ac:dyDescent="0.25">
      <c r="B494" s="149" t="str">
        <f t="shared" si="77"/>
        <v>1</v>
      </c>
      <c r="C494" s="149" t="str">
        <f t="shared" si="78"/>
        <v>6</v>
      </c>
      <c r="D494" s="149" t="str">
        <f t="shared" si="79"/>
        <v>3</v>
      </c>
      <c r="E494" s="149" t="str">
        <f t="shared" si="80"/>
        <v>8</v>
      </c>
      <c r="F494" s="149" t="str">
        <f t="shared" si="81"/>
        <v>01</v>
      </c>
      <c r="G494" s="149" t="str">
        <f t="shared" si="82"/>
        <v>2</v>
      </c>
      <c r="H494" s="149" t="str">
        <f t="shared" si="83"/>
        <v>0</v>
      </c>
      <c r="I494" s="144">
        <v>16380120</v>
      </c>
      <c r="J494" s="149" t="s">
        <v>5563</v>
      </c>
      <c r="K494" s="149" t="s">
        <v>5566</v>
      </c>
      <c r="L494" s="150"/>
      <c r="M494" s="149" t="s">
        <v>2878</v>
      </c>
      <c r="N494" s="149"/>
      <c r="O494" s="149" t="s">
        <v>2878</v>
      </c>
      <c r="P494" s="151" t="s">
        <v>2880</v>
      </c>
    </row>
    <row r="495" spans="2:16" s="148" customFormat="1" ht="45" x14ac:dyDescent="0.25">
      <c r="B495" s="149" t="str">
        <f t="shared" si="77"/>
        <v>1</v>
      </c>
      <c r="C495" s="149" t="str">
        <f t="shared" si="78"/>
        <v>6</v>
      </c>
      <c r="D495" s="149" t="str">
        <f t="shared" si="79"/>
        <v>3</v>
      </c>
      <c r="E495" s="149" t="str">
        <f t="shared" si="80"/>
        <v>8</v>
      </c>
      <c r="F495" s="149" t="str">
        <f t="shared" si="81"/>
        <v>01</v>
      </c>
      <c r="G495" s="149" t="str">
        <f t="shared" si="82"/>
        <v>3</v>
      </c>
      <c r="H495" s="149" t="str">
        <f t="shared" si="83"/>
        <v>0</v>
      </c>
      <c r="I495" s="144">
        <v>16380130</v>
      </c>
      <c r="J495" s="149" t="s">
        <v>1018</v>
      </c>
      <c r="K495" s="149" t="s">
        <v>5567</v>
      </c>
      <c r="L495" s="150"/>
      <c r="M495" s="149" t="s">
        <v>2878</v>
      </c>
      <c r="N495" s="149"/>
      <c r="O495" s="149" t="s">
        <v>2878</v>
      </c>
      <c r="P495" s="151" t="s">
        <v>2880</v>
      </c>
    </row>
    <row r="496" spans="2:16" s="148" customFormat="1" ht="45" x14ac:dyDescent="0.25">
      <c r="B496" s="149" t="str">
        <f t="shared" si="77"/>
        <v>1</v>
      </c>
      <c r="C496" s="149" t="str">
        <f t="shared" si="78"/>
        <v>6</v>
      </c>
      <c r="D496" s="149" t="str">
        <f t="shared" si="79"/>
        <v>3</v>
      </c>
      <c r="E496" s="149" t="str">
        <f t="shared" si="80"/>
        <v>8</v>
      </c>
      <c r="F496" s="149" t="str">
        <f t="shared" si="81"/>
        <v>01</v>
      </c>
      <c r="G496" s="149" t="str">
        <f t="shared" si="82"/>
        <v>4</v>
      </c>
      <c r="H496" s="149" t="str">
        <f t="shared" si="83"/>
        <v>0</v>
      </c>
      <c r="I496" s="144">
        <v>16380140</v>
      </c>
      <c r="J496" s="149" t="s">
        <v>1022</v>
      </c>
      <c r="K496" s="149" t="s">
        <v>5568</v>
      </c>
      <c r="L496" s="150"/>
      <c r="M496" s="149" t="s">
        <v>2878</v>
      </c>
      <c r="N496" s="149"/>
      <c r="O496" s="149" t="s">
        <v>2878</v>
      </c>
      <c r="P496" s="151" t="s">
        <v>2880</v>
      </c>
    </row>
    <row r="497" spans="2:16" s="148" customFormat="1" ht="30" x14ac:dyDescent="0.25">
      <c r="B497" s="149" t="str">
        <f t="shared" si="77"/>
        <v>1</v>
      </c>
      <c r="C497" s="149" t="str">
        <f t="shared" si="78"/>
        <v>6</v>
      </c>
      <c r="D497" s="149" t="str">
        <f t="shared" si="79"/>
        <v>3</v>
      </c>
      <c r="E497" s="149" t="str">
        <f t="shared" si="80"/>
        <v>8</v>
      </c>
      <c r="F497" s="149" t="str">
        <f t="shared" si="81"/>
        <v>01</v>
      </c>
      <c r="G497" s="149" t="str">
        <f t="shared" si="82"/>
        <v>9</v>
      </c>
      <c r="H497" s="149" t="str">
        <f t="shared" si="83"/>
        <v>0</v>
      </c>
      <c r="I497" s="144">
        <v>16380190</v>
      </c>
      <c r="J497" s="149" t="s">
        <v>1024</v>
      </c>
      <c r="K497" s="149" t="s">
        <v>5569</v>
      </c>
      <c r="L497" s="150"/>
      <c r="M497" s="149" t="s">
        <v>2878</v>
      </c>
      <c r="N497" s="149"/>
      <c r="O497" s="149" t="s">
        <v>2878</v>
      </c>
      <c r="P497" s="151" t="s">
        <v>2880</v>
      </c>
    </row>
    <row r="498" spans="2:16" ht="45" x14ac:dyDescent="0.25">
      <c r="B498" s="126" t="str">
        <f t="shared" si="77"/>
        <v>1</v>
      </c>
      <c r="C498" s="126" t="str">
        <f t="shared" si="78"/>
        <v>6</v>
      </c>
      <c r="D498" s="126" t="str">
        <f t="shared" si="79"/>
        <v>4</v>
      </c>
      <c r="E498" s="126" t="str">
        <f t="shared" si="80"/>
        <v>0</v>
      </c>
      <c r="F498" s="126" t="str">
        <f t="shared" si="81"/>
        <v>00</v>
      </c>
      <c r="G498" s="126" t="str">
        <f t="shared" si="82"/>
        <v>0</v>
      </c>
      <c r="H498" s="126" t="str">
        <f t="shared" si="83"/>
        <v>0</v>
      </c>
      <c r="I498" s="127">
        <v>16400000</v>
      </c>
      <c r="J498" s="126" t="s">
        <v>4164</v>
      </c>
      <c r="K498" s="126" t="s">
        <v>4165</v>
      </c>
      <c r="L498" s="122"/>
      <c r="M498" s="126" t="s">
        <v>2878</v>
      </c>
      <c r="N498" s="126" t="s">
        <v>5016</v>
      </c>
      <c r="O498" s="126" t="s">
        <v>2878</v>
      </c>
      <c r="P498" s="128" t="s">
        <v>2880</v>
      </c>
    </row>
    <row r="499" spans="2:16" ht="90" x14ac:dyDescent="0.25">
      <c r="B499" s="108" t="str">
        <f t="shared" si="77"/>
        <v>1</v>
      </c>
      <c r="C499" s="108" t="str">
        <f t="shared" si="78"/>
        <v>6</v>
      </c>
      <c r="D499" s="108" t="str">
        <f t="shared" si="79"/>
        <v>4</v>
      </c>
      <c r="E499" s="108" t="str">
        <f t="shared" si="80"/>
        <v>0</v>
      </c>
      <c r="F499" s="108" t="str">
        <f t="shared" si="81"/>
        <v>01</v>
      </c>
      <c r="G499" s="108" t="str">
        <f t="shared" si="82"/>
        <v>0</v>
      </c>
      <c r="H499" s="108" t="str">
        <f t="shared" si="83"/>
        <v>0</v>
      </c>
      <c r="I499" s="109">
        <v>16400100</v>
      </c>
      <c r="J499" s="108" t="s">
        <v>4166</v>
      </c>
      <c r="K499" s="108" t="s">
        <v>4167</v>
      </c>
      <c r="L499" s="110"/>
      <c r="M499" s="108" t="s">
        <v>2878</v>
      </c>
      <c r="N499" s="108" t="s">
        <v>2879</v>
      </c>
      <c r="O499" s="108" t="s">
        <v>2878</v>
      </c>
      <c r="P499" s="111" t="s">
        <v>2880</v>
      </c>
    </row>
    <row r="500" spans="2:16" ht="90" x14ac:dyDescent="0.25">
      <c r="B500" s="114" t="str">
        <f t="shared" si="77"/>
        <v>1</v>
      </c>
      <c r="C500" s="114" t="str">
        <f t="shared" si="78"/>
        <v>6</v>
      </c>
      <c r="D500" s="114" t="str">
        <f t="shared" si="79"/>
        <v>4</v>
      </c>
      <c r="E500" s="114" t="str">
        <f t="shared" si="80"/>
        <v>0</v>
      </c>
      <c r="F500" s="114" t="str">
        <f t="shared" si="81"/>
        <v>01</v>
      </c>
      <c r="G500" s="114" t="str">
        <f t="shared" si="82"/>
        <v>1</v>
      </c>
      <c r="H500" s="114" t="str">
        <f t="shared" si="83"/>
        <v>0</v>
      </c>
      <c r="I500" s="115">
        <v>16400110</v>
      </c>
      <c r="J500" s="114" t="s">
        <v>4166</v>
      </c>
      <c r="K500" s="114" t="s">
        <v>4167</v>
      </c>
      <c r="L500" s="116"/>
      <c r="M500" s="114" t="s">
        <v>2878</v>
      </c>
      <c r="N500" s="114" t="s">
        <v>2879</v>
      </c>
      <c r="O500" s="114" t="s">
        <v>2878</v>
      </c>
      <c r="P500" s="117" t="s">
        <v>2880</v>
      </c>
    </row>
    <row r="501" spans="2:16" ht="30" x14ac:dyDescent="0.25">
      <c r="B501" s="108" t="str">
        <f t="shared" si="77"/>
        <v>1</v>
      </c>
      <c r="C501" s="108" t="str">
        <f t="shared" si="78"/>
        <v>6</v>
      </c>
      <c r="D501" s="108" t="str">
        <f t="shared" si="79"/>
        <v>4</v>
      </c>
      <c r="E501" s="108" t="str">
        <f t="shared" si="80"/>
        <v>0</v>
      </c>
      <c r="F501" s="108" t="str">
        <f t="shared" si="81"/>
        <v>02</v>
      </c>
      <c r="G501" s="108" t="str">
        <f t="shared" si="82"/>
        <v>0</v>
      </c>
      <c r="H501" s="108" t="str">
        <f t="shared" si="83"/>
        <v>0</v>
      </c>
      <c r="I501" s="109">
        <v>16400200</v>
      </c>
      <c r="J501" s="108" t="s">
        <v>4174</v>
      </c>
      <c r="K501" s="108" t="s">
        <v>4175</v>
      </c>
      <c r="L501" s="110"/>
      <c r="M501" s="108" t="s">
        <v>2878</v>
      </c>
      <c r="N501" s="108" t="s">
        <v>2879</v>
      </c>
      <c r="O501" s="108" t="s">
        <v>2878</v>
      </c>
      <c r="P501" s="111" t="s">
        <v>2880</v>
      </c>
    </row>
    <row r="502" spans="2:16" ht="30" x14ac:dyDescent="0.25">
      <c r="B502" s="114" t="str">
        <f t="shared" si="77"/>
        <v>1</v>
      </c>
      <c r="C502" s="114" t="str">
        <f t="shared" si="78"/>
        <v>6</v>
      </c>
      <c r="D502" s="114" t="str">
        <f t="shared" si="79"/>
        <v>4</v>
      </c>
      <c r="E502" s="114" t="str">
        <f t="shared" si="80"/>
        <v>0</v>
      </c>
      <c r="F502" s="114" t="str">
        <f t="shared" si="81"/>
        <v>02</v>
      </c>
      <c r="G502" s="114" t="str">
        <f t="shared" si="82"/>
        <v>1</v>
      </c>
      <c r="H502" s="114" t="str">
        <f t="shared" si="83"/>
        <v>0</v>
      </c>
      <c r="I502" s="115">
        <v>16400210</v>
      </c>
      <c r="J502" s="114" t="s">
        <v>4174</v>
      </c>
      <c r="K502" s="114" t="s">
        <v>4175</v>
      </c>
      <c r="L502" s="116"/>
      <c r="M502" s="114" t="s">
        <v>2878</v>
      </c>
      <c r="N502" s="114" t="s">
        <v>2879</v>
      </c>
      <c r="O502" s="114" t="s">
        <v>2878</v>
      </c>
      <c r="P502" s="117" t="s">
        <v>2880</v>
      </c>
    </row>
    <row r="503" spans="2:16" ht="60" x14ac:dyDescent="0.25">
      <c r="B503" s="108" t="str">
        <f t="shared" si="77"/>
        <v>1</v>
      </c>
      <c r="C503" s="108" t="str">
        <f t="shared" si="78"/>
        <v>6</v>
      </c>
      <c r="D503" s="108" t="str">
        <f t="shared" si="79"/>
        <v>4</v>
      </c>
      <c r="E503" s="108" t="str">
        <f t="shared" si="80"/>
        <v>0</v>
      </c>
      <c r="F503" s="108" t="str">
        <f t="shared" si="81"/>
        <v>03</v>
      </c>
      <c r="G503" s="108" t="str">
        <f t="shared" si="82"/>
        <v>0</v>
      </c>
      <c r="H503" s="108" t="str">
        <f t="shared" si="83"/>
        <v>0</v>
      </c>
      <c r="I503" s="109">
        <v>16400300</v>
      </c>
      <c r="J503" s="108" t="s">
        <v>4182</v>
      </c>
      <c r="K503" s="108" t="s">
        <v>4183</v>
      </c>
      <c r="L503" s="110"/>
      <c r="M503" s="108" t="s">
        <v>2878</v>
      </c>
      <c r="N503" s="108" t="s">
        <v>2879</v>
      </c>
      <c r="O503" s="108" t="s">
        <v>2878</v>
      </c>
      <c r="P503" s="111" t="s">
        <v>2880</v>
      </c>
    </row>
    <row r="504" spans="2:16" ht="60" x14ac:dyDescent="0.25">
      <c r="B504" s="114" t="str">
        <f t="shared" si="77"/>
        <v>1</v>
      </c>
      <c r="C504" s="114" t="str">
        <f t="shared" si="78"/>
        <v>6</v>
      </c>
      <c r="D504" s="114" t="str">
        <f t="shared" si="79"/>
        <v>4</v>
      </c>
      <c r="E504" s="114" t="str">
        <f t="shared" si="80"/>
        <v>0</v>
      </c>
      <c r="F504" s="114" t="str">
        <f t="shared" si="81"/>
        <v>03</v>
      </c>
      <c r="G504" s="114" t="str">
        <f t="shared" si="82"/>
        <v>1</v>
      </c>
      <c r="H504" s="114" t="str">
        <f t="shared" si="83"/>
        <v>0</v>
      </c>
      <c r="I504" s="115">
        <v>16400310</v>
      </c>
      <c r="J504" s="114" t="s">
        <v>4182</v>
      </c>
      <c r="K504" s="114" t="s">
        <v>4183</v>
      </c>
      <c r="L504" s="116"/>
      <c r="M504" s="114" t="s">
        <v>2878</v>
      </c>
      <c r="N504" s="114" t="s">
        <v>2879</v>
      </c>
      <c r="O504" s="114" t="s">
        <v>2878</v>
      </c>
      <c r="P504" s="117" t="s">
        <v>2880</v>
      </c>
    </row>
    <row r="505" spans="2:16" ht="30" x14ac:dyDescent="0.25">
      <c r="B505" s="126" t="str">
        <f t="shared" si="77"/>
        <v>1</v>
      </c>
      <c r="C505" s="126" t="str">
        <f t="shared" si="78"/>
        <v>6</v>
      </c>
      <c r="D505" s="126" t="str">
        <f t="shared" si="79"/>
        <v>9</v>
      </c>
      <c r="E505" s="126" t="str">
        <f t="shared" si="80"/>
        <v>0</v>
      </c>
      <c r="F505" s="126" t="str">
        <f t="shared" si="81"/>
        <v>00</v>
      </c>
      <c r="G505" s="126" t="str">
        <f t="shared" si="82"/>
        <v>0</v>
      </c>
      <c r="H505" s="126" t="str">
        <f t="shared" si="83"/>
        <v>0</v>
      </c>
      <c r="I505" s="127">
        <v>16900000</v>
      </c>
      <c r="J505" s="126" t="s">
        <v>1211</v>
      </c>
      <c r="K505" s="126" t="s">
        <v>4188</v>
      </c>
      <c r="L505" s="122"/>
      <c r="M505" s="126" t="s">
        <v>2878</v>
      </c>
      <c r="N505" s="126" t="s">
        <v>5016</v>
      </c>
      <c r="O505" s="126" t="s">
        <v>2878</v>
      </c>
      <c r="P505" s="128" t="s">
        <v>2880</v>
      </c>
    </row>
    <row r="506" spans="2:16" ht="30" x14ac:dyDescent="0.25">
      <c r="B506" s="108" t="str">
        <f t="shared" si="77"/>
        <v>1</v>
      </c>
      <c r="C506" s="108" t="str">
        <f t="shared" si="78"/>
        <v>6</v>
      </c>
      <c r="D506" s="108" t="str">
        <f t="shared" si="79"/>
        <v>9</v>
      </c>
      <c r="E506" s="108" t="str">
        <f t="shared" si="80"/>
        <v>0</v>
      </c>
      <c r="F506" s="108" t="str">
        <f t="shared" si="81"/>
        <v>99</v>
      </c>
      <c r="G506" s="108" t="str">
        <f t="shared" si="82"/>
        <v>0</v>
      </c>
      <c r="H506" s="108" t="str">
        <f t="shared" si="83"/>
        <v>0</v>
      </c>
      <c r="I506" s="109">
        <v>16909900</v>
      </c>
      <c r="J506" s="108" t="s">
        <v>1211</v>
      </c>
      <c r="K506" s="108" t="s">
        <v>4188</v>
      </c>
      <c r="L506" s="110"/>
      <c r="M506" s="108" t="s">
        <v>2878</v>
      </c>
      <c r="N506" s="108" t="s">
        <v>2879</v>
      </c>
      <c r="O506" s="108" t="s">
        <v>2878</v>
      </c>
      <c r="P506" s="111" t="s">
        <v>2880</v>
      </c>
    </row>
    <row r="507" spans="2:16" ht="30" x14ac:dyDescent="0.25">
      <c r="B507" s="114" t="str">
        <f t="shared" si="77"/>
        <v>1</v>
      </c>
      <c r="C507" s="114" t="str">
        <f t="shared" si="78"/>
        <v>6</v>
      </c>
      <c r="D507" s="114" t="str">
        <f t="shared" si="79"/>
        <v>9</v>
      </c>
      <c r="E507" s="114" t="str">
        <f t="shared" si="80"/>
        <v>0</v>
      </c>
      <c r="F507" s="114" t="str">
        <f t="shared" si="81"/>
        <v>99</v>
      </c>
      <c r="G507" s="114" t="str">
        <f t="shared" si="82"/>
        <v>1</v>
      </c>
      <c r="H507" s="114" t="str">
        <f t="shared" si="83"/>
        <v>0</v>
      </c>
      <c r="I507" s="115">
        <v>16909910</v>
      </c>
      <c r="J507" s="114" t="s">
        <v>1211</v>
      </c>
      <c r="K507" s="114" t="s">
        <v>4188</v>
      </c>
      <c r="L507" s="116"/>
      <c r="M507" s="114" t="s">
        <v>2878</v>
      </c>
      <c r="N507" s="114" t="s">
        <v>2879</v>
      </c>
      <c r="O507" s="114" t="s">
        <v>2878</v>
      </c>
      <c r="P507" s="117" t="s">
        <v>2880</v>
      </c>
    </row>
    <row r="508" spans="2:16" ht="45" x14ac:dyDescent="0.25">
      <c r="B508" s="123" t="str">
        <f t="shared" si="77"/>
        <v>1</v>
      </c>
      <c r="C508" s="123" t="str">
        <f t="shared" si="78"/>
        <v>7</v>
      </c>
      <c r="D508" s="123" t="str">
        <f t="shared" si="79"/>
        <v>0</v>
      </c>
      <c r="E508" s="123" t="str">
        <f t="shared" si="80"/>
        <v>0</v>
      </c>
      <c r="F508" s="123" t="str">
        <f t="shared" si="81"/>
        <v>00</v>
      </c>
      <c r="G508" s="123" t="str">
        <f t="shared" si="82"/>
        <v>0</v>
      </c>
      <c r="H508" s="123" t="str">
        <f t="shared" si="83"/>
        <v>0</v>
      </c>
      <c r="I508" s="124">
        <v>17000000</v>
      </c>
      <c r="J508" s="123" t="s">
        <v>1213</v>
      </c>
      <c r="K508" s="123" t="s">
        <v>4194</v>
      </c>
      <c r="L508" s="103"/>
      <c r="M508" s="123" t="s">
        <v>2878</v>
      </c>
      <c r="N508" s="123" t="s">
        <v>5016</v>
      </c>
      <c r="O508" s="123" t="s">
        <v>2878</v>
      </c>
      <c r="P508" s="125" t="s">
        <v>2880</v>
      </c>
    </row>
    <row r="509" spans="2:16" ht="60" x14ac:dyDescent="0.25">
      <c r="B509" s="126" t="str">
        <f t="shared" si="77"/>
        <v>1</v>
      </c>
      <c r="C509" s="126" t="str">
        <f t="shared" si="78"/>
        <v>7</v>
      </c>
      <c r="D509" s="126" t="str">
        <f t="shared" si="79"/>
        <v>1</v>
      </c>
      <c r="E509" s="126" t="str">
        <f t="shared" si="80"/>
        <v>0</v>
      </c>
      <c r="F509" s="126" t="str">
        <f t="shared" si="81"/>
        <v>00</v>
      </c>
      <c r="G509" s="126" t="str">
        <f t="shared" si="82"/>
        <v>0</v>
      </c>
      <c r="H509" s="126" t="str">
        <f t="shared" si="83"/>
        <v>0</v>
      </c>
      <c r="I509" s="127">
        <v>17100000</v>
      </c>
      <c r="J509" s="126" t="s">
        <v>4195</v>
      </c>
      <c r="K509" s="126" t="s">
        <v>4196</v>
      </c>
      <c r="L509" s="122"/>
      <c r="M509" s="126" t="s">
        <v>2878</v>
      </c>
      <c r="N509" s="126" t="s">
        <v>5016</v>
      </c>
      <c r="O509" s="126" t="s">
        <v>2878</v>
      </c>
      <c r="P509" s="128" t="s">
        <v>2880</v>
      </c>
    </row>
    <row r="510" spans="2:16" ht="60" x14ac:dyDescent="0.25">
      <c r="B510" s="114" t="str">
        <f t="shared" si="77"/>
        <v>1</v>
      </c>
      <c r="C510" s="114" t="str">
        <f t="shared" si="78"/>
        <v>7</v>
      </c>
      <c r="D510" s="114" t="str">
        <f t="shared" si="79"/>
        <v>1</v>
      </c>
      <c r="E510" s="114" t="str">
        <f t="shared" si="80"/>
        <v>0</v>
      </c>
      <c r="F510" s="114" t="str">
        <f t="shared" si="81"/>
        <v>00</v>
      </c>
      <c r="G510" s="114" t="str">
        <f t="shared" si="82"/>
        <v>1</v>
      </c>
      <c r="H510" s="114" t="str">
        <f t="shared" si="83"/>
        <v>0</v>
      </c>
      <c r="I510" s="115">
        <v>17100010</v>
      </c>
      <c r="J510" s="114" t="s">
        <v>4195</v>
      </c>
      <c r="K510" s="114" t="s">
        <v>4196</v>
      </c>
      <c r="L510" s="116"/>
      <c r="M510" s="114" t="s">
        <v>2878</v>
      </c>
      <c r="N510" s="114"/>
      <c r="O510" s="114" t="s">
        <v>2878</v>
      </c>
      <c r="P510" s="117" t="s">
        <v>2880</v>
      </c>
    </row>
    <row r="511" spans="2:16" s="153" customFormat="1" ht="30" x14ac:dyDescent="0.25">
      <c r="B511" s="155" t="str">
        <f t="shared" si="77"/>
        <v>1</v>
      </c>
      <c r="C511" s="155" t="str">
        <f t="shared" si="78"/>
        <v>7</v>
      </c>
      <c r="D511" s="155" t="str">
        <f t="shared" si="79"/>
        <v>1</v>
      </c>
      <c r="E511" s="155" t="str">
        <f t="shared" si="80"/>
        <v>8</v>
      </c>
      <c r="F511" s="155" t="str">
        <f t="shared" si="81"/>
        <v>00</v>
      </c>
      <c r="G511" s="155" t="str">
        <f t="shared" si="82"/>
        <v>0</v>
      </c>
      <c r="H511" s="155" t="str">
        <f t="shared" si="83"/>
        <v>0</v>
      </c>
      <c r="I511" s="161">
        <v>17180000</v>
      </c>
      <c r="J511" s="155" t="s">
        <v>5022</v>
      </c>
      <c r="K511" s="155" t="s">
        <v>5032</v>
      </c>
      <c r="L511" s="106"/>
      <c r="M511" s="155" t="s">
        <v>2878</v>
      </c>
      <c r="N511" s="155"/>
      <c r="O511" s="155" t="s">
        <v>5018</v>
      </c>
      <c r="P511" s="162" t="s">
        <v>2880</v>
      </c>
    </row>
    <row r="512" spans="2:16" s="153" customFormat="1" ht="30" x14ac:dyDescent="0.25">
      <c r="B512" s="113" t="str">
        <f t="shared" si="77"/>
        <v>1</v>
      </c>
      <c r="C512" s="113" t="str">
        <f t="shared" si="78"/>
        <v>7</v>
      </c>
      <c r="D512" s="113" t="str">
        <f t="shared" si="79"/>
        <v>1</v>
      </c>
      <c r="E512" s="113" t="str">
        <f t="shared" si="80"/>
        <v>8</v>
      </c>
      <c r="F512" s="113" t="str">
        <f t="shared" si="81"/>
        <v>01</v>
      </c>
      <c r="G512" s="113" t="str">
        <f t="shared" si="82"/>
        <v>0</v>
      </c>
      <c r="H512" s="113" t="str">
        <f t="shared" si="83"/>
        <v>0</v>
      </c>
      <c r="I512" s="112">
        <v>17180100</v>
      </c>
      <c r="J512" s="113" t="s">
        <v>1219</v>
      </c>
      <c r="K512" s="113" t="s">
        <v>1220</v>
      </c>
      <c r="L512" s="110"/>
      <c r="M512" s="113" t="s">
        <v>2878</v>
      </c>
      <c r="N512" s="113"/>
      <c r="O512" s="113" t="s">
        <v>2878</v>
      </c>
      <c r="P512" s="163" t="s">
        <v>2880</v>
      </c>
    </row>
    <row r="513" spans="2:16" s="153" customFormat="1" ht="30" x14ac:dyDescent="0.25">
      <c r="B513" s="130" t="str">
        <f t="shared" si="77"/>
        <v>1</v>
      </c>
      <c r="C513" s="130" t="str">
        <f t="shared" si="78"/>
        <v>7</v>
      </c>
      <c r="D513" s="130" t="str">
        <f t="shared" si="79"/>
        <v>1</v>
      </c>
      <c r="E513" s="130" t="str">
        <f t="shared" si="80"/>
        <v>8</v>
      </c>
      <c r="F513" s="130" t="str">
        <f t="shared" si="81"/>
        <v>01</v>
      </c>
      <c r="G513" s="130" t="str">
        <f t="shared" si="82"/>
        <v>1</v>
      </c>
      <c r="H513" s="130" t="str">
        <f t="shared" si="83"/>
        <v>0</v>
      </c>
      <c r="I513" s="129">
        <v>17180110</v>
      </c>
      <c r="J513" s="130" t="s">
        <v>1221</v>
      </c>
      <c r="K513" s="130" t="s">
        <v>5160</v>
      </c>
      <c r="L513" s="116"/>
      <c r="M513" s="130"/>
      <c r="N513" s="130"/>
      <c r="O513" s="130" t="s">
        <v>2878</v>
      </c>
      <c r="P513" s="152" t="s">
        <v>2880</v>
      </c>
    </row>
    <row r="514" spans="2:16" s="153" customFormat="1" ht="45" x14ac:dyDescent="0.25">
      <c r="B514" s="130" t="str">
        <f t="shared" si="77"/>
        <v>1</v>
      </c>
      <c r="C514" s="130" t="str">
        <f t="shared" si="78"/>
        <v>7</v>
      </c>
      <c r="D514" s="130" t="str">
        <f t="shared" si="79"/>
        <v>1</v>
      </c>
      <c r="E514" s="130" t="str">
        <f t="shared" si="80"/>
        <v>8</v>
      </c>
      <c r="F514" s="130" t="str">
        <f t="shared" si="81"/>
        <v>01</v>
      </c>
      <c r="G514" s="130" t="str">
        <f t="shared" si="82"/>
        <v>2</v>
      </c>
      <c r="H514" s="130" t="str">
        <f t="shared" si="83"/>
        <v>0</v>
      </c>
      <c r="I514" s="129">
        <v>17180120</v>
      </c>
      <c r="J514" s="130" t="s">
        <v>1223</v>
      </c>
      <c r="K514" s="130" t="s">
        <v>5161</v>
      </c>
      <c r="L514" s="116"/>
      <c r="M514" s="130"/>
      <c r="N514" s="130" t="s">
        <v>1225</v>
      </c>
      <c r="O514" s="130" t="s">
        <v>2878</v>
      </c>
      <c r="P514" s="152" t="s">
        <v>2880</v>
      </c>
    </row>
    <row r="515" spans="2:16" s="153" customFormat="1" ht="45" x14ac:dyDescent="0.25">
      <c r="B515" s="130" t="str">
        <f t="shared" si="77"/>
        <v>1</v>
      </c>
      <c r="C515" s="130" t="str">
        <f t="shared" si="78"/>
        <v>7</v>
      </c>
      <c r="D515" s="130" t="str">
        <f t="shared" si="79"/>
        <v>1</v>
      </c>
      <c r="E515" s="130" t="str">
        <f t="shared" si="80"/>
        <v>8</v>
      </c>
      <c r="F515" s="130" t="str">
        <f t="shared" si="81"/>
        <v>01</v>
      </c>
      <c r="G515" s="130" t="str">
        <f t="shared" si="82"/>
        <v>3</v>
      </c>
      <c r="H515" s="130" t="str">
        <f t="shared" si="83"/>
        <v>0</v>
      </c>
      <c r="I515" s="129">
        <v>17180130</v>
      </c>
      <c r="J515" s="130" t="s">
        <v>1226</v>
      </c>
      <c r="K515" s="130" t="s">
        <v>5162</v>
      </c>
      <c r="L515" s="116"/>
      <c r="M515" s="130"/>
      <c r="N515" s="130" t="s">
        <v>1228</v>
      </c>
      <c r="O515" s="130" t="s">
        <v>2878</v>
      </c>
      <c r="P515" s="152" t="s">
        <v>2880</v>
      </c>
    </row>
    <row r="516" spans="2:16" s="153" customFormat="1" ht="45" x14ac:dyDescent="0.25">
      <c r="B516" s="130" t="str">
        <f t="shared" si="77"/>
        <v>1</v>
      </c>
      <c r="C516" s="130" t="str">
        <f t="shared" si="78"/>
        <v>7</v>
      </c>
      <c r="D516" s="130" t="str">
        <f t="shared" si="79"/>
        <v>1</v>
      </c>
      <c r="E516" s="130" t="str">
        <f t="shared" si="80"/>
        <v>8</v>
      </c>
      <c r="F516" s="130" t="str">
        <f t="shared" si="81"/>
        <v>01</v>
      </c>
      <c r="G516" s="130" t="str">
        <f t="shared" si="82"/>
        <v>4</v>
      </c>
      <c r="H516" s="130" t="str">
        <f t="shared" si="83"/>
        <v>0</v>
      </c>
      <c r="I516" s="129">
        <v>17180140</v>
      </c>
      <c r="J516" s="130" t="s">
        <v>1229</v>
      </c>
      <c r="K516" s="130" t="s">
        <v>5163</v>
      </c>
      <c r="L516" s="116"/>
      <c r="M516" s="130"/>
      <c r="N516" s="130" t="s">
        <v>1231</v>
      </c>
      <c r="O516" s="130" t="s">
        <v>2878</v>
      </c>
      <c r="P516" s="152" t="s">
        <v>2880</v>
      </c>
    </row>
    <row r="517" spans="2:16" s="153" customFormat="1" ht="30" x14ac:dyDescent="0.25">
      <c r="B517" s="130" t="str">
        <f t="shared" si="77"/>
        <v>1</v>
      </c>
      <c r="C517" s="130" t="str">
        <f t="shared" si="78"/>
        <v>7</v>
      </c>
      <c r="D517" s="130" t="str">
        <f t="shared" si="79"/>
        <v>1</v>
      </c>
      <c r="E517" s="130" t="str">
        <f t="shared" si="80"/>
        <v>8</v>
      </c>
      <c r="F517" s="130" t="str">
        <f t="shared" si="81"/>
        <v>01</v>
      </c>
      <c r="G517" s="130" t="str">
        <f t="shared" si="82"/>
        <v>5</v>
      </c>
      <c r="H517" s="130" t="str">
        <f t="shared" si="83"/>
        <v>0</v>
      </c>
      <c r="I517" s="129">
        <v>17180150</v>
      </c>
      <c r="J517" s="130" t="s">
        <v>1232</v>
      </c>
      <c r="K517" s="130" t="s">
        <v>5164</v>
      </c>
      <c r="L517" s="116"/>
      <c r="M517" s="130"/>
      <c r="N517" s="130"/>
      <c r="O517" s="130" t="s">
        <v>2878</v>
      </c>
      <c r="P517" s="152" t="s">
        <v>2880</v>
      </c>
    </row>
    <row r="518" spans="2:16" s="153" customFormat="1" ht="30" x14ac:dyDescent="0.25">
      <c r="B518" s="130" t="str">
        <f t="shared" si="77"/>
        <v>1</v>
      </c>
      <c r="C518" s="130" t="str">
        <f t="shared" si="78"/>
        <v>7</v>
      </c>
      <c r="D518" s="130" t="str">
        <f t="shared" si="79"/>
        <v>1</v>
      </c>
      <c r="E518" s="130" t="str">
        <f t="shared" si="80"/>
        <v>8</v>
      </c>
      <c r="F518" s="130" t="str">
        <f t="shared" si="81"/>
        <v>01</v>
      </c>
      <c r="G518" s="130" t="str">
        <f t="shared" si="82"/>
        <v>6</v>
      </c>
      <c r="H518" s="130" t="str">
        <f t="shared" si="83"/>
        <v>0</v>
      </c>
      <c r="I518" s="129">
        <v>17180160</v>
      </c>
      <c r="J518" s="130" t="s">
        <v>1234</v>
      </c>
      <c r="K518" s="130" t="s">
        <v>5165</v>
      </c>
      <c r="L518" s="116"/>
      <c r="M518" s="130"/>
      <c r="N518" s="130"/>
      <c r="O518" s="130" t="s">
        <v>2878</v>
      </c>
      <c r="P518" s="152" t="s">
        <v>2880</v>
      </c>
    </row>
    <row r="519" spans="2:16" s="153" customFormat="1" ht="45" x14ac:dyDescent="0.25">
      <c r="B519" s="130" t="str">
        <f t="shared" si="77"/>
        <v>1</v>
      </c>
      <c r="C519" s="130" t="str">
        <f t="shared" si="78"/>
        <v>7</v>
      </c>
      <c r="D519" s="130" t="str">
        <f t="shared" si="79"/>
        <v>1</v>
      </c>
      <c r="E519" s="130" t="str">
        <f t="shared" si="80"/>
        <v>8</v>
      </c>
      <c r="F519" s="130" t="str">
        <f t="shared" si="81"/>
        <v>01</v>
      </c>
      <c r="G519" s="130" t="str">
        <f t="shared" si="82"/>
        <v>7</v>
      </c>
      <c r="H519" s="130" t="str">
        <f t="shared" si="83"/>
        <v>0</v>
      </c>
      <c r="I519" s="129">
        <v>17180170</v>
      </c>
      <c r="J519" s="130" t="s">
        <v>1236</v>
      </c>
      <c r="K519" s="130" t="s">
        <v>5166</v>
      </c>
      <c r="L519" s="116"/>
      <c r="M519" s="130"/>
      <c r="N519" s="130"/>
      <c r="O519" s="130" t="s">
        <v>2878</v>
      </c>
      <c r="P519" s="152" t="s">
        <v>2880</v>
      </c>
    </row>
    <row r="520" spans="2:16" s="153" customFormat="1" ht="30" x14ac:dyDescent="0.25">
      <c r="B520" s="130" t="str">
        <f t="shared" si="77"/>
        <v>1</v>
      </c>
      <c r="C520" s="130" t="str">
        <f t="shared" si="78"/>
        <v>7</v>
      </c>
      <c r="D520" s="130" t="str">
        <f t="shared" si="79"/>
        <v>1</v>
      </c>
      <c r="E520" s="130" t="str">
        <f t="shared" si="80"/>
        <v>8</v>
      </c>
      <c r="F520" s="130" t="str">
        <f t="shared" si="81"/>
        <v>01</v>
      </c>
      <c r="G520" s="130" t="str">
        <f t="shared" si="82"/>
        <v>8</v>
      </c>
      <c r="H520" s="130" t="str">
        <f t="shared" si="83"/>
        <v>0</v>
      </c>
      <c r="I520" s="129">
        <v>17180180</v>
      </c>
      <c r="J520" s="130" t="s">
        <v>1238</v>
      </c>
      <c r="K520" s="130" t="s">
        <v>5167</v>
      </c>
      <c r="L520" s="116"/>
      <c r="M520" s="130"/>
      <c r="N520" s="130"/>
      <c r="O520" s="130" t="s">
        <v>2878</v>
      </c>
      <c r="P520" s="152" t="s">
        <v>2880</v>
      </c>
    </row>
    <row r="521" spans="2:16" s="153" customFormat="1" ht="30" x14ac:dyDescent="0.25">
      <c r="B521" s="113" t="str">
        <f t="shared" ref="B521:B574" si="84">MID($I521,1,1)</f>
        <v>1</v>
      </c>
      <c r="C521" s="113" t="str">
        <f t="shared" ref="C521:C574" si="85">MID($I521,2,1)</f>
        <v>7</v>
      </c>
      <c r="D521" s="113" t="str">
        <f t="shared" ref="D521:D574" si="86">MID($I521,3,1)</f>
        <v>1</v>
      </c>
      <c r="E521" s="113" t="str">
        <f t="shared" ref="E521:E574" si="87">MID($I521,4,1)</f>
        <v>8</v>
      </c>
      <c r="F521" s="113" t="str">
        <f t="shared" ref="F521:F574" si="88">MID($I521,5,2)</f>
        <v>02</v>
      </c>
      <c r="G521" s="113" t="str">
        <f t="shared" ref="G521:G574" si="89">MID($I521,7,1)</f>
        <v>0</v>
      </c>
      <c r="H521" s="113" t="str">
        <f t="shared" ref="H521:H574" si="90">MID($I521,8,1)</f>
        <v>0</v>
      </c>
      <c r="I521" s="112">
        <v>17180200</v>
      </c>
      <c r="J521" s="113" t="s">
        <v>1240</v>
      </c>
      <c r="K521" s="113" t="s">
        <v>5168</v>
      </c>
      <c r="L521" s="110"/>
      <c r="M521" s="113" t="s">
        <v>2878</v>
      </c>
      <c r="N521" s="113"/>
      <c r="O521" s="113" t="s">
        <v>2878</v>
      </c>
      <c r="P521" s="163" t="s">
        <v>2880</v>
      </c>
    </row>
    <row r="522" spans="2:16" s="153" customFormat="1" ht="30" x14ac:dyDescent="0.25">
      <c r="B522" s="130" t="str">
        <f t="shared" si="84"/>
        <v>1</v>
      </c>
      <c r="C522" s="130" t="str">
        <f t="shared" si="85"/>
        <v>7</v>
      </c>
      <c r="D522" s="130" t="str">
        <f t="shared" si="86"/>
        <v>1</v>
      </c>
      <c r="E522" s="130" t="str">
        <f t="shared" si="87"/>
        <v>8</v>
      </c>
      <c r="F522" s="130" t="str">
        <f t="shared" si="88"/>
        <v>02</v>
      </c>
      <c r="G522" s="130" t="str">
        <f t="shared" si="89"/>
        <v>1</v>
      </c>
      <c r="H522" s="130" t="str">
        <f t="shared" si="90"/>
        <v>0</v>
      </c>
      <c r="I522" s="129">
        <v>17180210</v>
      </c>
      <c r="J522" s="130" t="s">
        <v>1242</v>
      </c>
      <c r="K522" s="130" t="s">
        <v>5169</v>
      </c>
      <c r="L522" s="116"/>
      <c r="M522" s="130" t="s">
        <v>2878</v>
      </c>
      <c r="N522" s="130"/>
      <c r="O522" s="130" t="s">
        <v>2878</v>
      </c>
      <c r="P522" s="152" t="s">
        <v>2880</v>
      </c>
    </row>
    <row r="523" spans="2:16" s="153" customFormat="1" ht="30" x14ac:dyDescent="0.25">
      <c r="B523" s="130" t="str">
        <f t="shared" si="84"/>
        <v>1</v>
      </c>
      <c r="C523" s="130" t="str">
        <f t="shared" si="85"/>
        <v>7</v>
      </c>
      <c r="D523" s="130" t="str">
        <f t="shared" si="86"/>
        <v>1</v>
      </c>
      <c r="E523" s="130" t="str">
        <f t="shared" si="87"/>
        <v>8</v>
      </c>
      <c r="F523" s="130" t="str">
        <f t="shared" si="88"/>
        <v>02</v>
      </c>
      <c r="G523" s="130" t="str">
        <f t="shared" si="89"/>
        <v>2</v>
      </c>
      <c r="H523" s="130" t="str">
        <f t="shared" si="90"/>
        <v>0</v>
      </c>
      <c r="I523" s="129">
        <v>17180220</v>
      </c>
      <c r="J523" s="130" t="s">
        <v>1244</v>
      </c>
      <c r="K523" s="130" t="s">
        <v>5170</v>
      </c>
      <c r="L523" s="116"/>
      <c r="M523" s="130" t="s">
        <v>2878</v>
      </c>
      <c r="N523" s="130"/>
      <c r="O523" s="130" t="s">
        <v>2878</v>
      </c>
      <c r="P523" s="152" t="s">
        <v>2880</v>
      </c>
    </row>
    <row r="524" spans="2:16" s="153" customFormat="1" ht="30" x14ac:dyDescent="0.25">
      <c r="B524" s="130" t="str">
        <f t="shared" si="84"/>
        <v>1</v>
      </c>
      <c r="C524" s="130" t="str">
        <f t="shared" si="85"/>
        <v>7</v>
      </c>
      <c r="D524" s="130" t="str">
        <f t="shared" si="86"/>
        <v>1</v>
      </c>
      <c r="E524" s="130" t="str">
        <f t="shared" si="87"/>
        <v>8</v>
      </c>
      <c r="F524" s="130" t="str">
        <f t="shared" si="88"/>
        <v>02</v>
      </c>
      <c r="G524" s="130" t="str">
        <f t="shared" si="89"/>
        <v>3</v>
      </c>
      <c r="H524" s="130" t="str">
        <f t="shared" si="90"/>
        <v>0</v>
      </c>
      <c r="I524" s="129">
        <v>17180230</v>
      </c>
      <c r="J524" s="130" t="s">
        <v>1246</v>
      </c>
      <c r="K524" s="130" t="s">
        <v>5171</v>
      </c>
      <c r="L524" s="116"/>
      <c r="M524" s="130" t="s">
        <v>2878</v>
      </c>
      <c r="N524" s="130"/>
      <c r="O524" s="130" t="s">
        <v>2878</v>
      </c>
      <c r="P524" s="152" t="s">
        <v>2880</v>
      </c>
    </row>
    <row r="525" spans="2:16" s="153" customFormat="1" ht="30" x14ac:dyDescent="0.25">
      <c r="B525" s="130" t="str">
        <f t="shared" si="84"/>
        <v>1</v>
      </c>
      <c r="C525" s="130" t="str">
        <f t="shared" si="85"/>
        <v>7</v>
      </c>
      <c r="D525" s="130" t="str">
        <f t="shared" si="86"/>
        <v>1</v>
      </c>
      <c r="E525" s="130" t="str">
        <f t="shared" si="87"/>
        <v>8</v>
      </c>
      <c r="F525" s="130" t="str">
        <f t="shared" si="88"/>
        <v>02</v>
      </c>
      <c r="G525" s="130" t="str">
        <f t="shared" si="89"/>
        <v>4</v>
      </c>
      <c r="H525" s="130" t="str">
        <f t="shared" si="90"/>
        <v>0</v>
      </c>
      <c r="I525" s="129">
        <v>17180240</v>
      </c>
      <c r="J525" s="130" t="s">
        <v>1248</v>
      </c>
      <c r="K525" s="130" t="s">
        <v>5172</v>
      </c>
      <c r="L525" s="116"/>
      <c r="M525" s="130" t="s">
        <v>2878</v>
      </c>
      <c r="N525" s="130"/>
      <c r="O525" s="130" t="s">
        <v>2878</v>
      </c>
      <c r="P525" s="152" t="s">
        <v>2880</v>
      </c>
    </row>
    <row r="526" spans="2:16" s="153" customFormat="1" ht="30" x14ac:dyDescent="0.25">
      <c r="B526" s="130" t="str">
        <f t="shared" si="84"/>
        <v>1</v>
      </c>
      <c r="C526" s="130" t="str">
        <f t="shared" si="85"/>
        <v>7</v>
      </c>
      <c r="D526" s="130" t="str">
        <f t="shared" si="86"/>
        <v>1</v>
      </c>
      <c r="E526" s="130" t="str">
        <f t="shared" si="87"/>
        <v>8</v>
      </c>
      <c r="F526" s="130" t="str">
        <f t="shared" si="88"/>
        <v>02</v>
      </c>
      <c r="G526" s="130" t="str">
        <f t="shared" si="89"/>
        <v>5</v>
      </c>
      <c r="H526" s="130" t="str">
        <f t="shared" si="90"/>
        <v>0</v>
      </c>
      <c r="I526" s="129">
        <v>17180250</v>
      </c>
      <c r="J526" s="130" t="s">
        <v>1250</v>
      </c>
      <c r="K526" s="130" t="s">
        <v>5173</v>
      </c>
      <c r="L526" s="116"/>
      <c r="M526" s="130" t="s">
        <v>2878</v>
      </c>
      <c r="N526" s="130"/>
      <c r="O526" s="130" t="s">
        <v>2878</v>
      </c>
      <c r="P526" s="152" t="s">
        <v>2880</v>
      </c>
    </row>
    <row r="527" spans="2:16" s="153" customFormat="1" ht="30" x14ac:dyDescent="0.25">
      <c r="B527" s="130" t="str">
        <f t="shared" si="84"/>
        <v>1</v>
      </c>
      <c r="C527" s="130" t="str">
        <f t="shared" si="85"/>
        <v>7</v>
      </c>
      <c r="D527" s="130" t="str">
        <f t="shared" si="86"/>
        <v>1</v>
      </c>
      <c r="E527" s="130" t="str">
        <f t="shared" si="87"/>
        <v>8</v>
      </c>
      <c r="F527" s="130" t="str">
        <f t="shared" si="88"/>
        <v>02</v>
      </c>
      <c r="G527" s="130" t="str">
        <f t="shared" si="89"/>
        <v>6</v>
      </c>
      <c r="H527" s="130" t="str">
        <f t="shared" si="90"/>
        <v>0</v>
      </c>
      <c r="I527" s="129">
        <v>17180260</v>
      </c>
      <c r="J527" s="130" t="s">
        <v>1252</v>
      </c>
      <c r="K527" s="130" t="s">
        <v>5174</v>
      </c>
      <c r="L527" s="116"/>
      <c r="M527" s="130" t="s">
        <v>2878</v>
      </c>
      <c r="N527" s="130"/>
      <c r="O527" s="130" t="s">
        <v>2878</v>
      </c>
      <c r="P527" s="152" t="s">
        <v>2880</v>
      </c>
    </row>
    <row r="528" spans="2:16" s="153" customFormat="1" ht="30" x14ac:dyDescent="0.25">
      <c r="B528" s="130" t="str">
        <f t="shared" si="84"/>
        <v>1</v>
      </c>
      <c r="C528" s="130" t="str">
        <f t="shared" si="85"/>
        <v>7</v>
      </c>
      <c r="D528" s="130" t="str">
        <f t="shared" si="86"/>
        <v>1</v>
      </c>
      <c r="E528" s="130" t="str">
        <f t="shared" si="87"/>
        <v>8</v>
      </c>
      <c r="F528" s="130" t="str">
        <f t="shared" si="88"/>
        <v>02</v>
      </c>
      <c r="G528" s="130" t="str">
        <f t="shared" si="89"/>
        <v>9</v>
      </c>
      <c r="H528" s="130" t="str">
        <f t="shared" si="90"/>
        <v>0</v>
      </c>
      <c r="I528" s="129">
        <v>17180290</v>
      </c>
      <c r="J528" s="130" t="s">
        <v>1254</v>
      </c>
      <c r="K528" s="130" t="s">
        <v>5175</v>
      </c>
      <c r="L528" s="116"/>
      <c r="M528" s="130" t="s">
        <v>2878</v>
      </c>
      <c r="N528" s="130"/>
      <c r="O528" s="130" t="s">
        <v>2878</v>
      </c>
      <c r="P528" s="152" t="s">
        <v>2880</v>
      </c>
    </row>
    <row r="529" spans="2:16" s="148" customFormat="1" ht="60" x14ac:dyDescent="0.25">
      <c r="B529" s="145" t="str">
        <f t="shared" si="84"/>
        <v>1</v>
      </c>
      <c r="C529" s="145" t="str">
        <f t="shared" si="85"/>
        <v>7</v>
      </c>
      <c r="D529" s="145" t="str">
        <f t="shared" si="86"/>
        <v>1</v>
      </c>
      <c r="E529" s="145" t="str">
        <f t="shared" si="87"/>
        <v>8</v>
      </c>
      <c r="F529" s="145" t="str">
        <f t="shared" si="88"/>
        <v>03</v>
      </c>
      <c r="G529" s="145" t="str">
        <f t="shared" si="89"/>
        <v>0</v>
      </c>
      <c r="H529" s="145" t="str">
        <f t="shared" si="90"/>
        <v>0</v>
      </c>
      <c r="I529" s="143">
        <v>17180300</v>
      </c>
      <c r="J529" s="145" t="s">
        <v>5601</v>
      </c>
      <c r="K529" s="145" t="s">
        <v>5614</v>
      </c>
      <c r="L529" s="146"/>
      <c r="M529" s="145" t="s">
        <v>2878</v>
      </c>
      <c r="N529" s="145"/>
      <c r="O529" s="145"/>
      <c r="P529" s="147" t="s">
        <v>2880</v>
      </c>
    </row>
    <row r="530" spans="2:16" s="148" customFormat="1" ht="60" x14ac:dyDescent="0.25">
      <c r="B530" s="149" t="str">
        <f t="shared" si="84"/>
        <v>1</v>
      </c>
      <c r="C530" s="149" t="str">
        <f t="shared" si="85"/>
        <v>7</v>
      </c>
      <c r="D530" s="149" t="str">
        <f t="shared" si="86"/>
        <v>1</v>
      </c>
      <c r="E530" s="149" t="str">
        <f t="shared" si="87"/>
        <v>8</v>
      </c>
      <c r="F530" s="149" t="str">
        <f t="shared" si="88"/>
        <v>03</v>
      </c>
      <c r="G530" s="149" t="str">
        <f t="shared" si="89"/>
        <v>1</v>
      </c>
      <c r="H530" s="149" t="str">
        <f t="shared" si="90"/>
        <v>0</v>
      </c>
      <c r="I530" s="144">
        <v>17180310</v>
      </c>
      <c r="J530" s="149" t="s">
        <v>5155</v>
      </c>
      <c r="K530" s="149" t="s">
        <v>5608</v>
      </c>
      <c r="L530" s="150"/>
      <c r="M530" s="149" t="s">
        <v>2878</v>
      </c>
      <c r="N530" s="149"/>
      <c r="O530" s="149"/>
      <c r="P530" s="151" t="s">
        <v>2880</v>
      </c>
    </row>
    <row r="531" spans="2:16" s="148" customFormat="1" ht="60" x14ac:dyDescent="0.25">
      <c r="B531" s="149" t="str">
        <f t="shared" si="84"/>
        <v>1</v>
      </c>
      <c r="C531" s="149" t="str">
        <f t="shared" si="85"/>
        <v>7</v>
      </c>
      <c r="D531" s="149" t="str">
        <f t="shared" si="86"/>
        <v>1</v>
      </c>
      <c r="E531" s="149" t="str">
        <f t="shared" si="87"/>
        <v>8</v>
      </c>
      <c r="F531" s="149" t="str">
        <f t="shared" si="88"/>
        <v>03</v>
      </c>
      <c r="G531" s="149" t="str">
        <f t="shared" si="89"/>
        <v>2</v>
      </c>
      <c r="H531" s="149" t="str">
        <f t="shared" si="90"/>
        <v>0</v>
      </c>
      <c r="I531" s="144">
        <v>17180320</v>
      </c>
      <c r="J531" s="149" t="s">
        <v>5156</v>
      </c>
      <c r="K531" s="149" t="s">
        <v>5609</v>
      </c>
      <c r="L531" s="150"/>
      <c r="M531" s="149" t="s">
        <v>2878</v>
      </c>
      <c r="N531" s="149"/>
      <c r="O531" s="149"/>
      <c r="P531" s="151" t="s">
        <v>2880</v>
      </c>
    </row>
    <row r="532" spans="2:16" s="148" customFormat="1" ht="60" x14ac:dyDescent="0.25">
      <c r="B532" s="149" t="str">
        <f t="shared" si="84"/>
        <v>1</v>
      </c>
      <c r="C532" s="149" t="str">
        <f t="shared" si="85"/>
        <v>7</v>
      </c>
      <c r="D532" s="149" t="str">
        <f t="shared" si="86"/>
        <v>1</v>
      </c>
      <c r="E532" s="149" t="str">
        <f t="shared" si="87"/>
        <v>8</v>
      </c>
      <c r="F532" s="149" t="str">
        <f t="shared" si="88"/>
        <v>03</v>
      </c>
      <c r="G532" s="149" t="str">
        <f t="shared" si="89"/>
        <v>3</v>
      </c>
      <c r="H532" s="149" t="str">
        <f t="shared" si="90"/>
        <v>0</v>
      </c>
      <c r="I532" s="144">
        <v>17180330</v>
      </c>
      <c r="J532" s="149" t="s">
        <v>5157</v>
      </c>
      <c r="K532" s="149" t="s">
        <v>5610</v>
      </c>
      <c r="L532" s="150"/>
      <c r="M532" s="149" t="s">
        <v>2878</v>
      </c>
      <c r="N532" s="149"/>
      <c r="O532" s="149"/>
      <c r="P532" s="151" t="s">
        <v>2880</v>
      </c>
    </row>
    <row r="533" spans="2:16" s="148" customFormat="1" ht="60" x14ac:dyDescent="0.25">
      <c r="B533" s="149" t="str">
        <f t="shared" si="84"/>
        <v>1</v>
      </c>
      <c r="C533" s="149" t="str">
        <f t="shared" si="85"/>
        <v>7</v>
      </c>
      <c r="D533" s="149" t="str">
        <f t="shared" si="86"/>
        <v>1</v>
      </c>
      <c r="E533" s="149" t="str">
        <f t="shared" si="87"/>
        <v>8</v>
      </c>
      <c r="F533" s="149" t="str">
        <f t="shared" si="88"/>
        <v>03</v>
      </c>
      <c r="G533" s="149" t="str">
        <f t="shared" si="89"/>
        <v>4</v>
      </c>
      <c r="H533" s="149" t="str">
        <f t="shared" si="90"/>
        <v>0</v>
      </c>
      <c r="I533" s="144">
        <v>17180340</v>
      </c>
      <c r="J533" s="149" t="s">
        <v>5158</v>
      </c>
      <c r="K533" s="149" t="s">
        <v>5611</v>
      </c>
      <c r="L533" s="150"/>
      <c r="M533" s="149" t="s">
        <v>2878</v>
      </c>
      <c r="N533" s="149"/>
      <c r="O533" s="149"/>
      <c r="P533" s="151" t="s">
        <v>2880</v>
      </c>
    </row>
    <row r="534" spans="2:16" s="148" customFormat="1" ht="60" x14ac:dyDescent="0.25">
      <c r="B534" s="149" t="str">
        <f t="shared" si="84"/>
        <v>1</v>
      </c>
      <c r="C534" s="149" t="str">
        <f t="shared" si="85"/>
        <v>7</v>
      </c>
      <c r="D534" s="149" t="str">
        <f t="shared" si="86"/>
        <v>1</v>
      </c>
      <c r="E534" s="149" t="str">
        <f t="shared" si="87"/>
        <v>8</v>
      </c>
      <c r="F534" s="149" t="str">
        <f t="shared" si="88"/>
        <v>03</v>
      </c>
      <c r="G534" s="149" t="str">
        <f t="shared" si="89"/>
        <v>5</v>
      </c>
      <c r="H534" s="149" t="str">
        <f t="shared" si="90"/>
        <v>0</v>
      </c>
      <c r="I534" s="144">
        <v>17180350</v>
      </c>
      <c r="J534" s="149" t="s">
        <v>5159</v>
      </c>
      <c r="K534" s="149" t="s">
        <v>5612</v>
      </c>
      <c r="L534" s="150"/>
      <c r="M534" s="149" t="s">
        <v>2878</v>
      </c>
      <c r="N534" s="149"/>
      <c r="O534" s="149"/>
      <c r="P534" s="151" t="s">
        <v>2880</v>
      </c>
    </row>
    <row r="535" spans="2:16" s="148" customFormat="1" ht="60" x14ac:dyDescent="0.25">
      <c r="B535" s="149" t="str">
        <f t="shared" si="84"/>
        <v>1</v>
      </c>
      <c r="C535" s="149" t="str">
        <f t="shared" si="85"/>
        <v>7</v>
      </c>
      <c r="D535" s="149" t="str">
        <f t="shared" si="86"/>
        <v>1</v>
      </c>
      <c r="E535" s="149" t="str">
        <f t="shared" si="87"/>
        <v>8</v>
      </c>
      <c r="F535" s="149" t="str">
        <f t="shared" si="88"/>
        <v>03</v>
      </c>
      <c r="G535" s="149" t="str">
        <f t="shared" si="89"/>
        <v>9</v>
      </c>
      <c r="H535" s="149" t="str">
        <f t="shared" si="90"/>
        <v>0</v>
      </c>
      <c r="I535" s="144">
        <v>17180390</v>
      </c>
      <c r="J535" s="149" t="s">
        <v>5154</v>
      </c>
      <c r="K535" s="149" t="s">
        <v>5613</v>
      </c>
      <c r="L535" s="150"/>
      <c r="M535" s="149" t="s">
        <v>2878</v>
      </c>
      <c r="N535" s="149"/>
      <c r="O535" s="149"/>
      <c r="P535" s="151" t="s">
        <v>2880</v>
      </c>
    </row>
    <row r="536" spans="2:16" s="148" customFormat="1" ht="60" x14ac:dyDescent="0.25">
      <c r="B536" s="145" t="str">
        <f t="shared" si="84"/>
        <v>1</v>
      </c>
      <c r="C536" s="145" t="str">
        <f t="shared" si="85"/>
        <v>7</v>
      </c>
      <c r="D536" s="145" t="str">
        <f t="shared" si="86"/>
        <v>1</v>
      </c>
      <c r="E536" s="145" t="str">
        <f t="shared" si="87"/>
        <v>8</v>
      </c>
      <c r="F536" s="145" t="str">
        <f t="shared" si="88"/>
        <v>04</v>
      </c>
      <c r="G536" s="145" t="str">
        <f t="shared" si="89"/>
        <v>0</v>
      </c>
      <c r="H536" s="145" t="str">
        <f t="shared" si="90"/>
        <v>0</v>
      </c>
      <c r="I536" s="143">
        <v>17180400</v>
      </c>
      <c r="J536" s="145" t="s">
        <v>5220</v>
      </c>
      <c r="K536" s="145" t="s">
        <v>5615</v>
      </c>
      <c r="L536" s="146"/>
      <c r="M536" s="145" t="s">
        <v>2878</v>
      </c>
      <c r="N536" s="145"/>
      <c r="O536" s="145" t="s">
        <v>2878</v>
      </c>
      <c r="P536" s="147" t="s">
        <v>2880</v>
      </c>
    </row>
    <row r="537" spans="2:16" s="148" customFormat="1" ht="45" x14ac:dyDescent="0.25">
      <c r="B537" s="149" t="str">
        <f t="shared" si="84"/>
        <v>1</v>
      </c>
      <c r="C537" s="149" t="str">
        <f t="shared" si="85"/>
        <v>7</v>
      </c>
      <c r="D537" s="149" t="str">
        <f t="shared" si="86"/>
        <v>1</v>
      </c>
      <c r="E537" s="149" t="str">
        <f t="shared" si="87"/>
        <v>8</v>
      </c>
      <c r="F537" s="149" t="str">
        <f t="shared" si="88"/>
        <v>04</v>
      </c>
      <c r="G537" s="149" t="str">
        <f t="shared" si="89"/>
        <v>1</v>
      </c>
      <c r="H537" s="149" t="str">
        <f t="shared" si="90"/>
        <v>0</v>
      </c>
      <c r="I537" s="144">
        <v>17180410</v>
      </c>
      <c r="J537" s="149" t="s">
        <v>5213</v>
      </c>
      <c r="K537" s="149" t="s">
        <v>5602</v>
      </c>
      <c r="L537" s="150"/>
      <c r="M537" s="149" t="s">
        <v>2878</v>
      </c>
      <c r="N537" s="149"/>
      <c r="O537" s="149" t="s">
        <v>2878</v>
      </c>
      <c r="P537" s="151" t="s">
        <v>2880</v>
      </c>
    </row>
    <row r="538" spans="2:16" s="148" customFormat="1" ht="45" x14ac:dyDescent="0.25">
      <c r="B538" s="149" t="str">
        <f t="shared" si="84"/>
        <v>1</v>
      </c>
      <c r="C538" s="149" t="str">
        <f t="shared" si="85"/>
        <v>7</v>
      </c>
      <c r="D538" s="149" t="str">
        <f t="shared" si="86"/>
        <v>1</v>
      </c>
      <c r="E538" s="149" t="str">
        <f t="shared" si="87"/>
        <v>8</v>
      </c>
      <c r="F538" s="149" t="str">
        <f t="shared" si="88"/>
        <v>04</v>
      </c>
      <c r="G538" s="149" t="str">
        <f t="shared" si="89"/>
        <v>2</v>
      </c>
      <c r="H538" s="149" t="str">
        <f t="shared" si="90"/>
        <v>0</v>
      </c>
      <c r="I538" s="144">
        <v>17180420</v>
      </c>
      <c r="J538" s="149" t="s">
        <v>5214</v>
      </c>
      <c r="K538" s="149" t="s">
        <v>5603</v>
      </c>
      <c r="L538" s="150"/>
      <c r="M538" s="149" t="s">
        <v>2878</v>
      </c>
      <c r="N538" s="149"/>
      <c r="O538" s="149" t="s">
        <v>2878</v>
      </c>
      <c r="P538" s="151" t="s">
        <v>2880</v>
      </c>
    </row>
    <row r="539" spans="2:16" s="148" customFormat="1" ht="45" x14ac:dyDescent="0.25">
      <c r="B539" s="149" t="str">
        <f t="shared" si="84"/>
        <v>1</v>
      </c>
      <c r="C539" s="149" t="str">
        <f t="shared" si="85"/>
        <v>7</v>
      </c>
      <c r="D539" s="149" t="str">
        <f t="shared" si="86"/>
        <v>1</v>
      </c>
      <c r="E539" s="149" t="str">
        <f t="shared" si="87"/>
        <v>8</v>
      </c>
      <c r="F539" s="149" t="str">
        <f t="shared" si="88"/>
        <v>04</v>
      </c>
      <c r="G539" s="149" t="str">
        <f t="shared" si="89"/>
        <v>3</v>
      </c>
      <c r="H539" s="149" t="str">
        <f t="shared" si="90"/>
        <v>0</v>
      </c>
      <c r="I539" s="144">
        <v>17180430</v>
      </c>
      <c r="J539" s="149" t="s">
        <v>5215</v>
      </c>
      <c r="K539" s="149" t="s">
        <v>5604</v>
      </c>
      <c r="L539" s="150"/>
      <c r="M539" s="149" t="s">
        <v>2878</v>
      </c>
      <c r="N539" s="149"/>
      <c r="O539" s="149" t="s">
        <v>2878</v>
      </c>
      <c r="P539" s="151" t="s">
        <v>2880</v>
      </c>
    </row>
    <row r="540" spans="2:16" s="148" customFormat="1" ht="60" x14ac:dyDescent="0.25">
      <c r="B540" s="149" t="str">
        <f t="shared" si="84"/>
        <v>1</v>
      </c>
      <c r="C540" s="149" t="str">
        <f t="shared" si="85"/>
        <v>7</v>
      </c>
      <c r="D540" s="149" t="str">
        <f t="shared" si="86"/>
        <v>1</v>
      </c>
      <c r="E540" s="149" t="str">
        <f t="shared" si="87"/>
        <v>8</v>
      </c>
      <c r="F540" s="149" t="str">
        <f t="shared" si="88"/>
        <v>04</v>
      </c>
      <c r="G540" s="149" t="str">
        <f t="shared" si="89"/>
        <v>4</v>
      </c>
      <c r="H540" s="149" t="str">
        <f t="shared" si="90"/>
        <v>0</v>
      </c>
      <c r="I540" s="144">
        <v>17180440</v>
      </c>
      <c r="J540" s="149" t="s">
        <v>5216</v>
      </c>
      <c r="K540" s="149" t="s">
        <v>5605</v>
      </c>
      <c r="L540" s="150"/>
      <c r="M540" s="149" t="s">
        <v>2878</v>
      </c>
      <c r="N540" s="149"/>
      <c r="O540" s="149" t="s">
        <v>2878</v>
      </c>
      <c r="P540" s="151" t="s">
        <v>2880</v>
      </c>
    </row>
    <row r="541" spans="2:16" s="148" customFormat="1" ht="45" x14ac:dyDescent="0.25">
      <c r="B541" s="149" t="str">
        <f t="shared" si="84"/>
        <v>1</v>
      </c>
      <c r="C541" s="149" t="str">
        <f t="shared" si="85"/>
        <v>7</v>
      </c>
      <c r="D541" s="149" t="str">
        <f t="shared" si="86"/>
        <v>1</v>
      </c>
      <c r="E541" s="149" t="str">
        <f t="shared" si="87"/>
        <v>8</v>
      </c>
      <c r="F541" s="149" t="str">
        <f t="shared" si="88"/>
        <v>04</v>
      </c>
      <c r="G541" s="149" t="str">
        <f t="shared" si="89"/>
        <v>5</v>
      </c>
      <c r="H541" s="149" t="str">
        <f t="shared" si="90"/>
        <v>0</v>
      </c>
      <c r="I541" s="144">
        <v>17180450</v>
      </c>
      <c r="J541" s="149" t="s">
        <v>5217</v>
      </c>
      <c r="K541" s="149" t="s">
        <v>5606</v>
      </c>
      <c r="L541" s="150"/>
      <c r="M541" s="149" t="s">
        <v>2878</v>
      </c>
      <c r="N541" s="149"/>
      <c r="O541" s="149" t="s">
        <v>2878</v>
      </c>
      <c r="P541" s="151" t="s">
        <v>2880</v>
      </c>
    </row>
    <row r="542" spans="2:16" s="148" customFormat="1" ht="45" x14ac:dyDescent="0.25">
      <c r="B542" s="149" t="str">
        <f t="shared" si="84"/>
        <v>1</v>
      </c>
      <c r="C542" s="149" t="str">
        <f t="shared" si="85"/>
        <v>7</v>
      </c>
      <c r="D542" s="149" t="str">
        <f t="shared" si="86"/>
        <v>1</v>
      </c>
      <c r="E542" s="149" t="str">
        <f t="shared" si="87"/>
        <v>8</v>
      </c>
      <c r="F542" s="149" t="str">
        <f t="shared" si="88"/>
        <v>04</v>
      </c>
      <c r="G542" s="149" t="str">
        <f t="shared" si="89"/>
        <v>6</v>
      </c>
      <c r="H542" s="149" t="str">
        <f t="shared" si="90"/>
        <v>0</v>
      </c>
      <c r="I542" s="144">
        <v>17180460</v>
      </c>
      <c r="J542" s="149" t="s">
        <v>5212</v>
      </c>
      <c r="K542" s="149" t="s">
        <v>5607</v>
      </c>
      <c r="L542" s="150"/>
      <c r="M542" s="149" t="s">
        <v>2878</v>
      </c>
      <c r="N542" s="149"/>
      <c r="O542" s="149" t="s">
        <v>2878</v>
      </c>
      <c r="P542" s="151" t="s">
        <v>2880</v>
      </c>
    </row>
    <row r="543" spans="2:16" s="153" customFormat="1" ht="60" x14ac:dyDescent="0.25">
      <c r="B543" s="113" t="str">
        <f t="shared" si="84"/>
        <v>1</v>
      </c>
      <c r="C543" s="113" t="str">
        <f t="shared" si="85"/>
        <v>7</v>
      </c>
      <c r="D543" s="113" t="str">
        <f t="shared" si="86"/>
        <v>1</v>
      </c>
      <c r="E543" s="113" t="str">
        <f t="shared" si="87"/>
        <v>8</v>
      </c>
      <c r="F543" s="113" t="str">
        <f t="shared" si="88"/>
        <v>05</v>
      </c>
      <c r="G543" s="113" t="str">
        <f t="shared" si="89"/>
        <v>0</v>
      </c>
      <c r="H543" s="113" t="str">
        <f t="shared" si="90"/>
        <v>0</v>
      </c>
      <c r="I543" s="112">
        <v>17180500</v>
      </c>
      <c r="J543" s="113" t="s">
        <v>1260</v>
      </c>
      <c r="K543" s="113" t="s">
        <v>1261</v>
      </c>
      <c r="L543" s="110"/>
      <c r="M543" s="113" t="s">
        <v>2878</v>
      </c>
      <c r="N543" s="113"/>
      <c r="O543" s="113" t="s">
        <v>2878</v>
      </c>
      <c r="P543" s="163" t="s">
        <v>2880</v>
      </c>
    </row>
    <row r="544" spans="2:16" s="153" customFormat="1" ht="30" x14ac:dyDescent="0.25">
      <c r="B544" s="130" t="str">
        <f t="shared" si="84"/>
        <v>1</v>
      </c>
      <c r="C544" s="130" t="str">
        <f t="shared" si="85"/>
        <v>7</v>
      </c>
      <c r="D544" s="130" t="str">
        <f t="shared" si="86"/>
        <v>1</v>
      </c>
      <c r="E544" s="130" t="str">
        <f t="shared" si="87"/>
        <v>8</v>
      </c>
      <c r="F544" s="130" t="str">
        <f t="shared" si="88"/>
        <v>05</v>
      </c>
      <c r="G544" s="130" t="str">
        <f t="shared" si="89"/>
        <v>1</v>
      </c>
      <c r="H544" s="130" t="str">
        <f t="shared" si="90"/>
        <v>0</v>
      </c>
      <c r="I544" s="129">
        <v>17180510</v>
      </c>
      <c r="J544" s="130" t="s">
        <v>1262</v>
      </c>
      <c r="K544" s="130" t="s">
        <v>1263</v>
      </c>
      <c r="L544" s="116"/>
      <c r="M544" s="130"/>
      <c r="N544" s="130"/>
      <c r="O544" s="130" t="s">
        <v>2878</v>
      </c>
      <c r="P544" s="152" t="s">
        <v>2880</v>
      </c>
    </row>
    <row r="545" spans="2:16" s="153" customFormat="1" ht="30" x14ac:dyDescent="0.25">
      <c r="B545" s="130" t="str">
        <f t="shared" si="84"/>
        <v>1</v>
      </c>
      <c r="C545" s="130" t="str">
        <f t="shared" si="85"/>
        <v>7</v>
      </c>
      <c r="D545" s="130" t="str">
        <f t="shared" si="86"/>
        <v>1</v>
      </c>
      <c r="E545" s="130" t="str">
        <f t="shared" si="87"/>
        <v>8</v>
      </c>
      <c r="F545" s="130" t="str">
        <f t="shared" si="88"/>
        <v>05</v>
      </c>
      <c r="G545" s="130" t="str">
        <f t="shared" si="89"/>
        <v>2</v>
      </c>
      <c r="H545" s="130" t="str">
        <f t="shared" si="90"/>
        <v>0</v>
      </c>
      <c r="I545" s="129">
        <v>17180520</v>
      </c>
      <c r="J545" s="130" t="s">
        <v>1264</v>
      </c>
      <c r="K545" s="130" t="s">
        <v>1265</v>
      </c>
      <c r="L545" s="116"/>
      <c r="M545" s="130"/>
      <c r="N545" s="130"/>
      <c r="O545" s="130" t="s">
        <v>2878</v>
      </c>
      <c r="P545" s="152" t="s">
        <v>2880</v>
      </c>
    </row>
    <row r="546" spans="2:16" s="153" customFormat="1" ht="45" x14ac:dyDescent="0.25">
      <c r="B546" s="130" t="str">
        <f t="shared" si="84"/>
        <v>1</v>
      </c>
      <c r="C546" s="130" t="str">
        <f t="shared" si="85"/>
        <v>7</v>
      </c>
      <c r="D546" s="130" t="str">
        <f t="shared" si="86"/>
        <v>1</v>
      </c>
      <c r="E546" s="130" t="str">
        <f t="shared" si="87"/>
        <v>8</v>
      </c>
      <c r="F546" s="130" t="str">
        <f t="shared" si="88"/>
        <v>05</v>
      </c>
      <c r="G546" s="130" t="str">
        <f t="shared" si="89"/>
        <v>3</v>
      </c>
      <c r="H546" s="130" t="str">
        <f t="shared" si="90"/>
        <v>0</v>
      </c>
      <c r="I546" s="129">
        <v>17180530</v>
      </c>
      <c r="J546" s="130" t="s">
        <v>1266</v>
      </c>
      <c r="K546" s="130" t="s">
        <v>1267</v>
      </c>
      <c r="L546" s="116"/>
      <c r="M546" s="130"/>
      <c r="N546" s="130"/>
      <c r="O546" s="130" t="s">
        <v>2878</v>
      </c>
      <c r="P546" s="152" t="s">
        <v>2880</v>
      </c>
    </row>
    <row r="547" spans="2:16" s="153" customFormat="1" ht="45" x14ac:dyDescent="0.25">
      <c r="B547" s="130" t="str">
        <f t="shared" si="84"/>
        <v>1</v>
      </c>
      <c r="C547" s="130" t="str">
        <f t="shared" si="85"/>
        <v>7</v>
      </c>
      <c r="D547" s="130" t="str">
        <f t="shared" si="86"/>
        <v>1</v>
      </c>
      <c r="E547" s="130" t="str">
        <f t="shared" si="87"/>
        <v>8</v>
      </c>
      <c r="F547" s="130" t="str">
        <f t="shared" si="88"/>
        <v>05</v>
      </c>
      <c r="G547" s="130" t="str">
        <f t="shared" si="89"/>
        <v>4</v>
      </c>
      <c r="H547" s="130" t="str">
        <f t="shared" si="90"/>
        <v>0</v>
      </c>
      <c r="I547" s="129">
        <v>17180540</v>
      </c>
      <c r="J547" s="130" t="s">
        <v>1268</v>
      </c>
      <c r="K547" s="130" t="s">
        <v>1269</v>
      </c>
      <c r="L547" s="116"/>
      <c r="M547" s="130"/>
      <c r="N547" s="130"/>
      <c r="O547" s="130" t="s">
        <v>2878</v>
      </c>
      <c r="P547" s="152" t="s">
        <v>2880</v>
      </c>
    </row>
    <row r="548" spans="2:16" s="153" customFormat="1" ht="60" x14ac:dyDescent="0.25">
      <c r="B548" s="130" t="str">
        <f t="shared" si="84"/>
        <v>1</v>
      </c>
      <c r="C548" s="130" t="str">
        <f t="shared" si="85"/>
        <v>7</v>
      </c>
      <c r="D548" s="130" t="str">
        <f t="shared" si="86"/>
        <v>1</v>
      </c>
      <c r="E548" s="130" t="str">
        <f t="shared" si="87"/>
        <v>8</v>
      </c>
      <c r="F548" s="130" t="str">
        <f t="shared" si="88"/>
        <v>05</v>
      </c>
      <c r="G548" s="130" t="str">
        <f t="shared" si="89"/>
        <v>9</v>
      </c>
      <c r="H548" s="130" t="str">
        <f t="shared" si="90"/>
        <v>0</v>
      </c>
      <c r="I548" s="129">
        <v>17180590</v>
      </c>
      <c r="J548" s="130" t="s">
        <v>1270</v>
      </c>
      <c r="K548" s="130" t="s">
        <v>1271</v>
      </c>
      <c r="L548" s="116"/>
      <c r="M548" s="130"/>
      <c r="N548" s="130"/>
      <c r="O548" s="130" t="s">
        <v>2878</v>
      </c>
      <c r="P548" s="152" t="s">
        <v>2880</v>
      </c>
    </row>
    <row r="549" spans="2:16" s="153" customFormat="1" ht="90" x14ac:dyDescent="0.25">
      <c r="B549" s="113" t="str">
        <f t="shared" si="84"/>
        <v>1</v>
      </c>
      <c r="C549" s="113" t="str">
        <f t="shared" si="85"/>
        <v>7</v>
      </c>
      <c r="D549" s="113" t="str">
        <f t="shared" si="86"/>
        <v>1</v>
      </c>
      <c r="E549" s="113" t="str">
        <f t="shared" si="87"/>
        <v>8</v>
      </c>
      <c r="F549" s="113" t="str">
        <f t="shared" si="88"/>
        <v>06</v>
      </c>
      <c r="G549" s="113" t="str">
        <f t="shared" si="89"/>
        <v>0</v>
      </c>
      <c r="H549" s="113" t="str">
        <f t="shared" si="90"/>
        <v>0</v>
      </c>
      <c r="I549" s="112">
        <v>17180600</v>
      </c>
      <c r="J549" s="113" t="s">
        <v>1272</v>
      </c>
      <c r="K549" s="113" t="s">
        <v>1273</v>
      </c>
      <c r="L549" s="110"/>
      <c r="M549" s="113"/>
      <c r="N549" s="113"/>
      <c r="O549" s="113" t="s">
        <v>2878</v>
      </c>
      <c r="P549" s="163" t="s">
        <v>2880</v>
      </c>
    </row>
    <row r="550" spans="2:16" s="153" customFormat="1" ht="90" x14ac:dyDescent="0.25">
      <c r="B550" s="130" t="str">
        <f t="shared" si="84"/>
        <v>1</v>
      </c>
      <c r="C550" s="130" t="str">
        <f t="shared" si="85"/>
        <v>7</v>
      </c>
      <c r="D550" s="130" t="str">
        <f t="shared" si="86"/>
        <v>1</v>
      </c>
      <c r="E550" s="130" t="str">
        <f t="shared" si="87"/>
        <v>8</v>
      </c>
      <c r="F550" s="130" t="str">
        <f t="shared" si="88"/>
        <v>06</v>
      </c>
      <c r="G550" s="130" t="str">
        <f t="shared" si="89"/>
        <v>1</v>
      </c>
      <c r="H550" s="130" t="str">
        <f t="shared" si="90"/>
        <v>0</v>
      </c>
      <c r="I550" s="129">
        <v>17180610</v>
      </c>
      <c r="J550" s="130" t="s">
        <v>1272</v>
      </c>
      <c r="K550" s="130" t="s">
        <v>1273</v>
      </c>
      <c r="L550" s="116"/>
      <c r="M550" s="130"/>
      <c r="N550" s="130"/>
      <c r="O550" s="130" t="s">
        <v>2878</v>
      </c>
      <c r="P550" s="152" t="s">
        <v>2880</v>
      </c>
    </row>
    <row r="551" spans="2:16" s="153" customFormat="1" ht="30" x14ac:dyDescent="0.25">
      <c r="B551" s="113" t="str">
        <f t="shared" si="84"/>
        <v>1</v>
      </c>
      <c r="C551" s="113" t="str">
        <f t="shared" si="85"/>
        <v>7</v>
      </c>
      <c r="D551" s="113" t="str">
        <f t="shared" si="86"/>
        <v>1</v>
      </c>
      <c r="E551" s="113" t="str">
        <f t="shared" si="87"/>
        <v>8</v>
      </c>
      <c r="F551" s="113" t="str">
        <f t="shared" si="88"/>
        <v>07</v>
      </c>
      <c r="G551" s="113" t="str">
        <f t="shared" si="89"/>
        <v>0</v>
      </c>
      <c r="H551" s="113" t="str">
        <f t="shared" si="90"/>
        <v>0</v>
      </c>
      <c r="I551" s="112">
        <v>17180700</v>
      </c>
      <c r="J551" s="113" t="s">
        <v>1276</v>
      </c>
      <c r="K551" s="113" t="s">
        <v>1275</v>
      </c>
      <c r="L551" s="110"/>
      <c r="M551" s="113"/>
      <c r="N551" s="113"/>
      <c r="O551" s="113" t="s">
        <v>2878</v>
      </c>
      <c r="P551" s="163" t="s">
        <v>2880</v>
      </c>
    </row>
    <row r="552" spans="2:16" s="153" customFormat="1" ht="30" x14ac:dyDescent="0.25">
      <c r="B552" s="130" t="str">
        <f t="shared" si="84"/>
        <v>1</v>
      </c>
      <c r="C552" s="130" t="str">
        <f t="shared" si="85"/>
        <v>7</v>
      </c>
      <c r="D552" s="130" t="str">
        <f t="shared" si="86"/>
        <v>1</v>
      </c>
      <c r="E552" s="130" t="str">
        <f t="shared" si="87"/>
        <v>8</v>
      </c>
      <c r="F552" s="130" t="str">
        <f t="shared" si="88"/>
        <v>07</v>
      </c>
      <c r="G552" s="130" t="str">
        <f t="shared" si="89"/>
        <v>1</v>
      </c>
      <c r="H552" s="130" t="str">
        <f t="shared" si="90"/>
        <v>0</v>
      </c>
      <c r="I552" s="129">
        <v>17180710</v>
      </c>
      <c r="J552" s="130" t="s">
        <v>1276</v>
      </c>
      <c r="K552" s="130" t="s">
        <v>1275</v>
      </c>
      <c r="L552" s="116"/>
      <c r="M552" s="130"/>
      <c r="N552" s="130"/>
      <c r="O552" s="130" t="s">
        <v>2878</v>
      </c>
      <c r="P552" s="152" t="s">
        <v>2880</v>
      </c>
    </row>
    <row r="553" spans="2:16" s="153" customFormat="1" ht="45" x14ac:dyDescent="0.25">
      <c r="B553" s="113" t="str">
        <f t="shared" si="84"/>
        <v>1</v>
      </c>
      <c r="C553" s="113" t="str">
        <f t="shared" si="85"/>
        <v>7</v>
      </c>
      <c r="D553" s="113" t="str">
        <f t="shared" si="86"/>
        <v>1</v>
      </c>
      <c r="E553" s="113" t="str">
        <f t="shared" si="87"/>
        <v>8</v>
      </c>
      <c r="F553" s="113" t="str">
        <f t="shared" si="88"/>
        <v>08</v>
      </c>
      <c r="G553" s="113" t="str">
        <f t="shared" si="89"/>
        <v>0</v>
      </c>
      <c r="H553" s="113" t="str">
        <f t="shared" si="90"/>
        <v>0</v>
      </c>
      <c r="I553" s="112">
        <v>17180800</v>
      </c>
      <c r="J553" s="113" t="s">
        <v>5105</v>
      </c>
      <c r="K553" s="113" t="s">
        <v>5106</v>
      </c>
      <c r="L553" s="110"/>
      <c r="M553" s="113"/>
      <c r="N553" s="113"/>
      <c r="O553" s="113" t="s">
        <v>2878</v>
      </c>
      <c r="P553" s="163" t="s">
        <v>2880</v>
      </c>
    </row>
    <row r="554" spans="2:16" s="153" customFormat="1" ht="45" x14ac:dyDescent="0.25">
      <c r="B554" s="130" t="str">
        <f t="shared" si="84"/>
        <v>1</v>
      </c>
      <c r="C554" s="130" t="str">
        <f t="shared" si="85"/>
        <v>7</v>
      </c>
      <c r="D554" s="130" t="str">
        <f t="shared" si="86"/>
        <v>1</v>
      </c>
      <c r="E554" s="130" t="str">
        <f t="shared" si="87"/>
        <v>8</v>
      </c>
      <c r="F554" s="130" t="str">
        <f t="shared" si="88"/>
        <v>08</v>
      </c>
      <c r="G554" s="130" t="str">
        <f t="shared" si="89"/>
        <v>1</v>
      </c>
      <c r="H554" s="130" t="str">
        <f t="shared" si="90"/>
        <v>0</v>
      </c>
      <c r="I554" s="129">
        <v>17180810</v>
      </c>
      <c r="J554" s="130" t="s">
        <v>5105</v>
      </c>
      <c r="K554" s="130" t="s">
        <v>5106</v>
      </c>
      <c r="L554" s="116"/>
      <c r="M554" s="130"/>
      <c r="N554" s="130"/>
      <c r="O554" s="130" t="s">
        <v>2878</v>
      </c>
      <c r="P554" s="152" t="s">
        <v>2880</v>
      </c>
    </row>
    <row r="555" spans="2:16" s="148" customFormat="1" ht="45" x14ac:dyDescent="0.25">
      <c r="B555" s="145" t="str">
        <f t="shared" si="84"/>
        <v>1</v>
      </c>
      <c r="C555" s="145" t="str">
        <f t="shared" si="85"/>
        <v>7</v>
      </c>
      <c r="D555" s="145" t="str">
        <f t="shared" si="86"/>
        <v>1</v>
      </c>
      <c r="E555" s="145" t="str">
        <f t="shared" si="87"/>
        <v>8</v>
      </c>
      <c r="F555" s="145" t="str">
        <f t="shared" si="88"/>
        <v>09</v>
      </c>
      <c r="G555" s="145" t="str">
        <f t="shared" si="89"/>
        <v>0</v>
      </c>
      <c r="H555" s="145" t="str">
        <f t="shared" si="90"/>
        <v>0</v>
      </c>
      <c r="I555" s="143">
        <v>17180900</v>
      </c>
      <c r="J555" s="145" t="s">
        <v>5184</v>
      </c>
      <c r="K555" s="145" t="s">
        <v>5185</v>
      </c>
      <c r="L555" s="146"/>
      <c r="M555" s="145" t="s">
        <v>2878</v>
      </c>
      <c r="N555" s="145"/>
      <c r="O555" s="145" t="s">
        <v>2878</v>
      </c>
      <c r="P555" s="147" t="s">
        <v>2880</v>
      </c>
    </row>
    <row r="556" spans="2:16" s="148" customFormat="1" ht="45" x14ac:dyDescent="0.25">
      <c r="B556" s="149" t="str">
        <f t="shared" si="84"/>
        <v>1</v>
      </c>
      <c r="C556" s="149" t="str">
        <f t="shared" si="85"/>
        <v>7</v>
      </c>
      <c r="D556" s="149" t="str">
        <f t="shared" si="86"/>
        <v>1</v>
      </c>
      <c r="E556" s="149" t="str">
        <f t="shared" si="87"/>
        <v>8</v>
      </c>
      <c r="F556" s="149" t="str">
        <f t="shared" si="88"/>
        <v>09</v>
      </c>
      <c r="G556" s="149" t="str">
        <f t="shared" si="89"/>
        <v>1</v>
      </c>
      <c r="H556" s="149" t="str">
        <f t="shared" si="90"/>
        <v>0</v>
      </c>
      <c r="I556" s="144">
        <v>17180910</v>
      </c>
      <c r="J556" s="149" t="s">
        <v>1322</v>
      </c>
      <c r="K556" s="149" t="s">
        <v>5185</v>
      </c>
      <c r="L556" s="150"/>
      <c r="M556" s="149" t="s">
        <v>2878</v>
      </c>
      <c r="N556" s="149"/>
      <c r="O556" s="149" t="s">
        <v>2878</v>
      </c>
      <c r="P556" s="151" t="s">
        <v>2880</v>
      </c>
    </row>
    <row r="557" spans="2:16" s="153" customFormat="1" ht="75" x14ac:dyDescent="0.25">
      <c r="B557" s="113" t="str">
        <f t="shared" si="84"/>
        <v>1</v>
      </c>
      <c r="C557" s="113" t="str">
        <f t="shared" si="85"/>
        <v>7</v>
      </c>
      <c r="D557" s="113" t="str">
        <f t="shared" si="86"/>
        <v>1</v>
      </c>
      <c r="E557" s="113" t="str">
        <f t="shared" si="87"/>
        <v>8</v>
      </c>
      <c r="F557" s="113" t="str">
        <f t="shared" si="88"/>
        <v>10</v>
      </c>
      <c r="G557" s="113" t="str">
        <f t="shared" si="89"/>
        <v>0</v>
      </c>
      <c r="H557" s="113" t="str">
        <f t="shared" si="90"/>
        <v>0</v>
      </c>
      <c r="I557" s="112">
        <v>17181000</v>
      </c>
      <c r="J557" s="113" t="s">
        <v>1334</v>
      </c>
      <c r="K557" s="113" t="s">
        <v>1335</v>
      </c>
      <c r="L557" s="110"/>
      <c r="M557" s="113"/>
      <c r="N557" s="113"/>
      <c r="O557" s="113" t="s">
        <v>2878</v>
      </c>
      <c r="P557" s="163" t="s">
        <v>2880</v>
      </c>
    </row>
    <row r="558" spans="2:16" s="153" customFormat="1" ht="75" x14ac:dyDescent="0.25">
      <c r="B558" s="130" t="str">
        <f t="shared" si="84"/>
        <v>1</v>
      </c>
      <c r="C558" s="130" t="str">
        <f t="shared" si="85"/>
        <v>7</v>
      </c>
      <c r="D558" s="130" t="str">
        <f t="shared" si="86"/>
        <v>1</v>
      </c>
      <c r="E558" s="130" t="str">
        <f t="shared" si="87"/>
        <v>8</v>
      </c>
      <c r="F558" s="130" t="str">
        <f t="shared" si="88"/>
        <v>10</v>
      </c>
      <c r="G558" s="130" t="str">
        <f t="shared" si="89"/>
        <v>1</v>
      </c>
      <c r="H558" s="130" t="str">
        <f t="shared" si="90"/>
        <v>0</v>
      </c>
      <c r="I558" s="129">
        <v>17181010</v>
      </c>
      <c r="J558" s="130" t="s">
        <v>1336</v>
      </c>
      <c r="K558" s="130" t="s">
        <v>1337</v>
      </c>
      <c r="L558" s="116"/>
      <c r="M558" s="130"/>
      <c r="N558" s="130"/>
      <c r="O558" s="130" t="s">
        <v>2878</v>
      </c>
      <c r="P558" s="152" t="s">
        <v>2880</v>
      </c>
    </row>
    <row r="559" spans="2:16" s="153" customFormat="1" ht="30" x14ac:dyDescent="0.25">
      <c r="B559" s="130" t="str">
        <f t="shared" si="84"/>
        <v>1</v>
      </c>
      <c r="C559" s="130" t="str">
        <f t="shared" si="85"/>
        <v>7</v>
      </c>
      <c r="D559" s="130" t="str">
        <f t="shared" si="86"/>
        <v>1</v>
      </c>
      <c r="E559" s="130" t="str">
        <f t="shared" si="87"/>
        <v>8</v>
      </c>
      <c r="F559" s="130" t="str">
        <f t="shared" si="88"/>
        <v>10</v>
      </c>
      <c r="G559" s="130" t="str">
        <f t="shared" si="89"/>
        <v>2</v>
      </c>
      <c r="H559" s="130" t="str">
        <f t="shared" si="90"/>
        <v>0</v>
      </c>
      <c r="I559" s="129">
        <v>17181020</v>
      </c>
      <c r="J559" s="130" t="s">
        <v>1338</v>
      </c>
      <c r="K559" s="130" t="s">
        <v>1339</v>
      </c>
      <c r="L559" s="116"/>
      <c r="M559" s="130"/>
      <c r="N559" s="130"/>
      <c r="O559" s="130" t="s">
        <v>2878</v>
      </c>
      <c r="P559" s="152" t="s">
        <v>2880</v>
      </c>
    </row>
    <row r="560" spans="2:16" s="153" customFormat="1" ht="60" x14ac:dyDescent="0.25">
      <c r="B560" s="130" t="str">
        <f t="shared" si="84"/>
        <v>1</v>
      </c>
      <c r="C560" s="130" t="str">
        <f t="shared" si="85"/>
        <v>7</v>
      </c>
      <c r="D560" s="130" t="str">
        <f t="shared" si="86"/>
        <v>1</v>
      </c>
      <c r="E560" s="130" t="str">
        <f t="shared" si="87"/>
        <v>8</v>
      </c>
      <c r="F560" s="130" t="str">
        <f t="shared" si="88"/>
        <v>10</v>
      </c>
      <c r="G560" s="130" t="str">
        <f t="shared" si="89"/>
        <v>3</v>
      </c>
      <c r="H560" s="130" t="str">
        <f t="shared" si="90"/>
        <v>0</v>
      </c>
      <c r="I560" s="129">
        <v>17181030</v>
      </c>
      <c r="J560" s="130" t="s">
        <v>1340</v>
      </c>
      <c r="K560" s="130" t="s">
        <v>1341</v>
      </c>
      <c r="L560" s="116"/>
      <c r="M560" s="130"/>
      <c r="N560" s="130"/>
      <c r="O560" s="130" t="s">
        <v>2878</v>
      </c>
      <c r="P560" s="152" t="s">
        <v>2880</v>
      </c>
    </row>
    <row r="561" spans="2:16" s="153" customFormat="1" ht="30" x14ac:dyDescent="0.25">
      <c r="B561" s="130" t="str">
        <f t="shared" si="84"/>
        <v>1</v>
      </c>
      <c r="C561" s="130" t="str">
        <f t="shared" si="85"/>
        <v>7</v>
      </c>
      <c r="D561" s="130" t="str">
        <f t="shared" si="86"/>
        <v>1</v>
      </c>
      <c r="E561" s="130" t="str">
        <f t="shared" si="87"/>
        <v>8</v>
      </c>
      <c r="F561" s="130" t="str">
        <f t="shared" si="88"/>
        <v>10</v>
      </c>
      <c r="G561" s="130" t="str">
        <f t="shared" si="89"/>
        <v>4</v>
      </c>
      <c r="H561" s="130" t="str">
        <f t="shared" si="90"/>
        <v>0</v>
      </c>
      <c r="I561" s="129">
        <v>17181040</v>
      </c>
      <c r="J561" s="130" t="s">
        <v>1342</v>
      </c>
      <c r="K561" s="130" t="s">
        <v>1343</v>
      </c>
      <c r="L561" s="116"/>
      <c r="M561" s="130"/>
      <c r="N561" s="130"/>
      <c r="O561" s="130" t="s">
        <v>2878</v>
      </c>
      <c r="P561" s="152" t="s">
        <v>2880</v>
      </c>
    </row>
    <row r="562" spans="2:16" s="153" customFormat="1" ht="30" x14ac:dyDescent="0.25">
      <c r="B562" s="130" t="str">
        <f t="shared" si="84"/>
        <v>1</v>
      </c>
      <c r="C562" s="130" t="str">
        <f t="shared" si="85"/>
        <v>7</v>
      </c>
      <c r="D562" s="130" t="str">
        <f t="shared" si="86"/>
        <v>1</v>
      </c>
      <c r="E562" s="130" t="str">
        <f t="shared" si="87"/>
        <v>8</v>
      </c>
      <c r="F562" s="130" t="str">
        <f t="shared" si="88"/>
        <v>10</v>
      </c>
      <c r="G562" s="130" t="str">
        <f t="shared" si="89"/>
        <v>5</v>
      </c>
      <c r="H562" s="130" t="str">
        <f t="shared" si="90"/>
        <v>0</v>
      </c>
      <c r="I562" s="129">
        <v>17181050</v>
      </c>
      <c r="J562" s="130" t="s">
        <v>1344</v>
      </c>
      <c r="K562" s="130" t="s">
        <v>1345</v>
      </c>
      <c r="L562" s="116"/>
      <c r="M562" s="130"/>
      <c r="N562" s="130"/>
      <c r="O562" s="130" t="s">
        <v>2878</v>
      </c>
      <c r="P562" s="152" t="s">
        <v>2880</v>
      </c>
    </row>
    <row r="563" spans="2:16" s="153" customFormat="1" ht="30" x14ac:dyDescent="0.25">
      <c r="B563" s="130" t="str">
        <f t="shared" si="84"/>
        <v>1</v>
      </c>
      <c r="C563" s="130" t="str">
        <f t="shared" si="85"/>
        <v>7</v>
      </c>
      <c r="D563" s="130" t="str">
        <f t="shared" si="86"/>
        <v>1</v>
      </c>
      <c r="E563" s="130" t="str">
        <f t="shared" si="87"/>
        <v>8</v>
      </c>
      <c r="F563" s="130" t="str">
        <f t="shared" si="88"/>
        <v>10</v>
      </c>
      <c r="G563" s="130" t="str">
        <f t="shared" si="89"/>
        <v>9</v>
      </c>
      <c r="H563" s="130" t="str">
        <f t="shared" si="90"/>
        <v>0</v>
      </c>
      <c r="I563" s="129">
        <v>17181090</v>
      </c>
      <c r="J563" s="130" t="s">
        <v>1346</v>
      </c>
      <c r="K563" s="130" t="s">
        <v>1347</v>
      </c>
      <c r="L563" s="116"/>
      <c r="M563" s="130"/>
      <c r="N563" s="130"/>
      <c r="O563" s="130" t="s">
        <v>2878</v>
      </c>
      <c r="P563" s="152" t="s">
        <v>2880</v>
      </c>
    </row>
    <row r="564" spans="2:16" s="153" customFormat="1" ht="45" x14ac:dyDescent="0.25">
      <c r="B564" s="113" t="str">
        <f t="shared" si="84"/>
        <v>1</v>
      </c>
      <c r="C564" s="113" t="str">
        <f t="shared" si="85"/>
        <v>7</v>
      </c>
      <c r="D564" s="113" t="str">
        <f t="shared" si="86"/>
        <v>1</v>
      </c>
      <c r="E564" s="113" t="str">
        <f t="shared" si="87"/>
        <v>8</v>
      </c>
      <c r="F564" s="113" t="str">
        <f t="shared" si="88"/>
        <v>11</v>
      </c>
      <c r="G564" s="113" t="str">
        <f t="shared" si="89"/>
        <v>0</v>
      </c>
      <c r="H564" s="113" t="str">
        <f t="shared" si="90"/>
        <v>0</v>
      </c>
      <c r="I564" s="112">
        <v>17181100</v>
      </c>
      <c r="J564" s="113" t="s">
        <v>5108</v>
      </c>
      <c r="K564" s="113" t="s">
        <v>5109</v>
      </c>
      <c r="L564" s="110"/>
      <c r="M564" s="113"/>
      <c r="N564" s="113"/>
      <c r="O564" s="113"/>
      <c r="P564" s="163" t="s">
        <v>2880</v>
      </c>
    </row>
    <row r="565" spans="2:16" s="153" customFormat="1" ht="45" x14ac:dyDescent="0.25">
      <c r="B565" s="130" t="str">
        <f t="shared" si="84"/>
        <v>1</v>
      </c>
      <c r="C565" s="130" t="str">
        <f t="shared" si="85"/>
        <v>7</v>
      </c>
      <c r="D565" s="130" t="str">
        <f t="shared" si="86"/>
        <v>1</v>
      </c>
      <c r="E565" s="130" t="str">
        <f t="shared" si="87"/>
        <v>8</v>
      </c>
      <c r="F565" s="130" t="str">
        <f t="shared" si="88"/>
        <v>11</v>
      </c>
      <c r="G565" s="130" t="str">
        <f t="shared" si="89"/>
        <v>1</v>
      </c>
      <c r="H565" s="130" t="str">
        <f t="shared" si="90"/>
        <v>0</v>
      </c>
      <c r="I565" s="129">
        <v>17181110</v>
      </c>
      <c r="J565" s="130" t="s">
        <v>5110</v>
      </c>
      <c r="K565" s="130" t="s">
        <v>5111</v>
      </c>
      <c r="L565" s="116"/>
      <c r="M565" s="130"/>
      <c r="N565" s="130" t="s">
        <v>5112</v>
      </c>
      <c r="O565" s="130"/>
      <c r="P565" s="152" t="s">
        <v>2880</v>
      </c>
    </row>
    <row r="566" spans="2:16" s="148" customFormat="1" ht="45" x14ac:dyDescent="0.25">
      <c r="B566" s="145" t="str">
        <f t="shared" si="84"/>
        <v>1</v>
      </c>
      <c r="C566" s="145" t="str">
        <f t="shared" si="85"/>
        <v>7</v>
      </c>
      <c r="D566" s="145" t="str">
        <f t="shared" si="86"/>
        <v>1</v>
      </c>
      <c r="E566" s="145" t="str">
        <f t="shared" si="87"/>
        <v>8</v>
      </c>
      <c r="F566" s="145" t="str">
        <f t="shared" si="88"/>
        <v>12</v>
      </c>
      <c r="G566" s="145" t="str">
        <f t="shared" si="89"/>
        <v>0</v>
      </c>
      <c r="H566" s="145" t="str">
        <f t="shared" si="90"/>
        <v>0</v>
      </c>
      <c r="I566" s="143">
        <v>17181200</v>
      </c>
      <c r="J566" s="145" t="s">
        <v>1258</v>
      </c>
      <c r="K566" s="145" t="s">
        <v>5632</v>
      </c>
      <c r="L566" s="146"/>
      <c r="M566" s="145" t="s">
        <v>2878</v>
      </c>
      <c r="N566" s="145"/>
      <c r="O566" s="145" t="s">
        <v>2878</v>
      </c>
      <c r="P566" s="147" t="s">
        <v>2880</v>
      </c>
    </row>
    <row r="567" spans="2:16" s="148" customFormat="1" ht="45" x14ac:dyDescent="0.25">
      <c r="B567" s="149" t="str">
        <f t="shared" si="84"/>
        <v>1</v>
      </c>
      <c r="C567" s="149" t="str">
        <f t="shared" si="85"/>
        <v>7</v>
      </c>
      <c r="D567" s="149" t="str">
        <f t="shared" si="86"/>
        <v>1</v>
      </c>
      <c r="E567" s="149" t="str">
        <f t="shared" si="87"/>
        <v>8</v>
      </c>
      <c r="F567" s="149" t="str">
        <f t="shared" si="88"/>
        <v>12</v>
      </c>
      <c r="G567" s="149" t="str">
        <f t="shared" si="89"/>
        <v>1</v>
      </c>
      <c r="H567" s="149" t="str">
        <f t="shared" si="90"/>
        <v>0</v>
      </c>
      <c r="I567" s="144">
        <v>17181210</v>
      </c>
      <c r="J567" s="149" t="s">
        <v>1258</v>
      </c>
      <c r="K567" s="149" t="s">
        <v>5632</v>
      </c>
      <c r="L567" s="150"/>
      <c r="M567" s="149"/>
      <c r="N567" s="149"/>
      <c r="O567" s="149" t="s">
        <v>2878</v>
      </c>
      <c r="P567" s="151" t="s">
        <v>2880</v>
      </c>
    </row>
    <row r="568" spans="2:16" s="153" customFormat="1" ht="30" x14ac:dyDescent="0.25">
      <c r="B568" s="113" t="str">
        <f t="shared" si="84"/>
        <v>1</v>
      </c>
      <c r="C568" s="113" t="str">
        <f t="shared" si="85"/>
        <v>7</v>
      </c>
      <c r="D568" s="113" t="str">
        <f t="shared" si="86"/>
        <v>1</v>
      </c>
      <c r="E568" s="113" t="str">
        <f t="shared" si="87"/>
        <v>8</v>
      </c>
      <c r="F568" s="113" t="str">
        <f t="shared" si="88"/>
        <v>99</v>
      </c>
      <c r="G568" s="113" t="str">
        <f t="shared" si="89"/>
        <v>0</v>
      </c>
      <c r="H568" s="113" t="str">
        <f t="shared" si="90"/>
        <v>0</v>
      </c>
      <c r="I568" s="112">
        <v>17189900</v>
      </c>
      <c r="J568" s="113" t="s">
        <v>1277</v>
      </c>
      <c r="K568" s="113" t="s">
        <v>1278</v>
      </c>
      <c r="L568" s="110"/>
      <c r="M568" s="113"/>
      <c r="N568" s="113"/>
      <c r="O568" s="113" t="s">
        <v>2878</v>
      </c>
      <c r="P568" s="163" t="s">
        <v>2880</v>
      </c>
    </row>
    <row r="569" spans="2:16" s="153" customFormat="1" ht="30" x14ac:dyDescent="0.25">
      <c r="B569" s="130" t="str">
        <f t="shared" si="84"/>
        <v>1</v>
      </c>
      <c r="C569" s="130" t="str">
        <f t="shared" si="85"/>
        <v>7</v>
      </c>
      <c r="D569" s="130" t="str">
        <f t="shared" si="86"/>
        <v>1</v>
      </c>
      <c r="E569" s="130" t="str">
        <f t="shared" si="87"/>
        <v>8</v>
      </c>
      <c r="F569" s="130" t="str">
        <f t="shared" si="88"/>
        <v>99</v>
      </c>
      <c r="G569" s="130" t="str">
        <f t="shared" si="89"/>
        <v>1</v>
      </c>
      <c r="H569" s="130" t="str">
        <f t="shared" si="90"/>
        <v>0</v>
      </c>
      <c r="I569" s="129">
        <v>17189910</v>
      </c>
      <c r="J569" s="130" t="s">
        <v>1277</v>
      </c>
      <c r="K569" s="130" t="s">
        <v>1278</v>
      </c>
      <c r="L569" s="116"/>
      <c r="M569" s="130"/>
      <c r="N569" s="130"/>
      <c r="O569" s="130" t="s">
        <v>2878</v>
      </c>
      <c r="P569" s="152" t="s">
        <v>2880</v>
      </c>
    </row>
    <row r="570" spans="2:16" ht="60" x14ac:dyDescent="0.25">
      <c r="B570" s="126" t="str">
        <f t="shared" si="84"/>
        <v>1</v>
      </c>
      <c r="C570" s="126" t="str">
        <f t="shared" si="85"/>
        <v>7</v>
      </c>
      <c r="D570" s="126" t="str">
        <f t="shared" si="86"/>
        <v>2</v>
      </c>
      <c r="E570" s="126" t="str">
        <f t="shared" si="87"/>
        <v>0</v>
      </c>
      <c r="F570" s="126" t="str">
        <f t="shared" si="88"/>
        <v>00</v>
      </c>
      <c r="G570" s="126" t="str">
        <f t="shared" si="89"/>
        <v>0</v>
      </c>
      <c r="H570" s="126" t="str">
        <f t="shared" si="90"/>
        <v>0</v>
      </c>
      <c r="I570" s="127">
        <v>17200000</v>
      </c>
      <c r="J570" s="126" t="s">
        <v>4198</v>
      </c>
      <c r="K570" s="126" t="s">
        <v>4199</v>
      </c>
      <c r="L570" s="122"/>
      <c r="M570" s="126" t="s">
        <v>2878</v>
      </c>
      <c r="N570" s="126" t="s">
        <v>5016</v>
      </c>
      <c r="O570" s="126" t="s">
        <v>2878</v>
      </c>
      <c r="P570" s="128" t="s">
        <v>2880</v>
      </c>
    </row>
    <row r="571" spans="2:16" ht="60" x14ac:dyDescent="0.25">
      <c r="B571" s="114" t="str">
        <f t="shared" si="84"/>
        <v>1</v>
      </c>
      <c r="C571" s="114" t="str">
        <f t="shared" si="85"/>
        <v>7</v>
      </c>
      <c r="D571" s="114" t="str">
        <f t="shared" si="86"/>
        <v>2</v>
      </c>
      <c r="E571" s="114" t="str">
        <f t="shared" si="87"/>
        <v>0</v>
      </c>
      <c r="F571" s="114" t="str">
        <f t="shared" si="88"/>
        <v>00</v>
      </c>
      <c r="G571" s="114" t="str">
        <f t="shared" si="89"/>
        <v>1</v>
      </c>
      <c r="H571" s="114" t="str">
        <f t="shared" si="90"/>
        <v>0</v>
      </c>
      <c r="I571" s="115">
        <v>17200010</v>
      </c>
      <c r="J571" s="114" t="s">
        <v>4198</v>
      </c>
      <c r="K571" s="114" t="s">
        <v>4199</v>
      </c>
      <c r="L571" s="116"/>
      <c r="M571" s="114" t="s">
        <v>2878</v>
      </c>
      <c r="N571" s="114"/>
      <c r="O571" s="114" t="s">
        <v>2878</v>
      </c>
      <c r="P571" s="117" t="s">
        <v>2880</v>
      </c>
    </row>
    <row r="572" spans="2:16" s="153" customFormat="1" ht="45" x14ac:dyDescent="0.25">
      <c r="B572" s="155" t="str">
        <f t="shared" si="84"/>
        <v>1</v>
      </c>
      <c r="C572" s="155" t="str">
        <f t="shared" si="85"/>
        <v>7</v>
      </c>
      <c r="D572" s="155" t="str">
        <f t="shared" si="86"/>
        <v>2</v>
      </c>
      <c r="E572" s="155" t="str">
        <f t="shared" si="87"/>
        <v>8</v>
      </c>
      <c r="F572" s="155" t="str">
        <f t="shared" si="88"/>
        <v>00</v>
      </c>
      <c r="G572" s="155" t="str">
        <f t="shared" si="89"/>
        <v>0</v>
      </c>
      <c r="H572" s="155" t="str">
        <f t="shared" si="90"/>
        <v>0</v>
      </c>
      <c r="I572" s="161">
        <v>17280000</v>
      </c>
      <c r="J572" s="155" t="s">
        <v>5023</v>
      </c>
      <c r="K572" s="155" t="s">
        <v>1280</v>
      </c>
      <c r="L572" s="106"/>
      <c r="M572" s="155" t="s">
        <v>2878</v>
      </c>
      <c r="N572" s="155"/>
      <c r="O572" s="155" t="s">
        <v>5018</v>
      </c>
      <c r="P572" s="162" t="s">
        <v>2880</v>
      </c>
    </row>
    <row r="573" spans="2:16" s="153" customFormat="1" ht="120" x14ac:dyDescent="0.25">
      <c r="B573" s="113" t="str">
        <f t="shared" si="84"/>
        <v>1</v>
      </c>
      <c r="C573" s="113" t="str">
        <f t="shared" si="85"/>
        <v>7</v>
      </c>
      <c r="D573" s="113" t="str">
        <f t="shared" si="86"/>
        <v>2</v>
      </c>
      <c r="E573" s="113" t="str">
        <f t="shared" si="87"/>
        <v>8</v>
      </c>
      <c r="F573" s="113" t="str">
        <f t="shared" si="88"/>
        <v>01</v>
      </c>
      <c r="G573" s="113" t="str">
        <f t="shared" si="89"/>
        <v>0</v>
      </c>
      <c r="H573" s="113" t="str">
        <f t="shared" si="90"/>
        <v>0</v>
      </c>
      <c r="I573" s="112">
        <v>17280100</v>
      </c>
      <c r="J573" s="113" t="s">
        <v>1281</v>
      </c>
      <c r="K573" s="113" t="s">
        <v>1282</v>
      </c>
      <c r="L573" s="110"/>
      <c r="M573" s="113" t="s">
        <v>2878</v>
      </c>
      <c r="N573" s="113"/>
      <c r="O573" s="113" t="s">
        <v>2878</v>
      </c>
      <c r="P573" s="163" t="s">
        <v>2880</v>
      </c>
    </row>
    <row r="574" spans="2:16" s="153" customFormat="1" ht="45" x14ac:dyDescent="0.25">
      <c r="B574" s="130" t="str">
        <f t="shared" si="84"/>
        <v>1</v>
      </c>
      <c r="C574" s="130" t="str">
        <f t="shared" si="85"/>
        <v>7</v>
      </c>
      <c r="D574" s="130" t="str">
        <f t="shared" si="86"/>
        <v>2</v>
      </c>
      <c r="E574" s="130" t="str">
        <f t="shared" si="87"/>
        <v>8</v>
      </c>
      <c r="F574" s="130" t="str">
        <f t="shared" si="88"/>
        <v>01</v>
      </c>
      <c r="G574" s="130" t="str">
        <f t="shared" si="89"/>
        <v>1</v>
      </c>
      <c r="H574" s="130" t="str">
        <f t="shared" si="90"/>
        <v>0</v>
      </c>
      <c r="I574" s="129">
        <v>17280110</v>
      </c>
      <c r="J574" s="130" t="s">
        <v>1283</v>
      </c>
      <c r="K574" s="130" t="s">
        <v>1284</v>
      </c>
      <c r="L574" s="116"/>
      <c r="M574" s="130"/>
      <c r="N574" s="130"/>
      <c r="O574" s="130" t="s">
        <v>2878</v>
      </c>
      <c r="P574" s="152" t="s">
        <v>2880</v>
      </c>
    </row>
    <row r="575" spans="2:16" s="153" customFormat="1" ht="45" x14ac:dyDescent="0.25">
      <c r="B575" s="130" t="str">
        <f t="shared" ref="B575:B619" si="91">MID($I575,1,1)</f>
        <v>1</v>
      </c>
      <c r="C575" s="130" t="str">
        <f t="shared" ref="C575:C619" si="92">MID($I575,2,1)</f>
        <v>7</v>
      </c>
      <c r="D575" s="130" t="str">
        <f t="shared" ref="D575:D619" si="93">MID($I575,3,1)</f>
        <v>2</v>
      </c>
      <c r="E575" s="130" t="str">
        <f t="shared" ref="E575:E619" si="94">MID($I575,4,1)</f>
        <v>8</v>
      </c>
      <c r="F575" s="130" t="str">
        <f t="shared" ref="F575:F619" si="95">MID($I575,5,2)</f>
        <v>01</v>
      </c>
      <c r="G575" s="130" t="str">
        <f t="shared" ref="G575:G619" si="96">MID($I575,7,1)</f>
        <v>2</v>
      </c>
      <c r="H575" s="130" t="str">
        <f t="shared" ref="H575:H619" si="97">MID($I575,8,1)</f>
        <v>0</v>
      </c>
      <c r="I575" s="129">
        <v>17280120</v>
      </c>
      <c r="J575" s="130" t="s">
        <v>1285</v>
      </c>
      <c r="K575" s="130" t="s">
        <v>1286</v>
      </c>
      <c r="L575" s="116"/>
      <c r="M575" s="130"/>
      <c r="N575" s="130"/>
      <c r="O575" s="130" t="s">
        <v>2878</v>
      </c>
      <c r="P575" s="152" t="s">
        <v>2880</v>
      </c>
    </row>
    <row r="576" spans="2:16" s="153" customFormat="1" ht="45" x14ac:dyDescent="0.25">
      <c r="B576" s="130" t="str">
        <f t="shared" si="91"/>
        <v>1</v>
      </c>
      <c r="C576" s="130" t="str">
        <f t="shared" si="92"/>
        <v>7</v>
      </c>
      <c r="D576" s="130" t="str">
        <f t="shared" si="93"/>
        <v>2</v>
      </c>
      <c r="E576" s="130" t="str">
        <f t="shared" si="94"/>
        <v>8</v>
      </c>
      <c r="F576" s="130" t="str">
        <f t="shared" si="95"/>
        <v>01</v>
      </c>
      <c r="G576" s="130" t="str">
        <f t="shared" si="96"/>
        <v>3</v>
      </c>
      <c r="H576" s="130" t="str">
        <f t="shared" si="97"/>
        <v>0</v>
      </c>
      <c r="I576" s="129">
        <v>17280130</v>
      </c>
      <c r="J576" s="130" t="s">
        <v>1289</v>
      </c>
      <c r="K576" s="130" t="s">
        <v>1290</v>
      </c>
      <c r="L576" s="116"/>
      <c r="M576" s="130"/>
      <c r="N576" s="130"/>
      <c r="O576" s="130" t="s">
        <v>2878</v>
      </c>
      <c r="P576" s="152" t="s">
        <v>2880</v>
      </c>
    </row>
    <row r="577" spans="2:16" s="153" customFormat="1" ht="45" x14ac:dyDescent="0.25">
      <c r="B577" s="130" t="str">
        <f t="shared" si="91"/>
        <v>1</v>
      </c>
      <c r="C577" s="130" t="str">
        <f t="shared" si="92"/>
        <v>7</v>
      </c>
      <c r="D577" s="130" t="str">
        <f t="shared" si="93"/>
        <v>2</v>
      </c>
      <c r="E577" s="130" t="str">
        <f t="shared" si="94"/>
        <v>8</v>
      </c>
      <c r="F577" s="130" t="str">
        <f t="shared" si="95"/>
        <v>01</v>
      </c>
      <c r="G577" s="130" t="str">
        <f t="shared" si="96"/>
        <v>4</v>
      </c>
      <c r="H577" s="130" t="str">
        <f t="shared" si="97"/>
        <v>0</v>
      </c>
      <c r="I577" s="129">
        <v>17280140</v>
      </c>
      <c r="J577" s="130" t="s">
        <v>1236</v>
      </c>
      <c r="K577" s="130" t="s">
        <v>1291</v>
      </c>
      <c r="L577" s="116"/>
      <c r="M577" s="130"/>
      <c r="N577" s="130"/>
      <c r="O577" s="130" t="s">
        <v>2878</v>
      </c>
      <c r="P577" s="152" t="s">
        <v>2880</v>
      </c>
    </row>
    <row r="578" spans="2:16" s="153" customFormat="1" ht="30" x14ac:dyDescent="0.25">
      <c r="B578" s="130" t="str">
        <f t="shared" si="91"/>
        <v>1</v>
      </c>
      <c r="C578" s="130" t="str">
        <f t="shared" si="92"/>
        <v>7</v>
      </c>
      <c r="D578" s="130" t="str">
        <f t="shared" si="93"/>
        <v>2</v>
      </c>
      <c r="E578" s="130" t="str">
        <f t="shared" si="94"/>
        <v>8</v>
      </c>
      <c r="F578" s="130" t="str">
        <f t="shared" si="95"/>
        <v>01</v>
      </c>
      <c r="G578" s="130" t="str">
        <f t="shared" si="96"/>
        <v>5</v>
      </c>
      <c r="H578" s="130" t="str">
        <f t="shared" si="97"/>
        <v>0</v>
      </c>
      <c r="I578" s="129">
        <v>17280150</v>
      </c>
      <c r="J578" s="130" t="s">
        <v>1292</v>
      </c>
      <c r="K578" s="130" t="s">
        <v>1293</v>
      </c>
      <c r="L578" s="116"/>
      <c r="M578" s="130"/>
      <c r="N578" s="130"/>
      <c r="O578" s="130" t="s">
        <v>2878</v>
      </c>
      <c r="P578" s="152" t="s">
        <v>2880</v>
      </c>
    </row>
    <row r="579" spans="2:16" s="153" customFormat="1" ht="30" x14ac:dyDescent="0.25">
      <c r="B579" s="130" t="str">
        <f t="shared" si="91"/>
        <v>1</v>
      </c>
      <c r="C579" s="130" t="str">
        <f t="shared" si="92"/>
        <v>7</v>
      </c>
      <c r="D579" s="130" t="str">
        <f t="shared" si="93"/>
        <v>2</v>
      </c>
      <c r="E579" s="130" t="str">
        <f t="shared" si="94"/>
        <v>8</v>
      </c>
      <c r="F579" s="130" t="str">
        <f t="shared" si="95"/>
        <v>01</v>
      </c>
      <c r="G579" s="130" t="str">
        <f t="shared" si="96"/>
        <v>9</v>
      </c>
      <c r="H579" s="130" t="str">
        <f t="shared" si="97"/>
        <v>0</v>
      </c>
      <c r="I579" s="129">
        <v>17280190</v>
      </c>
      <c r="J579" s="130" t="s">
        <v>1294</v>
      </c>
      <c r="K579" s="130" t="s">
        <v>1295</v>
      </c>
      <c r="L579" s="116"/>
      <c r="M579" s="130"/>
      <c r="N579" s="130"/>
      <c r="O579" s="130" t="s">
        <v>2878</v>
      </c>
      <c r="P579" s="152" t="s">
        <v>2880</v>
      </c>
    </row>
    <row r="580" spans="2:16" s="153" customFormat="1" ht="30" x14ac:dyDescent="0.25">
      <c r="B580" s="113" t="str">
        <f t="shared" si="91"/>
        <v>1</v>
      </c>
      <c r="C580" s="113" t="str">
        <f t="shared" si="92"/>
        <v>7</v>
      </c>
      <c r="D580" s="113" t="str">
        <f t="shared" si="93"/>
        <v>2</v>
      </c>
      <c r="E580" s="113" t="str">
        <f t="shared" si="94"/>
        <v>8</v>
      </c>
      <c r="F580" s="113" t="str">
        <f t="shared" si="95"/>
        <v>02</v>
      </c>
      <c r="G580" s="113" t="str">
        <f t="shared" si="96"/>
        <v>0</v>
      </c>
      <c r="H580" s="113" t="str">
        <f t="shared" si="97"/>
        <v>0</v>
      </c>
      <c r="I580" s="112">
        <v>17280200</v>
      </c>
      <c r="J580" s="113" t="s">
        <v>1296</v>
      </c>
      <c r="K580" s="113" t="s">
        <v>1297</v>
      </c>
      <c r="L580" s="110"/>
      <c r="M580" s="113"/>
      <c r="N580" s="113"/>
      <c r="O580" s="113" t="s">
        <v>2878</v>
      </c>
      <c r="P580" s="163" t="s">
        <v>2880</v>
      </c>
    </row>
    <row r="581" spans="2:16" s="153" customFormat="1" ht="30" x14ac:dyDescent="0.25">
      <c r="B581" s="130" t="str">
        <f t="shared" si="91"/>
        <v>1</v>
      </c>
      <c r="C581" s="130" t="str">
        <f t="shared" si="92"/>
        <v>7</v>
      </c>
      <c r="D581" s="130" t="str">
        <f t="shared" si="93"/>
        <v>2</v>
      </c>
      <c r="E581" s="130" t="str">
        <f t="shared" si="94"/>
        <v>8</v>
      </c>
      <c r="F581" s="130" t="str">
        <f t="shared" si="95"/>
        <v>02</v>
      </c>
      <c r="G581" s="130" t="str">
        <f t="shared" si="96"/>
        <v>1</v>
      </c>
      <c r="H581" s="130" t="str">
        <f t="shared" si="97"/>
        <v>0</v>
      </c>
      <c r="I581" s="129">
        <v>17280210</v>
      </c>
      <c r="J581" s="130" t="s">
        <v>1242</v>
      </c>
      <c r="K581" s="130" t="s">
        <v>1298</v>
      </c>
      <c r="L581" s="116"/>
      <c r="M581" s="130"/>
      <c r="N581" s="130"/>
      <c r="O581" s="130" t="s">
        <v>2878</v>
      </c>
      <c r="P581" s="152" t="s">
        <v>2880</v>
      </c>
    </row>
    <row r="582" spans="2:16" s="153" customFormat="1" ht="30" x14ac:dyDescent="0.25">
      <c r="B582" s="130" t="str">
        <f t="shared" si="91"/>
        <v>1</v>
      </c>
      <c r="C582" s="130" t="str">
        <f t="shared" si="92"/>
        <v>7</v>
      </c>
      <c r="D582" s="130" t="str">
        <f t="shared" si="93"/>
        <v>2</v>
      </c>
      <c r="E582" s="130" t="str">
        <f t="shared" si="94"/>
        <v>8</v>
      </c>
      <c r="F582" s="130" t="str">
        <f t="shared" si="95"/>
        <v>02</v>
      </c>
      <c r="G582" s="130" t="str">
        <f t="shared" si="96"/>
        <v>2</v>
      </c>
      <c r="H582" s="130" t="str">
        <f t="shared" si="97"/>
        <v>0</v>
      </c>
      <c r="I582" s="129">
        <v>17280220</v>
      </c>
      <c r="J582" s="130" t="s">
        <v>1244</v>
      </c>
      <c r="K582" s="130" t="s">
        <v>1299</v>
      </c>
      <c r="L582" s="116"/>
      <c r="M582" s="130"/>
      <c r="N582" s="130"/>
      <c r="O582" s="130" t="s">
        <v>2878</v>
      </c>
      <c r="P582" s="152" t="s">
        <v>2880</v>
      </c>
    </row>
    <row r="583" spans="2:16" s="153" customFormat="1" ht="30" x14ac:dyDescent="0.25">
      <c r="B583" s="130" t="str">
        <f t="shared" si="91"/>
        <v>1</v>
      </c>
      <c r="C583" s="130" t="str">
        <f t="shared" si="92"/>
        <v>7</v>
      </c>
      <c r="D583" s="130" t="str">
        <f t="shared" si="93"/>
        <v>2</v>
      </c>
      <c r="E583" s="130" t="str">
        <f t="shared" si="94"/>
        <v>8</v>
      </c>
      <c r="F583" s="130" t="str">
        <f t="shared" si="95"/>
        <v>02</v>
      </c>
      <c r="G583" s="130" t="str">
        <f t="shared" si="96"/>
        <v>3</v>
      </c>
      <c r="H583" s="130" t="str">
        <f t="shared" si="97"/>
        <v>0</v>
      </c>
      <c r="I583" s="129">
        <v>17280230</v>
      </c>
      <c r="J583" s="130" t="s">
        <v>1300</v>
      </c>
      <c r="K583" s="130" t="s">
        <v>1301</v>
      </c>
      <c r="L583" s="116"/>
      <c r="M583" s="130"/>
      <c r="N583" s="130"/>
      <c r="O583" s="130" t="s">
        <v>2878</v>
      </c>
      <c r="P583" s="152" t="s">
        <v>2880</v>
      </c>
    </row>
    <row r="584" spans="2:16" s="153" customFormat="1" ht="30" x14ac:dyDescent="0.25">
      <c r="B584" s="130" t="str">
        <f t="shared" si="91"/>
        <v>1</v>
      </c>
      <c r="C584" s="130" t="str">
        <f t="shared" si="92"/>
        <v>7</v>
      </c>
      <c r="D584" s="130" t="str">
        <f t="shared" si="93"/>
        <v>2</v>
      </c>
      <c r="E584" s="130" t="str">
        <f t="shared" si="94"/>
        <v>8</v>
      </c>
      <c r="F584" s="130" t="str">
        <f t="shared" si="95"/>
        <v>02</v>
      </c>
      <c r="G584" s="130" t="str">
        <f t="shared" si="96"/>
        <v>9</v>
      </c>
      <c r="H584" s="130" t="str">
        <f t="shared" si="97"/>
        <v>0</v>
      </c>
      <c r="I584" s="129">
        <v>17280290</v>
      </c>
      <c r="J584" s="130" t="s">
        <v>1302</v>
      </c>
      <c r="K584" s="130" t="s">
        <v>1303</v>
      </c>
      <c r="L584" s="116"/>
      <c r="M584" s="130"/>
      <c r="N584" s="130"/>
      <c r="O584" s="130" t="s">
        <v>2878</v>
      </c>
      <c r="P584" s="152" t="s">
        <v>2880</v>
      </c>
    </row>
    <row r="585" spans="2:16" s="153" customFormat="1" ht="90" x14ac:dyDescent="0.25">
      <c r="B585" s="113" t="str">
        <f t="shared" si="91"/>
        <v>1</v>
      </c>
      <c r="C585" s="113" t="str">
        <f t="shared" si="92"/>
        <v>7</v>
      </c>
      <c r="D585" s="113" t="str">
        <f t="shared" si="93"/>
        <v>2</v>
      </c>
      <c r="E585" s="113" t="str">
        <f t="shared" si="94"/>
        <v>8</v>
      </c>
      <c r="F585" s="113" t="str">
        <f t="shared" si="95"/>
        <v>03</v>
      </c>
      <c r="G585" s="113" t="str">
        <f t="shared" si="96"/>
        <v>0</v>
      </c>
      <c r="H585" s="113" t="str">
        <f t="shared" si="97"/>
        <v>0</v>
      </c>
      <c r="I585" s="112">
        <v>17280300</v>
      </c>
      <c r="J585" s="113" t="s">
        <v>1304</v>
      </c>
      <c r="K585" s="113" t="s">
        <v>1305</v>
      </c>
      <c r="L585" s="110"/>
      <c r="M585" s="113"/>
      <c r="N585" s="113"/>
      <c r="O585" s="113" t="s">
        <v>2878</v>
      </c>
      <c r="P585" s="163" t="s">
        <v>2880</v>
      </c>
    </row>
    <row r="586" spans="2:16" s="153" customFormat="1" ht="90" x14ac:dyDescent="0.25">
      <c r="B586" s="130" t="str">
        <f t="shared" si="91"/>
        <v>1</v>
      </c>
      <c r="C586" s="130" t="str">
        <f t="shared" si="92"/>
        <v>7</v>
      </c>
      <c r="D586" s="130" t="str">
        <f t="shared" si="93"/>
        <v>2</v>
      </c>
      <c r="E586" s="130" t="str">
        <f t="shared" si="94"/>
        <v>8</v>
      </c>
      <c r="F586" s="130" t="str">
        <f t="shared" si="95"/>
        <v>03</v>
      </c>
      <c r="G586" s="130" t="str">
        <f t="shared" si="96"/>
        <v>1</v>
      </c>
      <c r="H586" s="130" t="str">
        <f t="shared" si="97"/>
        <v>0</v>
      </c>
      <c r="I586" s="129">
        <v>17280310</v>
      </c>
      <c r="J586" s="130" t="s">
        <v>1304</v>
      </c>
      <c r="K586" s="130" t="s">
        <v>1305</v>
      </c>
      <c r="L586" s="116"/>
      <c r="M586" s="130"/>
      <c r="N586" s="130"/>
      <c r="O586" s="130" t="s">
        <v>2878</v>
      </c>
      <c r="P586" s="152" t="s">
        <v>2880</v>
      </c>
    </row>
    <row r="587" spans="2:16" s="153" customFormat="1" ht="30" x14ac:dyDescent="0.25">
      <c r="B587" s="113" t="str">
        <f t="shared" si="91"/>
        <v>1</v>
      </c>
      <c r="C587" s="113" t="str">
        <f t="shared" si="92"/>
        <v>7</v>
      </c>
      <c r="D587" s="113" t="str">
        <f t="shared" si="93"/>
        <v>2</v>
      </c>
      <c r="E587" s="113" t="str">
        <f t="shared" si="94"/>
        <v>8</v>
      </c>
      <c r="F587" s="113" t="str">
        <f t="shared" si="95"/>
        <v>04</v>
      </c>
      <c r="G587" s="113" t="str">
        <f t="shared" si="96"/>
        <v>0</v>
      </c>
      <c r="H587" s="113" t="str">
        <f t="shared" si="97"/>
        <v>0</v>
      </c>
      <c r="I587" s="112">
        <v>17280400</v>
      </c>
      <c r="J587" s="113" t="s">
        <v>1307</v>
      </c>
      <c r="K587" s="113" t="s">
        <v>1306</v>
      </c>
      <c r="L587" s="110"/>
      <c r="M587" s="113"/>
      <c r="N587" s="113"/>
      <c r="O587" s="113" t="s">
        <v>2878</v>
      </c>
      <c r="P587" s="163" t="s">
        <v>2880</v>
      </c>
    </row>
    <row r="588" spans="2:16" s="153" customFormat="1" ht="30" x14ac:dyDescent="0.25">
      <c r="B588" s="130" t="str">
        <f t="shared" si="91"/>
        <v>1</v>
      </c>
      <c r="C588" s="130" t="str">
        <f t="shared" si="92"/>
        <v>7</v>
      </c>
      <c r="D588" s="130" t="str">
        <f t="shared" si="93"/>
        <v>2</v>
      </c>
      <c r="E588" s="130" t="str">
        <f t="shared" si="94"/>
        <v>8</v>
      </c>
      <c r="F588" s="130" t="str">
        <f t="shared" si="95"/>
        <v>04</v>
      </c>
      <c r="G588" s="130" t="str">
        <f t="shared" si="96"/>
        <v>1</v>
      </c>
      <c r="H588" s="130" t="str">
        <f t="shared" si="97"/>
        <v>0</v>
      </c>
      <c r="I588" s="129">
        <v>17280410</v>
      </c>
      <c r="J588" s="130" t="s">
        <v>1307</v>
      </c>
      <c r="K588" s="130" t="s">
        <v>1306</v>
      </c>
      <c r="L588" s="116"/>
      <c r="M588" s="130"/>
      <c r="N588" s="130"/>
      <c r="O588" s="130" t="s">
        <v>2878</v>
      </c>
      <c r="P588" s="152" t="s">
        <v>2880</v>
      </c>
    </row>
    <row r="589" spans="2:16" s="153" customFormat="1" ht="30" x14ac:dyDescent="0.25">
      <c r="B589" s="113" t="str">
        <f t="shared" si="91"/>
        <v>1</v>
      </c>
      <c r="C589" s="113" t="str">
        <f t="shared" si="92"/>
        <v>7</v>
      </c>
      <c r="D589" s="113" t="str">
        <f t="shared" si="93"/>
        <v>2</v>
      </c>
      <c r="E589" s="113" t="str">
        <f t="shared" si="94"/>
        <v>8</v>
      </c>
      <c r="F589" s="113" t="str">
        <f t="shared" si="95"/>
        <v>07</v>
      </c>
      <c r="G589" s="113" t="str">
        <f t="shared" si="96"/>
        <v>0</v>
      </c>
      <c r="H589" s="113" t="str">
        <f t="shared" si="97"/>
        <v>0</v>
      </c>
      <c r="I589" s="112">
        <v>17280700</v>
      </c>
      <c r="J589" s="113" t="s">
        <v>5114</v>
      </c>
      <c r="K589" s="113" t="s">
        <v>5115</v>
      </c>
      <c r="L589" s="110"/>
      <c r="M589" s="113"/>
      <c r="N589" s="113"/>
      <c r="O589" s="113" t="s">
        <v>2878</v>
      </c>
      <c r="P589" s="163" t="s">
        <v>2880</v>
      </c>
    </row>
    <row r="590" spans="2:16" s="153" customFormat="1" ht="30" x14ac:dyDescent="0.25">
      <c r="B590" s="130" t="str">
        <f t="shared" si="91"/>
        <v>1</v>
      </c>
      <c r="C590" s="130" t="str">
        <f t="shared" si="92"/>
        <v>7</v>
      </c>
      <c r="D590" s="130" t="str">
        <f t="shared" si="93"/>
        <v>2</v>
      </c>
      <c r="E590" s="130" t="str">
        <f t="shared" si="94"/>
        <v>8</v>
      </c>
      <c r="F590" s="130" t="str">
        <f t="shared" si="95"/>
        <v>07</v>
      </c>
      <c r="G590" s="130" t="str">
        <f t="shared" si="96"/>
        <v>1</v>
      </c>
      <c r="H590" s="130" t="str">
        <f t="shared" si="97"/>
        <v>0</v>
      </c>
      <c r="I590" s="129">
        <v>17280710</v>
      </c>
      <c r="J590" s="130" t="s">
        <v>5114</v>
      </c>
      <c r="K590" s="130" t="s">
        <v>5115</v>
      </c>
      <c r="L590" s="116"/>
      <c r="M590" s="130"/>
      <c r="N590" s="130"/>
      <c r="O590" s="130" t="s">
        <v>2878</v>
      </c>
      <c r="P590" s="152" t="s">
        <v>2880</v>
      </c>
    </row>
    <row r="591" spans="2:16" s="153" customFormat="1" ht="60" x14ac:dyDescent="0.25">
      <c r="B591" s="113" t="str">
        <f t="shared" si="91"/>
        <v>1</v>
      </c>
      <c r="C591" s="113" t="str">
        <f t="shared" si="92"/>
        <v>7</v>
      </c>
      <c r="D591" s="113" t="str">
        <f t="shared" si="93"/>
        <v>2</v>
      </c>
      <c r="E591" s="113" t="str">
        <f t="shared" si="94"/>
        <v>8</v>
      </c>
      <c r="F591" s="113" t="str">
        <f t="shared" si="95"/>
        <v>10</v>
      </c>
      <c r="G591" s="113" t="str">
        <f t="shared" si="96"/>
        <v>0</v>
      </c>
      <c r="H591" s="113" t="str">
        <f t="shared" si="97"/>
        <v>0</v>
      </c>
      <c r="I591" s="112">
        <v>17281000</v>
      </c>
      <c r="J591" s="113" t="s">
        <v>1348</v>
      </c>
      <c r="K591" s="113" t="s">
        <v>1349</v>
      </c>
      <c r="L591" s="110"/>
      <c r="M591" s="113"/>
      <c r="N591" s="113"/>
      <c r="O591" s="113" t="s">
        <v>2878</v>
      </c>
      <c r="P591" s="163" t="s">
        <v>2880</v>
      </c>
    </row>
    <row r="592" spans="2:16" s="153" customFormat="1" ht="60" x14ac:dyDescent="0.25">
      <c r="B592" s="130" t="str">
        <f t="shared" si="91"/>
        <v>1</v>
      </c>
      <c r="C592" s="130" t="str">
        <f t="shared" si="92"/>
        <v>7</v>
      </c>
      <c r="D592" s="130" t="str">
        <f t="shared" si="93"/>
        <v>2</v>
      </c>
      <c r="E592" s="130" t="str">
        <f t="shared" si="94"/>
        <v>8</v>
      </c>
      <c r="F592" s="130" t="str">
        <f t="shared" si="95"/>
        <v>10</v>
      </c>
      <c r="G592" s="130" t="str">
        <f t="shared" si="96"/>
        <v>1</v>
      </c>
      <c r="H592" s="130" t="str">
        <f t="shared" si="97"/>
        <v>0</v>
      </c>
      <c r="I592" s="129">
        <v>17281010</v>
      </c>
      <c r="J592" s="130" t="s">
        <v>1350</v>
      </c>
      <c r="K592" s="130" t="s">
        <v>1351</v>
      </c>
      <c r="L592" s="116"/>
      <c r="M592" s="130"/>
      <c r="N592" s="130"/>
      <c r="O592" s="130" t="s">
        <v>2878</v>
      </c>
      <c r="P592" s="152" t="s">
        <v>2880</v>
      </c>
    </row>
    <row r="593" spans="2:16" s="153" customFormat="1" ht="60" x14ac:dyDescent="0.25">
      <c r="B593" s="130" t="str">
        <f t="shared" si="91"/>
        <v>1</v>
      </c>
      <c r="C593" s="130" t="str">
        <f t="shared" si="92"/>
        <v>7</v>
      </c>
      <c r="D593" s="130" t="str">
        <f t="shared" si="93"/>
        <v>2</v>
      </c>
      <c r="E593" s="130" t="str">
        <f t="shared" si="94"/>
        <v>8</v>
      </c>
      <c r="F593" s="130" t="str">
        <f t="shared" si="95"/>
        <v>10</v>
      </c>
      <c r="G593" s="130" t="str">
        <f t="shared" si="96"/>
        <v>2</v>
      </c>
      <c r="H593" s="130" t="str">
        <f t="shared" si="97"/>
        <v>0</v>
      </c>
      <c r="I593" s="129">
        <v>17281020</v>
      </c>
      <c r="J593" s="130" t="s">
        <v>1352</v>
      </c>
      <c r="K593" s="130" t="s">
        <v>1353</v>
      </c>
      <c r="L593" s="116"/>
      <c r="M593" s="130"/>
      <c r="N593" s="130"/>
      <c r="O593" s="130" t="s">
        <v>2878</v>
      </c>
      <c r="P593" s="152" t="s">
        <v>2880</v>
      </c>
    </row>
    <row r="594" spans="2:16" s="153" customFormat="1" ht="75" x14ac:dyDescent="0.25">
      <c r="B594" s="130" t="str">
        <f t="shared" si="91"/>
        <v>1</v>
      </c>
      <c r="C594" s="130" t="str">
        <f t="shared" si="92"/>
        <v>7</v>
      </c>
      <c r="D594" s="130" t="str">
        <f t="shared" si="93"/>
        <v>2</v>
      </c>
      <c r="E594" s="130" t="str">
        <f t="shared" si="94"/>
        <v>8</v>
      </c>
      <c r="F594" s="130" t="str">
        <f t="shared" si="95"/>
        <v>10</v>
      </c>
      <c r="G594" s="130" t="str">
        <f t="shared" si="96"/>
        <v>9</v>
      </c>
      <c r="H594" s="130" t="str">
        <f t="shared" si="97"/>
        <v>0</v>
      </c>
      <c r="I594" s="129">
        <v>17281090</v>
      </c>
      <c r="J594" s="130" t="s">
        <v>1354</v>
      </c>
      <c r="K594" s="130" t="s">
        <v>1355</v>
      </c>
      <c r="L594" s="116"/>
      <c r="M594" s="130"/>
      <c r="N594" s="130"/>
      <c r="O594" s="130" t="s">
        <v>2878</v>
      </c>
      <c r="P594" s="152" t="s">
        <v>2880</v>
      </c>
    </row>
    <row r="595" spans="2:16" s="153" customFormat="1" ht="45" x14ac:dyDescent="0.25">
      <c r="B595" s="113" t="str">
        <f t="shared" si="91"/>
        <v>1</v>
      </c>
      <c r="C595" s="113" t="str">
        <f t="shared" si="92"/>
        <v>7</v>
      </c>
      <c r="D595" s="113" t="str">
        <f t="shared" si="93"/>
        <v>2</v>
      </c>
      <c r="E595" s="113" t="str">
        <f t="shared" si="94"/>
        <v>8</v>
      </c>
      <c r="F595" s="113" t="str">
        <f t="shared" si="95"/>
        <v>99</v>
      </c>
      <c r="G595" s="113" t="str">
        <f t="shared" si="96"/>
        <v>0</v>
      </c>
      <c r="H595" s="113" t="str">
        <f t="shared" si="97"/>
        <v>0</v>
      </c>
      <c r="I595" s="112">
        <v>17289900</v>
      </c>
      <c r="J595" s="113" t="s">
        <v>1294</v>
      </c>
      <c r="K595" s="113" t="s">
        <v>1308</v>
      </c>
      <c r="L595" s="110"/>
      <c r="M595" s="113"/>
      <c r="N595" s="113"/>
      <c r="O595" s="113" t="s">
        <v>2878</v>
      </c>
      <c r="P595" s="163" t="s">
        <v>2880</v>
      </c>
    </row>
    <row r="596" spans="2:16" s="153" customFormat="1" ht="45" x14ac:dyDescent="0.25">
      <c r="B596" s="130" t="str">
        <f t="shared" si="91"/>
        <v>1</v>
      </c>
      <c r="C596" s="130" t="str">
        <f t="shared" si="92"/>
        <v>7</v>
      </c>
      <c r="D596" s="130" t="str">
        <f t="shared" si="93"/>
        <v>2</v>
      </c>
      <c r="E596" s="130" t="str">
        <f t="shared" si="94"/>
        <v>8</v>
      </c>
      <c r="F596" s="130" t="str">
        <f t="shared" si="95"/>
        <v>99</v>
      </c>
      <c r="G596" s="130" t="str">
        <f t="shared" si="96"/>
        <v>1</v>
      </c>
      <c r="H596" s="130" t="str">
        <f t="shared" si="97"/>
        <v>0</v>
      </c>
      <c r="I596" s="129">
        <v>17289910</v>
      </c>
      <c r="J596" s="130" t="s">
        <v>1294</v>
      </c>
      <c r="K596" s="130" t="s">
        <v>1308</v>
      </c>
      <c r="L596" s="116"/>
      <c r="M596" s="130"/>
      <c r="N596" s="130"/>
      <c r="O596" s="130" t="s">
        <v>2878</v>
      </c>
      <c r="P596" s="152" t="s">
        <v>2880</v>
      </c>
    </row>
    <row r="597" spans="2:16" ht="60" x14ac:dyDescent="0.25">
      <c r="B597" s="126" t="str">
        <f t="shared" si="91"/>
        <v>1</v>
      </c>
      <c r="C597" s="126" t="str">
        <f t="shared" si="92"/>
        <v>7</v>
      </c>
      <c r="D597" s="126" t="str">
        <f t="shared" si="93"/>
        <v>3</v>
      </c>
      <c r="E597" s="126" t="str">
        <f t="shared" si="94"/>
        <v>0</v>
      </c>
      <c r="F597" s="126" t="str">
        <f t="shared" si="95"/>
        <v>00</v>
      </c>
      <c r="G597" s="126" t="str">
        <f t="shared" si="96"/>
        <v>0</v>
      </c>
      <c r="H597" s="126" t="str">
        <f t="shared" si="97"/>
        <v>0</v>
      </c>
      <c r="I597" s="127">
        <v>17300000</v>
      </c>
      <c r="J597" s="126" t="s">
        <v>4200</v>
      </c>
      <c r="K597" s="126" t="s">
        <v>4201</v>
      </c>
      <c r="L597" s="122"/>
      <c r="M597" s="126" t="s">
        <v>2878</v>
      </c>
      <c r="N597" s="126" t="s">
        <v>5016</v>
      </c>
      <c r="O597" s="126" t="s">
        <v>2878</v>
      </c>
      <c r="P597" s="128" t="s">
        <v>2880</v>
      </c>
    </row>
    <row r="598" spans="2:16" ht="60" x14ac:dyDescent="0.25">
      <c r="B598" s="114" t="str">
        <f t="shared" si="91"/>
        <v>1</v>
      </c>
      <c r="C598" s="114" t="str">
        <f t="shared" si="92"/>
        <v>7</v>
      </c>
      <c r="D598" s="114" t="str">
        <f t="shared" si="93"/>
        <v>3</v>
      </c>
      <c r="E598" s="114" t="str">
        <f t="shared" si="94"/>
        <v>0</v>
      </c>
      <c r="F598" s="114" t="str">
        <f t="shared" si="95"/>
        <v>00</v>
      </c>
      <c r="G598" s="114" t="str">
        <f t="shared" si="96"/>
        <v>1</v>
      </c>
      <c r="H598" s="114" t="str">
        <f t="shared" si="97"/>
        <v>0</v>
      </c>
      <c r="I598" s="115">
        <v>17300010</v>
      </c>
      <c r="J598" s="114" t="s">
        <v>4200</v>
      </c>
      <c r="K598" s="114" t="s">
        <v>4201</v>
      </c>
      <c r="L598" s="116"/>
      <c r="M598" s="114" t="s">
        <v>2878</v>
      </c>
      <c r="N598" s="114"/>
      <c r="O598" s="114" t="s">
        <v>2878</v>
      </c>
      <c r="P598" s="117" t="s">
        <v>2880</v>
      </c>
    </row>
    <row r="599" spans="2:16" s="153" customFormat="1" ht="60" x14ac:dyDescent="0.25">
      <c r="B599" s="155" t="str">
        <f t="shared" si="91"/>
        <v>1</v>
      </c>
      <c r="C599" s="155" t="str">
        <f t="shared" si="92"/>
        <v>7</v>
      </c>
      <c r="D599" s="155" t="str">
        <f t="shared" si="93"/>
        <v>3</v>
      </c>
      <c r="E599" s="155" t="str">
        <f t="shared" si="94"/>
        <v>8</v>
      </c>
      <c r="F599" s="155" t="str">
        <f t="shared" si="95"/>
        <v>00</v>
      </c>
      <c r="G599" s="155" t="str">
        <f t="shared" si="96"/>
        <v>0</v>
      </c>
      <c r="H599" s="155" t="str">
        <f t="shared" si="97"/>
        <v>0</v>
      </c>
      <c r="I599" s="161">
        <v>17380000</v>
      </c>
      <c r="J599" s="155" t="s">
        <v>5024</v>
      </c>
      <c r="K599" s="155" t="s">
        <v>5033</v>
      </c>
      <c r="L599" s="106"/>
      <c r="M599" s="155" t="s">
        <v>2878</v>
      </c>
      <c r="N599" s="155"/>
      <c r="O599" s="155" t="s">
        <v>5018</v>
      </c>
      <c r="P599" s="162" t="s">
        <v>2880</v>
      </c>
    </row>
    <row r="600" spans="2:16" s="153" customFormat="1" ht="45" x14ac:dyDescent="0.25">
      <c r="B600" s="113" t="str">
        <f t="shared" si="91"/>
        <v>1</v>
      </c>
      <c r="C600" s="113" t="str">
        <f t="shared" si="92"/>
        <v>7</v>
      </c>
      <c r="D600" s="113" t="str">
        <f t="shared" si="93"/>
        <v>3</v>
      </c>
      <c r="E600" s="113" t="str">
        <f t="shared" si="94"/>
        <v>8</v>
      </c>
      <c r="F600" s="113" t="str">
        <f t="shared" si="95"/>
        <v>01</v>
      </c>
      <c r="G600" s="113" t="str">
        <f t="shared" si="96"/>
        <v>0</v>
      </c>
      <c r="H600" s="113" t="str">
        <f t="shared" si="97"/>
        <v>0</v>
      </c>
      <c r="I600" s="112">
        <v>17380100</v>
      </c>
      <c r="J600" s="113" t="s">
        <v>1311</v>
      </c>
      <c r="K600" s="113" t="s">
        <v>1312</v>
      </c>
      <c r="L600" s="110"/>
      <c r="M600" s="113"/>
      <c r="N600" s="113"/>
      <c r="O600" s="113" t="s">
        <v>2878</v>
      </c>
      <c r="P600" s="163" t="s">
        <v>2880</v>
      </c>
    </row>
    <row r="601" spans="2:16" s="153" customFormat="1" ht="45" x14ac:dyDescent="0.25">
      <c r="B601" s="130" t="str">
        <f t="shared" si="91"/>
        <v>1</v>
      </c>
      <c r="C601" s="130" t="str">
        <f t="shared" si="92"/>
        <v>7</v>
      </c>
      <c r="D601" s="130" t="str">
        <f t="shared" si="93"/>
        <v>3</v>
      </c>
      <c r="E601" s="130" t="str">
        <f t="shared" si="94"/>
        <v>8</v>
      </c>
      <c r="F601" s="130" t="str">
        <f t="shared" si="95"/>
        <v>01</v>
      </c>
      <c r="G601" s="130" t="str">
        <f t="shared" si="96"/>
        <v>1</v>
      </c>
      <c r="H601" s="130" t="str">
        <f t="shared" si="97"/>
        <v>0</v>
      </c>
      <c r="I601" s="129">
        <v>17380110</v>
      </c>
      <c r="J601" s="130" t="s">
        <v>1311</v>
      </c>
      <c r="K601" s="130" t="s">
        <v>1312</v>
      </c>
      <c r="L601" s="116"/>
      <c r="M601" s="130"/>
      <c r="N601" s="130"/>
      <c r="O601" s="130" t="s">
        <v>2878</v>
      </c>
      <c r="P601" s="152" t="s">
        <v>2880</v>
      </c>
    </row>
    <row r="602" spans="2:16" s="153" customFormat="1" ht="30" x14ac:dyDescent="0.25">
      <c r="B602" s="113" t="str">
        <f t="shared" si="91"/>
        <v>1</v>
      </c>
      <c r="C602" s="113" t="str">
        <f t="shared" si="92"/>
        <v>7</v>
      </c>
      <c r="D602" s="113" t="str">
        <f t="shared" si="93"/>
        <v>3</v>
      </c>
      <c r="E602" s="113" t="str">
        <f t="shared" si="94"/>
        <v>8</v>
      </c>
      <c r="F602" s="113" t="str">
        <f t="shared" si="95"/>
        <v>02</v>
      </c>
      <c r="G602" s="113" t="str">
        <f t="shared" si="96"/>
        <v>0</v>
      </c>
      <c r="H602" s="113" t="str">
        <f t="shared" si="97"/>
        <v>0</v>
      </c>
      <c r="I602" s="112">
        <v>17380200</v>
      </c>
      <c r="J602" s="113" t="s">
        <v>1314</v>
      </c>
      <c r="K602" s="113" t="s">
        <v>1313</v>
      </c>
      <c r="L602" s="110"/>
      <c r="M602" s="113"/>
      <c r="N602" s="113"/>
      <c r="O602" s="113" t="s">
        <v>2878</v>
      </c>
      <c r="P602" s="163" t="s">
        <v>2880</v>
      </c>
    </row>
    <row r="603" spans="2:16" s="153" customFormat="1" ht="30" x14ac:dyDescent="0.25">
      <c r="B603" s="130" t="str">
        <f t="shared" si="91"/>
        <v>1</v>
      </c>
      <c r="C603" s="130" t="str">
        <f t="shared" si="92"/>
        <v>7</v>
      </c>
      <c r="D603" s="130" t="str">
        <f t="shared" si="93"/>
        <v>3</v>
      </c>
      <c r="E603" s="130" t="str">
        <f t="shared" si="94"/>
        <v>8</v>
      </c>
      <c r="F603" s="130" t="str">
        <f t="shared" si="95"/>
        <v>02</v>
      </c>
      <c r="G603" s="130" t="str">
        <f t="shared" si="96"/>
        <v>1</v>
      </c>
      <c r="H603" s="130" t="str">
        <f t="shared" si="97"/>
        <v>0</v>
      </c>
      <c r="I603" s="129">
        <v>17380210</v>
      </c>
      <c r="J603" s="130" t="s">
        <v>1314</v>
      </c>
      <c r="K603" s="130" t="s">
        <v>1313</v>
      </c>
      <c r="L603" s="116"/>
      <c r="M603" s="130"/>
      <c r="N603" s="130"/>
      <c r="O603" s="130" t="s">
        <v>2878</v>
      </c>
      <c r="P603" s="152" t="s">
        <v>2880</v>
      </c>
    </row>
    <row r="604" spans="2:16" s="153" customFormat="1" ht="60" x14ac:dyDescent="0.25">
      <c r="B604" s="113" t="str">
        <f t="shared" si="91"/>
        <v>1</v>
      </c>
      <c r="C604" s="113" t="str">
        <f t="shared" si="92"/>
        <v>7</v>
      </c>
      <c r="D604" s="113" t="str">
        <f t="shared" si="93"/>
        <v>3</v>
      </c>
      <c r="E604" s="113" t="str">
        <f t="shared" si="94"/>
        <v>8</v>
      </c>
      <c r="F604" s="113" t="str">
        <f t="shared" si="95"/>
        <v>10</v>
      </c>
      <c r="G604" s="113" t="str">
        <f t="shared" si="96"/>
        <v>0</v>
      </c>
      <c r="H604" s="113" t="str">
        <f t="shared" si="97"/>
        <v>0</v>
      </c>
      <c r="I604" s="112">
        <v>17381000</v>
      </c>
      <c r="J604" s="113" t="s">
        <v>1356</v>
      </c>
      <c r="K604" s="113" t="s">
        <v>1357</v>
      </c>
      <c r="L604" s="110"/>
      <c r="M604" s="113"/>
      <c r="N604" s="113"/>
      <c r="O604" s="113" t="s">
        <v>2878</v>
      </c>
      <c r="P604" s="163" t="s">
        <v>2880</v>
      </c>
    </row>
    <row r="605" spans="2:16" s="153" customFormat="1" ht="60" x14ac:dyDescent="0.25">
      <c r="B605" s="130" t="str">
        <f t="shared" si="91"/>
        <v>1</v>
      </c>
      <c r="C605" s="130" t="str">
        <f t="shared" si="92"/>
        <v>7</v>
      </c>
      <c r="D605" s="130" t="str">
        <f t="shared" si="93"/>
        <v>3</v>
      </c>
      <c r="E605" s="130" t="str">
        <f t="shared" si="94"/>
        <v>8</v>
      </c>
      <c r="F605" s="130" t="str">
        <f t="shared" si="95"/>
        <v>10</v>
      </c>
      <c r="G605" s="130" t="str">
        <f t="shared" si="96"/>
        <v>1</v>
      </c>
      <c r="H605" s="130" t="str">
        <f t="shared" si="97"/>
        <v>0</v>
      </c>
      <c r="I605" s="129">
        <v>17381010</v>
      </c>
      <c r="J605" s="130" t="s">
        <v>1358</v>
      </c>
      <c r="K605" s="130" t="s">
        <v>1359</v>
      </c>
      <c r="L605" s="116"/>
      <c r="M605" s="130"/>
      <c r="N605" s="130"/>
      <c r="O605" s="130" t="s">
        <v>2878</v>
      </c>
      <c r="P605" s="152" t="s">
        <v>2880</v>
      </c>
    </row>
    <row r="606" spans="2:16" s="153" customFormat="1" ht="60" x14ac:dyDescent="0.25">
      <c r="B606" s="130" t="str">
        <f t="shared" si="91"/>
        <v>1</v>
      </c>
      <c r="C606" s="130" t="str">
        <f t="shared" si="92"/>
        <v>7</v>
      </c>
      <c r="D606" s="130" t="str">
        <f t="shared" si="93"/>
        <v>3</v>
      </c>
      <c r="E606" s="130" t="str">
        <f t="shared" si="94"/>
        <v>8</v>
      </c>
      <c r="F606" s="130" t="str">
        <f t="shared" si="95"/>
        <v>10</v>
      </c>
      <c r="G606" s="130" t="str">
        <f t="shared" si="96"/>
        <v>2</v>
      </c>
      <c r="H606" s="130" t="str">
        <f t="shared" si="97"/>
        <v>0</v>
      </c>
      <c r="I606" s="129">
        <v>17381020</v>
      </c>
      <c r="J606" s="130" t="s">
        <v>1360</v>
      </c>
      <c r="K606" s="130" t="s">
        <v>1361</v>
      </c>
      <c r="L606" s="116"/>
      <c r="M606" s="130"/>
      <c r="N606" s="130"/>
      <c r="O606" s="130" t="s">
        <v>2878</v>
      </c>
      <c r="P606" s="152" t="s">
        <v>2880</v>
      </c>
    </row>
    <row r="607" spans="2:16" s="153" customFormat="1" ht="60" x14ac:dyDescent="0.25">
      <c r="B607" s="130" t="str">
        <f t="shared" si="91"/>
        <v>1</v>
      </c>
      <c r="C607" s="130" t="str">
        <f t="shared" si="92"/>
        <v>7</v>
      </c>
      <c r="D607" s="130" t="str">
        <f t="shared" si="93"/>
        <v>3</v>
      </c>
      <c r="E607" s="130" t="str">
        <f t="shared" si="94"/>
        <v>8</v>
      </c>
      <c r="F607" s="130" t="str">
        <f t="shared" si="95"/>
        <v>10</v>
      </c>
      <c r="G607" s="130" t="str">
        <f t="shared" si="96"/>
        <v>9</v>
      </c>
      <c r="H607" s="130" t="str">
        <f t="shared" si="97"/>
        <v>0</v>
      </c>
      <c r="I607" s="129">
        <v>17381090</v>
      </c>
      <c r="J607" s="130" t="s">
        <v>1362</v>
      </c>
      <c r="K607" s="130" t="s">
        <v>1363</v>
      </c>
      <c r="L607" s="116"/>
      <c r="M607" s="130"/>
      <c r="N607" s="130"/>
      <c r="O607" s="130" t="s">
        <v>2878</v>
      </c>
      <c r="P607" s="152" t="s">
        <v>2880</v>
      </c>
    </row>
    <row r="608" spans="2:16" s="153" customFormat="1" ht="60" x14ac:dyDescent="0.25">
      <c r="B608" s="113" t="str">
        <f t="shared" si="91"/>
        <v>1</v>
      </c>
      <c r="C608" s="113" t="str">
        <f t="shared" si="92"/>
        <v>7</v>
      </c>
      <c r="D608" s="113" t="str">
        <f t="shared" si="93"/>
        <v>3</v>
      </c>
      <c r="E608" s="113" t="str">
        <f t="shared" si="94"/>
        <v>8</v>
      </c>
      <c r="F608" s="113" t="str">
        <f t="shared" si="95"/>
        <v>99</v>
      </c>
      <c r="G608" s="113" t="str">
        <f t="shared" si="96"/>
        <v>0</v>
      </c>
      <c r="H608" s="113" t="str">
        <f t="shared" si="97"/>
        <v>0</v>
      </c>
      <c r="I608" s="112">
        <v>17389900</v>
      </c>
      <c r="J608" s="113" t="s">
        <v>1315</v>
      </c>
      <c r="K608" s="113" t="s">
        <v>1316</v>
      </c>
      <c r="L608" s="110"/>
      <c r="M608" s="113"/>
      <c r="N608" s="113" t="s">
        <v>1317</v>
      </c>
      <c r="O608" s="113" t="s">
        <v>2878</v>
      </c>
      <c r="P608" s="163" t="s">
        <v>2880</v>
      </c>
    </row>
    <row r="609" spans="2:16" s="153" customFormat="1" ht="60" x14ac:dyDescent="0.25">
      <c r="B609" s="130" t="str">
        <f t="shared" si="91"/>
        <v>1</v>
      </c>
      <c r="C609" s="130" t="str">
        <f t="shared" si="92"/>
        <v>7</v>
      </c>
      <c r="D609" s="130" t="str">
        <f t="shared" si="93"/>
        <v>3</v>
      </c>
      <c r="E609" s="130" t="str">
        <f t="shared" si="94"/>
        <v>8</v>
      </c>
      <c r="F609" s="130" t="str">
        <f t="shared" si="95"/>
        <v>99</v>
      </c>
      <c r="G609" s="130" t="str">
        <f t="shared" si="96"/>
        <v>1</v>
      </c>
      <c r="H609" s="130" t="str">
        <f t="shared" si="97"/>
        <v>0</v>
      </c>
      <c r="I609" s="129">
        <v>17389910</v>
      </c>
      <c r="J609" s="130" t="s">
        <v>1315</v>
      </c>
      <c r="K609" s="130" t="s">
        <v>1316</v>
      </c>
      <c r="L609" s="116"/>
      <c r="M609" s="130"/>
      <c r="N609" s="130" t="s">
        <v>1317</v>
      </c>
      <c r="O609" s="130" t="s">
        <v>2878</v>
      </c>
      <c r="P609" s="152" t="s">
        <v>2880</v>
      </c>
    </row>
    <row r="610" spans="2:16" ht="60" x14ac:dyDescent="0.25">
      <c r="B610" s="126" t="str">
        <f t="shared" si="91"/>
        <v>1</v>
      </c>
      <c r="C610" s="126" t="str">
        <f t="shared" si="92"/>
        <v>7</v>
      </c>
      <c r="D610" s="126" t="str">
        <f t="shared" si="93"/>
        <v>4</v>
      </c>
      <c r="E610" s="126" t="str">
        <f t="shared" si="94"/>
        <v>0</v>
      </c>
      <c r="F610" s="126" t="str">
        <f t="shared" si="95"/>
        <v>00</v>
      </c>
      <c r="G610" s="126" t="str">
        <f t="shared" si="96"/>
        <v>0</v>
      </c>
      <c r="H610" s="126" t="str">
        <f t="shared" si="97"/>
        <v>0</v>
      </c>
      <c r="I610" s="127">
        <v>17400000</v>
      </c>
      <c r="J610" s="126" t="s">
        <v>1326</v>
      </c>
      <c r="K610" s="126" t="s">
        <v>4202</v>
      </c>
      <c r="L610" s="122"/>
      <c r="M610" s="126" t="s">
        <v>2878</v>
      </c>
      <c r="N610" s="126" t="s">
        <v>5016</v>
      </c>
      <c r="O610" s="126" t="s">
        <v>2878</v>
      </c>
      <c r="P610" s="128" t="s">
        <v>2880</v>
      </c>
    </row>
    <row r="611" spans="2:16" ht="60" x14ac:dyDescent="0.25">
      <c r="B611" s="114" t="str">
        <f t="shared" si="91"/>
        <v>1</v>
      </c>
      <c r="C611" s="114" t="str">
        <f t="shared" si="92"/>
        <v>7</v>
      </c>
      <c r="D611" s="114" t="str">
        <f t="shared" si="93"/>
        <v>4</v>
      </c>
      <c r="E611" s="114" t="str">
        <f t="shared" si="94"/>
        <v>0</v>
      </c>
      <c r="F611" s="114" t="str">
        <f t="shared" si="95"/>
        <v>00</v>
      </c>
      <c r="G611" s="114" t="str">
        <f t="shared" si="96"/>
        <v>1</v>
      </c>
      <c r="H611" s="114" t="str">
        <f t="shared" si="97"/>
        <v>0</v>
      </c>
      <c r="I611" s="115">
        <v>17400010</v>
      </c>
      <c r="J611" s="114" t="s">
        <v>1326</v>
      </c>
      <c r="K611" s="114" t="s">
        <v>4202</v>
      </c>
      <c r="L611" s="116"/>
      <c r="M611" s="114" t="s">
        <v>2878</v>
      </c>
      <c r="N611" s="114"/>
      <c r="O611" s="114" t="s">
        <v>2878</v>
      </c>
      <c r="P611" s="117" t="s">
        <v>2880</v>
      </c>
    </row>
    <row r="612" spans="2:16" s="153" customFormat="1" ht="75" x14ac:dyDescent="0.25">
      <c r="B612" s="155" t="str">
        <f t="shared" si="91"/>
        <v>1</v>
      </c>
      <c r="C612" s="155" t="str">
        <f t="shared" si="92"/>
        <v>7</v>
      </c>
      <c r="D612" s="155" t="str">
        <f t="shared" si="93"/>
        <v>4</v>
      </c>
      <c r="E612" s="155" t="str">
        <f t="shared" si="94"/>
        <v>8</v>
      </c>
      <c r="F612" s="155" t="str">
        <f t="shared" si="95"/>
        <v>00</v>
      </c>
      <c r="G612" s="155" t="str">
        <f t="shared" si="96"/>
        <v>0</v>
      </c>
      <c r="H612" s="155" t="str">
        <f t="shared" si="97"/>
        <v>0</v>
      </c>
      <c r="I612" s="161">
        <v>17480000</v>
      </c>
      <c r="J612" s="155" t="s">
        <v>5025</v>
      </c>
      <c r="K612" s="155" t="s">
        <v>5034</v>
      </c>
      <c r="L612" s="106"/>
      <c r="M612" s="155" t="s">
        <v>2878</v>
      </c>
      <c r="N612" s="155" t="s">
        <v>2879</v>
      </c>
      <c r="O612" s="155" t="s">
        <v>5018</v>
      </c>
      <c r="P612" s="162" t="s">
        <v>2880</v>
      </c>
    </row>
    <row r="613" spans="2:16" s="148" customFormat="1" ht="60" x14ac:dyDescent="0.25">
      <c r="B613" s="145" t="str">
        <f t="shared" si="91"/>
        <v>1</v>
      </c>
      <c r="C613" s="145" t="str">
        <f t="shared" si="92"/>
        <v>7</v>
      </c>
      <c r="D613" s="145" t="str">
        <f t="shared" si="93"/>
        <v>4</v>
      </c>
      <c r="E613" s="145" t="str">
        <f t="shared" si="94"/>
        <v>8</v>
      </c>
      <c r="F613" s="145" t="str">
        <f t="shared" si="95"/>
        <v>01</v>
      </c>
      <c r="G613" s="145" t="str">
        <f t="shared" si="96"/>
        <v>0</v>
      </c>
      <c r="H613" s="145" t="str">
        <f t="shared" si="97"/>
        <v>0</v>
      </c>
      <c r="I613" s="143">
        <v>17480100</v>
      </c>
      <c r="J613" s="145" t="s">
        <v>5180</v>
      </c>
      <c r="K613" s="145" t="s">
        <v>5182</v>
      </c>
      <c r="L613" s="146"/>
      <c r="M613" s="145" t="s">
        <v>2878</v>
      </c>
      <c r="N613" s="145"/>
      <c r="O613" s="145" t="s">
        <v>2878</v>
      </c>
      <c r="P613" s="147" t="s">
        <v>2880</v>
      </c>
    </row>
    <row r="614" spans="2:16" s="148" customFormat="1" ht="75" x14ac:dyDescent="0.25">
      <c r="B614" s="149" t="str">
        <f t="shared" si="91"/>
        <v>1</v>
      </c>
      <c r="C614" s="149" t="str">
        <f t="shared" si="92"/>
        <v>7</v>
      </c>
      <c r="D614" s="149" t="str">
        <f t="shared" si="93"/>
        <v>4</v>
      </c>
      <c r="E614" s="149" t="str">
        <f t="shared" si="94"/>
        <v>8</v>
      </c>
      <c r="F614" s="149" t="str">
        <f t="shared" si="95"/>
        <v>01</v>
      </c>
      <c r="G614" s="149" t="str">
        <f t="shared" si="96"/>
        <v>1</v>
      </c>
      <c r="H614" s="149" t="str">
        <f t="shared" si="97"/>
        <v>0</v>
      </c>
      <c r="I614" s="144">
        <v>17480110</v>
      </c>
      <c r="J614" s="149" t="s">
        <v>5181</v>
      </c>
      <c r="K614" s="149" t="s">
        <v>5183</v>
      </c>
      <c r="L614" s="150"/>
      <c r="M614" s="149" t="s">
        <v>2878</v>
      </c>
      <c r="N614" s="149"/>
      <c r="O614" s="149" t="s">
        <v>2878</v>
      </c>
      <c r="P614" s="151" t="s">
        <v>2880</v>
      </c>
    </row>
    <row r="615" spans="2:16" s="148" customFormat="1" ht="45" x14ac:dyDescent="0.25">
      <c r="B615" s="145" t="str">
        <f t="shared" si="91"/>
        <v>1</v>
      </c>
      <c r="C615" s="145" t="str">
        <f t="shared" si="92"/>
        <v>7</v>
      </c>
      <c r="D615" s="145" t="str">
        <f t="shared" si="93"/>
        <v>4</v>
      </c>
      <c r="E615" s="145" t="str">
        <f t="shared" si="94"/>
        <v>8</v>
      </c>
      <c r="F615" s="145" t="str">
        <f t="shared" si="95"/>
        <v>10</v>
      </c>
      <c r="G615" s="145" t="str">
        <f t="shared" si="96"/>
        <v>0</v>
      </c>
      <c r="H615" s="145" t="str">
        <f t="shared" si="97"/>
        <v>0</v>
      </c>
      <c r="I615" s="143">
        <v>17481000</v>
      </c>
      <c r="J615" s="145" t="s">
        <v>5178</v>
      </c>
      <c r="K615" s="145" t="s">
        <v>5179</v>
      </c>
      <c r="L615" s="146"/>
      <c r="M615" s="145" t="s">
        <v>2878</v>
      </c>
      <c r="N615" s="145"/>
      <c r="O615" s="145" t="s">
        <v>2878</v>
      </c>
      <c r="P615" s="147" t="s">
        <v>2880</v>
      </c>
    </row>
    <row r="616" spans="2:16" s="148" customFormat="1" ht="45" x14ac:dyDescent="0.25">
      <c r="B616" s="149" t="str">
        <f t="shared" si="91"/>
        <v>1</v>
      </c>
      <c r="C616" s="149" t="str">
        <f t="shared" si="92"/>
        <v>7</v>
      </c>
      <c r="D616" s="149" t="str">
        <f t="shared" si="93"/>
        <v>4</v>
      </c>
      <c r="E616" s="149" t="str">
        <f t="shared" si="94"/>
        <v>8</v>
      </c>
      <c r="F616" s="149" t="str">
        <f t="shared" si="95"/>
        <v>10</v>
      </c>
      <c r="G616" s="149" t="str">
        <f t="shared" si="96"/>
        <v>1</v>
      </c>
      <c r="H616" s="149" t="str">
        <f t="shared" si="97"/>
        <v>0</v>
      </c>
      <c r="I616" s="144">
        <v>17481010</v>
      </c>
      <c r="J616" s="149" t="s">
        <v>5178</v>
      </c>
      <c r="K616" s="149" t="s">
        <v>5179</v>
      </c>
      <c r="L616" s="150"/>
      <c r="M616" s="149" t="s">
        <v>2878</v>
      </c>
      <c r="N616" s="149"/>
      <c r="O616" s="149" t="s">
        <v>2878</v>
      </c>
      <c r="P616" s="151" t="s">
        <v>2880</v>
      </c>
    </row>
    <row r="617" spans="2:16" ht="60" x14ac:dyDescent="0.25">
      <c r="B617" s="126" t="str">
        <f t="shared" si="91"/>
        <v>1</v>
      </c>
      <c r="C617" s="126" t="str">
        <f t="shared" si="92"/>
        <v>7</v>
      </c>
      <c r="D617" s="126" t="str">
        <f t="shared" si="93"/>
        <v>5</v>
      </c>
      <c r="E617" s="126" t="str">
        <f t="shared" si="94"/>
        <v>0</v>
      </c>
      <c r="F617" s="126" t="str">
        <f t="shared" si="95"/>
        <v>00</v>
      </c>
      <c r="G617" s="126" t="str">
        <f t="shared" si="96"/>
        <v>0</v>
      </c>
      <c r="H617" s="126" t="str">
        <f t="shared" si="97"/>
        <v>0</v>
      </c>
      <c r="I617" s="127">
        <v>17500000</v>
      </c>
      <c r="J617" s="126" t="s">
        <v>4204</v>
      </c>
      <c r="K617" s="126" t="s">
        <v>4205</v>
      </c>
      <c r="L617" s="122"/>
      <c r="M617" s="126" t="s">
        <v>2878</v>
      </c>
      <c r="N617" s="126" t="s">
        <v>5016</v>
      </c>
      <c r="O617" s="126" t="s">
        <v>2878</v>
      </c>
      <c r="P617" s="128" t="s">
        <v>2880</v>
      </c>
    </row>
    <row r="618" spans="2:16" ht="60" x14ac:dyDescent="0.25">
      <c r="B618" s="114" t="str">
        <f t="shared" si="91"/>
        <v>1</v>
      </c>
      <c r="C618" s="114" t="str">
        <f t="shared" si="92"/>
        <v>7</v>
      </c>
      <c r="D618" s="114" t="str">
        <f t="shared" si="93"/>
        <v>5</v>
      </c>
      <c r="E618" s="114" t="str">
        <f t="shared" si="94"/>
        <v>0</v>
      </c>
      <c r="F618" s="114" t="str">
        <f t="shared" si="95"/>
        <v>00</v>
      </c>
      <c r="G618" s="114" t="str">
        <f t="shared" si="96"/>
        <v>1</v>
      </c>
      <c r="H618" s="114" t="str">
        <f t="shared" si="97"/>
        <v>0</v>
      </c>
      <c r="I618" s="115">
        <v>17500010</v>
      </c>
      <c r="J618" s="114" t="s">
        <v>4204</v>
      </c>
      <c r="K618" s="114" t="s">
        <v>4205</v>
      </c>
      <c r="L618" s="116"/>
      <c r="M618" s="114" t="s">
        <v>2878</v>
      </c>
      <c r="N618" s="114"/>
      <c r="O618" s="114" t="s">
        <v>2878</v>
      </c>
      <c r="P618" s="117" t="s">
        <v>2880</v>
      </c>
    </row>
    <row r="619" spans="2:16" s="153" customFormat="1" ht="75" x14ac:dyDescent="0.25">
      <c r="B619" s="155" t="str">
        <f t="shared" si="91"/>
        <v>1</v>
      </c>
      <c r="C619" s="155" t="str">
        <f t="shared" si="92"/>
        <v>7</v>
      </c>
      <c r="D619" s="155" t="str">
        <f t="shared" si="93"/>
        <v>5</v>
      </c>
      <c r="E619" s="155" t="str">
        <f t="shared" si="94"/>
        <v>8</v>
      </c>
      <c r="F619" s="155" t="str">
        <f t="shared" si="95"/>
        <v>00</v>
      </c>
      <c r="G619" s="155" t="str">
        <f t="shared" si="96"/>
        <v>0</v>
      </c>
      <c r="H619" s="155" t="str">
        <f t="shared" si="97"/>
        <v>0</v>
      </c>
      <c r="I619" s="161">
        <v>17580000</v>
      </c>
      <c r="J619" s="155" t="s">
        <v>5026</v>
      </c>
      <c r="K619" s="155" t="s">
        <v>5035</v>
      </c>
      <c r="L619" s="106"/>
      <c r="M619" s="155" t="s">
        <v>2878</v>
      </c>
      <c r="N619" s="155" t="s">
        <v>2879</v>
      </c>
      <c r="O619" s="155" t="s">
        <v>5018</v>
      </c>
      <c r="P619" s="162" t="s">
        <v>2880</v>
      </c>
    </row>
    <row r="620" spans="2:16" s="153" customFormat="1" ht="45" x14ac:dyDescent="0.25">
      <c r="B620" s="113" t="str">
        <f t="shared" ref="B620:B660" si="98">MID($I620,1,1)</f>
        <v>1</v>
      </c>
      <c r="C620" s="113" t="str">
        <f t="shared" ref="C620:C660" si="99">MID($I620,2,1)</f>
        <v>7</v>
      </c>
      <c r="D620" s="113" t="str">
        <f t="shared" ref="D620:D660" si="100">MID($I620,3,1)</f>
        <v>5</v>
      </c>
      <c r="E620" s="113" t="str">
        <f t="shared" ref="E620:E660" si="101">MID($I620,4,1)</f>
        <v>8</v>
      </c>
      <c r="F620" s="113" t="str">
        <f t="shared" ref="F620:F660" si="102">MID($I620,5,2)</f>
        <v>01</v>
      </c>
      <c r="G620" s="113" t="str">
        <f t="shared" ref="G620:G660" si="103">MID($I620,7,1)</f>
        <v>0</v>
      </c>
      <c r="H620" s="113" t="str">
        <f t="shared" ref="H620:H660" si="104">MID($I620,8,1)</f>
        <v>0</v>
      </c>
      <c r="I620" s="112">
        <v>17580100</v>
      </c>
      <c r="J620" s="113" t="s">
        <v>1320</v>
      </c>
      <c r="K620" s="113" t="s">
        <v>1321</v>
      </c>
      <c r="L620" s="110"/>
      <c r="M620" s="113"/>
      <c r="N620" s="113"/>
      <c r="O620" s="113" t="s">
        <v>2878</v>
      </c>
      <c r="P620" s="163" t="s">
        <v>2880</v>
      </c>
    </row>
    <row r="621" spans="2:16" s="153" customFormat="1" ht="45" x14ac:dyDescent="0.25">
      <c r="B621" s="130" t="str">
        <f t="shared" si="98"/>
        <v>1</v>
      </c>
      <c r="C621" s="130" t="str">
        <f t="shared" si="99"/>
        <v>7</v>
      </c>
      <c r="D621" s="130" t="str">
        <f t="shared" si="100"/>
        <v>5</v>
      </c>
      <c r="E621" s="130" t="str">
        <f t="shared" si="101"/>
        <v>8</v>
      </c>
      <c r="F621" s="130" t="str">
        <f t="shared" si="102"/>
        <v>01</v>
      </c>
      <c r="G621" s="130" t="str">
        <f t="shared" si="103"/>
        <v>1</v>
      </c>
      <c r="H621" s="130" t="str">
        <f t="shared" si="104"/>
        <v>0</v>
      </c>
      <c r="I621" s="129">
        <v>17580110</v>
      </c>
      <c r="J621" s="130" t="s">
        <v>1320</v>
      </c>
      <c r="K621" s="130" t="s">
        <v>1321</v>
      </c>
      <c r="L621" s="116"/>
      <c r="M621" s="130"/>
      <c r="N621" s="130"/>
      <c r="O621" s="130" t="s">
        <v>2878</v>
      </c>
      <c r="P621" s="152" t="s">
        <v>2880</v>
      </c>
    </row>
    <row r="622" spans="2:16" s="172" customFormat="1" ht="45" x14ac:dyDescent="0.25">
      <c r="B622" s="168" t="str">
        <f t="shared" si="98"/>
        <v>1</v>
      </c>
      <c r="C622" s="168" t="str">
        <f t="shared" si="99"/>
        <v>7</v>
      </c>
      <c r="D622" s="168" t="str">
        <f t="shared" si="100"/>
        <v>5</v>
      </c>
      <c r="E622" s="168" t="str">
        <f t="shared" si="101"/>
        <v>8</v>
      </c>
      <c r="F622" s="168" t="str">
        <f t="shared" si="102"/>
        <v>01</v>
      </c>
      <c r="G622" s="168" t="str">
        <f t="shared" si="103"/>
        <v>2</v>
      </c>
      <c r="H622" s="168" t="str">
        <f t="shared" si="104"/>
        <v>0</v>
      </c>
      <c r="I622" s="169">
        <v>17580120</v>
      </c>
      <c r="J622" s="168" t="s">
        <v>1322</v>
      </c>
      <c r="K622" s="168" t="s">
        <v>1323</v>
      </c>
      <c r="L622" s="170"/>
      <c r="M622" s="168"/>
      <c r="N622" s="168"/>
      <c r="O622" s="168" t="s">
        <v>2878</v>
      </c>
      <c r="P622" s="171" t="s">
        <v>2880</v>
      </c>
    </row>
    <row r="623" spans="2:16" s="153" customFormat="1" ht="30" x14ac:dyDescent="0.25">
      <c r="B623" s="113" t="str">
        <f t="shared" si="98"/>
        <v>1</v>
      </c>
      <c r="C623" s="113" t="str">
        <f t="shared" si="99"/>
        <v>7</v>
      </c>
      <c r="D623" s="113" t="str">
        <f t="shared" si="100"/>
        <v>5</v>
      </c>
      <c r="E623" s="113" t="str">
        <f t="shared" si="101"/>
        <v>8</v>
      </c>
      <c r="F623" s="113" t="str">
        <f t="shared" si="102"/>
        <v>99</v>
      </c>
      <c r="G623" s="113" t="str">
        <f t="shared" si="103"/>
        <v>0</v>
      </c>
      <c r="H623" s="113" t="str">
        <f t="shared" si="104"/>
        <v>0</v>
      </c>
      <c r="I623" s="112">
        <v>17589900</v>
      </c>
      <c r="J623" s="113" t="s">
        <v>1324</v>
      </c>
      <c r="K623" s="113" t="s">
        <v>1325</v>
      </c>
      <c r="L623" s="110"/>
      <c r="M623" s="113"/>
      <c r="N623" s="113"/>
      <c r="O623" s="113" t="s">
        <v>2878</v>
      </c>
      <c r="P623" s="163" t="s">
        <v>2880</v>
      </c>
    </row>
    <row r="624" spans="2:16" s="153" customFormat="1" ht="30" x14ac:dyDescent="0.25">
      <c r="B624" s="130" t="str">
        <f t="shared" si="98"/>
        <v>1</v>
      </c>
      <c r="C624" s="130" t="str">
        <f t="shared" si="99"/>
        <v>7</v>
      </c>
      <c r="D624" s="130" t="str">
        <f t="shared" si="100"/>
        <v>5</v>
      </c>
      <c r="E624" s="130" t="str">
        <f t="shared" si="101"/>
        <v>8</v>
      </c>
      <c r="F624" s="130" t="str">
        <f t="shared" si="102"/>
        <v>99</v>
      </c>
      <c r="G624" s="130" t="str">
        <f t="shared" si="103"/>
        <v>1</v>
      </c>
      <c r="H624" s="130" t="str">
        <f t="shared" si="104"/>
        <v>0</v>
      </c>
      <c r="I624" s="129">
        <v>17589910</v>
      </c>
      <c r="J624" s="130" t="s">
        <v>1324</v>
      </c>
      <c r="K624" s="130" t="s">
        <v>1325</v>
      </c>
      <c r="L624" s="116"/>
      <c r="M624" s="130"/>
      <c r="N624" s="130"/>
      <c r="O624" s="130" t="s">
        <v>2878</v>
      </c>
      <c r="P624" s="152" t="s">
        <v>2880</v>
      </c>
    </row>
    <row r="625" spans="2:16" ht="45" x14ac:dyDescent="0.25">
      <c r="B625" s="126" t="str">
        <f t="shared" si="98"/>
        <v>1</v>
      </c>
      <c r="C625" s="126" t="str">
        <f t="shared" si="99"/>
        <v>7</v>
      </c>
      <c r="D625" s="126" t="str">
        <f t="shared" si="100"/>
        <v>6</v>
      </c>
      <c r="E625" s="126" t="str">
        <f t="shared" si="101"/>
        <v>0</v>
      </c>
      <c r="F625" s="126" t="str">
        <f t="shared" si="102"/>
        <v>00</v>
      </c>
      <c r="G625" s="126" t="str">
        <f t="shared" si="103"/>
        <v>0</v>
      </c>
      <c r="H625" s="126" t="str">
        <f t="shared" si="104"/>
        <v>0</v>
      </c>
      <c r="I625" s="127">
        <v>17600000</v>
      </c>
      <c r="J625" s="126" t="s">
        <v>1328</v>
      </c>
      <c r="K625" s="126" t="s">
        <v>4207</v>
      </c>
      <c r="L625" s="122"/>
      <c r="M625" s="126" t="s">
        <v>2878</v>
      </c>
      <c r="N625" s="126" t="s">
        <v>5016</v>
      </c>
      <c r="O625" s="126" t="s">
        <v>2878</v>
      </c>
      <c r="P625" s="128" t="s">
        <v>2880</v>
      </c>
    </row>
    <row r="626" spans="2:16" ht="45" x14ac:dyDescent="0.25">
      <c r="B626" s="114" t="str">
        <f t="shared" si="98"/>
        <v>1</v>
      </c>
      <c r="C626" s="114" t="str">
        <f t="shared" si="99"/>
        <v>7</v>
      </c>
      <c r="D626" s="114" t="str">
        <f t="shared" si="100"/>
        <v>6</v>
      </c>
      <c r="E626" s="114" t="str">
        <f t="shared" si="101"/>
        <v>0</v>
      </c>
      <c r="F626" s="114" t="str">
        <f t="shared" si="102"/>
        <v>00</v>
      </c>
      <c r="G626" s="114" t="str">
        <f t="shared" si="103"/>
        <v>1</v>
      </c>
      <c r="H626" s="114" t="str">
        <f t="shared" si="104"/>
        <v>0</v>
      </c>
      <c r="I626" s="115">
        <v>17600010</v>
      </c>
      <c r="J626" s="114" t="s">
        <v>1328</v>
      </c>
      <c r="K626" s="114" t="s">
        <v>4207</v>
      </c>
      <c r="L626" s="116"/>
      <c r="M626" s="114" t="s">
        <v>2878</v>
      </c>
      <c r="N626" s="114"/>
      <c r="O626" s="114" t="s">
        <v>2878</v>
      </c>
      <c r="P626" s="117" t="s">
        <v>2880</v>
      </c>
    </row>
    <row r="627" spans="2:16" s="153" customFormat="1" ht="60" x14ac:dyDescent="0.25">
      <c r="B627" s="155" t="str">
        <f t="shared" si="98"/>
        <v>1</v>
      </c>
      <c r="C627" s="155" t="str">
        <f t="shared" si="99"/>
        <v>7</v>
      </c>
      <c r="D627" s="155" t="str">
        <f t="shared" si="100"/>
        <v>6</v>
      </c>
      <c r="E627" s="155" t="str">
        <f t="shared" si="101"/>
        <v>8</v>
      </c>
      <c r="F627" s="155" t="str">
        <f t="shared" si="102"/>
        <v>00</v>
      </c>
      <c r="G627" s="155" t="str">
        <f t="shared" si="103"/>
        <v>0</v>
      </c>
      <c r="H627" s="155" t="str">
        <f t="shared" si="104"/>
        <v>0</v>
      </c>
      <c r="I627" s="161">
        <v>17680000</v>
      </c>
      <c r="J627" s="155" t="s">
        <v>5027</v>
      </c>
      <c r="K627" s="155" t="s">
        <v>5036</v>
      </c>
      <c r="L627" s="106"/>
      <c r="M627" s="155" t="s">
        <v>2878</v>
      </c>
      <c r="N627" s="155" t="s">
        <v>2879</v>
      </c>
      <c r="O627" s="155" t="s">
        <v>5018</v>
      </c>
      <c r="P627" s="162" t="s">
        <v>2880</v>
      </c>
    </row>
    <row r="628" spans="2:16" s="148" customFormat="1" ht="45" x14ac:dyDescent="0.25">
      <c r="B628" s="145" t="str">
        <f t="shared" si="98"/>
        <v>1</v>
      </c>
      <c r="C628" s="145" t="str">
        <f t="shared" si="99"/>
        <v>7</v>
      </c>
      <c r="D628" s="145" t="str">
        <f t="shared" si="100"/>
        <v>6</v>
      </c>
      <c r="E628" s="145" t="str">
        <f t="shared" si="101"/>
        <v>8</v>
      </c>
      <c r="F628" s="145" t="str">
        <f t="shared" si="102"/>
        <v>01</v>
      </c>
      <c r="G628" s="145" t="str">
        <f t="shared" si="103"/>
        <v>0</v>
      </c>
      <c r="H628" s="145" t="str">
        <f t="shared" si="104"/>
        <v>0</v>
      </c>
      <c r="I628" s="143">
        <v>17680100</v>
      </c>
      <c r="J628" s="145" t="s">
        <v>1366</v>
      </c>
      <c r="K628" s="145" t="s">
        <v>5192</v>
      </c>
      <c r="L628" s="146"/>
      <c r="M628" s="145" t="s">
        <v>2878</v>
      </c>
      <c r="N628" s="145"/>
      <c r="O628" s="145" t="s">
        <v>2878</v>
      </c>
      <c r="P628" s="147" t="s">
        <v>2880</v>
      </c>
    </row>
    <row r="629" spans="2:16" s="148" customFormat="1" ht="45" x14ac:dyDescent="0.25">
      <c r="B629" s="149" t="str">
        <f t="shared" si="98"/>
        <v>1</v>
      </c>
      <c r="C629" s="149" t="str">
        <f t="shared" si="99"/>
        <v>7</v>
      </c>
      <c r="D629" s="149" t="str">
        <f t="shared" si="100"/>
        <v>6</v>
      </c>
      <c r="E629" s="149" t="str">
        <f t="shared" si="101"/>
        <v>8</v>
      </c>
      <c r="F629" s="149" t="str">
        <f t="shared" si="102"/>
        <v>01</v>
      </c>
      <c r="G629" s="149" t="str">
        <f t="shared" si="103"/>
        <v>1</v>
      </c>
      <c r="H629" s="149" t="str">
        <f t="shared" si="104"/>
        <v>0</v>
      </c>
      <c r="I629" s="144">
        <v>17680110</v>
      </c>
      <c r="J629" s="149" t="s">
        <v>5191</v>
      </c>
      <c r="K629" s="149" t="s">
        <v>5193</v>
      </c>
      <c r="L629" s="150"/>
      <c r="M629" s="149" t="s">
        <v>2878</v>
      </c>
      <c r="N629" s="149"/>
      <c r="O629" s="149" t="s">
        <v>2878</v>
      </c>
      <c r="P629" s="151" t="s">
        <v>2880</v>
      </c>
    </row>
    <row r="630" spans="2:16" s="148" customFormat="1" ht="45" x14ac:dyDescent="0.25">
      <c r="B630" s="149" t="str">
        <f t="shared" si="98"/>
        <v>1</v>
      </c>
      <c r="C630" s="149" t="str">
        <f t="shared" si="99"/>
        <v>7</v>
      </c>
      <c r="D630" s="149" t="str">
        <f t="shared" si="100"/>
        <v>6</v>
      </c>
      <c r="E630" s="149" t="str">
        <f t="shared" si="101"/>
        <v>8</v>
      </c>
      <c r="F630" s="149" t="str">
        <f t="shared" si="102"/>
        <v>10</v>
      </c>
      <c r="G630" s="149" t="str">
        <f t="shared" si="103"/>
        <v>1</v>
      </c>
      <c r="H630" s="149" t="str">
        <f t="shared" si="104"/>
        <v>0</v>
      </c>
      <c r="I630" s="144">
        <v>17681010</v>
      </c>
      <c r="J630" s="149" t="s">
        <v>5189</v>
      </c>
      <c r="K630" s="149" t="s">
        <v>5190</v>
      </c>
      <c r="L630" s="150"/>
      <c r="M630" s="149" t="s">
        <v>2878</v>
      </c>
      <c r="N630" s="149"/>
      <c r="O630" s="149" t="s">
        <v>2878</v>
      </c>
      <c r="P630" s="151" t="s">
        <v>2880</v>
      </c>
    </row>
    <row r="631" spans="2:16" ht="60" x14ac:dyDescent="0.25">
      <c r="B631" s="126" t="str">
        <f t="shared" si="98"/>
        <v>1</v>
      </c>
      <c r="C631" s="126" t="str">
        <f t="shared" si="99"/>
        <v>7</v>
      </c>
      <c r="D631" s="126" t="str">
        <f t="shared" si="100"/>
        <v>7</v>
      </c>
      <c r="E631" s="126" t="str">
        <f t="shared" si="101"/>
        <v>0</v>
      </c>
      <c r="F631" s="126" t="str">
        <f t="shared" si="102"/>
        <v>00</v>
      </c>
      <c r="G631" s="126" t="str">
        <f t="shared" si="103"/>
        <v>0</v>
      </c>
      <c r="H631" s="126" t="str">
        <f t="shared" si="104"/>
        <v>0</v>
      </c>
      <c r="I631" s="127">
        <v>17700000</v>
      </c>
      <c r="J631" s="126" t="s">
        <v>4209</v>
      </c>
      <c r="K631" s="126" t="s">
        <v>4210</v>
      </c>
      <c r="L631" s="122"/>
      <c r="M631" s="126" t="s">
        <v>2878</v>
      </c>
      <c r="N631" s="126" t="s">
        <v>5016</v>
      </c>
      <c r="O631" s="126" t="s">
        <v>2878</v>
      </c>
      <c r="P631" s="128" t="s">
        <v>2880</v>
      </c>
    </row>
    <row r="632" spans="2:16" ht="60" x14ac:dyDescent="0.25">
      <c r="B632" s="114" t="str">
        <f t="shared" si="98"/>
        <v>1</v>
      </c>
      <c r="C632" s="114" t="str">
        <f t="shared" si="99"/>
        <v>7</v>
      </c>
      <c r="D632" s="114" t="str">
        <f t="shared" si="100"/>
        <v>7</v>
      </c>
      <c r="E632" s="114" t="str">
        <f t="shared" si="101"/>
        <v>0</v>
      </c>
      <c r="F632" s="114" t="str">
        <f t="shared" si="102"/>
        <v>00</v>
      </c>
      <c r="G632" s="114" t="str">
        <f t="shared" si="103"/>
        <v>1</v>
      </c>
      <c r="H632" s="114" t="str">
        <f t="shared" si="104"/>
        <v>0</v>
      </c>
      <c r="I632" s="115">
        <v>17700010</v>
      </c>
      <c r="J632" s="114" t="s">
        <v>4209</v>
      </c>
      <c r="K632" s="114" t="s">
        <v>4210</v>
      </c>
      <c r="L632" s="116"/>
      <c r="M632" s="114" t="s">
        <v>2878</v>
      </c>
      <c r="N632" s="114"/>
      <c r="O632" s="114"/>
      <c r="P632" s="117" t="s">
        <v>2880</v>
      </c>
    </row>
    <row r="633" spans="2:16" s="148" customFormat="1" ht="60" x14ac:dyDescent="0.25">
      <c r="B633" s="164" t="str">
        <f t="shared" si="98"/>
        <v>1</v>
      </c>
      <c r="C633" s="164" t="str">
        <f t="shared" si="99"/>
        <v>7</v>
      </c>
      <c r="D633" s="164" t="str">
        <f t="shared" si="100"/>
        <v>7</v>
      </c>
      <c r="E633" s="164" t="str">
        <f t="shared" si="101"/>
        <v>8</v>
      </c>
      <c r="F633" s="164" t="str">
        <f t="shared" si="102"/>
        <v>00</v>
      </c>
      <c r="G633" s="164" t="str">
        <f t="shared" si="103"/>
        <v>0</v>
      </c>
      <c r="H633" s="164" t="str">
        <f t="shared" si="104"/>
        <v>0</v>
      </c>
      <c r="I633" s="165">
        <v>17780000</v>
      </c>
      <c r="J633" s="164" t="s">
        <v>5028</v>
      </c>
      <c r="K633" s="164" t="s">
        <v>5197</v>
      </c>
      <c r="L633" s="166"/>
      <c r="M633" s="164" t="s">
        <v>2878</v>
      </c>
      <c r="N633" s="164" t="s">
        <v>2879</v>
      </c>
      <c r="O633" s="164" t="s">
        <v>5018</v>
      </c>
      <c r="P633" s="167" t="s">
        <v>2880</v>
      </c>
    </row>
    <row r="634" spans="2:16" s="148" customFormat="1" ht="60" x14ac:dyDescent="0.25">
      <c r="B634" s="145" t="str">
        <f t="shared" si="98"/>
        <v>1</v>
      </c>
      <c r="C634" s="145" t="str">
        <f t="shared" si="99"/>
        <v>7</v>
      </c>
      <c r="D634" s="145" t="str">
        <f t="shared" si="100"/>
        <v>7</v>
      </c>
      <c r="E634" s="145" t="str">
        <f t="shared" si="101"/>
        <v>8</v>
      </c>
      <c r="F634" s="145" t="str">
        <f t="shared" si="102"/>
        <v>01</v>
      </c>
      <c r="G634" s="145" t="str">
        <f t="shared" si="103"/>
        <v>0</v>
      </c>
      <c r="H634" s="145" t="str">
        <f t="shared" si="104"/>
        <v>0</v>
      </c>
      <c r="I634" s="143">
        <v>17780100</v>
      </c>
      <c r="J634" s="145" t="s">
        <v>5196</v>
      </c>
      <c r="K634" s="145" t="s">
        <v>5197</v>
      </c>
      <c r="L634" s="146"/>
      <c r="M634" s="145" t="s">
        <v>2878</v>
      </c>
      <c r="N634" s="145"/>
      <c r="O634" s="145" t="s">
        <v>2878</v>
      </c>
      <c r="P634" s="147" t="s">
        <v>2880</v>
      </c>
    </row>
    <row r="635" spans="2:16" s="148" customFormat="1" ht="45" x14ac:dyDescent="0.25">
      <c r="B635" s="149" t="str">
        <f t="shared" si="98"/>
        <v>1</v>
      </c>
      <c r="C635" s="149" t="str">
        <f t="shared" si="99"/>
        <v>7</v>
      </c>
      <c r="D635" s="149" t="str">
        <f t="shared" si="100"/>
        <v>7</v>
      </c>
      <c r="E635" s="149" t="str">
        <f t="shared" si="101"/>
        <v>8</v>
      </c>
      <c r="F635" s="149" t="str">
        <f t="shared" si="102"/>
        <v>01</v>
      </c>
      <c r="G635" s="149" t="str">
        <f t="shared" si="103"/>
        <v>1</v>
      </c>
      <c r="H635" s="149" t="str">
        <f t="shared" si="104"/>
        <v>0</v>
      </c>
      <c r="I635" s="144">
        <v>17780110</v>
      </c>
      <c r="J635" s="149" t="s">
        <v>5195</v>
      </c>
      <c r="K635" s="149" t="s">
        <v>5193</v>
      </c>
      <c r="L635" s="150"/>
      <c r="M635" s="149" t="s">
        <v>2878</v>
      </c>
      <c r="N635" s="149"/>
      <c r="O635" s="149" t="s">
        <v>2878</v>
      </c>
      <c r="P635" s="151" t="s">
        <v>2880</v>
      </c>
    </row>
    <row r="636" spans="2:16" s="148" customFormat="1" ht="75" x14ac:dyDescent="0.25">
      <c r="B636" s="149" t="str">
        <f t="shared" si="98"/>
        <v>1</v>
      </c>
      <c r="C636" s="149" t="str">
        <f t="shared" si="99"/>
        <v>7</v>
      </c>
      <c r="D636" s="149" t="str">
        <f t="shared" si="100"/>
        <v>7</v>
      </c>
      <c r="E636" s="149" t="str">
        <f t="shared" si="101"/>
        <v>8</v>
      </c>
      <c r="F636" s="149" t="str">
        <f t="shared" si="102"/>
        <v>10</v>
      </c>
      <c r="G636" s="149" t="str">
        <f t="shared" si="103"/>
        <v>1</v>
      </c>
      <c r="H636" s="149" t="str">
        <f t="shared" si="104"/>
        <v>0</v>
      </c>
      <c r="I636" s="144">
        <v>17781010</v>
      </c>
      <c r="J636" s="149" t="s">
        <v>5194</v>
      </c>
      <c r="K636" s="149" t="s">
        <v>5198</v>
      </c>
      <c r="L636" s="150"/>
      <c r="M636" s="149" t="s">
        <v>2878</v>
      </c>
      <c r="N636" s="149"/>
      <c r="O636" s="149" t="s">
        <v>2878</v>
      </c>
      <c r="P636" s="151" t="s">
        <v>2880</v>
      </c>
    </row>
    <row r="637" spans="2:16" ht="30" x14ac:dyDescent="0.25">
      <c r="B637" s="126" t="str">
        <f t="shared" si="98"/>
        <v>1</v>
      </c>
      <c r="C637" s="126" t="str">
        <f t="shared" si="99"/>
        <v>7</v>
      </c>
      <c r="D637" s="126" t="str">
        <f t="shared" si="100"/>
        <v>8</v>
      </c>
      <c r="E637" s="126" t="str">
        <f t="shared" si="101"/>
        <v>0</v>
      </c>
      <c r="F637" s="126" t="str">
        <f t="shared" si="102"/>
        <v>00</v>
      </c>
      <c r="G637" s="126" t="str">
        <f t="shared" si="103"/>
        <v>0</v>
      </c>
      <c r="H637" s="126" t="str">
        <f t="shared" si="104"/>
        <v>0</v>
      </c>
      <c r="I637" s="127">
        <v>17800000</v>
      </c>
      <c r="J637" s="126" t="s">
        <v>4212</v>
      </c>
      <c r="K637" s="126" t="s">
        <v>4213</v>
      </c>
      <c r="L637" s="122"/>
      <c r="M637" s="126" t="s">
        <v>2878</v>
      </c>
      <c r="N637" s="126" t="s">
        <v>5016</v>
      </c>
      <c r="O637" s="126" t="s">
        <v>2878</v>
      </c>
      <c r="P637" s="128" t="s">
        <v>2880</v>
      </c>
    </row>
    <row r="638" spans="2:16" ht="30" x14ac:dyDescent="0.25">
      <c r="B638" s="114" t="str">
        <f t="shared" si="98"/>
        <v>1</v>
      </c>
      <c r="C638" s="114" t="str">
        <f t="shared" si="99"/>
        <v>7</v>
      </c>
      <c r="D638" s="114" t="str">
        <f t="shared" si="100"/>
        <v>8</v>
      </c>
      <c r="E638" s="114" t="str">
        <f t="shared" si="101"/>
        <v>0</v>
      </c>
      <c r="F638" s="114" t="str">
        <f t="shared" si="102"/>
        <v>00</v>
      </c>
      <c r="G638" s="114" t="str">
        <f t="shared" si="103"/>
        <v>1</v>
      </c>
      <c r="H638" s="114" t="str">
        <f t="shared" si="104"/>
        <v>0</v>
      </c>
      <c r="I638" s="115">
        <v>17800010</v>
      </c>
      <c r="J638" s="114" t="s">
        <v>4212</v>
      </c>
      <c r="K638" s="114" t="s">
        <v>4213</v>
      </c>
      <c r="L638" s="116"/>
      <c r="M638" s="114" t="s">
        <v>2878</v>
      </c>
      <c r="N638" s="114" t="s">
        <v>2879</v>
      </c>
      <c r="O638" s="114" t="s">
        <v>2878</v>
      </c>
      <c r="P638" s="117" t="s">
        <v>2880</v>
      </c>
    </row>
    <row r="639" spans="2:16" ht="30" x14ac:dyDescent="0.25">
      <c r="B639" s="123" t="str">
        <f t="shared" si="98"/>
        <v>1</v>
      </c>
      <c r="C639" s="123" t="str">
        <f t="shared" si="99"/>
        <v>9</v>
      </c>
      <c r="D639" s="123" t="str">
        <f t="shared" si="100"/>
        <v>0</v>
      </c>
      <c r="E639" s="123" t="str">
        <f t="shared" si="101"/>
        <v>0</v>
      </c>
      <c r="F639" s="123" t="str">
        <f t="shared" si="102"/>
        <v>00</v>
      </c>
      <c r="G639" s="123" t="str">
        <f t="shared" si="103"/>
        <v>0</v>
      </c>
      <c r="H639" s="123" t="str">
        <f t="shared" si="104"/>
        <v>0</v>
      </c>
      <c r="I639" s="124">
        <v>19000000</v>
      </c>
      <c r="J639" s="123" t="s">
        <v>1378</v>
      </c>
      <c r="K639" s="123" t="s">
        <v>4216</v>
      </c>
      <c r="L639" s="103"/>
      <c r="M639" s="123" t="s">
        <v>2878</v>
      </c>
      <c r="N639" s="123" t="s">
        <v>5016</v>
      </c>
      <c r="O639" s="123" t="s">
        <v>2878</v>
      </c>
      <c r="P639" s="125" t="s">
        <v>2880</v>
      </c>
    </row>
    <row r="640" spans="2:16" ht="30" x14ac:dyDescent="0.25">
      <c r="B640" s="126" t="str">
        <f t="shared" si="98"/>
        <v>1</v>
      </c>
      <c r="C640" s="126" t="str">
        <f t="shared" si="99"/>
        <v>9</v>
      </c>
      <c r="D640" s="126" t="str">
        <f t="shared" si="100"/>
        <v>1</v>
      </c>
      <c r="E640" s="126" t="str">
        <f t="shared" si="101"/>
        <v>0</v>
      </c>
      <c r="F640" s="126" t="str">
        <f t="shared" si="102"/>
        <v>00</v>
      </c>
      <c r="G640" s="126" t="str">
        <f t="shared" si="103"/>
        <v>0</v>
      </c>
      <c r="H640" s="126" t="str">
        <f t="shared" si="104"/>
        <v>0</v>
      </c>
      <c r="I640" s="127">
        <v>19100000</v>
      </c>
      <c r="J640" s="126" t="s">
        <v>4217</v>
      </c>
      <c r="K640" s="126" t="s">
        <v>4218</v>
      </c>
      <c r="L640" s="122"/>
      <c r="M640" s="126" t="s">
        <v>2878</v>
      </c>
      <c r="N640" s="126" t="s">
        <v>5016</v>
      </c>
      <c r="O640" s="126" t="s">
        <v>2878</v>
      </c>
      <c r="P640" s="128" t="s">
        <v>2880</v>
      </c>
    </row>
    <row r="641" spans="2:16" ht="75" x14ac:dyDescent="0.25">
      <c r="B641" s="108" t="str">
        <f t="shared" si="98"/>
        <v>1</v>
      </c>
      <c r="C641" s="108" t="str">
        <f t="shared" si="99"/>
        <v>9</v>
      </c>
      <c r="D641" s="108" t="str">
        <f t="shared" si="100"/>
        <v>1</v>
      </c>
      <c r="E641" s="108" t="str">
        <f t="shared" si="101"/>
        <v>0</v>
      </c>
      <c r="F641" s="108" t="str">
        <f t="shared" si="102"/>
        <v>01</v>
      </c>
      <c r="G641" s="108" t="str">
        <f t="shared" si="103"/>
        <v>0</v>
      </c>
      <c r="H641" s="108" t="str">
        <f t="shared" si="104"/>
        <v>0</v>
      </c>
      <c r="I641" s="109">
        <v>19100100</v>
      </c>
      <c r="J641" s="108" t="s">
        <v>4219</v>
      </c>
      <c r="K641" s="108" t="s">
        <v>4220</v>
      </c>
      <c r="L641" s="110"/>
      <c r="M641" s="108" t="s">
        <v>2878</v>
      </c>
      <c r="N641" s="108" t="s">
        <v>2879</v>
      </c>
      <c r="O641" s="108" t="s">
        <v>2878</v>
      </c>
      <c r="P641" s="111" t="s">
        <v>2880</v>
      </c>
    </row>
    <row r="642" spans="2:16" ht="79.5" customHeight="1" x14ac:dyDescent="0.25">
      <c r="B642" s="114" t="str">
        <f t="shared" si="98"/>
        <v>1</v>
      </c>
      <c r="C642" s="114" t="str">
        <f t="shared" si="99"/>
        <v>9</v>
      </c>
      <c r="D642" s="114" t="str">
        <f t="shared" si="100"/>
        <v>1</v>
      </c>
      <c r="E642" s="114" t="str">
        <f t="shared" si="101"/>
        <v>0</v>
      </c>
      <c r="F642" s="114" t="str">
        <f t="shared" si="102"/>
        <v>01</v>
      </c>
      <c r="G642" s="114" t="str">
        <f t="shared" si="103"/>
        <v>1</v>
      </c>
      <c r="H642" s="114" t="str">
        <f t="shared" si="104"/>
        <v>0</v>
      </c>
      <c r="I642" s="115">
        <v>19100110</v>
      </c>
      <c r="J642" s="114" t="s">
        <v>4219</v>
      </c>
      <c r="K642" s="114" t="s">
        <v>4220</v>
      </c>
      <c r="L642" s="116"/>
      <c r="M642" s="114" t="s">
        <v>2878</v>
      </c>
      <c r="N642" s="114" t="s">
        <v>2879</v>
      </c>
      <c r="O642" s="114" t="s">
        <v>2878</v>
      </c>
      <c r="P642" s="117" t="s">
        <v>2880</v>
      </c>
    </row>
    <row r="643" spans="2:16" ht="45" x14ac:dyDescent="0.25">
      <c r="B643" s="108" t="str">
        <f t="shared" si="98"/>
        <v>1</v>
      </c>
      <c r="C643" s="108" t="str">
        <f t="shared" si="99"/>
        <v>9</v>
      </c>
      <c r="D643" s="108" t="str">
        <f t="shared" si="100"/>
        <v>1</v>
      </c>
      <c r="E643" s="108" t="str">
        <f t="shared" si="101"/>
        <v>0</v>
      </c>
      <c r="F643" s="108" t="str">
        <f t="shared" si="102"/>
        <v>02</v>
      </c>
      <c r="G643" s="108" t="str">
        <f t="shared" si="103"/>
        <v>0</v>
      </c>
      <c r="H643" s="108" t="str">
        <f t="shared" si="104"/>
        <v>0</v>
      </c>
      <c r="I643" s="109">
        <v>19100200</v>
      </c>
      <c r="J643" s="108" t="s">
        <v>2032</v>
      </c>
      <c r="K643" s="108" t="s">
        <v>4227</v>
      </c>
      <c r="L643" s="110"/>
      <c r="M643" s="108" t="s">
        <v>2878</v>
      </c>
      <c r="N643" s="108" t="s">
        <v>2879</v>
      </c>
      <c r="O643" s="108" t="s">
        <v>2878</v>
      </c>
      <c r="P643" s="111" t="s">
        <v>2880</v>
      </c>
    </row>
    <row r="644" spans="2:16" ht="45" x14ac:dyDescent="0.25">
      <c r="B644" s="114" t="str">
        <f t="shared" si="98"/>
        <v>1</v>
      </c>
      <c r="C644" s="114" t="str">
        <f t="shared" si="99"/>
        <v>9</v>
      </c>
      <c r="D644" s="114" t="str">
        <f t="shared" si="100"/>
        <v>1</v>
      </c>
      <c r="E644" s="114" t="str">
        <f t="shared" si="101"/>
        <v>0</v>
      </c>
      <c r="F644" s="114" t="str">
        <f t="shared" si="102"/>
        <v>02</v>
      </c>
      <c r="G644" s="114" t="str">
        <f t="shared" si="103"/>
        <v>1</v>
      </c>
      <c r="H644" s="114" t="str">
        <f t="shared" si="104"/>
        <v>0</v>
      </c>
      <c r="I644" s="115">
        <v>19100210</v>
      </c>
      <c r="J644" s="114" t="s">
        <v>2032</v>
      </c>
      <c r="K644" s="114" t="s">
        <v>4227</v>
      </c>
      <c r="L644" s="116"/>
      <c r="M644" s="114" t="s">
        <v>2878</v>
      </c>
      <c r="N644" s="114" t="s">
        <v>2879</v>
      </c>
      <c r="O644" s="114" t="s">
        <v>2878</v>
      </c>
      <c r="P644" s="117" t="s">
        <v>2880</v>
      </c>
    </row>
    <row r="645" spans="2:16" ht="30" x14ac:dyDescent="0.25">
      <c r="B645" s="108" t="str">
        <f t="shared" si="98"/>
        <v>1</v>
      </c>
      <c r="C645" s="108" t="str">
        <f t="shared" si="99"/>
        <v>9</v>
      </c>
      <c r="D645" s="108" t="str">
        <f t="shared" si="100"/>
        <v>1</v>
      </c>
      <c r="E645" s="108" t="str">
        <f t="shared" si="101"/>
        <v>0</v>
      </c>
      <c r="F645" s="108" t="str">
        <f t="shared" si="102"/>
        <v>03</v>
      </c>
      <c r="G645" s="108" t="str">
        <f t="shared" si="103"/>
        <v>0</v>
      </c>
      <c r="H645" s="108" t="str">
        <f t="shared" si="104"/>
        <v>0</v>
      </c>
      <c r="I645" s="109">
        <v>19100300</v>
      </c>
      <c r="J645" s="108" t="s">
        <v>2044</v>
      </c>
      <c r="K645" s="108" t="s">
        <v>4235</v>
      </c>
      <c r="L645" s="110"/>
      <c r="M645" s="108" t="s">
        <v>2878</v>
      </c>
      <c r="N645" s="108" t="s">
        <v>2879</v>
      </c>
      <c r="O645" s="108" t="s">
        <v>2878</v>
      </c>
      <c r="P645" s="111" t="s">
        <v>2880</v>
      </c>
    </row>
    <row r="646" spans="2:16" ht="30" x14ac:dyDescent="0.25">
      <c r="B646" s="114" t="str">
        <f t="shared" si="98"/>
        <v>1</v>
      </c>
      <c r="C646" s="114" t="str">
        <f t="shared" si="99"/>
        <v>9</v>
      </c>
      <c r="D646" s="114" t="str">
        <f t="shared" si="100"/>
        <v>1</v>
      </c>
      <c r="E646" s="114" t="str">
        <f t="shared" si="101"/>
        <v>0</v>
      </c>
      <c r="F646" s="114" t="str">
        <f t="shared" si="102"/>
        <v>03</v>
      </c>
      <c r="G646" s="114" t="str">
        <f t="shared" si="103"/>
        <v>1</v>
      </c>
      <c r="H646" s="114" t="str">
        <f t="shared" si="104"/>
        <v>0</v>
      </c>
      <c r="I646" s="115">
        <v>19100310</v>
      </c>
      <c r="J646" s="114" t="s">
        <v>2044</v>
      </c>
      <c r="K646" s="114" t="s">
        <v>4235</v>
      </c>
      <c r="L646" s="116"/>
      <c r="M646" s="114" t="s">
        <v>2878</v>
      </c>
      <c r="N646" s="114" t="s">
        <v>2879</v>
      </c>
      <c r="O646" s="114" t="s">
        <v>2878</v>
      </c>
      <c r="P646" s="117" t="s">
        <v>2880</v>
      </c>
    </row>
    <row r="647" spans="2:16" ht="30" x14ac:dyDescent="0.25">
      <c r="B647" s="108" t="str">
        <f t="shared" si="98"/>
        <v>1</v>
      </c>
      <c r="C647" s="108" t="str">
        <f t="shared" si="99"/>
        <v>9</v>
      </c>
      <c r="D647" s="108" t="str">
        <f t="shared" si="100"/>
        <v>1</v>
      </c>
      <c r="E647" s="108" t="str">
        <f t="shared" si="101"/>
        <v>0</v>
      </c>
      <c r="F647" s="108" t="str">
        <f t="shared" si="102"/>
        <v>04</v>
      </c>
      <c r="G647" s="108" t="str">
        <f t="shared" si="103"/>
        <v>0</v>
      </c>
      <c r="H647" s="108" t="str">
        <f t="shared" si="104"/>
        <v>0</v>
      </c>
      <c r="I647" s="109">
        <v>19100400</v>
      </c>
      <c r="J647" s="108" t="s">
        <v>2052</v>
      </c>
      <c r="K647" s="108" t="s">
        <v>4239</v>
      </c>
      <c r="L647" s="110"/>
      <c r="M647" s="108" t="s">
        <v>2878</v>
      </c>
      <c r="N647" s="108" t="s">
        <v>2879</v>
      </c>
      <c r="O647" s="108" t="s">
        <v>2878</v>
      </c>
      <c r="P647" s="111" t="s">
        <v>2880</v>
      </c>
    </row>
    <row r="648" spans="2:16" ht="30" x14ac:dyDescent="0.25">
      <c r="B648" s="114" t="str">
        <f t="shared" si="98"/>
        <v>1</v>
      </c>
      <c r="C648" s="114" t="str">
        <f t="shared" si="99"/>
        <v>9</v>
      </c>
      <c r="D648" s="114" t="str">
        <f t="shared" si="100"/>
        <v>1</v>
      </c>
      <c r="E648" s="114" t="str">
        <f t="shared" si="101"/>
        <v>0</v>
      </c>
      <c r="F648" s="114" t="str">
        <f t="shared" si="102"/>
        <v>04</v>
      </c>
      <c r="G648" s="114" t="str">
        <f t="shared" si="103"/>
        <v>1</v>
      </c>
      <c r="H648" s="114" t="str">
        <f t="shared" si="104"/>
        <v>0</v>
      </c>
      <c r="I648" s="115">
        <v>19100410</v>
      </c>
      <c r="J648" s="114" t="s">
        <v>2052</v>
      </c>
      <c r="K648" s="114" t="s">
        <v>4239</v>
      </c>
      <c r="L648" s="116"/>
      <c r="M648" s="114" t="s">
        <v>2878</v>
      </c>
      <c r="N648" s="114" t="s">
        <v>2879</v>
      </c>
      <c r="O648" s="114" t="s">
        <v>2878</v>
      </c>
      <c r="P648" s="117" t="s">
        <v>2880</v>
      </c>
    </row>
    <row r="649" spans="2:16" ht="30" x14ac:dyDescent="0.25">
      <c r="B649" s="108" t="str">
        <f t="shared" si="98"/>
        <v>1</v>
      </c>
      <c r="C649" s="108" t="str">
        <f t="shared" si="99"/>
        <v>9</v>
      </c>
      <c r="D649" s="108" t="str">
        <f t="shared" si="100"/>
        <v>1</v>
      </c>
      <c r="E649" s="108" t="str">
        <f t="shared" si="101"/>
        <v>0</v>
      </c>
      <c r="F649" s="108" t="str">
        <f t="shared" si="102"/>
        <v>05</v>
      </c>
      <c r="G649" s="108" t="str">
        <f t="shared" si="103"/>
        <v>0</v>
      </c>
      <c r="H649" s="108" t="str">
        <f t="shared" si="104"/>
        <v>0</v>
      </c>
      <c r="I649" s="109">
        <v>19100500</v>
      </c>
      <c r="J649" s="108" t="s">
        <v>4244</v>
      </c>
      <c r="K649" s="108" t="s">
        <v>4245</v>
      </c>
      <c r="L649" s="110"/>
      <c r="M649" s="108" t="s">
        <v>2878</v>
      </c>
      <c r="N649" s="108" t="s">
        <v>2879</v>
      </c>
      <c r="O649" s="108" t="s">
        <v>2878</v>
      </c>
      <c r="P649" s="111" t="s">
        <v>2880</v>
      </c>
    </row>
    <row r="650" spans="2:16" ht="30" x14ac:dyDescent="0.25">
      <c r="B650" s="114" t="str">
        <f t="shared" si="98"/>
        <v>1</v>
      </c>
      <c r="C650" s="114" t="str">
        <f t="shared" si="99"/>
        <v>9</v>
      </c>
      <c r="D650" s="114" t="str">
        <f t="shared" si="100"/>
        <v>1</v>
      </c>
      <c r="E650" s="114" t="str">
        <f t="shared" si="101"/>
        <v>0</v>
      </c>
      <c r="F650" s="114" t="str">
        <f t="shared" si="102"/>
        <v>05</v>
      </c>
      <c r="G650" s="114" t="str">
        <f t="shared" si="103"/>
        <v>1</v>
      </c>
      <c r="H650" s="114" t="str">
        <f t="shared" si="104"/>
        <v>0</v>
      </c>
      <c r="I650" s="115">
        <v>19100510</v>
      </c>
      <c r="J650" s="114" t="s">
        <v>4244</v>
      </c>
      <c r="K650" s="114" t="s">
        <v>4245</v>
      </c>
      <c r="L650" s="116"/>
      <c r="M650" s="114" t="s">
        <v>2878</v>
      </c>
      <c r="N650" s="114" t="s">
        <v>2879</v>
      </c>
      <c r="O650" s="114" t="s">
        <v>2878</v>
      </c>
      <c r="P650" s="117" t="s">
        <v>2880</v>
      </c>
    </row>
    <row r="651" spans="2:16" ht="30" x14ac:dyDescent="0.25">
      <c r="B651" s="108" t="str">
        <f t="shared" si="98"/>
        <v>1</v>
      </c>
      <c r="C651" s="108" t="str">
        <f t="shared" si="99"/>
        <v>9</v>
      </c>
      <c r="D651" s="108" t="str">
        <f t="shared" si="100"/>
        <v>1</v>
      </c>
      <c r="E651" s="108" t="str">
        <f t="shared" si="101"/>
        <v>0</v>
      </c>
      <c r="F651" s="108" t="str">
        <f t="shared" si="102"/>
        <v>06</v>
      </c>
      <c r="G651" s="108" t="str">
        <f t="shared" si="103"/>
        <v>0</v>
      </c>
      <c r="H651" s="108" t="str">
        <f t="shared" si="104"/>
        <v>0</v>
      </c>
      <c r="I651" s="109">
        <v>19100600</v>
      </c>
      <c r="J651" s="108" t="s">
        <v>2079</v>
      </c>
      <c r="K651" s="108" t="s">
        <v>4249</v>
      </c>
      <c r="L651" s="110"/>
      <c r="M651" s="108" t="s">
        <v>2878</v>
      </c>
      <c r="N651" s="108" t="s">
        <v>2879</v>
      </c>
      <c r="O651" s="108" t="s">
        <v>2878</v>
      </c>
      <c r="P651" s="111" t="s">
        <v>2880</v>
      </c>
    </row>
    <row r="652" spans="2:16" ht="30" x14ac:dyDescent="0.25">
      <c r="B652" s="114" t="str">
        <f t="shared" si="98"/>
        <v>1</v>
      </c>
      <c r="C652" s="114" t="str">
        <f t="shared" si="99"/>
        <v>9</v>
      </c>
      <c r="D652" s="114" t="str">
        <f t="shared" si="100"/>
        <v>1</v>
      </c>
      <c r="E652" s="114" t="str">
        <f t="shared" si="101"/>
        <v>0</v>
      </c>
      <c r="F652" s="114" t="str">
        <f t="shared" si="102"/>
        <v>06</v>
      </c>
      <c r="G652" s="114" t="str">
        <f t="shared" si="103"/>
        <v>1</v>
      </c>
      <c r="H652" s="114" t="str">
        <f t="shared" si="104"/>
        <v>0</v>
      </c>
      <c r="I652" s="115">
        <v>19100610</v>
      </c>
      <c r="J652" s="114" t="s">
        <v>2081</v>
      </c>
      <c r="K652" s="114" t="s">
        <v>4250</v>
      </c>
      <c r="L652" s="116"/>
      <c r="M652" s="114" t="s">
        <v>2878</v>
      </c>
      <c r="N652" s="114" t="s">
        <v>2879</v>
      </c>
      <c r="O652" s="114" t="s">
        <v>2878</v>
      </c>
      <c r="P652" s="117" t="s">
        <v>2880</v>
      </c>
    </row>
    <row r="653" spans="2:16" ht="30" x14ac:dyDescent="0.25">
      <c r="B653" s="114" t="str">
        <f t="shared" si="98"/>
        <v>1</v>
      </c>
      <c r="C653" s="114" t="str">
        <f t="shared" si="99"/>
        <v>9</v>
      </c>
      <c r="D653" s="114" t="str">
        <f t="shared" si="100"/>
        <v>1</v>
      </c>
      <c r="E653" s="114" t="str">
        <f t="shared" si="101"/>
        <v>0</v>
      </c>
      <c r="F653" s="114" t="str">
        <f t="shared" si="102"/>
        <v>06</v>
      </c>
      <c r="G653" s="114" t="str">
        <f t="shared" si="103"/>
        <v>2</v>
      </c>
      <c r="H653" s="114" t="str">
        <f t="shared" si="104"/>
        <v>0</v>
      </c>
      <c r="I653" s="115">
        <v>19100620</v>
      </c>
      <c r="J653" s="114" t="s">
        <v>2083</v>
      </c>
      <c r="K653" s="114" t="s">
        <v>4256</v>
      </c>
      <c r="L653" s="116"/>
      <c r="M653" s="114" t="s">
        <v>2878</v>
      </c>
      <c r="N653" s="114" t="s">
        <v>2879</v>
      </c>
      <c r="O653" s="114" t="s">
        <v>2878</v>
      </c>
      <c r="P653" s="117" t="s">
        <v>2880</v>
      </c>
    </row>
    <row r="654" spans="2:16" ht="30" x14ac:dyDescent="0.25">
      <c r="B654" s="108" t="str">
        <f t="shared" si="98"/>
        <v>1</v>
      </c>
      <c r="C654" s="108" t="str">
        <f t="shared" si="99"/>
        <v>9</v>
      </c>
      <c r="D654" s="108" t="str">
        <f t="shared" si="100"/>
        <v>1</v>
      </c>
      <c r="E654" s="108" t="str">
        <f t="shared" si="101"/>
        <v>0</v>
      </c>
      <c r="F654" s="108" t="str">
        <f t="shared" si="102"/>
        <v>07</v>
      </c>
      <c r="G654" s="108" t="str">
        <f t="shared" si="103"/>
        <v>0</v>
      </c>
      <c r="H654" s="108" t="str">
        <f t="shared" si="104"/>
        <v>0</v>
      </c>
      <c r="I654" s="109">
        <v>19100700</v>
      </c>
      <c r="J654" s="108" t="s">
        <v>2093</v>
      </c>
      <c r="K654" s="108" t="s">
        <v>4261</v>
      </c>
      <c r="L654" s="110"/>
      <c r="M654" s="108" t="s">
        <v>2878</v>
      </c>
      <c r="N654" s="108" t="s">
        <v>2879</v>
      </c>
      <c r="O654" s="108" t="s">
        <v>2878</v>
      </c>
      <c r="P654" s="111" t="s">
        <v>2880</v>
      </c>
    </row>
    <row r="655" spans="2:16" ht="30" x14ac:dyDescent="0.25">
      <c r="B655" s="114" t="str">
        <f t="shared" si="98"/>
        <v>1</v>
      </c>
      <c r="C655" s="114" t="str">
        <f t="shared" si="99"/>
        <v>9</v>
      </c>
      <c r="D655" s="114" t="str">
        <f t="shared" si="100"/>
        <v>1</v>
      </c>
      <c r="E655" s="114" t="str">
        <f t="shared" si="101"/>
        <v>0</v>
      </c>
      <c r="F655" s="114" t="str">
        <f t="shared" si="102"/>
        <v>07</v>
      </c>
      <c r="G655" s="114" t="str">
        <f t="shared" si="103"/>
        <v>1</v>
      </c>
      <c r="H655" s="114" t="str">
        <f t="shared" si="104"/>
        <v>0</v>
      </c>
      <c r="I655" s="115">
        <v>19100710</v>
      </c>
      <c r="J655" s="114" t="s">
        <v>2093</v>
      </c>
      <c r="K655" s="114" t="s">
        <v>4261</v>
      </c>
      <c r="L655" s="116"/>
      <c r="M655" s="114" t="s">
        <v>2878</v>
      </c>
      <c r="N655" s="114" t="s">
        <v>2879</v>
      </c>
      <c r="O655" s="114" t="s">
        <v>2878</v>
      </c>
      <c r="P655" s="117" t="s">
        <v>2880</v>
      </c>
    </row>
    <row r="656" spans="2:16" ht="30" x14ac:dyDescent="0.25">
      <c r="B656" s="108" t="str">
        <f t="shared" si="98"/>
        <v>1</v>
      </c>
      <c r="C656" s="108" t="str">
        <f t="shared" si="99"/>
        <v>9</v>
      </c>
      <c r="D656" s="108" t="str">
        <f t="shared" si="100"/>
        <v>1</v>
      </c>
      <c r="E656" s="108" t="str">
        <f t="shared" si="101"/>
        <v>0</v>
      </c>
      <c r="F656" s="108" t="str">
        <f t="shared" si="102"/>
        <v>08</v>
      </c>
      <c r="G656" s="108" t="str">
        <f t="shared" si="103"/>
        <v>0</v>
      </c>
      <c r="H656" s="108" t="str">
        <f t="shared" si="104"/>
        <v>0</v>
      </c>
      <c r="I656" s="109">
        <v>19100800</v>
      </c>
      <c r="J656" s="108" t="s">
        <v>2073</v>
      </c>
      <c r="K656" s="108" t="s">
        <v>4265</v>
      </c>
      <c r="L656" s="110"/>
      <c r="M656" s="108" t="s">
        <v>2878</v>
      </c>
      <c r="N656" s="108" t="s">
        <v>2879</v>
      </c>
      <c r="O656" s="108" t="s">
        <v>2878</v>
      </c>
      <c r="P656" s="111" t="s">
        <v>2880</v>
      </c>
    </row>
    <row r="657" spans="2:16" ht="30" x14ac:dyDescent="0.25">
      <c r="B657" s="114" t="str">
        <f t="shared" si="98"/>
        <v>1</v>
      </c>
      <c r="C657" s="114" t="str">
        <f t="shared" si="99"/>
        <v>9</v>
      </c>
      <c r="D657" s="114" t="str">
        <f t="shared" si="100"/>
        <v>1</v>
      </c>
      <c r="E657" s="114" t="str">
        <f t="shared" si="101"/>
        <v>0</v>
      </c>
      <c r="F657" s="114" t="str">
        <f t="shared" si="102"/>
        <v>08</v>
      </c>
      <c r="G657" s="114" t="str">
        <f t="shared" si="103"/>
        <v>1</v>
      </c>
      <c r="H657" s="114" t="str">
        <f t="shared" si="104"/>
        <v>0</v>
      </c>
      <c r="I657" s="115">
        <v>19100810</v>
      </c>
      <c r="J657" s="114" t="s">
        <v>2073</v>
      </c>
      <c r="K657" s="114" t="s">
        <v>4265</v>
      </c>
      <c r="L657" s="116"/>
      <c r="M657" s="114" t="s">
        <v>2878</v>
      </c>
      <c r="N657" s="114" t="s">
        <v>2879</v>
      </c>
      <c r="O657" s="114" t="s">
        <v>2878</v>
      </c>
      <c r="P657" s="117" t="s">
        <v>2880</v>
      </c>
    </row>
    <row r="658" spans="2:16" ht="45" x14ac:dyDescent="0.25">
      <c r="B658" s="108" t="str">
        <f t="shared" si="98"/>
        <v>1</v>
      </c>
      <c r="C658" s="108" t="str">
        <f t="shared" si="99"/>
        <v>9</v>
      </c>
      <c r="D658" s="108" t="str">
        <f t="shared" si="100"/>
        <v>1</v>
      </c>
      <c r="E658" s="108" t="str">
        <f t="shared" si="101"/>
        <v>0</v>
      </c>
      <c r="F658" s="108" t="str">
        <f t="shared" si="102"/>
        <v>09</v>
      </c>
      <c r="G658" s="108" t="str">
        <f t="shared" si="103"/>
        <v>0</v>
      </c>
      <c r="H658" s="108" t="str">
        <f t="shared" si="104"/>
        <v>0</v>
      </c>
      <c r="I658" s="109">
        <v>19100900</v>
      </c>
      <c r="J658" s="108" t="s">
        <v>2058</v>
      </c>
      <c r="K658" s="108" t="s">
        <v>4271</v>
      </c>
      <c r="L658" s="110"/>
      <c r="M658" s="108" t="s">
        <v>2878</v>
      </c>
      <c r="N658" s="108" t="s">
        <v>2879</v>
      </c>
      <c r="O658" s="108" t="s">
        <v>2878</v>
      </c>
      <c r="P658" s="111" t="s">
        <v>2880</v>
      </c>
    </row>
    <row r="659" spans="2:16" ht="45" x14ac:dyDescent="0.25">
      <c r="B659" s="114" t="str">
        <f t="shared" si="98"/>
        <v>1</v>
      </c>
      <c r="C659" s="114" t="str">
        <f t="shared" si="99"/>
        <v>9</v>
      </c>
      <c r="D659" s="114" t="str">
        <f t="shared" si="100"/>
        <v>1</v>
      </c>
      <c r="E659" s="114" t="str">
        <f t="shared" si="101"/>
        <v>0</v>
      </c>
      <c r="F659" s="114" t="str">
        <f t="shared" si="102"/>
        <v>09</v>
      </c>
      <c r="G659" s="114" t="str">
        <f t="shared" si="103"/>
        <v>1</v>
      </c>
      <c r="H659" s="114" t="str">
        <f t="shared" si="104"/>
        <v>0</v>
      </c>
      <c r="I659" s="115">
        <v>19100910</v>
      </c>
      <c r="J659" s="114" t="s">
        <v>2058</v>
      </c>
      <c r="K659" s="114" t="s">
        <v>4271</v>
      </c>
      <c r="L659" s="116"/>
      <c r="M659" s="114" t="s">
        <v>2878</v>
      </c>
      <c r="N659" s="114" t="s">
        <v>2879</v>
      </c>
      <c r="O659" s="114" t="s">
        <v>2878</v>
      </c>
      <c r="P659" s="117" t="s">
        <v>2880</v>
      </c>
    </row>
    <row r="660" spans="2:16" ht="45" x14ac:dyDescent="0.25">
      <c r="B660" s="108" t="str">
        <f t="shared" si="98"/>
        <v>1</v>
      </c>
      <c r="C660" s="108" t="str">
        <f t="shared" si="99"/>
        <v>9</v>
      </c>
      <c r="D660" s="108" t="str">
        <f t="shared" si="100"/>
        <v>1</v>
      </c>
      <c r="E660" s="108" t="str">
        <f t="shared" si="101"/>
        <v>0</v>
      </c>
      <c r="F660" s="108" t="str">
        <f t="shared" si="102"/>
        <v>10</v>
      </c>
      <c r="G660" s="108" t="str">
        <f t="shared" si="103"/>
        <v>0</v>
      </c>
      <c r="H660" s="108" t="str">
        <f t="shared" si="104"/>
        <v>0</v>
      </c>
      <c r="I660" s="109">
        <v>19101000</v>
      </c>
      <c r="J660" s="108" t="s">
        <v>2095</v>
      </c>
      <c r="K660" s="108" t="s">
        <v>4275</v>
      </c>
      <c r="L660" s="110"/>
      <c r="M660" s="108" t="s">
        <v>2878</v>
      </c>
      <c r="N660" s="108" t="s">
        <v>2879</v>
      </c>
      <c r="O660" s="108" t="s">
        <v>2878</v>
      </c>
      <c r="P660" s="111" t="s">
        <v>2880</v>
      </c>
    </row>
    <row r="661" spans="2:16" ht="45" x14ac:dyDescent="0.25">
      <c r="B661" s="114" t="str">
        <f t="shared" ref="B661:B703" si="105">MID($I661,1,1)</f>
        <v>1</v>
      </c>
      <c r="C661" s="114" t="str">
        <f t="shared" ref="C661:C703" si="106">MID($I661,2,1)</f>
        <v>9</v>
      </c>
      <c r="D661" s="114" t="str">
        <f t="shared" ref="D661:D703" si="107">MID($I661,3,1)</f>
        <v>1</v>
      </c>
      <c r="E661" s="114" t="str">
        <f t="shared" ref="E661:E703" si="108">MID($I661,4,1)</f>
        <v>0</v>
      </c>
      <c r="F661" s="114" t="str">
        <f t="shared" ref="F661:F703" si="109">MID($I661,5,2)</f>
        <v>10</v>
      </c>
      <c r="G661" s="114" t="str">
        <f t="shared" ref="G661:G703" si="110">MID($I661,7,1)</f>
        <v>1</v>
      </c>
      <c r="H661" s="114" t="str">
        <f t="shared" ref="H661:H703" si="111">MID($I661,8,1)</f>
        <v>0</v>
      </c>
      <c r="I661" s="115">
        <v>19101010</v>
      </c>
      <c r="J661" s="114" t="s">
        <v>2095</v>
      </c>
      <c r="K661" s="114" t="s">
        <v>4275</v>
      </c>
      <c r="L661" s="116"/>
      <c r="M661" s="114" t="s">
        <v>2878</v>
      </c>
      <c r="N661" s="114" t="s">
        <v>2879</v>
      </c>
      <c r="O661" s="114" t="s">
        <v>2878</v>
      </c>
      <c r="P661" s="117" t="s">
        <v>2880</v>
      </c>
    </row>
    <row r="662" spans="2:16" ht="210" x14ac:dyDescent="0.25">
      <c r="B662" s="108" t="str">
        <f t="shared" si="105"/>
        <v>1</v>
      </c>
      <c r="C662" s="108" t="str">
        <f t="shared" si="106"/>
        <v>9</v>
      </c>
      <c r="D662" s="108" t="str">
        <f t="shared" si="107"/>
        <v>1</v>
      </c>
      <c r="E662" s="108" t="str">
        <f t="shared" si="108"/>
        <v>0</v>
      </c>
      <c r="F662" s="108" t="str">
        <f t="shared" si="109"/>
        <v>11</v>
      </c>
      <c r="G662" s="108" t="str">
        <f t="shared" si="110"/>
        <v>0</v>
      </c>
      <c r="H662" s="108" t="str">
        <f t="shared" si="111"/>
        <v>0</v>
      </c>
      <c r="I662" s="109">
        <v>19101100</v>
      </c>
      <c r="J662" s="108" t="s">
        <v>4283</v>
      </c>
      <c r="K662" s="108" t="s">
        <v>4284</v>
      </c>
      <c r="L662" s="110"/>
      <c r="M662" s="108" t="s">
        <v>2878</v>
      </c>
      <c r="N662" s="108" t="s">
        <v>2879</v>
      </c>
      <c r="O662" s="108" t="s">
        <v>2878</v>
      </c>
      <c r="P662" s="111" t="s">
        <v>2880</v>
      </c>
    </row>
    <row r="663" spans="2:16" ht="210" x14ac:dyDescent="0.25">
      <c r="B663" s="114" t="str">
        <f t="shared" si="105"/>
        <v>1</v>
      </c>
      <c r="C663" s="114" t="str">
        <f t="shared" si="106"/>
        <v>9</v>
      </c>
      <c r="D663" s="114" t="str">
        <f t="shared" si="107"/>
        <v>1</v>
      </c>
      <c r="E663" s="114" t="str">
        <f t="shared" si="108"/>
        <v>0</v>
      </c>
      <c r="F663" s="114" t="str">
        <f t="shared" si="109"/>
        <v>11</v>
      </c>
      <c r="G663" s="114" t="str">
        <f t="shared" si="110"/>
        <v>1</v>
      </c>
      <c r="H663" s="114" t="str">
        <f t="shared" si="111"/>
        <v>0</v>
      </c>
      <c r="I663" s="115">
        <v>19101110</v>
      </c>
      <c r="J663" s="114" t="s">
        <v>4283</v>
      </c>
      <c r="K663" s="114" t="s">
        <v>4284</v>
      </c>
      <c r="L663" s="116"/>
      <c r="M663" s="114" t="s">
        <v>2878</v>
      </c>
      <c r="N663" s="114" t="s">
        <v>2879</v>
      </c>
      <c r="O663" s="114" t="s">
        <v>2878</v>
      </c>
      <c r="P663" s="117" t="s">
        <v>2880</v>
      </c>
    </row>
    <row r="664" spans="2:16" s="148" customFormat="1" ht="60" x14ac:dyDescent="0.25">
      <c r="B664" s="145" t="str">
        <f t="shared" si="105"/>
        <v>1</v>
      </c>
      <c r="C664" s="145" t="str">
        <f t="shared" si="106"/>
        <v>9</v>
      </c>
      <c r="D664" s="145" t="str">
        <f t="shared" si="107"/>
        <v>1</v>
      </c>
      <c r="E664" s="145" t="str">
        <f t="shared" si="108"/>
        <v>0</v>
      </c>
      <c r="F664" s="145" t="str">
        <f t="shared" si="109"/>
        <v>12</v>
      </c>
      <c r="G664" s="145" t="str">
        <f t="shared" si="110"/>
        <v>0</v>
      </c>
      <c r="H664" s="145" t="str">
        <f t="shared" si="111"/>
        <v>0</v>
      </c>
      <c r="I664" s="143">
        <v>19101200</v>
      </c>
      <c r="J664" s="145" t="s">
        <v>5588</v>
      </c>
      <c r="K664" s="145" t="s">
        <v>5589</v>
      </c>
      <c r="L664" s="146"/>
      <c r="M664" s="145" t="s">
        <v>2878</v>
      </c>
      <c r="N664" s="145" t="s">
        <v>5590</v>
      </c>
      <c r="O664" s="145" t="s">
        <v>2878</v>
      </c>
      <c r="P664" s="147" t="s">
        <v>2880</v>
      </c>
    </row>
    <row r="665" spans="2:16" s="148" customFormat="1" ht="60" x14ac:dyDescent="0.25">
      <c r="B665" s="149" t="str">
        <f t="shared" si="105"/>
        <v>1</v>
      </c>
      <c r="C665" s="149" t="str">
        <f t="shared" si="106"/>
        <v>9</v>
      </c>
      <c r="D665" s="149" t="str">
        <f t="shared" si="107"/>
        <v>1</v>
      </c>
      <c r="E665" s="149" t="str">
        <f t="shared" si="108"/>
        <v>0</v>
      </c>
      <c r="F665" s="149" t="str">
        <f t="shared" si="109"/>
        <v>12</v>
      </c>
      <c r="G665" s="149" t="str">
        <f t="shared" si="110"/>
        <v>1</v>
      </c>
      <c r="H665" s="149" t="str">
        <f t="shared" si="111"/>
        <v>0</v>
      </c>
      <c r="I665" s="144">
        <v>19101210</v>
      </c>
      <c r="J665" s="149" t="s">
        <v>5588</v>
      </c>
      <c r="K665" s="149" t="s">
        <v>5589</v>
      </c>
      <c r="L665" s="150"/>
      <c r="M665" s="149" t="s">
        <v>2878</v>
      </c>
      <c r="N665" s="149" t="s">
        <v>5590</v>
      </c>
      <c r="O665" s="149" t="s">
        <v>2878</v>
      </c>
      <c r="P665" s="151" t="s">
        <v>2880</v>
      </c>
    </row>
    <row r="666" spans="2:16" s="148" customFormat="1" ht="45" x14ac:dyDescent="0.25">
      <c r="B666" s="145" t="str">
        <f t="shared" si="105"/>
        <v>1</v>
      </c>
      <c r="C666" s="145" t="str">
        <f t="shared" si="106"/>
        <v>9</v>
      </c>
      <c r="D666" s="145" t="str">
        <f t="shared" si="107"/>
        <v>1</v>
      </c>
      <c r="E666" s="145" t="str">
        <f t="shared" si="108"/>
        <v>0</v>
      </c>
      <c r="F666" s="145" t="str">
        <f t="shared" si="109"/>
        <v>13</v>
      </c>
      <c r="G666" s="145" t="str">
        <f t="shared" si="110"/>
        <v>0</v>
      </c>
      <c r="H666" s="145" t="str">
        <f t="shared" si="111"/>
        <v>0</v>
      </c>
      <c r="I666" s="143">
        <v>19101300</v>
      </c>
      <c r="J666" s="145" t="s">
        <v>5591</v>
      </c>
      <c r="K666" s="145" t="s">
        <v>5594</v>
      </c>
      <c r="L666" s="146"/>
      <c r="M666" s="145" t="s">
        <v>2878</v>
      </c>
      <c r="N666" s="145" t="s">
        <v>5587</v>
      </c>
      <c r="O666" s="145" t="s">
        <v>5596</v>
      </c>
      <c r="P666" s="147" t="s">
        <v>2880</v>
      </c>
    </row>
    <row r="667" spans="2:16" s="148" customFormat="1" ht="60" x14ac:dyDescent="0.25">
      <c r="B667" s="149" t="str">
        <f t="shared" si="105"/>
        <v>1</v>
      </c>
      <c r="C667" s="149" t="str">
        <f t="shared" si="106"/>
        <v>9</v>
      </c>
      <c r="D667" s="149" t="str">
        <f t="shared" si="107"/>
        <v>1</v>
      </c>
      <c r="E667" s="149" t="str">
        <f t="shared" si="108"/>
        <v>0</v>
      </c>
      <c r="F667" s="149" t="str">
        <f t="shared" si="109"/>
        <v>13</v>
      </c>
      <c r="G667" s="149" t="str">
        <f t="shared" si="110"/>
        <v>1</v>
      </c>
      <c r="H667" s="149" t="str">
        <f t="shared" si="111"/>
        <v>0</v>
      </c>
      <c r="I667" s="144">
        <v>19101310</v>
      </c>
      <c r="J667" s="149" t="s">
        <v>5592</v>
      </c>
      <c r="K667" s="149" t="s">
        <v>5593</v>
      </c>
      <c r="L667" s="150"/>
      <c r="M667" s="149" t="s">
        <v>2878</v>
      </c>
      <c r="N667" s="149" t="s">
        <v>5587</v>
      </c>
      <c r="O667" s="149" t="s">
        <v>5596</v>
      </c>
      <c r="P667" s="151" t="s">
        <v>2880</v>
      </c>
    </row>
    <row r="668" spans="2:16" s="148" customFormat="1" ht="60" x14ac:dyDescent="0.25">
      <c r="B668" s="149" t="str">
        <f t="shared" si="105"/>
        <v>1</v>
      </c>
      <c r="C668" s="149" t="str">
        <f t="shared" si="106"/>
        <v>9</v>
      </c>
      <c r="D668" s="149" t="str">
        <f t="shared" si="107"/>
        <v>1</v>
      </c>
      <c r="E668" s="149" t="str">
        <f t="shared" si="108"/>
        <v>0</v>
      </c>
      <c r="F668" s="149" t="str">
        <f t="shared" si="109"/>
        <v>13</v>
      </c>
      <c r="G668" s="149" t="str">
        <f t="shared" si="110"/>
        <v>2</v>
      </c>
      <c r="H668" s="149" t="str">
        <f t="shared" si="111"/>
        <v>0</v>
      </c>
      <c r="I668" s="144">
        <v>19101320</v>
      </c>
      <c r="J668" s="149" t="s">
        <v>2095</v>
      </c>
      <c r="K668" s="149" t="s">
        <v>5595</v>
      </c>
      <c r="L668" s="150"/>
      <c r="M668" s="149" t="s">
        <v>2878</v>
      </c>
      <c r="N668" s="149" t="s">
        <v>5587</v>
      </c>
      <c r="O668" s="149" t="s">
        <v>5596</v>
      </c>
      <c r="P668" s="151" t="s">
        <v>2880</v>
      </c>
    </row>
    <row r="669" spans="2:16" ht="30" x14ac:dyDescent="0.25">
      <c r="B669" s="126" t="str">
        <f t="shared" si="105"/>
        <v>1</v>
      </c>
      <c r="C669" s="126" t="str">
        <f t="shared" si="106"/>
        <v>9</v>
      </c>
      <c r="D669" s="126" t="str">
        <f t="shared" si="107"/>
        <v>2</v>
      </c>
      <c r="E669" s="126" t="str">
        <f t="shared" si="108"/>
        <v>0</v>
      </c>
      <c r="F669" s="126" t="str">
        <f t="shared" si="109"/>
        <v>00</v>
      </c>
      <c r="G669" s="126" t="str">
        <f t="shared" si="110"/>
        <v>0</v>
      </c>
      <c r="H669" s="126" t="str">
        <f t="shared" si="111"/>
        <v>0</v>
      </c>
      <c r="I669" s="127">
        <v>19200000</v>
      </c>
      <c r="J669" s="126" t="s">
        <v>4288</v>
      </c>
      <c r="K669" s="126" t="s">
        <v>4289</v>
      </c>
      <c r="L669" s="122"/>
      <c r="M669" s="126" t="s">
        <v>2878</v>
      </c>
      <c r="N669" s="126" t="s">
        <v>5016</v>
      </c>
      <c r="O669" s="126" t="s">
        <v>2878</v>
      </c>
      <c r="P669" s="128" t="s">
        <v>2880</v>
      </c>
    </row>
    <row r="670" spans="2:16" ht="30" x14ac:dyDescent="0.25">
      <c r="B670" s="104" t="str">
        <f t="shared" si="105"/>
        <v>1</v>
      </c>
      <c r="C670" s="104" t="str">
        <f t="shared" si="106"/>
        <v>9</v>
      </c>
      <c r="D670" s="104" t="str">
        <f t="shared" si="107"/>
        <v>2</v>
      </c>
      <c r="E670" s="104" t="str">
        <f t="shared" si="108"/>
        <v>1</v>
      </c>
      <c r="F670" s="104" t="str">
        <f t="shared" si="109"/>
        <v>00</v>
      </c>
      <c r="G670" s="104" t="str">
        <f t="shared" si="110"/>
        <v>0</v>
      </c>
      <c r="H670" s="104" t="str">
        <f t="shared" si="111"/>
        <v>0</v>
      </c>
      <c r="I670" s="105">
        <v>19210000</v>
      </c>
      <c r="J670" s="104" t="s">
        <v>2129</v>
      </c>
      <c r="K670" s="104" t="s">
        <v>4290</v>
      </c>
      <c r="L670" s="106"/>
      <c r="M670" s="104" t="s">
        <v>2878</v>
      </c>
      <c r="N670" s="104" t="s">
        <v>2879</v>
      </c>
      <c r="O670" s="104" t="s">
        <v>2878</v>
      </c>
      <c r="P670" s="107" t="s">
        <v>2880</v>
      </c>
    </row>
    <row r="671" spans="2:16" ht="30" x14ac:dyDescent="0.25">
      <c r="B671" s="108" t="str">
        <f t="shared" si="105"/>
        <v>1</v>
      </c>
      <c r="C671" s="108" t="str">
        <f t="shared" si="106"/>
        <v>9</v>
      </c>
      <c r="D671" s="108" t="str">
        <f t="shared" si="107"/>
        <v>2</v>
      </c>
      <c r="E671" s="108" t="str">
        <f t="shared" si="108"/>
        <v>1</v>
      </c>
      <c r="F671" s="108" t="str">
        <f t="shared" si="109"/>
        <v>01</v>
      </c>
      <c r="G671" s="108" t="str">
        <f t="shared" si="110"/>
        <v>0</v>
      </c>
      <c r="H671" s="108" t="str">
        <f t="shared" si="111"/>
        <v>0</v>
      </c>
      <c r="I671" s="109">
        <v>19210100</v>
      </c>
      <c r="J671" s="108" t="s">
        <v>2134</v>
      </c>
      <c r="K671" s="108" t="s">
        <v>4291</v>
      </c>
      <c r="L671" s="110"/>
      <c r="M671" s="108" t="s">
        <v>2878</v>
      </c>
      <c r="N671" s="108" t="s">
        <v>2879</v>
      </c>
      <c r="O671" s="108" t="s">
        <v>2878</v>
      </c>
      <c r="P671" s="111" t="s">
        <v>2880</v>
      </c>
    </row>
    <row r="672" spans="2:16" ht="30" x14ac:dyDescent="0.25">
      <c r="B672" s="114" t="str">
        <f t="shared" si="105"/>
        <v>1</v>
      </c>
      <c r="C672" s="114" t="str">
        <f t="shared" si="106"/>
        <v>9</v>
      </c>
      <c r="D672" s="114" t="str">
        <f t="shared" si="107"/>
        <v>2</v>
      </c>
      <c r="E672" s="114" t="str">
        <f t="shared" si="108"/>
        <v>1</v>
      </c>
      <c r="F672" s="114" t="str">
        <f t="shared" si="109"/>
        <v>01</v>
      </c>
      <c r="G672" s="114" t="str">
        <f t="shared" si="110"/>
        <v>1</v>
      </c>
      <c r="H672" s="114" t="str">
        <f t="shared" si="111"/>
        <v>0</v>
      </c>
      <c r="I672" s="115">
        <v>19210110</v>
      </c>
      <c r="J672" s="114" t="s">
        <v>2134</v>
      </c>
      <c r="K672" s="114" t="s">
        <v>4291</v>
      </c>
      <c r="L672" s="116"/>
      <c r="M672" s="114" t="s">
        <v>2878</v>
      </c>
      <c r="N672" s="114" t="s">
        <v>2879</v>
      </c>
      <c r="O672" s="114" t="s">
        <v>2878</v>
      </c>
      <c r="P672" s="117" t="s">
        <v>2880</v>
      </c>
    </row>
    <row r="673" spans="2:16" ht="30" x14ac:dyDescent="0.25">
      <c r="B673" s="108" t="str">
        <f t="shared" si="105"/>
        <v>1</v>
      </c>
      <c r="C673" s="108" t="str">
        <f t="shared" si="106"/>
        <v>9</v>
      </c>
      <c r="D673" s="108" t="str">
        <f t="shared" si="107"/>
        <v>2</v>
      </c>
      <c r="E673" s="108" t="str">
        <f t="shared" si="108"/>
        <v>1</v>
      </c>
      <c r="F673" s="108" t="str">
        <f t="shared" si="109"/>
        <v>02</v>
      </c>
      <c r="G673" s="108" t="str">
        <f t="shared" si="110"/>
        <v>0</v>
      </c>
      <c r="H673" s="108" t="str">
        <f t="shared" si="111"/>
        <v>0</v>
      </c>
      <c r="I673" s="109">
        <v>19210200</v>
      </c>
      <c r="J673" s="108" t="s">
        <v>4296</v>
      </c>
      <c r="K673" s="108" t="s">
        <v>4297</v>
      </c>
      <c r="L673" s="110"/>
      <c r="M673" s="108" t="s">
        <v>2878</v>
      </c>
      <c r="N673" s="108" t="s">
        <v>2879</v>
      </c>
      <c r="O673" s="108" t="s">
        <v>2878</v>
      </c>
      <c r="P673" s="111" t="s">
        <v>2880</v>
      </c>
    </row>
    <row r="674" spans="2:16" ht="30" x14ac:dyDescent="0.25">
      <c r="B674" s="114" t="str">
        <f t="shared" si="105"/>
        <v>1</v>
      </c>
      <c r="C674" s="114" t="str">
        <f t="shared" si="106"/>
        <v>9</v>
      </c>
      <c r="D674" s="114" t="str">
        <f t="shared" si="107"/>
        <v>2</v>
      </c>
      <c r="E674" s="114" t="str">
        <f t="shared" si="108"/>
        <v>1</v>
      </c>
      <c r="F674" s="114" t="str">
        <f t="shared" si="109"/>
        <v>02</v>
      </c>
      <c r="G674" s="114" t="str">
        <f t="shared" si="110"/>
        <v>1</v>
      </c>
      <c r="H674" s="114" t="str">
        <f t="shared" si="111"/>
        <v>0</v>
      </c>
      <c r="I674" s="115">
        <v>19210210</v>
      </c>
      <c r="J674" s="114" t="s">
        <v>4296</v>
      </c>
      <c r="K674" s="114" t="s">
        <v>4297</v>
      </c>
      <c r="L674" s="116"/>
      <c r="M674" s="114" t="s">
        <v>2878</v>
      </c>
      <c r="N674" s="114" t="s">
        <v>2879</v>
      </c>
      <c r="O674" s="114" t="s">
        <v>2878</v>
      </c>
      <c r="P674" s="117" t="s">
        <v>2880</v>
      </c>
    </row>
    <row r="675" spans="2:16" ht="75" x14ac:dyDescent="0.25">
      <c r="B675" s="108" t="str">
        <f t="shared" si="105"/>
        <v>1</v>
      </c>
      <c r="C675" s="108" t="str">
        <f t="shared" si="106"/>
        <v>9</v>
      </c>
      <c r="D675" s="108" t="str">
        <f t="shared" si="107"/>
        <v>2</v>
      </c>
      <c r="E675" s="108" t="str">
        <f t="shared" si="108"/>
        <v>1</v>
      </c>
      <c r="F675" s="108" t="str">
        <f t="shared" si="109"/>
        <v>03</v>
      </c>
      <c r="G675" s="108" t="str">
        <f t="shared" si="110"/>
        <v>0</v>
      </c>
      <c r="H675" s="108" t="str">
        <f t="shared" si="111"/>
        <v>0</v>
      </c>
      <c r="I675" s="109">
        <v>19210300</v>
      </c>
      <c r="J675" s="108" t="s">
        <v>4301</v>
      </c>
      <c r="K675" s="108" t="s">
        <v>4302</v>
      </c>
      <c r="L675" s="110"/>
      <c r="M675" s="108" t="s">
        <v>2878</v>
      </c>
      <c r="N675" s="108" t="s">
        <v>2879</v>
      </c>
      <c r="O675" s="108" t="s">
        <v>2878</v>
      </c>
      <c r="P675" s="111" t="s">
        <v>2880</v>
      </c>
    </row>
    <row r="676" spans="2:16" ht="75" x14ac:dyDescent="0.25">
      <c r="B676" s="114" t="str">
        <f t="shared" si="105"/>
        <v>1</v>
      </c>
      <c r="C676" s="114" t="str">
        <f t="shared" si="106"/>
        <v>9</v>
      </c>
      <c r="D676" s="114" t="str">
        <f t="shared" si="107"/>
        <v>2</v>
      </c>
      <c r="E676" s="114" t="str">
        <f t="shared" si="108"/>
        <v>1</v>
      </c>
      <c r="F676" s="114" t="str">
        <f t="shared" si="109"/>
        <v>03</v>
      </c>
      <c r="G676" s="114" t="str">
        <f t="shared" si="110"/>
        <v>1</v>
      </c>
      <c r="H676" s="114" t="str">
        <f t="shared" si="111"/>
        <v>0</v>
      </c>
      <c r="I676" s="115">
        <v>19210310</v>
      </c>
      <c r="J676" s="114" t="s">
        <v>4301</v>
      </c>
      <c r="K676" s="114" t="s">
        <v>4302</v>
      </c>
      <c r="L676" s="116"/>
      <c r="M676" s="114" t="s">
        <v>2878</v>
      </c>
      <c r="N676" s="114" t="s">
        <v>2879</v>
      </c>
      <c r="O676" s="114" t="s">
        <v>2878</v>
      </c>
      <c r="P676" s="117" t="s">
        <v>2880</v>
      </c>
    </row>
    <row r="677" spans="2:16" ht="30" x14ac:dyDescent="0.25">
      <c r="B677" s="108" t="str">
        <f t="shared" si="105"/>
        <v>1</v>
      </c>
      <c r="C677" s="108" t="str">
        <f t="shared" si="106"/>
        <v>9</v>
      </c>
      <c r="D677" s="108" t="str">
        <f t="shared" si="107"/>
        <v>2</v>
      </c>
      <c r="E677" s="108" t="str">
        <f t="shared" si="108"/>
        <v>1</v>
      </c>
      <c r="F677" s="108" t="str">
        <f t="shared" si="109"/>
        <v>99</v>
      </c>
      <c r="G677" s="108" t="str">
        <f t="shared" si="110"/>
        <v>0</v>
      </c>
      <c r="H677" s="108" t="str">
        <f t="shared" si="111"/>
        <v>0</v>
      </c>
      <c r="I677" s="109">
        <v>19219900</v>
      </c>
      <c r="J677" s="108" t="s">
        <v>2138</v>
      </c>
      <c r="K677" s="108" t="s">
        <v>4306</v>
      </c>
      <c r="L677" s="110"/>
      <c r="M677" s="108" t="s">
        <v>2878</v>
      </c>
      <c r="N677" s="108" t="s">
        <v>2879</v>
      </c>
      <c r="O677" s="108" t="s">
        <v>2878</v>
      </c>
      <c r="P677" s="111" t="s">
        <v>2880</v>
      </c>
    </row>
    <row r="678" spans="2:16" ht="30" x14ac:dyDescent="0.25">
      <c r="B678" s="114" t="str">
        <f t="shared" si="105"/>
        <v>1</v>
      </c>
      <c r="C678" s="114" t="str">
        <f t="shared" si="106"/>
        <v>9</v>
      </c>
      <c r="D678" s="114" t="str">
        <f t="shared" si="107"/>
        <v>2</v>
      </c>
      <c r="E678" s="114" t="str">
        <f t="shared" si="108"/>
        <v>1</v>
      </c>
      <c r="F678" s="114" t="str">
        <f t="shared" si="109"/>
        <v>99</v>
      </c>
      <c r="G678" s="114" t="str">
        <f t="shared" si="110"/>
        <v>1</v>
      </c>
      <c r="H678" s="114" t="str">
        <f t="shared" si="111"/>
        <v>0</v>
      </c>
      <c r="I678" s="115">
        <v>19219910</v>
      </c>
      <c r="J678" s="114" t="s">
        <v>2138</v>
      </c>
      <c r="K678" s="114" t="s">
        <v>4306</v>
      </c>
      <c r="L678" s="116"/>
      <c r="M678" s="114" t="s">
        <v>2878</v>
      </c>
      <c r="N678" s="114" t="s">
        <v>2879</v>
      </c>
      <c r="O678" s="114" t="s">
        <v>2878</v>
      </c>
      <c r="P678" s="117" t="s">
        <v>2880</v>
      </c>
    </row>
    <row r="679" spans="2:16" ht="45" x14ac:dyDescent="0.25">
      <c r="B679" s="104" t="str">
        <f t="shared" si="105"/>
        <v>1</v>
      </c>
      <c r="C679" s="104" t="str">
        <f t="shared" si="106"/>
        <v>9</v>
      </c>
      <c r="D679" s="104" t="str">
        <f t="shared" si="107"/>
        <v>2</v>
      </c>
      <c r="E679" s="104" t="str">
        <f t="shared" si="108"/>
        <v>2</v>
      </c>
      <c r="F679" s="104" t="str">
        <f t="shared" si="109"/>
        <v>00</v>
      </c>
      <c r="G679" s="104" t="str">
        <f t="shared" si="110"/>
        <v>0</v>
      </c>
      <c r="H679" s="104" t="str">
        <f t="shared" si="111"/>
        <v>0</v>
      </c>
      <c r="I679" s="105">
        <v>19220000</v>
      </c>
      <c r="J679" s="104" t="s">
        <v>2140</v>
      </c>
      <c r="K679" s="104" t="s">
        <v>4310</v>
      </c>
      <c r="L679" s="106"/>
      <c r="M679" s="104" t="s">
        <v>2878</v>
      </c>
      <c r="N679" s="104" t="s">
        <v>2879</v>
      </c>
      <c r="O679" s="104" t="s">
        <v>2878</v>
      </c>
      <c r="P679" s="107" t="s">
        <v>2880</v>
      </c>
    </row>
    <row r="680" spans="2:16" ht="60" x14ac:dyDescent="0.25">
      <c r="B680" s="108" t="str">
        <f t="shared" si="105"/>
        <v>1</v>
      </c>
      <c r="C680" s="108" t="str">
        <f t="shared" si="106"/>
        <v>9</v>
      </c>
      <c r="D680" s="108" t="str">
        <f t="shared" si="107"/>
        <v>2</v>
      </c>
      <c r="E680" s="108" t="str">
        <f t="shared" si="108"/>
        <v>2</v>
      </c>
      <c r="F680" s="108" t="str">
        <f t="shared" si="109"/>
        <v>01</v>
      </c>
      <c r="G680" s="108" t="str">
        <f t="shared" si="110"/>
        <v>0</v>
      </c>
      <c r="H680" s="108" t="str">
        <f t="shared" si="111"/>
        <v>0</v>
      </c>
      <c r="I680" s="109">
        <v>19220100</v>
      </c>
      <c r="J680" s="108" t="s">
        <v>4311</v>
      </c>
      <c r="K680" s="108" t="s">
        <v>4312</v>
      </c>
      <c r="L680" s="110"/>
      <c r="M680" s="108" t="s">
        <v>2878</v>
      </c>
      <c r="N680" s="108" t="s">
        <v>2144</v>
      </c>
      <c r="O680" s="108" t="s">
        <v>2878</v>
      </c>
      <c r="P680" s="111" t="s">
        <v>2880</v>
      </c>
    </row>
    <row r="681" spans="2:16" ht="60" x14ac:dyDescent="0.25">
      <c r="B681" s="114" t="str">
        <f t="shared" si="105"/>
        <v>1</v>
      </c>
      <c r="C681" s="114" t="str">
        <f t="shared" si="106"/>
        <v>9</v>
      </c>
      <c r="D681" s="114" t="str">
        <f t="shared" si="107"/>
        <v>2</v>
      </c>
      <c r="E681" s="114" t="str">
        <f t="shared" si="108"/>
        <v>2</v>
      </c>
      <c r="F681" s="114" t="str">
        <f t="shared" si="109"/>
        <v>01</v>
      </c>
      <c r="G681" s="114" t="str">
        <f t="shared" si="110"/>
        <v>1</v>
      </c>
      <c r="H681" s="114" t="str">
        <f t="shared" si="111"/>
        <v>0</v>
      </c>
      <c r="I681" s="115">
        <v>19220110</v>
      </c>
      <c r="J681" s="114" t="s">
        <v>4313</v>
      </c>
      <c r="K681" s="114" t="s">
        <v>4314</v>
      </c>
      <c r="L681" s="116"/>
      <c r="M681" s="114" t="s">
        <v>2878</v>
      </c>
      <c r="N681" s="114" t="s">
        <v>2879</v>
      </c>
      <c r="O681" s="114" t="s">
        <v>2878</v>
      </c>
      <c r="P681" s="117" t="s">
        <v>2880</v>
      </c>
    </row>
    <row r="682" spans="2:16" ht="60" x14ac:dyDescent="0.25">
      <c r="B682" s="114" t="str">
        <f t="shared" si="105"/>
        <v>1</v>
      </c>
      <c r="C682" s="114" t="str">
        <f t="shared" si="106"/>
        <v>9</v>
      </c>
      <c r="D682" s="114" t="str">
        <f t="shared" si="107"/>
        <v>2</v>
      </c>
      <c r="E682" s="114" t="str">
        <f t="shared" si="108"/>
        <v>2</v>
      </c>
      <c r="F682" s="114" t="str">
        <f t="shared" si="109"/>
        <v>01</v>
      </c>
      <c r="G682" s="114" t="str">
        <f t="shared" si="110"/>
        <v>2</v>
      </c>
      <c r="H682" s="114" t="str">
        <f t="shared" si="111"/>
        <v>0</v>
      </c>
      <c r="I682" s="115">
        <v>19220120</v>
      </c>
      <c r="J682" s="114" t="s">
        <v>4318</v>
      </c>
      <c r="K682" s="114" t="s">
        <v>4314</v>
      </c>
      <c r="L682" s="116"/>
      <c r="M682" s="114" t="s">
        <v>2878</v>
      </c>
      <c r="N682" s="114" t="s">
        <v>2879</v>
      </c>
      <c r="O682" s="114" t="s">
        <v>2878</v>
      </c>
      <c r="P682" s="117" t="s">
        <v>2880</v>
      </c>
    </row>
    <row r="683" spans="2:16" ht="45" x14ac:dyDescent="0.25">
      <c r="B683" s="108" t="str">
        <f t="shared" si="105"/>
        <v>1</v>
      </c>
      <c r="C683" s="108" t="str">
        <f t="shared" si="106"/>
        <v>9</v>
      </c>
      <c r="D683" s="108" t="str">
        <f t="shared" si="107"/>
        <v>2</v>
      </c>
      <c r="E683" s="108" t="str">
        <f t="shared" si="108"/>
        <v>2</v>
      </c>
      <c r="F683" s="108" t="str">
        <f t="shared" si="109"/>
        <v>02</v>
      </c>
      <c r="G683" s="108" t="str">
        <f t="shared" si="110"/>
        <v>0</v>
      </c>
      <c r="H683" s="108" t="str">
        <f t="shared" si="111"/>
        <v>0</v>
      </c>
      <c r="I683" s="109">
        <v>19220200</v>
      </c>
      <c r="J683" s="108" t="s">
        <v>4321</v>
      </c>
      <c r="K683" s="108" t="s">
        <v>4322</v>
      </c>
      <c r="L683" s="110"/>
      <c r="M683" s="108" t="s">
        <v>2878</v>
      </c>
      <c r="N683" s="108" t="s">
        <v>2879</v>
      </c>
      <c r="O683" s="108" t="s">
        <v>2878</v>
      </c>
      <c r="P683" s="111" t="s">
        <v>2880</v>
      </c>
    </row>
    <row r="684" spans="2:16" ht="45" x14ac:dyDescent="0.25">
      <c r="B684" s="114" t="str">
        <f t="shared" si="105"/>
        <v>1</v>
      </c>
      <c r="C684" s="114" t="str">
        <f t="shared" si="106"/>
        <v>9</v>
      </c>
      <c r="D684" s="114" t="str">
        <f t="shared" si="107"/>
        <v>2</v>
      </c>
      <c r="E684" s="114" t="str">
        <f t="shared" si="108"/>
        <v>2</v>
      </c>
      <c r="F684" s="114" t="str">
        <f t="shared" si="109"/>
        <v>02</v>
      </c>
      <c r="G684" s="114" t="str">
        <f t="shared" si="110"/>
        <v>1</v>
      </c>
      <c r="H684" s="114" t="str">
        <f t="shared" si="111"/>
        <v>0</v>
      </c>
      <c r="I684" s="115">
        <v>19220210</v>
      </c>
      <c r="J684" s="114" t="s">
        <v>4321</v>
      </c>
      <c r="K684" s="114" t="s">
        <v>4322</v>
      </c>
      <c r="L684" s="116"/>
      <c r="M684" s="114" t="s">
        <v>2878</v>
      </c>
      <c r="N684" s="114" t="s">
        <v>2152</v>
      </c>
      <c r="O684" s="114" t="s">
        <v>2878</v>
      </c>
      <c r="P684" s="117" t="s">
        <v>2880</v>
      </c>
    </row>
    <row r="685" spans="2:16" ht="30" x14ac:dyDescent="0.25">
      <c r="B685" s="108" t="str">
        <f t="shared" si="105"/>
        <v>1</v>
      </c>
      <c r="C685" s="108" t="str">
        <f t="shared" si="106"/>
        <v>9</v>
      </c>
      <c r="D685" s="108" t="str">
        <f t="shared" si="107"/>
        <v>2</v>
      </c>
      <c r="E685" s="108" t="str">
        <f t="shared" si="108"/>
        <v>2</v>
      </c>
      <c r="F685" s="108" t="str">
        <f t="shared" si="109"/>
        <v>03</v>
      </c>
      <c r="G685" s="108" t="str">
        <f t="shared" si="110"/>
        <v>0</v>
      </c>
      <c r="H685" s="108" t="str">
        <f t="shared" si="111"/>
        <v>0</v>
      </c>
      <c r="I685" s="109">
        <v>19220300</v>
      </c>
      <c r="J685" s="108" t="s">
        <v>4327</v>
      </c>
      <c r="K685" s="108" t="s">
        <v>4328</v>
      </c>
      <c r="L685" s="110"/>
      <c r="M685" s="108" t="s">
        <v>2878</v>
      </c>
      <c r="N685" s="108" t="s">
        <v>2879</v>
      </c>
      <c r="O685" s="108" t="s">
        <v>2878</v>
      </c>
      <c r="P685" s="111" t="s">
        <v>2880</v>
      </c>
    </row>
    <row r="686" spans="2:16" ht="30" x14ac:dyDescent="0.25">
      <c r="B686" s="114" t="str">
        <f t="shared" si="105"/>
        <v>1</v>
      </c>
      <c r="C686" s="114" t="str">
        <f t="shared" si="106"/>
        <v>9</v>
      </c>
      <c r="D686" s="114" t="str">
        <f t="shared" si="107"/>
        <v>2</v>
      </c>
      <c r="E686" s="114" t="str">
        <f t="shared" si="108"/>
        <v>2</v>
      </c>
      <c r="F686" s="114" t="str">
        <f t="shared" si="109"/>
        <v>03</v>
      </c>
      <c r="G686" s="114" t="str">
        <f t="shared" si="110"/>
        <v>1</v>
      </c>
      <c r="H686" s="114" t="str">
        <f t="shared" si="111"/>
        <v>0</v>
      </c>
      <c r="I686" s="115">
        <v>19220310</v>
      </c>
      <c r="J686" s="114" t="s">
        <v>4327</v>
      </c>
      <c r="K686" s="114" t="s">
        <v>4328</v>
      </c>
      <c r="L686" s="116"/>
      <c r="M686" s="114" t="s">
        <v>2878</v>
      </c>
      <c r="N686" s="114" t="s">
        <v>2879</v>
      </c>
      <c r="O686" s="114" t="s">
        <v>2878</v>
      </c>
      <c r="P686" s="117" t="s">
        <v>2880</v>
      </c>
    </row>
    <row r="687" spans="2:16" ht="60" x14ac:dyDescent="0.25">
      <c r="B687" s="108" t="str">
        <f t="shared" si="105"/>
        <v>1</v>
      </c>
      <c r="C687" s="108" t="str">
        <f t="shared" si="106"/>
        <v>9</v>
      </c>
      <c r="D687" s="108" t="str">
        <f t="shared" si="107"/>
        <v>2</v>
      </c>
      <c r="E687" s="108" t="str">
        <f t="shared" si="108"/>
        <v>2</v>
      </c>
      <c r="F687" s="108" t="str">
        <f t="shared" si="109"/>
        <v>04</v>
      </c>
      <c r="G687" s="108" t="str">
        <f t="shared" si="110"/>
        <v>0</v>
      </c>
      <c r="H687" s="108" t="str">
        <f t="shared" si="111"/>
        <v>0</v>
      </c>
      <c r="I687" s="109">
        <v>19220400</v>
      </c>
      <c r="J687" s="108" t="s">
        <v>4332</v>
      </c>
      <c r="K687" s="108" t="s">
        <v>4333</v>
      </c>
      <c r="L687" s="110"/>
      <c r="M687" s="108" t="s">
        <v>2878</v>
      </c>
      <c r="N687" s="108" t="s">
        <v>2879</v>
      </c>
      <c r="O687" s="108" t="s">
        <v>2878</v>
      </c>
      <c r="P687" s="111" t="s">
        <v>2880</v>
      </c>
    </row>
    <row r="688" spans="2:16" ht="60" x14ac:dyDescent="0.25">
      <c r="B688" s="114" t="str">
        <f t="shared" si="105"/>
        <v>1</v>
      </c>
      <c r="C688" s="114" t="str">
        <f t="shared" si="106"/>
        <v>9</v>
      </c>
      <c r="D688" s="114" t="str">
        <f t="shared" si="107"/>
        <v>2</v>
      </c>
      <c r="E688" s="114" t="str">
        <f t="shared" si="108"/>
        <v>2</v>
      </c>
      <c r="F688" s="114" t="str">
        <f t="shared" si="109"/>
        <v>04</v>
      </c>
      <c r="G688" s="114" t="str">
        <f t="shared" si="110"/>
        <v>1</v>
      </c>
      <c r="H688" s="114" t="str">
        <f t="shared" si="111"/>
        <v>0</v>
      </c>
      <c r="I688" s="115">
        <v>19220410</v>
      </c>
      <c r="J688" s="114" t="s">
        <v>4332</v>
      </c>
      <c r="K688" s="114" t="s">
        <v>4333</v>
      </c>
      <c r="L688" s="116"/>
      <c r="M688" s="114" t="s">
        <v>2878</v>
      </c>
      <c r="N688" s="114" t="s">
        <v>2879</v>
      </c>
      <c r="O688" s="114" t="s">
        <v>2878</v>
      </c>
      <c r="P688" s="117" t="s">
        <v>2880</v>
      </c>
    </row>
    <row r="689" spans="2:16" ht="45" x14ac:dyDescent="0.25">
      <c r="B689" s="108" t="str">
        <f t="shared" si="105"/>
        <v>1</v>
      </c>
      <c r="C689" s="108" t="str">
        <f t="shared" si="106"/>
        <v>9</v>
      </c>
      <c r="D689" s="108" t="str">
        <f t="shared" si="107"/>
        <v>2</v>
      </c>
      <c r="E689" s="108" t="str">
        <f t="shared" si="108"/>
        <v>2</v>
      </c>
      <c r="F689" s="108" t="str">
        <f t="shared" si="109"/>
        <v>05</v>
      </c>
      <c r="G689" s="108" t="str">
        <f t="shared" si="110"/>
        <v>0</v>
      </c>
      <c r="H689" s="108" t="str">
        <f t="shared" si="111"/>
        <v>0</v>
      </c>
      <c r="I689" s="109">
        <v>19220500</v>
      </c>
      <c r="J689" s="108" t="s">
        <v>2177</v>
      </c>
      <c r="K689" s="108" t="s">
        <v>4337</v>
      </c>
      <c r="L689" s="110"/>
      <c r="M689" s="108" t="s">
        <v>2878</v>
      </c>
      <c r="N689" s="108" t="s">
        <v>2879</v>
      </c>
      <c r="O689" s="108" t="s">
        <v>2878</v>
      </c>
      <c r="P689" s="111" t="s">
        <v>2880</v>
      </c>
    </row>
    <row r="690" spans="2:16" ht="45" x14ac:dyDescent="0.25">
      <c r="B690" s="114" t="str">
        <f t="shared" si="105"/>
        <v>1</v>
      </c>
      <c r="C690" s="114" t="str">
        <f t="shared" si="106"/>
        <v>9</v>
      </c>
      <c r="D690" s="114" t="str">
        <f t="shared" si="107"/>
        <v>2</v>
      </c>
      <c r="E690" s="114" t="str">
        <f t="shared" si="108"/>
        <v>2</v>
      </c>
      <c r="F690" s="114" t="str">
        <f t="shared" si="109"/>
        <v>05</v>
      </c>
      <c r="G690" s="114" t="str">
        <f t="shared" si="110"/>
        <v>1</v>
      </c>
      <c r="H690" s="114" t="str">
        <f t="shared" si="111"/>
        <v>0</v>
      </c>
      <c r="I690" s="115">
        <v>19220510</v>
      </c>
      <c r="J690" s="114" t="s">
        <v>2177</v>
      </c>
      <c r="K690" s="114" t="s">
        <v>4337</v>
      </c>
      <c r="L690" s="116"/>
      <c r="M690" s="114" t="s">
        <v>2878</v>
      </c>
      <c r="N690" s="114" t="s">
        <v>2879</v>
      </c>
      <c r="O690" s="114" t="s">
        <v>2878</v>
      </c>
      <c r="P690" s="117" t="s">
        <v>2880</v>
      </c>
    </row>
    <row r="691" spans="2:16" ht="60" x14ac:dyDescent="0.25">
      <c r="B691" s="108" t="str">
        <f t="shared" si="105"/>
        <v>1</v>
      </c>
      <c r="C691" s="108" t="str">
        <f t="shared" si="106"/>
        <v>9</v>
      </c>
      <c r="D691" s="108" t="str">
        <f t="shared" si="107"/>
        <v>2</v>
      </c>
      <c r="E691" s="108" t="str">
        <f t="shared" si="108"/>
        <v>2</v>
      </c>
      <c r="F691" s="108" t="str">
        <f t="shared" si="109"/>
        <v>06</v>
      </c>
      <c r="G691" s="108" t="str">
        <f t="shared" si="110"/>
        <v>0</v>
      </c>
      <c r="H691" s="108" t="str">
        <f t="shared" si="111"/>
        <v>0</v>
      </c>
      <c r="I691" s="109">
        <v>19220600</v>
      </c>
      <c r="J691" s="108" t="s">
        <v>4342</v>
      </c>
      <c r="K691" s="108" t="s">
        <v>4343</v>
      </c>
      <c r="L691" s="110"/>
      <c r="M691" s="108" t="s">
        <v>2878</v>
      </c>
      <c r="N691" s="108" t="s">
        <v>2879</v>
      </c>
      <c r="O691" s="108" t="s">
        <v>2878</v>
      </c>
      <c r="P691" s="111" t="s">
        <v>2880</v>
      </c>
    </row>
    <row r="692" spans="2:16" ht="60" x14ac:dyDescent="0.25">
      <c r="B692" s="114" t="str">
        <f t="shared" si="105"/>
        <v>1</v>
      </c>
      <c r="C692" s="114" t="str">
        <f t="shared" si="106"/>
        <v>9</v>
      </c>
      <c r="D692" s="114" t="str">
        <f t="shared" si="107"/>
        <v>2</v>
      </c>
      <c r="E692" s="114" t="str">
        <f t="shared" si="108"/>
        <v>2</v>
      </c>
      <c r="F692" s="114" t="str">
        <f t="shared" si="109"/>
        <v>06</v>
      </c>
      <c r="G692" s="114" t="str">
        <f t="shared" si="110"/>
        <v>1</v>
      </c>
      <c r="H692" s="114" t="str">
        <f t="shared" si="111"/>
        <v>0</v>
      </c>
      <c r="I692" s="115">
        <v>19220610</v>
      </c>
      <c r="J692" s="114" t="s">
        <v>4342</v>
      </c>
      <c r="K692" s="114" t="s">
        <v>4343</v>
      </c>
      <c r="L692" s="116"/>
      <c r="M692" s="114" t="s">
        <v>2878</v>
      </c>
      <c r="N692" s="114" t="s">
        <v>2879</v>
      </c>
      <c r="O692" s="114" t="s">
        <v>2878</v>
      </c>
      <c r="P692" s="117" t="s">
        <v>2880</v>
      </c>
    </row>
    <row r="693" spans="2:16" ht="90" x14ac:dyDescent="0.25">
      <c r="B693" s="108" t="str">
        <f t="shared" si="105"/>
        <v>1</v>
      </c>
      <c r="C693" s="108" t="str">
        <f t="shared" si="106"/>
        <v>9</v>
      </c>
      <c r="D693" s="108" t="str">
        <f t="shared" si="107"/>
        <v>2</v>
      </c>
      <c r="E693" s="108" t="str">
        <f t="shared" si="108"/>
        <v>2</v>
      </c>
      <c r="F693" s="108" t="str">
        <f t="shared" si="109"/>
        <v>07</v>
      </c>
      <c r="G693" s="108" t="str">
        <f t="shared" si="110"/>
        <v>0</v>
      </c>
      <c r="H693" s="108" t="str">
        <f t="shared" si="111"/>
        <v>0</v>
      </c>
      <c r="I693" s="109">
        <v>19220700</v>
      </c>
      <c r="J693" s="108" t="s">
        <v>2197</v>
      </c>
      <c r="K693" s="108" t="s">
        <v>4348</v>
      </c>
      <c r="L693" s="110"/>
      <c r="M693" s="108" t="s">
        <v>2878</v>
      </c>
      <c r="N693" s="108" t="s">
        <v>2879</v>
      </c>
      <c r="O693" s="108" t="s">
        <v>2878</v>
      </c>
      <c r="P693" s="111" t="s">
        <v>2880</v>
      </c>
    </row>
    <row r="694" spans="2:16" ht="90" x14ac:dyDescent="0.25">
      <c r="B694" s="114" t="str">
        <f t="shared" si="105"/>
        <v>1</v>
      </c>
      <c r="C694" s="114" t="str">
        <f t="shared" si="106"/>
        <v>9</v>
      </c>
      <c r="D694" s="114" t="str">
        <f t="shared" si="107"/>
        <v>2</v>
      </c>
      <c r="E694" s="114" t="str">
        <f t="shared" si="108"/>
        <v>2</v>
      </c>
      <c r="F694" s="114" t="str">
        <f t="shared" si="109"/>
        <v>07</v>
      </c>
      <c r="G694" s="114" t="str">
        <f t="shared" si="110"/>
        <v>1</v>
      </c>
      <c r="H694" s="114" t="str">
        <f t="shared" si="111"/>
        <v>0</v>
      </c>
      <c r="I694" s="115">
        <v>19220710</v>
      </c>
      <c r="J694" s="114" t="s">
        <v>2197</v>
      </c>
      <c r="K694" s="114" t="s">
        <v>4348</v>
      </c>
      <c r="L694" s="116"/>
      <c r="M694" s="114" t="s">
        <v>2878</v>
      </c>
      <c r="N694" s="114" t="s">
        <v>2879</v>
      </c>
      <c r="O694" s="114" t="s">
        <v>2878</v>
      </c>
      <c r="P694" s="117" t="s">
        <v>2880</v>
      </c>
    </row>
    <row r="695" spans="2:16" ht="75" x14ac:dyDescent="0.25">
      <c r="B695" s="108" t="str">
        <f t="shared" si="105"/>
        <v>1</v>
      </c>
      <c r="C695" s="108" t="str">
        <f t="shared" si="106"/>
        <v>9</v>
      </c>
      <c r="D695" s="108" t="str">
        <f t="shared" si="107"/>
        <v>2</v>
      </c>
      <c r="E695" s="108" t="str">
        <f t="shared" si="108"/>
        <v>2</v>
      </c>
      <c r="F695" s="108" t="str">
        <f t="shared" si="109"/>
        <v>08</v>
      </c>
      <c r="G695" s="108" t="str">
        <f t="shared" si="110"/>
        <v>0</v>
      </c>
      <c r="H695" s="108" t="str">
        <f t="shared" si="111"/>
        <v>0</v>
      </c>
      <c r="I695" s="109">
        <v>19220800</v>
      </c>
      <c r="J695" s="108" t="s">
        <v>4351</v>
      </c>
      <c r="K695" s="108" t="s">
        <v>4352</v>
      </c>
      <c r="L695" s="110"/>
      <c r="M695" s="108" t="s">
        <v>2878</v>
      </c>
      <c r="N695" s="108" t="s">
        <v>2879</v>
      </c>
      <c r="O695" s="108" t="s">
        <v>2878</v>
      </c>
      <c r="P695" s="111" t="s">
        <v>2880</v>
      </c>
    </row>
    <row r="696" spans="2:16" ht="75" x14ac:dyDescent="0.25">
      <c r="B696" s="114" t="str">
        <f t="shared" si="105"/>
        <v>1</v>
      </c>
      <c r="C696" s="114" t="str">
        <f t="shared" si="106"/>
        <v>9</v>
      </c>
      <c r="D696" s="114" t="str">
        <f t="shared" si="107"/>
        <v>2</v>
      </c>
      <c r="E696" s="114" t="str">
        <f t="shared" si="108"/>
        <v>2</v>
      </c>
      <c r="F696" s="114" t="str">
        <f t="shared" si="109"/>
        <v>08</v>
      </c>
      <c r="G696" s="114" t="str">
        <f t="shared" si="110"/>
        <v>1</v>
      </c>
      <c r="H696" s="114" t="str">
        <f t="shared" si="111"/>
        <v>0</v>
      </c>
      <c r="I696" s="115">
        <v>19220810</v>
      </c>
      <c r="J696" s="114" t="s">
        <v>4351</v>
      </c>
      <c r="K696" s="114" t="s">
        <v>4352</v>
      </c>
      <c r="L696" s="116"/>
      <c r="M696" s="114" t="s">
        <v>2878</v>
      </c>
      <c r="N696" s="114" t="s">
        <v>2879</v>
      </c>
      <c r="O696" s="114" t="s">
        <v>2878</v>
      </c>
      <c r="P696" s="117" t="s">
        <v>2880</v>
      </c>
    </row>
    <row r="697" spans="2:16" ht="75" x14ac:dyDescent="0.25">
      <c r="B697" s="108" t="str">
        <f t="shared" si="105"/>
        <v>1</v>
      </c>
      <c r="C697" s="108" t="str">
        <f t="shared" si="106"/>
        <v>9</v>
      </c>
      <c r="D697" s="108" t="str">
        <f t="shared" si="107"/>
        <v>2</v>
      </c>
      <c r="E697" s="108" t="str">
        <f t="shared" si="108"/>
        <v>2</v>
      </c>
      <c r="F697" s="108" t="str">
        <f t="shared" si="109"/>
        <v>09</v>
      </c>
      <c r="G697" s="108" t="str">
        <f t="shared" si="110"/>
        <v>0</v>
      </c>
      <c r="H697" s="108" t="str">
        <f t="shared" si="111"/>
        <v>0</v>
      </c>
      <c r="I697" s="109">
        <v>19220900</v>
      </c>
      <c r="J697" s="108" t="s">
        <v>2205</v>
      </c>
      <c r="K697" s="108" t="s">
        <v>4356</v>
      </c>
      <c r="L697" s="110"/>
      <c r="M697" s="108" t="s">
        <v>2878</v>
      </c>
      <c r="N697" s="108" t="s">
        <v>2879</v>
      </c>
      <c r="O697" s="108" t="s">
        <v>2878</v>
      </c>
      <c r="P697" s="111" t="s">
        <v>2880</v>
      </c>
    </row>
    <row r="698" spans="2:16" ht="75" x14ac:dyDescent="0.25">
      <c r="B698" s="114" t="str">
        <f t="shared" si="105"/>
        <v>1</v>
      </c>
      <c r="C698" s="114" t="str">
        <f t="shared" si="106"/>
        <v>9</v>
      </c>
      <c r="D698" s="114" t="str">
        <f t="shared" si="107"/>
        <v>2</v>
      </c>
      <c r="E698" s="114" t="str">
        <f t="shared" si="108"/>
        <v>2</v>
      </c>
      <c r="F698" s="114" t="str">
        <f t="shared" si="109"/>
        <v>09</v>
      </c>
      <c r="G698" s="114" t="str">
        <f t="shared" si="110"/>
        <v>1</v>
      </c>
      <c r="H698" s="114" t="str">
        <f t="shared" si="111"/>
        <v>0</v>
      </c>
      <c r="I698" s="115">
        <v>19220910</v>
      </c>
      <c r="J698" s="114" t="s">
        <v>2205</v>
      </c>
      <c r="K698" s="114" t="s">
        <v>4356</v>
      </c>
      <c r="L698" s="116"/>
      <c r="M698" s="114" t="s">
        <v>2878</v>
      </c>
      <c r="N698" s="114" t="s">
        <v>2879</v>
      </c>
      <c r="O698" s="114" t="s">
        <v>2878</v>
      </c>
      <c r="P698" s="117" t="s">
        <v>2880</v>
      </c>
    </row>
    <row r="699" spans="2:16" ht="75" x14ac:dyDescent="0.25">
      <c r="B699" s="108" t="str">
        <f t="shared" si="105"/>
        <v>1</v>
      </c>
      <c r="C699" s="108" t="str">
        <f t="shared" si="106"/>
        <v>9</v>
      </c>
      <c r="D699" s="108" t="str">
        <f t="shared" si="107"/>
        <v>2</v>
      </c>
      <c r="E699" s="108" t="str">
        <f t="shared" si="108"/>
        <v>2</v>
      </c>
      <c r="F699" s="108" t="str">
        <f t="shared" si="109"/>
        <v>10</v>
      </c>
      <c r="G699" s="108" t="str">
        <f t="shared" si="110"/>
        <v>0</v>
      </c>
      <c r="H699" s="108" t="str">
        <f t="shared" si="111"/>
        <v>0</v>
      </c>
      <c r="I699" s="109">
        <v>19221000</v>
      </c>
      <c r="J699" s="108" t="s">
        <v>4362</v>
      </c>
      <c r="K699" s="108" t="s">
        <v>4363</v>
      </c>
      <c r="L699" s="110"/>
      <c r="M699" s="108" t="s">
        <v>2878</v>
      </c>
      <c r="N699" s="108" t="s">
        <v>2555</v>
      </c>
      <c r="O699" s="108" t="s">
        <v>2878</v>
      </c>
      <c r="P699" s="111" t="s">
        <v>2880</v>
      </c>
    </row>
    <row r="700" spans="2:16" ht="75" x14ac:dyDescent="0.25">
      <c r="B700" s="114" t="str">
        <f t="shared" si="105"/>
        <v>1</v>
      </c>
      <c r="C700" s="114" t="str">
        <f t="shared" si="106"/>
        <v>9</v>
      </c>
      <c r="D700" s="114" t="str">
        <f t="shared" si="107"/>
        <v>2</v>
      </c>
      <c r="E700" s="114" t="str">
        <f t="shared" si="108"/>
        <v>2</v>
      </c>
      <c r="F700" s="114" t="str">
        <f t="shared" si="109"/>
        <v>10</v>
      </c>
      <c r="G700" s="114" t="str">
        <f t="shared" si="110"/>
        <v>1</v>
      </c>
      <c r="H700" s="114" t="str">
        <f t="shared" si="111"/>
        <v>0</v>
      </c>
      <c r="I700" s="115">
        <v>19221010</v>
      </c>
      <c r="J700" s="114" t="s">
        <v>4364</v>
      </c>
      <c r="K700" s="114" t="s">
        <v>4363</v>
      </c>
      <c r="L700" s="116"/>
      <c r="M700" s="114" t="s">
        <v>2878</v>
      </c>
      <c r="N700" s="114" t="s">
        <v>2879</v>
      </c>
      <c r="O700" s="114" t="s">
        <v>2878</v>
      </c>
      <c r="P700" s="117" t="s">
        <v>2880</v>
      </c>
    </row>
    <row r="701" spans="2:16" ht="75" x14ac:dyDescent="0.25">
      <c r="B701" s="114" t="str">
        <f t="shared" si="105"/>
        <v>1</v>
      </c>
      <c r="C701" s="114" t="str">
        <f t="shared" si="106"/>
        <v>9</v>
      </c>
      <c r="D701" s="114" t="str">
        <f t="shared" si="107"/>
        <v>2</v>
      </c>
      <c r="E701" s="114" t="str">
        <f t="shared" si="108"/>
        <v>2</v>
      </c>
      <c r="F701" s="114" t="str">
        <f t="shared" si="109"/>
        <v>10</v>
      </c>
      <c r="G701" s="114" t="str">
        <f t="shared" si="110"/>
        <v>2</v>
      </c>
      <c r="H701" s="114" t="str">
        <f t="shared" si="111"/>
        <v>0</v>
      </c>
      <c r="I701" s="115">
        <v>19221020</v>
      </c>
      <c r="J701" s="114" t="s">
        <v>4369</v>
      </c>
      <c r="K701" s="114" t="s">
        <v>4370</v>
      </c>
      <c r="L701" s="116"/>
      <c r="M701" s="114" t="s">
        <v>2878</v>
      </c>
      <c r="N701" s="114" t="s">
        <v>2879</v>
      </c>
      <c r="O701" s="114" t="s">
        <v>2878</v>
      </c>
      <c r="P701" s="117" t="s">
        <v>2880</v>
      </c>
    </row>
    <row r="702" spans="2:16" ht="60" x14ac:dyDescent="0.25">
      <c r="B702" s="108" t="str">
        <f t="shared" si="105"/>
        <v>1</v>
      </c>
      <c r="C702" s="108" t="str">
        <f t="shared" si="106"/>
        <v>9</v>
      </c>
      <c r="D702" s="108" t="str">
        <f t="shared" si="107"/>
        <v>2</v>
      </c>
      <c r="E702" s="108" t="str">
        <f t="shared" si="108"/>
        <v>2</v>
      </c>
      <c r="F702" s="108" t="str">
        <f t="shared" si="109"/>
        <v>11</v>
      </c>
      <c r="G702" s="108" t="str">
        <f t="shared" si="110"/>
        <v>0</v>
      </c>
      <c r="H702" s="108" t="str">
        <f t="shared" si="111"/>
        <v>0</v>
      </c>
      <c r="I702" s="109">
        <v>19221100</v>
      </c>
      <c r="J702" s="108" t="s">
        <v>4377</v>
      </c>
      <c r="K702" s="108" t="s">
        <v>4378</v>
      </c>
      <c r="L702" s="110"/>
      <c r="M702" s="108" t="s">
        <v>2878</v>
      </c>
      <c r="N702" s="108" t="s">
        <v>3462</v>
      </c>
      <c r="O702" s="108" t="s">
        <v>2878</v>
      </c>
      <c r="P702" s="111" t="s">
        <v>2880</v>
      </c>
    </row>
    <row r="703" spans="2:16" ht="60" x14ac:dyDescent="0.25">
      <c r="B703" s="114" t="str">
        <f t="shared" si="105"/>
        <v>1</v>
      </c>
      <c r="C703" s="114" t="str">
        <f t="shared" si="106"/>
        <v>9</v>
      </c>
      <c r="D703" s="114" t="str">
        <f t="shared" si="107"/>
        <v>2</v>
      </c>
      <c r="E703" s="114" t="str">
        <f t="shared" si="108"/>
        <v>2</v>
      </c>
      <c r="F703" s="114" t="str">
        <f t="shared" si="109"/>
        <v>11</v>
      </c>
      <c r="G703" s="114" t="str">
        <f t="shared" si="110"/>
        <v>1</v>
      </c>
      <c r="H703" s="114" t="str">
        <f t="shared" si="111"/>
        <v>0</v>
      </c>
      <c r="I703" s="115">
        <v>19221110</v>
      </c>
      <c r="J703" s="114" t="s">
        <v>4377</v>
      </c>
      <c r="K703" s="114" t="s">
        <v>4378</v>
      </c>
      <c r="L703" s="116"/>
      <c r="M703" s="114" t="s">
        <v>2878</v>
      </c>
      <c r="N703" s="114" t="s">
        <v>3462</v>
      </c>
      <c r="O703" s="114" t="s">
        <v>2878</v>
      </c>
      <c r="P703" s="117" t="s">
        <v>2880</v>
      </c>
    </row>
    <row r="704" spans="2:16" ht="15.75" x14ac:dyDescent="0.25">
      <c r="B704" s="108" t="str">
        <f t="shared" ref="B704:B747" si="112">MID($I704,1,1)</f>
        <v>1</v>
      </c>
      <c r="C704" s="108" t="str">
        <f t="shared" ref="C704:C747" si="113">MID($I704,2,1)</f>
        <v>9</v>
      </c>
      <c r="D704" s="108" t="str">
        <f t="shared" ref="D704:D747" si="114">MID($I704,3,1)</f>
        <v>2</v>
      </c>
      <c r="E704" s="108" t="str">
        <f t="shared" ref="E704:E747" si="115">MID($I704,4,1)</f>
        <v>2</v>
      </c>
      <c r="F704" s="108" t="str">
        <f t="shared" ref="F704:F747" si="116">MID($I704,5,2)</f>
        <v>12</v>
      </c>
      <c r="G704" s="108" t="str">
        <f t="shared" ref="G704:G747" si="117">MID($I704,7,1)</f>
        <v>0</v>
      </c>
      <c r="H704" s="108" t="str">
        <f t="shared" ref="H704:H747" si="118">MID($I704,8,1)</f>
        <v>0</v>
      </c>
      <c r="I704" s="109">
        <v>19221200</v>
      </c>
      <c r="J704" s="108" t="s">
        <v>5117</v>
      </c>
      <c r="K704" s="108"/>
      <c r="L704" s="110"/>
      <c r="M704" s="108"/>
      <c r="N704" s="108" t="s">
        <v>5118</v>
      </c>
      <c r="O704" s="108"/>
      <c r="P704" s="111" t="s">
        <v>2880</v>
      </c>
    </row>
    <row r="705" spans="2:16" ht="15.75" x14ac:dyDescent="0.25">
      <c r="B705" s="114" t="str">
        <f t="shared" si="112"/>
        <v>1</v>
      </c>
      <c r="C705" s="114" t="str">
        <f t="shared" si="113"/>
        <v>9</v>
      </c>
      <c r="D705" s="114" t="str">
        <f t="shared" si="114"/>
        <v>2</v>
      </c>
      <c r="E705" s="114" t="str">
        <f t="shared" si="115"/>
        <v>2</v>
      </c>
      <c r="F705" s="114" t="str">
        <f t="shared" si="116"/>
        <v>12</v>
      </c>
      <c r="G705" s="114" t="str">
        <f t="shared" si="117"/>
        <v>1</v>
      </c>
      <c r="H705" s="114" t="str">
        <f t="shared" si="118"/>
        <v>0</v>
      </c>
      <c r="I705" s="115">
        <v>19221210</v>
      </c>
      <c r="J705" s="114" t="s">
        <v>5117</v>
      </c>
      <c r="K705" s="114"/>
      <c r="L705" s="116"/>
      <c r="M705" s="114"/>
      <c r="N705" s="114" t="s">
        <v>5118</v>
      </c>
      <c r="O705" s="114"/>
      <c r="P705" s="117" t="s">
        <v>2890</v>
      </c>
    </row>
    <row r="706" spans="2:16" ht="30" x14ac:dyDescent="0.25">
      <c r="B706" s="108" t="str">
        <f t="shared" si="112"/>
        <v>1</v>
      </c>
      <c r="C706" s="108" t="str">
        <f t="shared" si="113"/>
        <v>9</v>
      </c>
      <c r="D706" s="108" t="str">
        <f t="shared" si="114"/>
        <v>2</v>
      </c>
      <c r="E706" s="108" t="str">
        <f t="shared" si="115"/>
        <v>2</v>
      </c>
      <c r="F706" s="108" t="str">
        <f t="shared" si="116"/>
        <v>99</v>
      </c>
      <c r="G706" s="108" t="str">
        <f t="shared" si="117"/>
        <v>0</v>
      </c>
      <c r="H706" s="108" t="str">
        <f t="shared" si="118"/>
        <v>0</v>
      </c>
      <c r="I706" s="109">
        <v>19229900</v>
      </c>
      <c r="J706" s="108" t="s">
        <v>2212</v>
      </c>
      <c r="K706" s="108" t="s">
        <v>4385</v>
      </c>
      <c r="L706" s="110"/>
      <c r="M706" s="108" t="s">
        <v>2878</v>
      </c>
      <c r="N706" s="108" t="s">
        <v>2879</v>
      </c>
      <c r="O706" s="108" t="s">
        <v>2878</v>
      </c>
      <c r="P706" s="111" t="s">
        <v>2880</v>
      </c>
    </row>
    <row r="707" spans="2:16" ht="30" x14ac:dyDescent="0.25">
      <c r="B707" s="114" t="str">
        <f t="shared" si="112"/>
        <v>1</v>
      </c>
      <c r="C707" s="114" t="str">
        <f t="shared" si="113"/>
        <v>9</v>
      </c>
      <c r="D707" s="114" t="str">
        <f t="shared" si="114"/>
        <v>2</v>
      </c>
      <c r="E707" s="114" t="str">
        <f t="shared" si="115"/>
        <v>2</v>
      </c>
      <c r="F707" s="114" t="str">
        <f t="shared" si="116"/>
        <v>99</v>
      </c>
      <c r="G707" s="114" t="str">
        <f t="shared" si="117"/>
        <v>1</v>
      </c>
      <c r="H707" s="114" t="str">
        <f t="shared" si="118"/>
        <v>0</v>
      </c>
      <c r="I707" s="115">
        <v>19229910</v>
      </c>
      <c r="J707" s="114" t="s">
        <v>2212</v>
      </c>
      <c r="K707" s="114" t="s">
        <v>4385</v>
      </c>
      <c r="L707" s="116"/>
      <c r="M707" s="114" t="s">
        <v>2878</v>
      </c>
      <c r="N707" s="114" t="s">
        <v>2879</v>
      </c>
      <c r="O707" s="114" t="s">
        <v>2878</v>
      </c>
      <c r="P707" s="117" t="s">
        <v>2880</v>
      </c>
    </row>
    <row r="708" spans="2:16" ht="30" x14ac:dyDescent="0.25">
      <c r="B708" s="104" t="str">
        <f t="shared" si="112"/>
        <v>1</v>
      </c>
      <c r="C708" s="104" t="str">
        <f t="shared" si="113"/>
        <v>9</v>
      </c>
      <c r="D708" s="104" t="str">
        <f t="shared" si="114"/>
        <v>2</v>
      </c>
      <c r="E708" s="104" t="str">
        <f t="shared" si="115"/>
        <v>3</v>
      </c>
      <c r="F708" s="104" t="str">
        <f t="shared" si="116"/>
        <v>00</v>
      </c>
      <c r="G708" s="104" t="str">
        <f t="shared" si="117"/>
        <v>0</v>
      </c>
      <c r="H708" s="104" t="str">
        <f t="shared" si="118"/>
        <v>0</v>
      </c>
      <c r="I708" s="105">
        <v>19230000</v>
      </c>
      <c r="J708" s="104" t="s">
        <v>4390</v>
      </c>
      <c r="K708" s="104" t="s">
        <v>4391</v>
      </c>
      <c r="L708" s="106"/>
      <c r="M708" s="104" t="s">
        <v>2878</v>
      </c>
      <c r="N708" s="104" t="s">
        <v>2879</v>
      </c>
      <c r="O708" s="104" t="s">
        <v>2878</v>
      </c>
      <c r="P708" s="107" t="s">
        <v>2880</v>
      </c>
    </row>
    <row r="709" spans="2:16" ht="30" x14ac:dyDescent="0.25">
      <c r="B709" s="108" t="str">
        <f t="shared" si="112"/>
        <v>1</v>
      </c>
      <c r="C709" s="108" t="str">
        <f t="shared" si="113"/>
        <v>9</v>
      </c>
      <c r="D709" s="108" t="str">
        <f t="shared" si="114"/>
        <v>2</v>
      </c>
      <c r="E709" s="108" t="str">
        <f t="shared" si="115"/>
        <v>3</v>
      </c>
      <c r="F709" s="108" t="str">
        <f t="shared" si="116"/>
        <v>01</v>
      </c>
      <c r="G709" s="108" t="str">
        <f t="shared" si="117"/>
        <v>0</v>
      </c>
      <c r="H709" s="108" t="str">
        <f t="shared" si="118"/>
        <v>0</v>
      </c>
      <c r="I709" s="109">
        <v>19230100</v>
      </c>
      <c r="J709" s="108" t="s">
        <v>4392</v>
      </c>
      <c r="K709" s="108" t="s">
        <v>4393</v>
      </c>
      <c r="L709" s="110"/>
      <c r="M709" s="108" t="s">
        <v>2878</v>
      </c>
      <c r="N709" s="108" t="s">
        <v>2879</v>
      </c>
      <c r="O709" s="108" t="s">
        <v>2878</v>
      </c>
      <c r="P709" s="111" t="s">
        <v>2880</v>
      </c>
    </row>
    <row r="710" spans="2:16" ht="30" x14ac:dyDescent="0.25">
      <c r="B710" s="114" t="str">
        <f t="shared" si="112"/>
        <v>1</v>
      </c>
      <c r="C710" s="114" t="str">
        <f t="shared" si="113"/>
        <v>9</v>
      </c>
      <c r="D710" s="114" t="str">
        <f t="shared" si="114"/>
        <v>2</v>
      </c>
      <c r="E710" s="114" t="str">
        <f t="shared" si="115"/>
        <v>3</v>
      </c>
      <c r="F710" s="114" t="str">
        <f t="shared" si="116"/>
        <v>01</v>
      </c>
      <c r="G710" s="114" t="str">
        <f t="shared" si="117"/>
        <v>1</v>
      </c>
      <c r="H710" s="114" t="str">
        <f t="shared" si="118"/>
        <v>0</v>
      </c>
      <c r="I710" s="115">
        <v>19230110</v>
      </c>
      <c r="J710" s="114" t="s">
        <v>4392</v>
      </c>
      <c r="K710" s="114" t="s">
        <v>4393</v>
      </c>
      <c r="L710" s="116"/>
      <c r="M710" s="114" t="s">
        <v>2878</v>
      </c>
      <c r="N710" s="114" t="s">
        <v>2879</v>
      </c>
      <c r="O710" s="114" t="s">
        <v>2878</v>
      </c>
      <c r="P710" s="117" t="s">
        <v>2880</v>
      </c>
    </row>
    <row r="711" spans="2:16" ht="30" x14ac:dyDescent="0.25">
      <c r="B711" s="108" t="str">
        <f t="shared" si="112"/>
        <v>1</v>
      </c>
      <c r="C711" s="108" t="str">
        <f t="shared" si="113"/>
        <v>9</v>
      </c>
      <c r="D711" s="108" t="str">
        <f t="shared" si="114"/>
        <v>2</v>
      </c>
      <c r="E711" s="108" t="str">
        <f t="shared" si="115"/>
        <v>3</v>
      </c>
      <c r="F711" s="108" t="str">
        <f t="shared" si="116"/>
        <v>02</v>
      </c>
      <c r="G711" s="108" t="str">
        <f t="shared" si="117"/>
        <v>0</v>
      </c>
      <c r="H711" s="108" t="str">
        <f t="shared" si="118"/>
        <v>0</v>
      </c>
      <c r="I711" s="109">
        <v>19230200</v>
      </c>
      <c r="J711" s="108" t="s">
        <v>4399</v>
      </c>
      <c r="K711" s="108" t="s">
        <v>4400</v>
      </c>
      <c r="L711" s="110"/>
      <c r="M711" s="108" t="s">
        <v>2878</v>
      </c>
      <c r="N711" s="108" t="s">
        <v>2879</v>
      </c>
      <c r="O711" s="108" t="s">
        <v>2878</v>
      </c>
      <c r="P711" s="111" t="s">
        <v>2880</v>
      </c>
    </row>
    <row r="712" spans="2:16" ht="30" x14ac:dyDescent="0.25">
      <c r="B712" s="114" t="str">
        <f t="shared" si="112"/>
        <v>1</v>
      </c>
      <c r="C712" s="114" t="str">
        <f t="shared" si="113"/>
        <v>9</v>
      </c>
      <c r="D712" s="114" t="str">
        <f t="shared" si="114"/>
        <v>2</v>
      </c>
      <c r="E712" s="114" t="str">
        <f t="shared" si="115"/>
        <v>3</v>
      </c>
      <c r="F712" s="114" t="str">
        <f t="shared" si="116"/>
        <v>02</v>
      </c>
      <c r="G712" s="114" t="str">
        <f t="shared" si="117"/>
        <v>1</v>
      </c>
      <c r="H712" s="114" t="str">
        <f t="shared" si="118"/>
        <v>0</v>
      </c>
      <c r="I712" s="115">
        <v>19230210</v>
      </c>
      <c r="J712" s="114" t="s">
        <v>4399</v>
      </c>
      <c r="K712" s="114" t="s">
        <v>4400</v>
      </c>
      <c r="L712" s="116"/>
      <c r="M712" s="114" t="s">
        <v>2878</v>
      </c>
      <c r="N712" s="114" t="s">
        <v>2879</v>
      </c>
      <c r="O712" s="114" t="s">
        <v>2878</v>
      </c>
      <c r="P712" s="117" t="s">
        <v>2880</v>
      </c>
    </row>
    <row r="713" spans="2:16" ht="45" x14ac:dyDescent="0.25">
      <c r="B713" s="108" t="str">
        <f t="shared" si="112"/>
        <v>1</v>
      </c>
      <c r="C713" s="108" t="str">
        <f t="shared" si="113"/>
        <v>9</v>
      </c>
      <c r="D713" s="108" t="str">
        <f t="shared" si="114"/>
        <v>2</v>
      </c>
      <c r="E713" s="108" t="str">
        <f t="shared" si="115"/>
        <v>3</v>
      </c>
      <c r="F713" s="108" t="str">
        <f t="shared" si="116"/>
        <v>03</v>
      </c>
      <c r="G713" s="108" t="str">
        <f t="shared" si="117"/>
        <v>0</v>
      </c>
      <c r="H713" s="108" t="str">
        <f t="shared" si="118"/>
        <v>0</v>
      </c>
      <c r="I713" s="109">
        <v>19230300</v>
      </c>
      <c r="J713" s="108" t="s">
        <v>4404</v>
      </c>
      <c r="K713" s="108" t="s">
        <v>4405</v>
      </c>
      <c r="L713" s="110"/>
      <c r="M713" s="108" t="s">
        <v>2878</v>
      </c>
      <c r="N713" s="108" t="s">
        <v>2879</v>
      </c>
      <c r="O713" s="108" t="s">
        <v>2878</v>
      </c>
      <c r="P713" s="111" t="s">
        <v>2880</v>
      </c>
    </row>
    <row r="714" spans="2:16" ht="45" x14ac:dyDescent="0.25">
      <c r="B714" s="114" t="str">
        <f t="shared" si="112"/>
        <v>1</v>
      </c>
      <c r="C714" s="114" t="str">
        <f t="shared" si="113"/>
        <v>9</v>
      </c>
      <c r="D714" s="114" t="str">
        <f t="shared" si="114"/>
        <v>2</v>
      </c>
      <c r="E714" s="114" t="str">
        <f t="shared" si="115"/>
        <v>3</v>
      </c>
      <c r="F714" s="114" t="str">
        <f t="shared" si="116"/>
        <v>03</v>
      </c>
      <c r="G714" s="114" t="str">
        <f t="shared" si="117"/>
        <v>1</v>
      </c>
      <c r="H714" s="114" t="str">
        <f t="shared" si="118"/>
        <v>0</v>
      </c>
      <c r="I714" s="115">
        <v>19230310</v>
      </c>
      <c r="J714" s="114" t="s">
        <v>4404</v>
      </c>
      <c r="K714" s="114" t="s">
        <v>4405</v>
      </c>
      <c r="L714" s="116"/>
      <c r="M714" s="114" t="s">
        <v>2878</v>
      </c>
      <c r="N714" s="114" t="s">
        <v>2879</v>
      </c>
      <c r="O714" s="114" t="s">
        <v>2878</v>
      </c>
      <c r="P714" s="117" t="s">
        <v>2880</v>
      </c>
    </row>
    <row r="715" spans="2:16" ht="30" x14ac:dyDescent="0.25">
      <c r="B715" s="108" t="str">
        <f t="shared" si="112"/>
        <v>1</v>
      </c>
      <c r="C715" s="108" t="str">
        <f t="shared" si="113"/>
        <v>9</v>
      </c>
      <c r="D715" s="108" t="str">
        <f t="shared" si="114"/>
        <v>2</v>
      </c>
      <c r="E715" s="108" t="str">
        <f t="shared" si="115"/>
        <v>3</v>
      </c>
      <c r="F715" s="108" t="str">
        <f t="shared" si="116"/>
        <v>04</v>
      </c>
      <c r="G715" s="108" t="str">
        <f t="shared" si="117"/>
        <v>0</v>
      </c>
      <c r="H715" s="108" t="str">
        <f t="shared" si="118"/>
        <v>0</v>
      </c>
      <c r="I715" s="109">
        <v>19230400</v>
      </c>
      <c r="J715" s="108" t="s">
        <v>4409</v>
      </c>
      <c r="K715" s="108" t="s">
        <v>4410</v>
      </c>
      <c r="L715" s="110"/>
      <c r="M715" s="108" t="s">
        <v>2878</v>
      </c>
      <c r="N715" s="108" t="s">
        <v>2879</v>
      </c>
      <c r="O715" s="108" t="s">
        <v>2878</v>
      </c>
      <c r="P715" s="111" t="s">
        <v>2880</v>
      </c>
    </row>
    <row r="716" spans="2:16" ht="30" x14ac:dyDescent="0.25">
      <c r="B716" s="114" t="str">
        <f t="shared" si="112"/>
        <v>1</v>
      </c>
      <c r="C716" s="114" t="str">
        <f t="shared" si="113"/>
        <v>9</v>
      </c>
      <c r="D716" s="114" t="str">
        <f t="shared" si="114"/>
        <v>2</v>
      </c>
      <c r="E716" s="114" t="str">
        <f t="shared" si="115"/>
        <v>3</v>
      </c>
      <c r="F716" s="114" t="str">
        <f t="shared" si="116"/>
        <v>04</v>
      </c>
      <c r="G716" s="114" t="str">
        <f t="shared" si="117"/>
        <v>1</v>
      </c>
      <c r="H716" s="114" t="str">
        <f t="shared" si="118"/>
        <v>0</v>
      </c>
      <c r="I716" s="115">
        <v>19230410</v>
      </c>
      <c r="J716" s="114" t="s">
        <v>4409</v>
      </c>
      <c r="K716" s="114" t="s">
        <v>4410</v>
      </c>
      <c r="L716" s="116"/>
      <c r="M716" s="114" t="s">
        <v>2878</v>
      </c>
      <c r="N716" s="114" t="s">
        <v>2879</v>
      </c>
      <c r="O716" s="114" t="s">
        <v>2878</v>
      </c>
      <c r="P716" s="117" t="s">
        <v>2880</v>
      </c>
    </row>
    <row r="717" spans="2:16" ht="30" x14ac:dyDescent="0.25">
      <c r="B717" s="108" t="str">
        <f t="shared" si="112"/>
        <v>1</v>
      </c>
      <c r="C717" s="108" t="str">
        <f t="shared" si="113"/>
        <v>9</v>
      </c>
      <c r="D717" s="108" t="str">
        <f t="shared" si="114"/>
        <v>2</v>
      </c>
      <c r="E717" s="108" t="str">
        <f t="shared" si="115"/>
        <v>3</v>
      </c>
      <c r="F717" s="108" t="str">
        <f t="shared" si="116"/>
        <v>99</v>
      </c>
      <c r="G717" s="108" t="str">
        <f t="shared" si="117"/>
        <v>0</v>
      </c>
      <c r="H717" s="108" t="str">
        <f t="shared" si="118"/>
        <v>0</v>
      </c>
      <c r="I717" s="109">
        <v>19239900</v>
      </c>
      <c r="J717" s="108" t="s">
        <v>4414</v>
      </c>
      <c r="K717" s="108" t="s">
        <v>4415</v>
      </c>
      <c r="L717" s="110"/>
      <c r="M717" s="108" t="s">
        <v>2878</v>
      </c>
      <c r="N717" s="108" t="s">
        <v>2879</v>
      </c>
      <c r="O717" s="108" t="s">
        <v>2878</v>
      </c>
      <c r="P717" s="111" t="s">
        <v>2880</v>
      </c>
    </row>
    <row r="718" spans="2:16" ht="30" x14ac:dyDescent="0.25">
      <c r="B718" s="114" t="str">
        <f t="shared" si="112"/>
        <v>1</v>
      </c>
      <c r="C718" s="114" t="str">
        <f t="shared" si="113"/>
        <v>9</v>
      </c>
      <c r="D718" s="114" t="str">
        <f t="shared" si="114"/>
        <v>2</v>
      </c>
      <c r="E718" s="114" t="str">
        <f t="shared" si="115"/>
        <v>3</v>
      </c>
      <c r="F718" s="114" t="str">
        <f t="shared" si="116"/>
        <v>99</v>
      </c>
      <c r="G718" s="114" t="str">
        <f t="shared" si="117"/>
        <v>1</v>
      </c>
      <c r="H718" s="114" t="str">
        <f t="shared" si="118"/>
        <v>0</v>
      </c>
      <c r="I718" s="115">
        <v>19239910</v>
      </c>
      <c r="J718" s="114" t="s">
        <v>4414</v>
      </c>
      <c r="K718" s="114" t="s">
        <v>4415</v>
      </c>
      <c r="L718" s="116"/>
      <c r="M718" s="114" t="s">
        <v>2878</v>
      </c>
      <c r="N718" s="114" t="s">
        <v>2879</v>
      </c>
      <c r="O718" s="114" t="s">
        <v>2878</v>
      </c>
      <c r="P718" s="117" t="s">
        <v>2880</v>
      </c>
    </row>
    <row r="719" spans="2:16" s="148" customFormat="1" ht="30" x14ac:dyDescent="0.25">
      <c r="B719" s="164" t="str">
        <f t="shared" si="112"/>
        <v>1</v>
      </c>
      <c r="C719" s="164" t="str">
        <f t="shared" si="113"/>
        <v>9</v>
      </c>
      <c r="D719" s="164" t="str">
        <f t="shared" si="114"/>
        <v>2</v>
      </c>
      <c r="E719" s="164" t="str">
        <f t="shared" si="115"/>
        <v>8</v>
      </c>
      <c r="F719" s="164" t="str">
        <f t="shared" si="116"/>
        <v>00</v>
      </c>
      <c r="G719" s="164" t="str">
        <f t="shared" si="117"/>
        <v>0</v>
      </c>
      <c r="H719" s="164" t="str">
        <f t="shared" si="118"/>
        <v>0</v>
      </c>
      <c r="I719" s="165">
        <v>19280000</v>
      </c>
      <c r="J719" s="164" t="s">
        <v>5199</v>
      </c>
      <c r="K719" s="164" t="s">
        <v>5200</v>
      </c>
      <c r="L719" s="166"/>
      <c r="M719" s="164" t="s">
        <v>2878</v>
      </c>
      <c r="N719" s="164"/>
      <c r="O719" s="164"/>
      <c r="P719" s="167" t="s">
        <v>2880</v>
      </c>
    </row>
    <row r="720" spans="2:16" s="148" customFormat="1" ht="30" x14ac:dyDescent="0.25">
      <c r="B720" s="145" t="str">
        <f t="shared" si="112"/>
        <v>1</v>
      </c>
      <c r="C720" s="145" t="str">
        <f t="shared" si="113"/>
        <v>9</v>
      </c>
      <c r="D720" s="145" t="str">
        <f t="shared" si="114"/>
        <v>2</v>
      </c>
      <c r="E720" s="145" t="str">
        <f t="shared" si="115"/>
        <v>8</v>
      </c>
      <c r="F720" s="145" t="str">
        <f t="shared" si="116"/>
        <v>01</v>
      </c>
      <c r="G720" s="145" t="str">
        <f t="shared" si="117"/>
        <v>0</v>
      </c>
      <c r="H720" s="145" t="str">
        <f t="shared" si="118"/>
        <v>0</v>
      </c>
      <c r="I720" s="143">
        <v>19280100</v>
      </c>
      <c r="J720" s="145" t="s">
        <v>5201</v>
      </c>
      <c r="K720" s="145" t="s">
        <v>5208</v>
      </c>
      <c r="L720" s="146"/>
      <c r="M720" s="145" t="s">
        <v>2878</v>
      </c>
      <c r="N720" s="145"/>
      <c r="O720" s="145"/>
      <c r="P720" s="147" t="s">
        <v>2880</v>
      </c>
    </row>
    <row r="721" spans="2:16" s="148" customFormat="1" ht="30" x14ac:dyDescent="0.25">
      <c r="B721" s="149" t="str">
        <f t="shared" si="112"/>
        <v>1</v>
      </c>
      <c r="C721" s="149" t="str">
        <f t="shared" si="113"/>
        <v>9</v>
      </c>
      <c r="D721" s="149" t="str">
        <f t="shared" si="114"/>
        <v>2</v>
      </c>
      <c r="E721" s="149" t="str">
        <f t="shared" si="115"/>
        <v>8</v>
      </c>
      <c r="F721" s="149" t="str">
        <f t="shared" si="116"/>
        <v>01</v>
      </c>
      <c r="G721" s="149" t="str">
        <f t="shared" si="117"/>
        <v>1</v>
      </c>
      <c r="H721" s="149" t="str">
        <f t="shared" si="118"/>
        <v>0</v>
      </c>
      <c r="I721" s="144">
        <v>19280110</v>
      </c>
      <c r="J721" s="149" t="s">
        <v>5202</v>
      </c>
      <c r="K721" s="149" t="s">
        <v>5208</v>
      </c>
      <c r="L721" s="150"/>
      <c r="M721" s="149" t="s">
        <v>2878</v>
      </c>
      <c r="N721" s="149"/>
      <c r="O721" s="149"/>
      <c r="P721" s="151" t="s">
        <v>2880</v>
      </c>
    </row>
    <row r="722" spans="2:16" s="148" customFormat="1" ht="30" x14ac:dyDescent="0.25">
      <c r="B722" s="145" t="str">
        <f t="shared" si="112"/>
        <v>1</v>
      </c>
      <c r="C722" s="145" t="str">
        <f t="shared" si="113"/>
        <v>9</v>
      </c>
      <c r="D722" s="145" t="str">
        <f t="shared" si="114"/>
        <v>2</v>
      </c>
      <c r="E722" s="145" t="str">
        <f t="shared" si="115"/>
        <v>8</v>
      </c>
      <c r="F722" s="145" t="str">
        <f t="shared" si="116"/>
        <v>02</v>
      </c>
      <c r="G722" s="145" t="str">
        <f t="shared" si="117"/>
        <v>0</v>
      </c>
      <c r="H722" s="145" t="str">
        <f t="shared" si="118"/>
        <v>0</v>
      </c>
      <c r="I722" s="143">
        <v>19280200</v>
      </c>
      <c r="J722" s="145" t="s">
        <v>5203</v>
      </c>
      <c r="K722" s="145" t="s">
        <v>5209</v>
      </c>
      <c r="L722" s="146"/>
      <c r="M722" s="145" t="s">
        <v>2878</v>
      </c>
      <c r="N722" s="145"/>
      <c r="O722" s="145"/>
      <c r="P722" s="147" t="s">
        <v>2880</v>
      </c>
    </row>
    <row r="723" spans="2:16" s="148" customFormat="1" ht="30" x14ac:dyDescent="0.25">
      <c r="B723" s="149" t="str">
        <f t="shared" si="112"/>
        <v>1</v>
      </c>
      <c r="C723" s="149" t="str">
        <f t="shared" si="113"/>
        <v>9</v>
      </c>
      <c r="D723" s="149" t="str">
        <f t="shared" si="114"/>
        <v>2</v>
      </c>
      <c r="E723" s="149" t="str">
        <f t="shared" si="115"/>
        <v>8</v>
      </c>
      <c r="F723" s="149" t="str">
        <f t="shared" si="116"/>
        <v>02</v>
      </c>
      <c r="G723" s="149" t="str">
        <f t="shared" si="117"/>
        <v>1</v>
      </c>
      <c r="H723" s="149" t="str">
        <f t="shared" si="118"/>
        <v>0</v>
      </c>
      <c r="I723" s="144">
        <v>19280210</v>
      </c>
      <c r="J723" s="149" t="s">
        <v>5207</v>
      </c>
      <c r="K723" s="149" t="s">
        <v>5209</v>
      </c>
      <c r="L723" s="150"/>
      <c r="M723" s="149" t="s">
        <v>2878</v>
      </c>
      <c r="N723" s="149"/>
      <c r="O723" s="149"/>
      <c r="P723" s="151" t="s">
        <v>2880</v>
      </c>
    </row>
    <row r="724" spans="2:16" s="148" customFormat="1" ht="30" x14ac:dyDescent="0.25">
      <c r="B724" s="149" t="str">
        <f t="shared" si="112"/>
        <v>1</v>
      </c>
      <c r="C724" s="149" t="str">
        <f t="shared" si="113"/>
        <v>9</v>
      </c>
      <c r="D724" s="149" t="str">
        <f t="shared" si="114"/>
        <v>2</v>
      </c>
      <c r="E724" s="149" t="str">
        <f t="shared" si="115"/>
        <v>8</v>
      </c>
      <c r="F724" s="149" t="str">
        <f t="shared" si="116"/>
        <v>02</v>
      </c>
      <c r="G724" s="149" t="str">
        <f t="shared" si="117"/>
        <v>9</v>
      </c>
      <c r="H724" s="149" t="str">
        <f t="shared" si="118"/>
        <v>0</v>
      </c>
      <c r="I724" s="144">
        <v>19280290</v>
      </c>
      <c r="J724" s="149" t="s">
        <v>5206</v>
      </c>
      <c r="K724" s="149" t="s">
        <v>5210</v>
      </c>
      <c r="L724" s="150"/>
      <c r="M724" s="149" t="s">
        <v>2878</v>
      </c>
      <c r="N724" s="149"/>
      <c r="O724" s="149"/>
      <c r="P724" s="151" t="s">
        <v>2880</v>
      </c>
    </row>
    <row r="725" spans="2:16" s="148" customFormat="1" ht="30" x14ac:dyDescent="0.25">
      <c r="B725" s="145" t="str">
        <f t="shared" si="112"/>
        <v>1</v>
      </c>
      <c r="C725" s="145" t="str">
        <f t="shared" si="113"/>
        <v>9</v>
      </c>
      <c r="D725" s="145" t="str">
        <f t="shared" si="114"/>
        <v>2</v>
      </c>
      <c r="E725" s="145" t="str">
        <f t="shared" si="115"/>
        <v>8</v>
      </c>
      <c r="F725" s="145" t="str">
        <f t="shared" si="116"/>
        <v>03</v>
      </c>
      <c r="G725" s="145" t="str">
        <f t="shared" si="117"/>
        <v>0</v>
      </c>
      <c r="H725" s="145" t="str">
        <f t="shared" si="118"/>
        <v>0</v>
      </c>
      <c r="I725" s="143">
        <v>19280300</v>
      </c>
      <c r="J725" s="145" t="s">
        <v>5204</v>
      </c>
      <c r="K725" s="145" t="s">
        <v>5211</v>
      </c>
      <c r="L725" s="146"/>
      <c r="M725" s="145" t="s">
        <v>2878</v>
      </c>
      <c r="N725" s="145"/>
      <c r="O725" s="145"/>
      <c r="P725" s="147" t="s">
        <v>2880</v>
      </c>
    </row>
    <row r="726" spans="2:16" s="148" customFormat="1" ht="30" x14ac:dyDescent="0.25">
      <c r="B726" s="149" t="str">
        <f t="shared" si="112"/>
        <v>1</v>
      </c>
      <c r="C726" s="149" t="str">
        <f t="shared" si="113"/>
        <v>9</v>
      </c>
      <c r="D726" s="149" t="str">
        <f t="shared" si="114"/>
        <v>2</v>
      </c>
      <c r="E726" s="149" t="str">
        <f t="shared" si="115"/>
        <v>8</v>
      </c>
      <c r="F726" s="149" t="str">
        <f t="shared" si="116"/>
        <v>03</v>
      </c>
      <c r="G726" s="149" t="str">
        <f t="shared" si="117"/>
        <v>1</v>
      </c>
      <c r="H726" s="149" t="str">
        <f t="shared" si="118"/>
        <v>0</v>
      </c>
      <c r="I726" s="144">
        <v>19280310</v>
      </c>
      <c r="J726" s="149" t="s">
        <v>5205</v>
      </c>
      <c r="K726" s="149" t="s">
        <v>5211</v>
      </c>
      <c r="L726" s="150"/>
      <c r="M726" s="149" t="s">
        <v>2878</v>
      </c>
      <c r="N726" s="149"/>
      <c r="O726" s="149"/>
      <c r="P726" s="151" t="s">
        <v>2880</v>
      </c>
    </row>
    <row r="727" spans="2:16" ht="30" x14ac:dyDescent="0.25">
      <c r="B727" s="126" t="str">
        <f t="shared" si="112"/>
        <v>1</v>
      </c>
      <c r="C727" s="126" t="str">
        <f t="shared" si="113"/>
        <v>9</v>
      </c>
      <c r="D727" s="126" t="str">
        <f t="shared" si="114"/>
        <v>3</v>
      </c>
      <c r="E727" s="126" t="str">
        <f t="shared" si="115"/>
        <v>0</v>
      </c>
      <c r="F727" s="126" t="str">
        <f t="shared" si="116"/>
        <v>00</v>
      </c>
      <c r="G727" s="126" t="str">
        <f t="shared" si="117"/>
        <v>0</v>
      </c>
      <c r="H727" s="126" t="str">
        <f t="shared" si="118"/>
        <v>0</v>
      </c>
      <c r="I727" s="127">
        <v>19300000</v>
      </c>
      <c r="J727" s="126" t="s">
        <v>4420</v>
      </c>
      <c r="K727" s="126" t="s">
        <v>4421</v>
      </c>
      <c r="L727" s="122"/>
      <c r="M727" s="126" t="s">
        <v>2878</v>
      </c>
      <c r="N727" s="126" t="s">
        <v>5016</v>
      </c>
      <c r="O727" s="126" t="s">
        <v>2878</v>
      </c>
      <c r="P727" s="128" t="s">
        <v>2880</v>
      </c>
    </row>
    <row r="728" spans="2:16" ht="30" x14ac:dyDescent="0.25">
      <c r="B728" s="108" t="str">
        <f t="shared" si="112"/>
        <v>1</v>
      </c>
      <c r="C728" s="108" t="str">
        <f t="shared" si="113"/>
        <v>9</v>
      </c>
      <c r="D728" s="108" t="str">
        <f t="shared" si="114"/>
        <v>3</v>
      </c>
      <c r="E728" s="108" t="str">
        <f t="shared" si="115"/>
        <v>0</v>
      </c>
      <c r="F728" s="108" t="str">
        <f t="shared" si="116"/>
        <v>01</v>
      </c>
      <c r="G728" s="108" t="str">
        <f t="shared" si="117"/>
        <v>0</v>
      </c>
      <c r="H728" s="108" t="str">
        <f t="shared" si="118"/>
        <v>0</v>
      </c>
      <c r="I728" s="109">
        <v>19300100</v>
      </c>
      <c r="J728" s="108" t="s">
        <v>4422</v>
      </c>
      <c r="K728" s="108" t="s">
        <v>4423</v>
      </c>
      <c r="L728" s="110"/>
      <c r="M728" s="108" t="s">
        <v>2878</v>
      </c>
      <c r="N728" s="108" t="s">
        <v>2879</v>
      </c>
      <c r="O728" s="108" t="s">
        <v>2878</v>
      </c>
      <c r="P728" s="111" t="s">
        <v>2880</v>
      </c>
    </row>
    <row r="729" spans="2:16" ht="30" x14ac:dyDescent="0.25">
      <c r="B729" s="114" t="str">
        <f t="shared" si="112"/>
        <v>1</v>
      </c>
      <c r="C729" s="114" t="str">
        <f t="shared" si="113"/>
        <v>9</v>
      </c>
      <c r="D729" s="114" t="str">
        <f t="shared" si="114"/>
        <v>3</v>
      </c>
      <c r="E729" s="114" t="str">
        <f t="shared" si="115"/>
        <v>0</v>
      </c>
      <c r="F729" s="114" t="str">
        <f t="shared" si="116"/>
        <v>01</v>
      </c>
      <c r="G729" s="114" t="str">
        <f t="shared" si="117"/>
        <v>1</v>
      </c>
      <c r="H729" s="114" t="str">
        <f t="shared" si="118"/>
        <v>0</v>
      </c>
      <c r="I729" s="115">
        <v>19300110</v>
      </c>
      <c r="J729" s="114" t="s">
        <v>4422</v>
      </c>
      <c r="K729" s="114" t="s">
        <v>4424</v>
      </c>
      <c r="L729" s="116"/>
      <c r="M729" s="114" t="s">
        <v>2878</v>
      </c>
      <c r="N729" s="114" t="s">
        <v>2879</v>
      </c>
      <c r="O729" s="114" t="s">
        <v>2878</v>
      </c>
      <c r="P729" s="117" t="s">
        <v>2880</v>
      </c>
    </row>
    <row r="730" spans="2:16" ht="30" x14ac:dyDescent="0.25">
      <c r="B730" s="108" t="str">
        <f t="shared" si="112"/>
        <v>1</v>
      </c>
      <c r="C730" s="108" t="str">
        <f t="shared" si="113"/>
        <v>9</v>
      </c>
      <c r="D730" s="108" t="str">
        <f t="shared" si="114"/>
        <v>3</v>
      </c>
      <c r="E730" s="108" t="str">
        <f t="shared" si="115"/>
        <v>0</v>
      </c>
      <c r="F730" s="108" t="str">
        <f t="shared" si="116"/>
        <v>02</v>
      </c>
      <c r="G730" s="108" t="str">
        <f t="shared" si="117"/>
        <v>0</v>
      </c>
      <c r="H730" s="108" t="str">
        <f t="shared" si="118"/>
        <v>0</v>
      </c>
      <c r="I730" s="109">
        <v>19300200</v>
      </c>
      <c r="J730" s="108" t="s">
        <v>4429</v>
      </c>
      <c r="K730" s="108" t="s">
        <v>4430</v>
      </c>
      <c r="L730" s="110"/>
      <c r="M730" s="108" t="s">
        <v>2878</v>
      </c>
      <c r="N730" s="108" t="s">
        <v>2879</v>
      </c>
      <c r="O730" s="108" t="s">
        <v>2878</v>
      </c>
      <c r="P730" s="111" t="s">
        <v>2880</v>
      </c>
    </row>
    <row r="731" spans="2:16" ht="30" x14ac:dyDescent="0.25">
      <c r="B731" s="114" t="str">
        <f t="shared" si="112"/>
        <v>1</v>
      </c>
      <c r="C731" s="114" t="str">
        <f t="shared" si="113"/>
        <v>9</v>
      </c>
      <c r="D731" s="114" t="str">
        <f t="shared" si="114"/>
        <v>3</v>
      </c>
      <c r="E731" s="114" t="str">
        <f t="shared" si="115"/>
        <v>0</v>
      </c>
      <c r="F731" s="114" t="str">
        <f t="shared" si="116"/>
        <v>02</v>
      </c>
      <c r="G731" s="114" t="str">
        <f t="shared" si="117"/>
        <v>1</v>
      </c>
      <c r="H731" s="114" t="str">
        <f t="shared" si="118"/>
        <v>0</v>
      </c>
      <c r="I731" s="115">
        <v>19300210</v>
      </c>
      <c r="J731" s="114" t="s">
        <v>4431</v>
      </c>
      <c r="K731" s="114" t="s">
        <v>4432</v>
      </c>
      <c r="L731" s="116"/>
      <c r="M731" s="114" t="s">
        <v>2878</v>
      </c>
      <c r="N731" s="114" t="s">
        <v>2879</v>
      </c>
      <c r="O731" s="114" t="s">
        <v>2878</v>
      </c>
      <c r="P731" s="117" t="s">
        <v>2880</v>
      </c>
    </row>
    <row r="732" spans="2:16" ht="60" x14ac:dyDescent="0.25">
      <c r="B732" s="114" t="str">
        <f t="shared" si="112"/>
        <v>1</v>
      </c>
      <c r="C732" s="114" t="str">
        <f t="shared" si="113"/>
        <v>9</v>
      </c>
      <c r="D732" s="114" t="str">
        <f t="shared" si="114"/>
        <v>3</v>
      </c>
      <c r="E732" s="114" t="str">
        <f t="shared" si="115"/>
        <v>0</v>
      </c>
      <c r="F732" s="114" t="str">
        <f t="shared" si="116"/>
        <v>02</v>
      </c>
      <c r="G732" s="114" t="str">
        <f t="shared" si="117"/>
        <v>2</v>
      </c>
      <c r="H732" s="114" t="str">
        <f t="shared" si="118"/>
        <v>0</v>
      </c>
      <c r="I732" s="115">
        <v>19300220</v>
      </c>
      <c r="J732" s="114" t="s">
        <v>4438</v>
      </c>
      <c r="K732" s="114" t="s">
        <v>4439</v>
      </c>
      <c r="L732" s="116"/>
      <c r="M732" s="114" t="s">
        <v>2878</v>
      </c>
      <c r="N732" s="114" t="s">
        <v>2879</v>
      </c>
      <c r="O732" s="114" t="s">
        <v>2878</v>
      </c>
      <c r="P732" s="117" t="s">
        <v>2880</v>
      </c>
    </row>
    <row r="733" spans="2:16" ht="135" x14ac:dyDescent="0.25">
      <c r="B733" s="108" t="str">
        <f t="shared" si="112"/>
        <v>1</v>
      </c>
      <c r="C733" s="108" t="str">
        <f t="shared" si="113"/>
        <v>9</v>
      </c>
      <c r="D733" s="108" t="str">
        <f t="shared" si="114"/>
        <v>3</v>
      </c>
      <c r="E733" s="108" t="str">
        <f t="shared" si="115"/>
        <v>0</v>
      </c>
      <c r="F733" s="108" t="str">
        <f t="shared" si="116"/>
        <v>03</v>
      </c>
      <c r="G733" s="108" t="str">
        <f t="shared" si="117"/>
        <v>0</v>
      </c>
      <c r="H733" s="108" t="str">
        <f t="shared" si="118"/>
        <v>0</v>
      </c>
      <c r="I733" s="109">
        <v>19300300</v>
      </c>
      <c r="J733" s="108" t="s">
        <v>4444</v>
      </c>
      <c r="K733" s="108" t="s">
        <v>4445</v>
      </c>
      <c r="L733" s="110"/>
      <c r="M733" s="108" t="s">
        <v>2878</v>
      </c>
      <c r="N733" s="108" t="s">
        <v>2879</v>
      </c>
      <c r="O733" s="108" t="s">
        <v>2878</v>
      </c>
      <c r="P733" s="111" t="s">
        <v>2880</v>
      </c>
    </row>
    <row r="734" spans="2:16" ht="135" x14ac:dyDescent="0.25">
      <c r="B734" s="114" t="str">
        <f t="shared" si="112"/>
        <v>1</v>
      </c>
      <c r="C734" s="114" t="str">
        <f t="shared" si="113"/>
        <v>9</v>
      </c>
      <c r="D734" s="114" t="str">
        <f t="shared" si="114"/>
        <v>3</v>
      </c>
      <c r="E734" s="114" t="str">
        <f t="shared" si="115"/>
        <v>0</v>
      </c>
      <c r="F734" s="114" t="str">
        <f t="shared" si="116"/>
        <v>03</v>
      </c>
      <c r="G734" s="114" t="str">
        <f t="shared" si="117"/>
        <v>1</v>
      </c>
      <c r="H734" s="114" t="str">
        <f t="shared" si="118"/>
        <v>0</v>
      </c>
      <c r="I734" s="115">
        <v>19300310</v>
      </c>
      <c r="J734" s="114" t="s">
        <v>4444</v>
      </c>
      <c r="K734" s="114" t="s">
        <v>4445</v>
      </c>
      <c r="L734" s="116"/>
      <c r="M734" s="114" t="s">
        <v>2878</v>
      </c>
      <c r="N734" s="114" t="s">
        <v>2879</v>
      </c>
      <c r="O734" s="114" t="s">
        <v>2878</v>
      </c>
      <c r="P734" s="117" t="s">
        <v>2880</v>
      </c>
    </row>
    <row r="735" spans="2:16" ht="30" x14ac:dyDescent="0.25">
      <c r="B735" s="108" t="str">
        <f t="shared" si="112"/>
        <v>1</v>
      </c>
      <c r="C735" s="108" t="str">
        <f t="shared" si="113"/>
        <v>9</v>
      </c>
      <c r="D735" s="108" t="str">
        <f t="shared" si="114"/>
        <v>3</v>
      </c>
      <c r="E735" s="108" t="str">
        <f t="shared" si="115"/>
        <v>0</v>
      </c>
      <c r="F735" s="108" t="str">
        <f t="shared" si="116"/>
        <v>04</v>
      </c>
      <c r="G735" s="108" t="str">
        <f t="shared" si="117"/>
        <v>0</v>
      </c>
      <c r="H735" s="108" t="str">
        <f t="shared" si="118"/>
        <v>0</v>
      </c>
      <c r="I735" s="109">
        <v>19300400</v>
      </c>
      <c r="J735" s="108" t="s">
        <v>4450</v>
      </c>
      <c r="K735" s="108" t="s">
        <v>4451</v>
      </c>
      <c r="L735" s="110"/>
      <c r="M735" s="108" t="s">
        <v>2878</v>
      </c>
      <c r="N735" s="108" t="s">
        <v>2879</v>
      </c>
      <c r="O735" s="108" t="s">
        <v>2878</v>
      </c>
      <c r="P735" s="111" t="s">
        <v>2880</v>
      </c>
    </row>
    <row r="736" spans="2:16" ht="30" x14ac:dyDescent="0.25">
      <c r="B736" s="114" t="str">
        <f t="shared" si="112"/>
        <v>1</v>
      </c>
      <c r="C736" s="114" t="str">
        <f t="shared" si="113"/>
        <v>9</v>
      </c>
      <c r="D736" s="114" t="str">
        <f t="shared" si="114"/>
        <v>3</v>
      </c>
      <c r="E736" s="114" t="str">
        <f t="shared" si="115"/>
        <v>0</v>
      </c>
      <c r="F736" s="114" t="str">
        <f t="shared" si="116"/>
        <v>04</v>
      </c>
      <c r="G736" s="114" t="str">
        <f t="shared" si="117"/>
        <v>1</v>
      </c>
      <c r="H736" s="114" t="str">
        <f t="shared" si="118"/>
        <v>0</v>
      </c>
      <c r="I736" s="115">
        <v>19300410</v>
      </c>
      <c r="J736" s="114" t="s">
        <v>4450</v>
      </c>
      <c r="K736" s="114" t="s">
        <v>4451</v>
      </c>
      <c r="L736" s="116"/>
      <c r="M736" s="114" t="s">
        <v>2878</v>
      </c>
      <c r="N736" s="114" t="s">
        <v>2879</v>
      </c>
      <c r="O736" s="114" t="s">
        <v>2878</v>
      </c>
      <c r="P736" s="117" t="s">
        <v>2880</v>
      </c>
    </row>
    <row r="737" spans="2:16" s="148" customFormat="1" ht="45" x14ac:dyDescent="0.25">
      <c r="B737" s="145" t="str">
        <f t="shared" si="112"/>
        <v>1</v>
      </c>
      <c r="C737" s="145" t="str">
        <f t="shared" si="113"/>
        <v>9</v>
      </c>
      <c r="D737" s="145" t="str">
        <f t="shared" si="114"/>
        <v>3</v>
      </c>
      <c r="E737" s="145" t="str">
        <f t="shared" si="115"/>
        <v>0</v>
      </c>
      <c r="F737" s="145" t="str">
        <f t="shared" si="116"/>
        <v>05</v>
      </c>
      <c r="G737" s="145" t="str">
        <f t="shared" si="117"/>
        <v>0</v>
      </c>
      <c r="H737" s="145" t="str">
        <f t="shared" si="118"/>
        <v>0</v>
      </c>
      <c r="I737" s="143">
        <v>19300500</v>
      </c>
      <c r="J737" s="145" t="s">
        <v>5597</v>
      </c>
      <c r="K737" s="145" t="s">
        <v>5598</v>
      </c>
      <c r="L737" s="146"/>
      <c r="M737" s="145" t="s">
        <v>2878</v>
      </c>
      <c r="N737" s="145" t="s">
        <v>5587</v>
      </c>
      <c r="O737" s="145" t="s">
        <v>2878</v>
      </c>
      <c r="P737" s="147" t="s">
        <v>2880</v>
      </c>
    </row>
    <row r="738" spans="2:16" s="148" customFormat="1" ht="45" x14ac:dyDescent="0.25">
      <c r="B738" s="149" t="str">
        <f t="shared" si="112"/>
        <v>1</v>
      </c>
      <c r="C738" s="149" t="str">
        <f t="shared" si="113"/>
        <v>9</v>
      </c>
      <c r="D738" s="149" t="str">
        <f t="shared" si="114"/>
        <v>3</v>
      </c>
      <c r="E738" s="149" t="str">
        <f t="shared" si="115"/>
        <v>0</v>
      </c>
      <c r="F738" s="149" t="str">
        <f t="shared" si="116"/>
        <v>05</v>
      </c>
      <c r="G738" s="149" t="str">
        <f t="shared" si="117"/>
        <v>1</v>
      </c>
      <c r="H738" s="149" t="str">
        <f t="shared" si="118"/>
        <v>0</v>
      </c>
      <c r="I738" s="144">
        <v>19300510</v>
      </c>
      <c r="J738" s="149" t="s">
        <v>5597</v>
      </c>
      <c r="K738" s="149" t="s">
        <v>5598</v>
      </c>
      <c r="L738" s="150"/>
      <c r="M738" s="149" t="s">
        <v>5600</v>
      </c>
      <c r="N738" s="149" t="s">
        <v>5587</v>
      </c>
      <c r="O738" s="149" t="s">
        <v>5599</v>
      </c>
      <c r="P738" s="151" t="s">
        <v>2880</v>
      </c>
    </row>
    <row r="739" spans="2:16" ht="30" x14ac:dyDescent="0.25">
      <c r="B739" s="126" t="str">
        <f t="shared" si="112"/>
        <v>1</v>
      </c>
      <c r="C739" s="126" t="str">
        <f t="shared" si="113"/>
        <v>9</v>
      </c>
      <c r="D739" s="126" t="str">
        <f t="shared" si="114"/>
        <v>9</v>
      </c>
      <c r="E739" s="126" t="str">
        <f t="shared" si="115"/>
        <v>0</v>
      </c>
      <c r="F739" s="126" t="str">
        <f t="shared" si="116"/>
        <v>00</v>
      </c>
      <c r="G739" s="126" t="str">
        <f t="shared" si="117"/>
        <v>0</v>
      </c>
      <c r="H739" s="126" t="str">
        <f t="shared" si="118"/>
        <v>0</v>
      </c>
      <c r="I739" s="127">
        <v>19900000</v>
      </c>
      <c r="J739" s="126" t="s">
        <v>4459</v>
      </c>
      <c r="K739" s="126" t="s">
        <v>4460</v>
      </c>
      <c r="L739" s="122"/>
      <c r="M739" s="126" t="s">
        <v>2878</v>
      </c>
      <c r="N739" s="126" t="s">
        <v>5016</v>
      </c>
      <c r="O739" s="126" t="s">
        <v>2878</v>
      </c>
      <c r="P739" s="128" t="s">
        <v>2880</v>
      </c>
    </row>
    <row r="740" spans="2:16" ht="60" x14ac:dyDescent="0.25">
      <c r="B740" s="108" t="str">
        <f t="shared" si="112"/>
        <v>1</v>
      </c>
      <c r="C740" s="108" t="str">
        <f t="shared" si="113"/>
        <v>9</v>
      </c>
      <c r="D740" s="108" t="str">
        <f t="shared" si="114"/>
        <v>9</v>
      </c>
      <c r="E740" s="108" t="str">
        <f t="shared" si="115"/>
        <v>0</v>
      </c>
      <c r="F740" s="108" t="str">
        <f t="shared" si="116"/>
        <v>01</v>
      </c>
      <c r="G740" s="108" t="str">
        <f t="shared" si="117"/>
        <v>0</v>
      </c>
      <c r="H740" s="108" t="str">
        <f t="shared" si="118"/>
        <v>0</v>
      </c>
      <c r="I740" s="109">
        <v>19900100</v>
      </c>
      <c r="J740" s="108" t="s">
        <v>4461</v>
      </c>
      <c r="K740" s="108" t="s">
        <v>4462</v>
      </c>
      <c r="L740" s="110"/>
      <c r="M740" s="108" t="s">
        <v>2878</v>
      </c>
      <c r="N740" s="108" t="s">
        <v>2879</v>
      </c>
      <c r="O740" s="108" t="s">
        <v>2878</v>
      </c>
      <c r="P740" s="111" t="s">
        <v>2880</v>
      </c>
    </row>
    <row r="741" spans="2:16" ht="60" x14ac:dyDescent="0.25">
      <c r="B741" s="114" t="str">
        <f t="shared" si="112"/>
        <v>1</v>
      </c>
      <c r="C741" s="114" t="str">
        <f t="shared" si="113"/>
        <v>9</v>
      </c>
      <c r="D741" s="114" t="str">
        <f t="shared" si="114"/>
        <v>9</v>
      </c>
      <c r="E741" s="114" t="str">
        <f t="shared" si="115"/>
        <v>0</v>
      </c>
      <c r="F741" s="114" t="str">
        <f t="shared" si="116"/>
        <v>01</v>
      </c>
      <c r="G741" s="114" t="str">
        <f t="shared" si="117"/>
        <v>1</v>
      </c>
      <c r="H741" s="114" t="str">
        <f t="shared" si="118"/>
        <v>0</v>
      </c>
      <c r="I741" s="115">
        <v>19900110</v>
      </c>
      <c r="J741" s="114" t="s">
        <v>4461</v>
      </c>
      <c r="K741" s="114" t="s">
        <v>4462</v>
      </c>
      <c r="L741" s="116"/>
      <c r="M741" s="114" t="s">
        <v>2878</v>
      </c>
      <c r="N741" s="114" t="s">
        <v>2879</v>
      </c>
      <c r="O741" s="114" t="s">
        <v>2878</v>
      </c>
      <c r="P741" s="117" t="s">
        <v>2880</v>
      </c>
    </row>
    <row r="742" spans="2:16" ht="45" x14ac:dyDescent="0.25">
      <c r="B742" s="108" t="str">
        <f t="shared" si="112"/>
        <v>1</v>
      </c>
      <c r="C742" s="108" t="str">
        <f t="shared" si="113"/>
        <v>9</v>
      </c>
      <c r="D742" s="108" t="str">
        <f t="shared" si="114"/>
        <v>9</v>
      </c>
      <c r="E742" s="108" t="str">
        <f t="shared" si="115"/>
        <v>0</v>
      </c>
      <c r="F742" s="108" t="str">
        <f t="shared" si="116"/>
        <v>02</v>
      </c>
      <c r="G742" s="108" t="str">
        <f t="shared" si="117"/>
        <v>0</v>
      </c>
      <c r="H742" s="108" t="str">
        <f t="shared" si="118"/>
        <v>0</v>
      </c>
      <c r="I742" s="109">
        <v>19900200</v>
      </c>
      <c r="J742" s="108" t="s">
        <v>4466</v>
      </c>
      <c r="K742" s="108" t="s">
        <v>4467</v>
      </c>
      <c r="L742" s="110"/>
      <c r="M742" s="108" t="s">
        <v>2878</v>
      </c>
      <c r="N742" s="108" t="s">
        <v>2879</v>
      </c>
      <c r="O742" s="108" t="s">
        <v>2878</v>
      </c>
      <c r="P742" s="111" t="s">
        <v>2880</v>
      </c>
    </row>
    <row r="743" spans="2:16" ht="45" x14ac:dyDescent="0.25">
      <c r="B743" s="114" t="str">
        <f t="shared" si="112"/>
        <v>1</v>
      </c>
      <c r="C743" s="114" t="str">
        <f t="shared" si="113"/>
        <v>9</v>
      </c>
      <c r="D743" s="114" t="str">
        <f t="shared" si="114"/>
        <v>9</v>
      </c>
      <c r="E743" s="114" t="str">
        <f t="shared" si="115"/>
        <v>0</v>
      </c>
      <c r="F743" s="114" t="str">
        <f t="shared" si="116"/>
        <v>02</v>
      </c>
      <c r="G743" s="114" t="str">
        <f t="shared" si="117"/>
        <v>1</v>
      </c>
      <c r="H743" s="114" t="str">
        <f t="shared" si="118"/>
        <v>0</v>
      </c>
      <c r="I743" s="115">
        <v>19900210</v>
      </c>
      <c r="J743" s="114" t="s">
        <v>4466</v>
      </c>
      <c r="K743" s="114" t="s">
        <v>4467</v>
      </c>
      <c r="L743" s="116"/>
      <c r="M743" s="114" t="s">
        <v>2878</v>
      </c>
      <c r="N743" s="114" t="s">
        <v>2879</v>
      </c>
      <c r="O743" s="114" t="s">
        <v>2878</v>
      </c>
      <c r="P743" s="117" t="s">
        <v>2880</v>
      </c>
    </row>
    <row r="744" spans="2:16" ht="30" x14ac:dyDescent="0.25">
      <c r="B744" s="108" t="str">
        <f t="shared" si="112"/>
        <v>1</v>
      </c>
      <c r="C744" s="108" t="str">
        <f t="shared" si="113"/>
        <v>9</v>
      </c>
      <c r="D744" s="108" t="str">
        <f t="shared" si="114"/>
        <v>9</v>
      </c>
      <c r="E744" s="108" t="str">
        <f t="shared" si="115"/>
        <v>0</v>
      </c>
      <c r="F744" s="108" t="str">
        <f t="shared" si="116"/>
        <v>03</v>
      </c>
      <c r="G744" s="108" t="str">
        <f t="shared" si="117"/>
        <v>0</v>
      </c>
      <c r="H744" s="108" t="str">
        <f t="shared" si="118"/>
        <v>0</v>
      </c>
      <c r="I744" s="109">
        <v>19900300</v>
      </c>
      <c r="J744" s="108" t="s">
        <v>2191</v>
      </c>
      <c r="K744" s="108" t="s">
        <v>4470</v>
      </c>
      <c r="L744" s="110"/>
      <c r="M744" s="108" t="s">
        <v>2878</v>
      </c>
      <c r="N744" s="108" t="s">
        <v>2879</v>
      </c>
      <c r="O744" s="108" t="s">
        <v>2878</v>
      </c>
      <c r="P744" s="111" t="s">
        <v>2880</v>
      </c>
    </row>
    <row r="745" spans="2:16" ht="30" x14ac:dyDescent="0.25">
      <c r="B745" s="114" t="str">
        <f t="shared" si="112"/>
        <v>1</v>
      </c>
      <c r="C745" s="114" t="str">
        <f t="shared" si="113"/>
        <v>9</v>
      </c>
      <c r="D745" s="114" t="str">
        <f t="shared" si="114"/>
        <v>9</v>
      </c>
      <c r="E745" s="114" t="str">
        <f t="shared" si="115"/>
        <v>0</v>
      </c>
      <c r="F745" s="114" t="str">
        <f t="shared" si="116"/>
        <v>03</v>
      </c>
      <c r="G745" s="114" t="str">
        <f t="shared" si="117"/>
        <v>1</v>
      </c>
      <c r="H745" s="114" t="str">
        <f t="shared" si="118"/>
        <v>0</v>
      </c>
      <c r="I745" s="115">
        <v>19900310</v>
      </c>
      <c r="J745" s="114" t="s">
        <v>2191</v>
      </c>
      <c r="K745" s="114" t="s">
        <v>4470</v>
      </c>
      <c r="L745" s="116"/>
      <c r="M745" s="114" t="s">
        <v>2878</v>
      </c>
      <c r="N745" s="114" t="s">
        <v>2879</v>
      </c>
      <c r="O745" s="114" t="s">
        <v>2878</v>
      </c>
      <c r="P745" s="117" t="s">
        <v>2880</v>
      </c>
    </row>
    <row r="746" spans="2:16" ht="285" x14ac:dyDescent="0.25">
      <c r="B746" s="108" t="str">
        <f t="shared" si="112"/>
        <v>1</v>
      </c>
      <c r="C746" s="108" t="str">
        <f t="shared" si="113"/>
        <v>9</v>
      </c>
      <c r="D746" s="108" t="str">
        <f t="shared" si="114"/>
        <v>9</v>
      </c>
      <c r="E746" s="108" t="str">
        <f t="shared" si="115"/>
        <v>0</v>
      </c>
      <c r="F746" s="108" t="str">
        <f t="shared" si="116"/>
        <v>04</v>
      </c>
      <c r="G746" s="108" t="str">
        <f t="shared" si="117"/>
        <v>0</v>
      </c>
      <c r="H746" s="108" t="str">
        <f t="shared" si="118"/>
        <v>0</v>
      </c>
      <c r="I746" s="109">
        <v>19900400</v>
      </c>
      <c r="J746" s="108" t="s">
        <v>4478</v>
      </c>
      <c r="K746" s="108" t="s">
        <v>4479</v>
      </c>
      <c r="L746" s="110"/>
      <c r="M746" s="108" t="s">
        <v>2878</v>
      </c>
      <c r="N746" s="108" t="s">
        <v>2879</v>
      </c>
      <c r="O746" s="108" t="s">
        <v>2878</v>
      </c>
      <c r="P746" s="111" t="s">
        <v>2880</v>
      </c>
    </row>
    <row r="747" spans="2:16" ht="285" x14ac:dyDescent="0.25">
      <c r="B747" s="114" t="str">
        <f t="shared" si="112"/>
        <v>1</v>
      </c>
      <c r="C747" s="114" t="str">
        <f t="shared" si="113"/>
        <v>9</v>
      </c>
      <c r="D747" s="114" t="str">
        <f t="shared" si="114"/>
        <v>9</v>
      </c>
      <c r="E747" s="114" t="str">
        <f t="shared" si="115"/>
        <v>0</v>
      </c>
      <c r="F747" s="114" t="str">
        <f t="shared" si="116"/>
        <v>04</v>
      </c>
      <c r="G747" s="114" t="str">
        <f t="shared" si="117"/>
        <v>1</v>
      </c>
      <c r="H747" s="114" t="str">
        <f t="shared" si="118"/>
        <v>0</v>
      </c>
      <c r="I747" s="115">
        <v>19900410</v>
      </c>
      <c r="J747" s="114" t="s">
        <v>4478</v>
      </c>
      <c r="K747" s="114" t="s">
        <v>4479</v>
      </c>
      <c r="L747" s="116"/>
      <c r="M747" s="114" t="s">
        <v>2878</v>
      </c>
      <c r="N747" s="114" t="s">
        <v>2879</v>
      </c>
      <c r="O747" s="114" t="s">
        <v>2878</v>
      </c>
      <c r="P747" s="117" t="s">
        <v>2880</v>
      </c>
    </row>
    <row r="748" spans="2:16" ht="45" x14ac:dyDescent="0.25">
      <c r="B748" s="108" t="str">
        <f t="shared" ref="B748:B789" si="119">MID($I748,1,1)</f>
        <v>1</v>
      </c>
      <c r="C748" s="108" t="str">
        <f t="shared" ref="C748:C789" si="120">MID($I748,2,1)</f>
        <v>9</v>
      </c>
      <c r="D748" s="108" t="str">
        <f t="shared" ref="D748:D789" si="121">MID($I748,3,1)</f>
        <v>9</v>
      </c>
      <c r="E748" s="108" t="str">
        <f t="shared" ref="E748:E789" si="122">MID($I748,4,1)</f>
        <v>0</v>
      </c>
      <c r="F748" s="108" t="str">
        <f t="shared" ref="F748:F789" si="123">MID($I748,5,2)</f>
        <v>05</v>
      </c>
      <c r="G748" s="108" t="str">
        <f t="shared" ref="G748:G789" si="124">MID($I748,7,1)</f>
        <v>0</v>
      </c>
      <c r="H748" s="108" t="str">
        <f t="shared" ref="H748:H789" si="125">MID($I748,8,1)</f>
        <v>0</v>
      </c>
      <c r="I748" s="109">
        <v>19900500</v>
      </c>
      <c r="J748" s="108" t="s">
        <v>4484</v>
      </c>
      <c r="K748" s="108" t="s">
        <v>4485</v>
      </c>
      <c r="L748" s="110"/>
      <c r="M748" s="108" t="s">
        <v>2878</v>
      </c>
      <c r="N748" s="108" t="s">
        <v>2879</v>
      </c>
      <c r="O748" s="108" t="s">
        <v>2878</v>
      </c>
      <c r="P748" s="111" t="s">
        <v>2880</v>
      </c>
    </row>
    <row r="749" spans="2:16" ht="45" x14ac:dyDescent="0.25">
      <c r="B749" s="114" t="str">
        <f t="shared" si="119"/>
        <v>1</v>
      </c>
      <c r="C749" s="114" t="str">
        <f t="shared" si="120"/>
        <v>9</v>
      </c>
      <c r="D749" s="114" t="str">
        <f t="shared" si="121"/>
        <v>9</v>
      </c>
      <c r="E749" s="114" t="str">
        <f t="shared" si="122"/>
        <v>0</v>
      </c>
      <c r="F749" s="114" t="str">
        <f t="shared" si="123"/>
        <v>05</v>
      </c>
      <c r="G749" s="114" t="str">
        <f t="shared" si="124"/>
        <v>1</v>
      </c>
      <c r="H749" s="114" t="str">
        <f t="shared" si="125"/>
        <v>0</v>
      </c>
      <c r="I749" s="115">
        <v>19900510</v>
      </c>
      <c r="J749" s="114" t="s">
        <v>4484</v>
      </c>
      <c r="K749" s="114" t="s">
        <v>4485</v>
      </c>
      <c r="L749" s="116"/>
      <c r="M749" s="114" t="s">
        <v>2878</v>
      </c>
      <c r="N749" s="114" t="s">
        <v>2879</v>
      </c>
      <c r="O749" s="114" t="s">
        <v>2878</v>
      </c>
      <c r="P749" s="117" t="s">
        <v>2880</v>
      </c>
    </row>
    <row r="750" spans="2:16" ht="30" x14ac:dyDescent="0.25">
      <c r="B750" s="108" t="str">
        <f t="shared" si="119"/>
        <v>1</v>
      </c>
      <c r="C750" s="108" t="str">
        <f t="shared" si="120"/>
        <v>9</v>
      </c>
      <c r="D750" s="108" t="str">
        <f t="shared" si="121"/>
        <v>9</v>
      </c>
      <c r="E750" s="108" t="str">
        <f t="shared" si="122"/>
        <v>0</v>
      </c>
      <c r="F750" s="108" t="str">
        <f t="shared" si="123"/>
        <v>06</v>
      </c>
      <c r="G750" s="108" t="str">
        <f t="shared" si="124"/>
        <v>0</v>
      </c>
      <c r="H750" s="108" t="str">
        <f t="shared" si="125"/>
        <v>0</v>
      </c>
      <c r="I750" s="109">
        <v>19900600</v>
      </c>
      <c r="J750" s="108" t="s">
        <v>4491</v>
      </c>
      <c r="K750" s="108" t="s">
        <v>4492</v>
      </c>
      <c r="L750" s="110"/>
      <c r="M750" s="108" t="s">
        <v>2878</v>
      </c>
      <c r="N750" s="108" t="s">
        <v>2879</v>
      </c>
      <c r="O750" s="108" t="s">
        <v>2878</v>
      </c>
      <c r="P750" s="111" t="s">
        <v>2880</v>
      </c>
    </row>
    <row r="751" spans="2:16" ht="30" x14ac:dyDescent="0.25">
      <c r="B751" s="114" t="str">
        <f t="shared" si="119"/>
        <v>1</v>
      </c>
      <c r="C751" s="114" t="str">
        <f t="shared" si="120"/>
        <v>9</v>
      </c>
      <c r="D751" s="114" t="str">
        <f t="shared" si="121"/>
        <v>9</v>
      </c>
      <c r="E751" s="114" t="str">
        <f t="shared" si="122"/>
        <v>0</v>
      </c>
      <c r="F751" s="114" t="str">
        <f t="shared" si="123"/>
        <v>06</v>
      </c>
      <c r="G751" s="114" t="str">
        <f t="shared" si="124"/>
        <v>1</v>
      </c>
      <c r="H751" s="114" t="str">
        <f t="shared" si="125"/>
        <v>0</v>
      </c>
      <c r="I751" s="115">
        <v>19900610</v>
      </c>
      <c r="J751" s="114" t="s">
        <v>4491</v>
      </c>
      <c r="K751" s="114" t="s">
        <v>4492</v>
      </c>
      <c r="L751" s="116"/>
      <c r="M751" s="114" t="s">
        <v>2878</v>
      </c>
      <c r="N751" s="114" t="s">
        <v>2879</v>
      </c>
      <c r="O751" s="114" t="s">
        <v>2878</v>
      </c>
      <c r="P751" s="117" t="s">
        <v>2880</v>
      </c>
    </row>
    <row r="752" spans="2:16" ht="90" x14ac:dyDescent="0.25">
      <c r="B752" s="108" t="str">
        <f t="shared" si="119"/>
        <v>1</v>
      </c>
      <c r="C752" s="108" t="str">
        <f t="shared" si="120"/>
        <v>9</v>
      </c>
      <c r="D752" s="108" t="str">
        <f t="shared" si="121"/>
        <v>9</v>
      </c>
      <c r="E752" s="108" t="str">
        <f t="shared" si="122"/>
        <v>0</v>
      </c>
      <c r="F752" s="108" t="str">
        <f t="shared" si="123"/>
        <v>07</v>
      </c>
      <c r="G752" s="108" t="str">
        <f t="shared" si="124"/>
        <v>0</v>
      </c>
      <c r="H752" s="108" t="str">
        <f t="shared" si="125"/>
        <v>0</v>
      </c>
      <c r="I752" s="109">
        <v>19900700</v>
      </c>
      <c r="J752" s="108" t="s">
        <v>2593</v>
      </c>
      <c r="K752" s="108" t="s">
        <v>4496</v>
      </c>
      <c r="L752" s="110"/>
      <c r="M752" s="108" t="s">
        <v>2878</v>
      </c>
      <c r="N752" s="108" t="s">
        <v>2879</v>
      </c>
      <c r="O752" s="108" t="s">
        <v>2878</v>
      </c>
      <c r="P752" s="111" t="s">
        <v>2880</v>
      </c>
    </row>
    <row r="753" spans="2:16" ht="90" x14ac:dyDescent="0.25">
      <c r="B753" s="114" t="str">
        <f t="shared" si="119"/>
        <v>1</v>
      </c>
      <c r="C753" s="114" t="str">
        <f t="shared" si="120"/>
        <v>9</v>
      </c>
      <c r="D753" s="114" t="str">
        <f t="shared" si="121"/>
        <v>9</v>
      </c>
      <c r="E753" s="114" t="str">
        <f t="shared" si="122"/>
        <v>0</v>
      </c>
      <c r="F753" s="114" t="str">
        <f t="shared" si="123"/>
        <v>07</v>
      </c>
      <c r="G753" s="114" t="str">
        <f t="shared" si="124"/>
        <v>1</v>
      </c>
      <c r="H753" s="114" t="str">
        <f t="shared" si="125"/>
        <v>0</v>
      </c>
      <c r="I753" s="115">
        <v>19900710</v>
      </c>
      <c r="J753" s="114" t="s">
        <v>2593</v>
      </c>
      <c r="K753" s="114" t="s">
        <v>4496</v>
      </c>
      <c r="L753" s="116"/>
      <c r="M753" s="114" t="s">
        <v>2878</v>
      </c>
      <c r="N753" s="114" t="s">
        <v>2879</v>
      </c>
      <c r="O753" s="114" t="s">
        <v>2878</v>
      </c>
      <c r="P753" s="117" t="s">
        <v>2880</v>
      </c>
    </row>
    <row r="754" spans="2:16" ht="90" x14ac:dyDescent="0.25">
      <c r="B754" s="108" t="str">
        <f t="shared" si="119"/>
        <v>1</v>
      </c>
      <c r="C754" s="108" t="str">
        <f t="shared" si="120"/>
        <v>9</v>
      </c>
      <c r="D754" s="108" t="str">
        <f t="shared" si="121"/>
        <v>9</v>
      </c>
      <c r="E754" s="108" t="str">
        <f t="shared" si="122"/>
        <v>0</v>
      </c>
      <c r="F754" s="108" t="str">
        <f t="shared" si="123"/>
        <v>08</v>
      </c>
      <c r="G754" s="108" t="str">
        <f t="shared" si="124"/>
        <v>0</v>
      </c>
      <c r="H754" s="108" t="str">
        <f t="shared" si="125"/>
        <v>0</v>
      </c>
      <c r="I754" s="109">
        <v>19900800</v>
      </c>
      <c r="J754" s="108" t="s">
        <v>4500</v>
      </c>
      <c r="K754" s="108" t="s">
        <v>4501</v>
      </c>
      <c r="L754" s="110"/>
      <c r="M754" s="108" t="s">
        <v>2878</v>
      </c>
      <c r="N754" s="108" t="s">
        <v>2879</v>
      </c>
      <c r="O754" s="108" t="s">
        <v>2878</v>
      </c>
      <c r="P754" s="111" t="s">
        <v>2880</v>
      </c>
    </row>
    <row r="755" spans="2:16" ht="90" x14ac:dyDescent="0.25">
      <c r="B755" s="114" t="str">
        <f t="shared" si="119"/>
        <v>1</v>
      </c>
      <c r="C755" s="114" t="str">
        <f t="shared" si="120"/>
        <v>9</v>
      </c>
      <c r="D755" s="114" t="str">
        <f t="shared" si="121"/>
        <v>9</v>
      </c>
      <c r="E755" s="114" t="str">
        <f t="shared" si="122"/>
        <v>0</v>
      </c>
      <c r="F755" s="114" t="str">
        <f t="shared" si="123"/>
        <v>08</v>
      </c>
      <c r="G755" s="114" t="str">
        <f t="shared" si="124"/>
        <v>1</v>
      </c>
      <c r="H755" s="114" t="str">
        <f t="shared" si="125"/>
        <v>0</v>
      </c>
      <c r="I755" s="115">
        <v>19900810</v>
      </c>
      <c r="J755" s="114" t="s">
        <v>4500</v>
      </c>
      <c r="K755" s="114" t="s">
        <v>4501</v>
      </c>
      <c r="L755" s="116"/>
      <c r="M755" s="114" t="s">
        <v>2878</v>
      </c>
      <c r="N755" s="114" t="s">
        <v>2879</v>
      </c>
      <c r="O755" s="114" t="s">
        <v>2878</v>
      </c>
      <c r="P755" s="117" t="s">
        <v>2880</v>
      </c>
    </row>
    <row r="756" spans="2:16" ht="60" x14ac:dyDescent="0.25">
      <c r="B756" s="108" t="str">
        <f t="shared" si="119"/>
        <v>1</v>
      </c>
      <c r="C756" s="108" t="str">
        <f t="shared" si="120"/>
        <v>9</v>
      </c>
      <c r="D756" s="108" t="str">
        <f t="shared" si="121"/>
        <v>9</v>
      </c>
      <c r="E756" s="108" t="str">
        <f t="shared" si="122"/>
        <v>0</v>
      </c>
      <c r="F756" s="108" t="str">
        <f t="shared" si="123"/>
        <v>09</v>
      </c>
      <c r="G756" s="108" t="str">
        <f t="shared" si="124"/>
        <v>0</v>
      </c>
      <c r="H756" s="108" t="str">
        <f t="shared" si="125"/>
        <v>0</v>
      </c>
      <c r="I756" s="109">
        <v>19900900</v>
      </c>
      <c r="J756" s="108" t="s">
        <v>4506</v>
      </c>
      <c r="K756" s="108" t="s">
        <v>4507</v>
      </c>
      <c r="L756" s="110"/>
      <c r="M756" s="108" t="s">
        <v>2878</v>
      </c>
      <c r="N756" s="108" t="s">
        <v>2879</v>
      </c>
      <c r="O756" s="108" t="s">
        <v>2878</v>
      </c>
      <c r="P756" s="111" t="s">
        <v>2880</v>
      </c>
    </row>
    <row r="757" spans="2:16" ht="60" x14ac:dyDescent="0.25">
      <c r="B757" s="114" t="str">
        <f t="shared" si="119"/>
        <v>1</v>
      </c>
      <c r="C757" s="114" t="str">
        <f t="shared" si="120"/>
        <v>9</v>
      </c>
      <c r="D757" s="114" t="str">
        <f t="shared" si="121"/>
        <v>9</v>
      </c>
      <c r="E757" s="114" t="str">
        <f t="shared" si="122"/>
        <v>0</v>
      </c>
      <c r="F757" s="114" t="str">
        <f t="shared" si="123"/>
        <v>09</v>
      </c>
      <c r="G757" s="114" t="str">
        <f t="shared" si="124"/>
        <v>1</v>
      </c>
      <c r="H757" s="114" t="str">
        <f t="shared" si="125"/>
        <v>0</v>
      </c>
      <c r="I757" s="115">
        <v>19900910</v>
      </c>
      <c r="J757" s="114" t="s">
        <v>4506</v>
      </c>
      <c r="K757" s="114" t="s">
        <v>4507</v>
      </c>
      <c r="L757" s="116"/>
      <c r="M757" s="114" t="s">
        <v>2878</v>
      </c>
      <c r="N757" s="114" t="s">
        <v>2879</v>
      </c>
      <c r="O757" s="114" t="s">
        <v>2878</v>
      </c>
      <c r="P757" s="117" t="s">
        <v>2880</v>
      </c>
    </row>
    <row r="758" spans="2:16" ht="75" x14ac:dyDescent="0.25">
      <c r="B758" s="108" t="str">
        <f t="shared" si="119"/>
        <v>1</v>
      </c>
      <c r="C758" s="108" t="str">
        <f t="shared" si="120"/>
        <v>9</v>
      </c>
      <c r="D758" s="108" t="str">
        <f t="shared" si="121"/>
        <v>9</v>
      </c>
      <c r="E758" s="108" t="str">
        <f t="shared" si="122"/>
        <v>0</v>
      </c>
      <c r="F758" s="108" t="str">
        <f t="shared" si="123"/>
        <v>10</v>
      </c>
      <c r="G758" s="108" t="str">
        <f t="shared" si="124"/>
        <v>0</v>
      </c>
      <c r="H758" s="108" t="str">
        <f t="shared" si="125"/>
        <v>0</v>
      </c>
      <c r="I758" s="109">
        <v>19901000</v>
      </c>
      <c r="J758" s="108" t="s">
        <v>4511</v>
      </c>
      <c r="K758" s="108" t="s">
        <v>4512</v>
      </c>
      <c r="L758" s="110"/>
      <c r="M758" s="108" t="s">
        <v>2878</v>
      </c>
      <c r="N758" s="108" t="s">
        <v>2879</v>
      </c>
      <c r="O758" s="108" t="s">
        <v>2878</v>
      </c>
      <c r="P758" s="111" t="s">
        <v>2880</v>
      </c>
    </row>
    <row r="759" spans="2:16" ht="75" x14ac:dyDescent="0.25">
      <c r="B759" s="114" t="str">
        <f t="shared" si="119"/>
        <v>1</v>
      </c>
      <c r="C759" s="114" t="str">
        <f t="shared" si="120"/>
        <v>9</v>
      </c>
      <c r="D759" s="114" t="str">
        <f t="shared" si="121"/>
        <v>9</v>
      </c>
      <c r="E759" s="114" t="str">
        <f t="shared" si="122"/>
        <v>0</v>
      </c>
      <c r="F759" s="114" t="str">
        <f t="shared" si="123"/>
        <v>10</v>
      </c>
      <c r="G759" s="114" t="str">
        <f t="shared" si="124"/>
        <v>1</v>
      </c>
      <c r="H759" s="114" t="str">
        <f t="shared" si="125"/>
        <v>0</v>
      </c>
      <c r="I759" s="115">
        <v>19901010</v>
      </c>
      <c r="J759" s="114" t="s">
        <v>4511</v>
      </c>
      <c r="K759" s="114" t="s">
        <v>4512</v>
      </c>
      <c r="L759" s="116"/>
      <c r="M759" s="114" t="s">
        <v>2878</v>
      </c>
      <c r="N759" s="114" t="s">
        <v>2879</v>
      </c>
      <c r="O759" s="114" t="s">
        <v>2878</v>
      </c>
      <c r="P759" s="117" t="s">
        <v>2880</v>
      </c>
    </row>
    <row r="760" spans="2:16" ht="45" x14ac:dyDescent="0.25">
      <c r="B760" s="108" t="str">
        <f t="shared" si="119"/>
        <v>1</v>
      </c>
      <c r="C760" s="108" t="str">
        <f t="shared" si="120"/>
        <v>9</v>
      </c>
      <c r="D760" s="108" t="str">
        <f t="shared" si="121"/>
        <v>9</v>
      </c>
      <c r="E760" s="108" t="str">
        <f t="shared" si="122"/>
        <v>0</v>
      </c>
      <c r="F760" s="108" t="str">
        <f t="shared" si="123"/>
        <v>11</v>
      </c>
      <c r="G760" s="108" t="str">
        <f t="shared" si="124"/>
        <v>0</v>
      </c>
      <c r="H760" s="108" t="str">
        <f t="shared" si="125"/>
        <v>0</v>
      </c>
      <c r="I760" s="109">
        <v>19901100</v>
      </c>
      <c r="J760" s="108" t="s">
        <v>4516</v>
      </c>
      <c r="K760" s="108" t="s">
        <v>4517</v>
      </c>
      <c r="L760" s="110"/>
      <c r="M760" s="108" t="s">
        <v>2878</v>
      </c>
      <c r="N760" s="108" t="s">
        <v>2879</v>
      </c>
      <c r="O760" s="108" t="s">
        <v>2878</v>
      </c>
      <c r="P760" s="111" t="s">
        <v>2880</v>
      </c>
    </row>
    <row r="761" spans="2:16" ht="45" x14ac:dyDescent="0.25">
      <c r="B761" s="114" t="str">
        <f t="shared" si="119"/>
        <v>1</v>
      </c>
      <c r="C761" s="114" t="str">
        <f t="shared" si="120"/>
        <v>9</v>
      </c>
      <c r="D761" s="114" t="str">
        <f t="shared" si="121"/>
        <v>9</v>
      </c>
      <c r="E761" s="114" t="str">
        <f t="shared" si="122"/>
        <v>0</v>
      </c>
      <c r="F761" s="114" t="str">
        <f t="shared" si="123"/>
        <v>11</v>
      </c>
      <c r="G761" s="114" t="str">
        <f t="shared" si="124"/>
        <v>1</v>
      </c>
      <c r="H761" s="114" t="str">
        <f t="shared" si="125"/>
        <v>0</v>
      </c>
      <c r="I761" s="115">
        <v>19901110</v>
      </c>
      <c r="J761" s="114" t="s">
        <v>4516</v>
      </c>
      <c r="K761" s="114" t="s">
        <v>4517</v>
      </c>
      <c r="L761" s="116"/>
      <c r="M761" s="114" t="s">
        <v>2878</v>
      </c>
      <c r="N761" s="114" t="s">
        <v>2879</v>
      </c>
      <c r="O761" s="114" t="s">
        <v>2878</v>
      </c>
      <c r="P761" s="117" t="s">
        <v>2880</v>
      </c>
    </row>
    <row r="762" spans="2:16" ht="30" x14ac:dyDescent="0.25">
      <c r="B762" s="108" t="str">
        <f t="shared" si="119"/>
        <v>1</v>
      </c>
      <c r="C762" s="108" t="str">
        <f t="shared" si="120"/>
        <v>9</v>
      </c>
      <c r="D762" s="108" t="str">
        <f t="shared" si="121"/>
        <v>9</v>
      </c>
      <c r="E762" s="108" t="str">
        <f t="shared" si="122"/>
        <v>0</v>
      </c>
      <c r="F762" s="108" t="str">
        <f t="shared" si="123"/>
        <v>12</v>
      </c>
      <c r="G762" s="108" t="str">
        <f t="shared" si="124"/>
        <v>0</v>
      </c>
      <c r="H762" s="108" t="str">
        <f t="shared" si="125"/>
        <v>0</v>
      </c>
      <c r="I762" s="109">
        <v>19901200</v>
      </c>
      <c r="J762" s="108" t="s">
        <v>2525</v>
      </c>
      <c r="K762" s="108" t="s">
        <v>4522</v>
      </c>
      <c r="L762" s="110"/>
      <c r="M762" s="108" t="s">
        <v>2878</v>
      </c>
      <c r="N762" s="108" t="s">
        <v>2527</v>
      </c>
      <c r="O762" s="108" t="s">
        <v>2878</v>
      </c>
      <c r="P762" s="111" t="s">
        <v>2880</v>
      </c>
    </row>
    <row r="763" spans="2:16" ht="45" x14ac:dyDescent="0.25">
      <c r="B763" s="114" t="str">
        <f t="shared" si="119"/>
        <v>1</v>
      </c>
      <c r="C763" s="114" t="str">
        <f t="shared" si="120"/>
        <v>9</v>
      </c>
      <c r="D763" s="114" t="str">
        <f t="shared" si="121"/>
        <v>9</v>
      </c>
      <c r="E763" s="114" t="str">
        <f t="shared" si="122"/>
        <v>0</v>
      </c>
      <c r="F763" s="114" t="str">
        <f t="shared" si="123"/>
        <v>12</v>
      </c>
      <c r="G763" s="114" t="str">
        <f t="shared" si="124"/>
        <v>1</v>
      </c>
      <c r="H763" s="114" t="str">
        <f t="shared" si="125"/>
        <v>0</v>
      </c>
      <c r="I763" s="115">
        <v>19901210</v>
      </c>
      <c r="J763" s="114" t="s">
        <v>2528</v>
      </c>
      <c r="K763" s="114" t="s">
        <v>4523</v>
      </c>
      <c r="L763" s="116"/>
      <c r="M763" s="114" t="s">
        <v>2878</v>
      </c>
      <c r="N763" s="114" t="s">
        <v>2879</v>
      </c>
      <c r="O763" s="114" t="s">
        <v>2878</v>
      </c>
      <c r="P763" s="117" t="s">
        <v>2880</v>
      </c>
    </row>
    <row r="764" spans="2:16" ht="60" x14ac:dyDescent="0.25">
      <c r="B764" s="114" t="str">
        <f t="shared" si="119"/>
        <v>1</v>
      </c>
      <c r="C764" s="114" t="str">
        <f t="shared" si="120"/>
        <v>9</v>
      </c>
      <c r="D764" s="114" t="str">
        <f t="shared" si="121"/>
        <v>9</v>
      </c>
      <c r="E764" s="114" t="str">
        <f t="shared" si="122"/>
        <v>0</v>
      </c>
      <c r="F764" s="114" t="str">
        <f t="shared" si="123"/>
        <v>12</v>
      </c>
      <c r="G764" s="114" t="str">
        <f t="shared" si="124"/>
        <v>2</v>
      </c>
      <c r="H764" s="114" t="str">
        <f t="shared" si="125"/>
        <v>0</v>
      </c>
      <c r="I764" s="115">
        <v>19901220</v>
      </c>
      <c r="J764" s="114" t="s">
        <v>4527</v>
      </c>
      <c r="K764" s="114" t="s">
        <v>4528</v>
      </c>
      <c r="L764" s="116"/>
      <c r="M764" s="114" t="s">
        <v>2878</v>
      </c>
      <c r="N764" s="114" t="s">
        <v>2879</v>
      </c>
      <c r="O764" s="114" t="s">
        <v>2878</v>
      </c>
      <c r="P764" s="117" t="s">
        <v>2880</v>
      </c>
    </row>
    <row r="765" spans="2:16" s="148" customFormat="1" ht="45" x14ac:dyDescent="0.25">
      <c r="B765" s="145" t="str">
        <f t="shared" si="119"/>
        <v>1</v>
      </c>
      <c r="C765" s="145" t="str">
        <f t="shared" si="120"/>
        <v>9</v>
      </c>
      <c r="D765" s="145" t="str">
        <f t="shared" si="121"/>
        <v>9</v>
      </c>
      <c r="E765" s="145" t="str">
        <f t="shared" si="122"/>
        <v>0</v>
      </c>
      <c r="F765" s="145" t="str">
        <f t="shared" si="123"/>
        <v>13</v>
      </c>
      <c r="G765" s="145" t="str">
        <f t="shared" si="124"/>
        <v>0</v>
      </c>
      <c r="H765" s="145" t="str">
        <f t="shared" si="125"/>
        <v>0</v>
      </c>
      <c r="I765" s="143">
        <v>19901300</v>
      </c>
      <c r="J765" s="145" t="s">
        <v>5572</v>
      </c>
      <c r="K765" s="145" t="s">
        <v>5575</v>
      </c>
      <c r="L765" s="146"/>
      <c r="M765" s="145" t="s">
        <v>2878</v>
      </c>
      <c r="N765" s="145" t="s">
        <v>5576</v>
      </c>
      <c r="O765" s="145" t="s">
        <v>5579</v>
      </c>
      <c r="P765" s="147" t="s">
        <v>2880</v>
      </c>
    </row>
    <row r="766" spans="2:16" s="148" customFormat="1" ht="60" x14ac:dyDescent="0.25">
      <c r="B766" s="149" t="str">
        <f t="shared" si="119"/>
        <v>1</v>
      </c>
      <c r="C766" s="149" t="str">
        <f t="shared" si="120"/>
        <v>9</v>
      </c>
      <c r="D766" s="149" t="str">
        <f t="shared" si="121"/>
        <v>9</v>
      </c>
      <c r="E766" s="149" t="str">
        <f t="shared" si="122"/>
        <v>0</v>
      </c>
      <c r="F766" s="149" t="str">
        <f t="shared" si="123"/>
        <v>13</v>
      </c>
      <c r="G766" s="149" t="str">
        <f t="shared" si="124"/>
        <v>1</v>
      </c>
      <c r="H766" s="149" t="str">
        <f t="shared" si="125"/>
        <v>0</v>
      </c>
      <c r="I766" s="144">
        <v>19901310</v>
      </c>
      <c r="J766" s="149" t="s">
        <v>5573</v>
      </c>
      <c r="K766" s="149" t="s">
        <v>5577</v>
      </c>
      <c r="L766" s="150"/>
      <c r="M766" s="149" t="s">
        <v>5578</v>
      </c>
      <c r="N766" s="149" t="s">
        <v>5576</v>
      </c>
      <c r="O766" s="149" t="s">
        <v>5579</v>
      </c>
      <c r="P766" s="151" t="s">
        <v>2880</v>
      </c>
    </row>
    <row r="767" spans="2:16" s="148" customFormat="1" ht="30" x14ac:dyDescent="0.25">
      <c r="B767" s="145" t="str">
        <f t="shared" si="119"/>
        <v>1</v>
      </c>
      <c r="C767" s="145" t="str">
        <f t="shared" si="120"/>
        <v>9</v>
      </c>
      <c r="D767" s="145" t="str">
        <f t="shared" si="121"/>
        <v>9</v>
      </c>
      <c r="E767" s="145" t="str">
        <f t="shared" si="122"/>
        <v>0</v>
      </c>
      <c r="F767" s="145" t="str">
        <f t="shared" si="123"/>
        <v>14</v>
      </c>
      <c r="G767" s="145" t="str">
        <f t="shared" si="124"/>
        <v>0</v>
      </c>
      <c r="H767" s="145" t="str">
        <f t="shared" si="125"/>
        <v>0</v>
      </c>
      <c r="I767" s="143">
        <v>19901400</v>
      </c>
      <c r="J767" s="145" t="s">
        <v>5574</v>
      </c>
      <c r="K767" s="145" t="s">
        <v>5580</v>
      </c>
      <c r="L767" s="146"/>
      <c r="M767" s="145" t="s">
        <v>5581</v>
      </c>
      <c r="N767" s="145" t="s">
        <v>5576</v>
      </c>
      <c r="O767" s="145" t="s">
        <v>5582</v>
      </c>
      <c r="P767" s="147" t="s">
        <v>2880</v>
      </c>
    </row>
    <row r="768" spans="2:16" s="148" customFormat="1" ht="30" x14ac:dyDescent="0.25">
      <c r="B768" s="149" t="str">
        <f t="shared" si="119"/>
        <v>1</v>
      </c>
      <c r="C768" s="149" t="str">
        <f t="shared" si="120"/>
        <v>9</v>
      </c>
      <c r="D768" s="149" t="str">
        <f t="shared" si="121"/>
        <v>9</v>
      </c>
      <c r="E768" s="149" t="str">
        <f t="shared" si="122"/>
        <v>0</v>
      </c>
      <c r="F768" s="149" t="str">
        <f t="shared" si="123"/>
        <v>14</v>
      </c>
      <c r="G768" s="149" t="str">
        <f t="shared" si="124"/>
        <v>1</v>
      </c>
      <c r="H768" s="149" t="str">
        <f t="shared" si="125"/>
        <v>0</v>
      </c>
      <c r="I768" s="144">
        <v>19901410</v>
      </c>
      <c r="J768" s="149" t="s">
        <v>5574</v>
      </c>
      <c r="K768" s="149" t="s">
        <v>5580</v>
      </c>
      <c r="L768" s="150"/>
      <c r="M768" s="149" t="s">
        <v>5581</v>
      </c>
      <c r="N768" s="149" t="s">
        <v>5576</v>
      </c>
      <c r="O768" s="149" t="s">
        <v>5582</v>
      </c>
      <c r="P768" s="151" t="s">
        <v>2880</v>
      </c>
    </row>
    <row r="769" spans="2:16" ht="30" x14ac:dyDescent="0.25">
      <c r="B769" s="108" t="str">
        <f t="shared" si="119"/>
        <v>1</v>
      </c>
      <c r="C769" s="108" t="str">
        <f t="shared" si="120"/>
        <v>9</v>
      </c>
      <c r="D769" s="108" t="str">
        <f t="shared" si="121"/>
        <v>9</v>
      </c>
      <c r="E769" s="108" t="str">
        <f t="shared" si="122"/>
        <v>0</v>
      </c>
      <c r="F769" s="108" t="str">
        <f t="shared" si="123"/>
        <v>99</v>
      </c>
      <c r="G769" s="108" t="str">
        <f t="shared" si="124"/>
        <v>0</v>
      </c>
      <c r="H769" s="108" t="str">
        <f t="shared" si="125"/>
        <v>0</v>
      </c>
      <c r="I769" s="109">
        <v>19909900</v>
      </c>
      <c r="J769" s="108" t="s">
        <v>2601</v>
      </c>
      <c r="K769" s="108" t="s">
        <v>4533</v>
      </c>
      <c r="L769" s="110"/>
      <c r="M769" s="108" t="s">
        <v>2878</v>
      </c>
      <c r="N769" s="108" t="s">
        <v>2060</v>
      </c>
      <c r="O769" s="108" t="s">
        <v>2878</v>
      </c>
      <c r="P769" s="111" t="s">
        <v>2880</v>
      </c>
    </row>
    <row r="770" spans="2:16" ht="30" x14ac:dyDescent="0.25">
      <c r="B770" s="114" t="str">
        <f t="shared" si="119"/>
        <v>1</v>
      </c>
      <c r="C770" s="114" t="str">
        <f t="shared" si="120"/>
        <v>9</v>
      </c>
      <c r="D770" s="114" t="str">
        <f t="shared" si="121"/>
        <v>9</v>
      </c>
      <c r="E770" s="114" t="str">
        <f t="shared" si="122"/>
        <v>0</v>
      </c>
      <c r="F770" s="114" t="str">
        <f t="shared" si="123"/>
        <v>99</v>
      </c>
      <c r="G770" s="114" t="str">
        <f t="shared" si="124"/>
        <v>1</v>
      </c>
      <c r="H770" s="114" t="str">
        <f t="shared" si="125"/>
        <v>0</v>
      </c>
      <c r="I770" s="115">
        <v>19909910</v>
      </c>
      <c r="J770" s="114" t="s">
        <v>2603</v>
      </c>
      <c r="K770" s="114" t="s">
        <v>4534</v>
      </c>
      <c r="L770" s="116"/>
      <c r="M770" s="114" t="s">
        <v>2878</v>
      </c>
      <c r="N770" s="114" t="s">
        <v>2879</v>
      </c>
      <c r="O770" s="114" t="s">
        <v>2878</v>
      </c>
      <c r="P770" s="117" t="s">
        <v>2880</v>
      </c>
    </row>
    <row r="771" spans="2:16" ht="30" x14ac:dyDescent="0.25">
      <c r="B771" s="114" t="str">
        <f t="shared" si="119"/>
        <v>1</v>
      </c>
      <c r="C771" s="114" t="str">
        <f t="shared" si="120"/>
        <v>9</v>
      </c>
      <c r="D771" s="114" t="str">
        <f t="shared" si="121"/>
        <v>9</v>
      </c>
      <c r="E771" s="114" t="str">
        <f t="shared" si="122"/>
        <v>0</v>
      </c>
      <c r="F771" s="114" t="str">
        <f t="shared" si="123"/>
        <v>99</v>
      </c>
      <c r="G771" s="114" t="str">
        <f t="shared" si="124"/>
        <v>2</v>
      </c>
      <c r="H771" s="114" t="str">
        <f t="shared" si="125"/>
        <v>0</v>
      </c>
      <c r="I771" s="115">
        <v>19909920</v>
      </c>
      <c r="J771" s="114" t="s">
        <v>2606</v>
      </c>
      <c r="K771" s="114" t="s">
        <v>4541</v>
      </c>
      <c r="L771" s="116"/>
      <c r="M771" s="114" t="s">
        <v>2878</v>
      </c>
      <c r="N771" s="114" t="s">
        <v>2879</v>
      </c>
      <c r="O771" s="114" t="s">
        <v>2878</v>
      </c>
      <c r="P771" s="117" t="s">
        <v>2880</v>
      </c>
    </row>
    <row r="772" spans="2:16" ht="60" x14ac:dyDescent="0.25">
      <c r="B772" s="99" t="str">
        <f t="shared" si="119"/>
        <v>2</v>
      </c>
      <c r="C772" s="99" t="str">
        <f t="shared" si="120"/>
        <v>0</v>
      </c>
      <c r="D772" s="99" t="str">
        <f t="shared" si="121"/>
        <v>0</v>
      </c>
      <c r="E772" s="99" t="str">
        <f t="shared" si="122"/>
        <v>0</v>
      </c>
      <c r="F772" s="99" t="str">
        <f t="shared" si="123"/>
        <v>00</v>
      </c>
      <c r="G772" s="99" t="str">
        <f t="shared" si="124"/>
        <v>0</v>
      </c>
      <c r="H772" s="99" t="str">
        <f t="shared" si="125"/>
        <v>0</v>
      </c>
      <c r="I772" s="100">
        <v>20000000</v>
      </c>
      <c r="J772" s="99" t="s">
        <v>2608</v>
      </c>
      <c r="K772" s="99" t="s">
        <v>4545</v>
      </c>
      <c r="L772" s="101"/>
      <c r="M772" s="99" t="s">
        <v>2878</v>
      </c>
      <c r="N772" s="99" t="s">
        <v>5016</v>
      </c>
      <c r="O772" s="99" t="s">
        <v>17</v>
      </c>
      <c r="P772" s="102" t="s">
        <v>2880</v>
      </c>
    </row>
    <row r="773" spans="2:16" ht="105" x14ac:dyDescent="0.25">
      <c r="B773" s="123" t="str">
        <f t="shared" si="119"/>
        <v>2</v>
      </c>
      <c r="C773" s="123" t="str">
        <f t="shared" si="120"/>
        <v>1</v>
      </c>
      <c r="D773" s="123" t="str">
        <f t="shared" si="121"/>
        <v>0</v>
      </c>
      <c r="E773" s="123" t="str">
        <f t="shared" si="122"/>
        <v>0</v>
      </c>
      <c r="F773" s="123" t="str">
        <f t="shared" si="123"/>
        <v>00</v>
      </c>
      <c r="G773" s="123" t="str">
        <f t="shared" si="124"/>
        <v>0</v>
      </c>
      <c r="H773" s="123" t="str">
        <f t="shared" si="125"/>
        <v>0</v>
      </c>
      <c r="I773" s="124">
        <v>21000000</v>
      </c>
      <c r="J773" s="123" t="s">
        <v>2610</v>
      </c>
      <c r="K773" s="123" t="s">
        <v>4546</v>
      </c>
      <c r="L773" s="103"/>
      <c r="M773" s="123" t="s">
        <v>2878</v>
      </c>
      <c r="N773" s="123" t="s">
        <v>5016</v>
      </c>
      <c r="O773" s="123" t="s">
        <v>2878</v>
      </c>
      <c r="P773" s="125" t="s">
        <v>2880</v>
      </c>
    </row>
    <row r="774" spans="2:16" ht="45" x14ac:dyDescent="0.25">
      <c r="B774" s="126" t="str">
        <f t="shared" si="119"/>
        <v>2</v>
      </c>
      <c r="C774" s="126" t="str">
        <f t="shared" si="120"/>
        <v>1</v>
      </c>
      <c r="D774" s="126" t="str">
        <f t="shared" si="121"/>
        <v>1</v>
      </c>
      <c r="E774" s="126" t="str">
        <f t="shared" si="122"/>
        <v>0</v>
      </c>
      <c r="F774" s="126" t="str">
        <f t="shared" si="123"/>
        <v>00</v>
      </c>
      <c r="G774" s="126" t="str">
        <f t="shared" si="124"/>
        <v>0</v>
      </c>
      <c r="H774" s="126" t="str">
        <f t="shared" si="125"/>
        <v>0</v>
      </c>
      <c r="I774" s="127">
        <v>21100000</v>
      </c>
      <c r="J774" s="126" t="s">
        <v>4547</v>
      </c>
      <c r="K774" s="126" t="s">
        <v>4548</v>
      </c>
      <c r="L774" s="122"/>
      <c r="M774" s="126" t="s">
        <v>2878</v>
      </c>
      <c r="N774" s="126" t="s">
        <v>5016</v>
      </c>
      <c r="O774" s="126" t="s">
        <v>2878</v>
      </c>
      <c r="P774" s="128" t="s">
        <v>2880</v>
      </c>
    </row>
    <row r="775" spans="2:16" ht="135" x14ac:dyDescent="0.25">
      <c r="B775" s="104" t="str">
        <f t="shared" si="119"/>
        <v>2</v>
      </c>
      <c r="C775" s="104" t="str">
        <f t="shared" si="120"/>
        <v>1</v>
      </c>
      <c r="D775" s="104" t="str">
        <f t="shared" si="121"/>
        <v>1</v>
      </c>
      <c r="E775" s="104" t="str">
        <f t="shared" si="122"/>
        <v>1</v>
      </c>
      <c r="F775" s="104" t="str">
        <f t="shared" si="123"/>
        <v>00</v>
      </c>
      <c r="G775" s="104" t="str">
        <f t="shared" si="124"/>
        <v>0</v>
      </c>
      <c r="H775" s="104" t="str">
        <f t="shared" si="125"/>
        <v>0</v>
      </c>
      <c r="I775" s="105">
        <v>21110000</v>
      </c>
      <c r="J775" s="104" t="s">
        <v>4549</v>
      </c>
      <c r="K775" s="104" t="s">
        <v>4550</v>
      </c>
      <c r="L775" s="106"/>
      <c r="M775" s="104" t="s">
        <v>2878</v>
      </c>
      <c r="N775" s="104" t="s">
        <v>2879</v>
      </c>
      <c r="O775" s="104" t="s">
        <v>2878</v>
      </c>
      <c r="P775" s="107" t="s">
        <v>2880</v>
      </c>
    </row>
    <row r="776" spans="2:16" ht="75" x14ac:dyDescent="0.25">
      <c r="B776" s="114" t="str">
        <f t="shared" si="119"/>
        <v>2</v>
      </c>
      <c r="C776" s="114" t="str">
        <f t="shared" si="120"/>
        <v>1</v>
      </c>
      <c r="D776" s="114" t="str">
        <f t="shared" si="121"/>
        <v>1</v>
      </c>
      <c r="E776" s="114" t="str">
        <f t="shared" si="122"/>
        <v>1</v>
      </c>
      <c r="F776" s="114" t="str">
        <f t="shared" si="123"/>
        <v>00</v>
      </c>
      <c r="G776" s="114" t="str">
        <f t="shared" si="124"/>
        <v>1</v>
      </c>
      <c r="H776" s="114" t="str">
        <f t="shared" si="125"/>
        <v>0</v>
      </c>
      <c r="I776" s="115">
        <v>21110010</v>
      </c>
      <c r="J776" s="114" t="s">
        <v>4549</v>
      </c>
      <c r="K776" s="114" t="s">
        <v>4551</v>
      </c>
      <c r="L776" s="116"/>
      <c r="M776" s="114" t="s">
        <v>2878</v>
      </c>
      <c r="N776" s="114" t="s">
        <v>2879</v>
      </c>
      <c r="O776" s="114" t="s">
        <v>2878</v>
      </c>
      <c r="P776" s="117" t="s">
        <v>2880</v>
      </c>
    </row>
    <row r="777" spans="2:16" ht="105" x14ac:dyDescent="0.25">
      <c r="B777" s="114" t="str">
        <f t="shared" si="119"/>
        <v>2</v>
      </c>
      <c r="C777" s="114" t="str">
        <f t="shared" si="120"/>
        <v>1</v>
      </c>
      <c r="D777" s="114" t="str">
        <f t="shared" si="121"/>
        <v>1</v>
      </c>
      <c r="E777" s="114" t="str">
        <f t="shared" si="122"/>
        <v>1</v>
      </c>
      <c r="F777" s="114" t="str">
        <f t="shared" si="123"/>
        <v>00</v>
      </c>
      <c r="G777" s="114" t="str">
        <f t="shared" si="124"/>
        <v>2</v>
      </c>
      <c r="H777" s="114" t="str">
        <f t="shared" si="125"/>
        <v>0</v>
      </c>
      <c r="I777" s="115">
        <v>21110020</v>
      </c>
      <c r="J777" s="114" t="s">
        <v>4556</v>
      </c>
      <c r="K777" s="114" t="s">
        <v>4557</v>
      </c>
      <c r="L777" s="116"/>
      <c r="M777" s="114" t="s">
        <v>2878</v>
      </c>
      <c r="N777" s="114" t="s">
        <v>2879</v>
      </c>
      <c r="O777" s="114" t="s">
        <v>2878</v>
      </c>
      <c r="P777" s="117" t="s">
        <v>2880</v>
      </c>
    </row>
    <row r="778" spans="2:16" ht="90" x14ac:dyDescent="0.25">
      <c r="B778" s="114" t="str">
        <f t="shared" si="119"/>
        <v>2</v>
      </c>
      <c r="C778" s="114" t="str">
        <f t="shared" si="120"/>
        <v>1</v>
      </c>
      <c r="D778" s="114" t="str">
        <f t="shared" si="121"/>
        <v>1</v>
      </c>
      <c r="E778" s="114" t="str">
        <f t="shared" si="122"/>
        <v>1</v>
      </c>
      <c r="F778" s="114" t="str">
        <f t="shared" si="123"/>
        <v>00</v>
      </c>
      <c r="G778" s="114" t="str">
        <f t="shared" si="124"/>
        <v>3</v>
      </c>
      <c r="H778" s="114" t="str">
        <f t="shared" si="125"/>
        <v>0</v>
      </c>
      <c r="I778" s="115">
        <v>21110030</v>
      </c>
      <c r="J778" s="114" t="s">
        <v>2618</v>
      </c>
      <c r="K778" s="114" t="s">
        <v>4562</v>
      </c>
      <c r="L778" s="116"/>
      <c r="M778" s="114" t="s">
        <v>2878</v>
      </c>
      <c r="N778" s="114" t="s">
        <v>2879</v>
      </c>
      <c r="O778" s="114" t="s">
        <v>2878</v>
      </c>
      <c r="P778" s="117" t="s">
        <v>2880</v>
      </c>
    </row>
    <row r="779" spans="2:16" ht="60" x14ac:dyDescent="0.25">
      <c r="B779" s="104" t="str">
        <f t="shared" si="119"/>
        <v>2</v>
      </c>
      <c r="C779" s="104" t="str">
        <f t="shared" si="120"/>
        <v>1</v>
      </c>
      <c r="D779" s="104" t="str">
        <f t="shared" si="121"/>
        <v>1</v>
      </c>
      <c r="E779" s="104" t="str">
        <f t="shared" si="122"/>
        <v>2</v>
      </c>
      <c r="F779" s="104" t="str">
        <f t="shared" si="123"/>
        <v>00</v>
      </c>
      <c r="G779" s="104" t="str">
        <f t="shared" si="124"/>
        <v>0</v>
      </c>
      <c r="H779" s="104" t="str">
        <f t="shared" si="125"/>
        <v>0</v>
      </c>
      <c r="I779" s="105">
        <v>21120000</v>
      </c>
      <c r="J779" s="104" t="s">
        <v>4567</v>
      </c>
      <c r="K779" s="104" t="s">
        <v>4568</v>
      </c>
      <c r="L779" s="106"/>
      <c r="M779" s="104" t="s">
        <v>2878</v>
      </c>
      <c r="N779" s="104" t="s">
        <v>2879</v>
      </c>
      <c r="O779" s="104" t="s">
        <v>2878</v>
      </c>
      <c r="P779" s="107" t="s">
        <v>2880</v>
      </c>
    </row>
    <row r="780" spans="2:16" ht="60" x14ac:dyDescent="0.25">
      <c r="B780" s="114" t="str">
        <f t="shared" si="119"/>
        <v>2</v>
      </c>
      <c r="C780" s="114" t="str">
        <f t="shared" si="120"/>
        <v>1</v>
      </c>
      <c r="D780" s="114" t="str">
        <f t="shared" si="121"/>
        <v>1</v>
      </c>
      <c r="E780" s="114" t="str">
        <f t="shared" si="122"/>
        <v>2</v>
      </c>
      <c r="F780" s="114" t="str">
        <f t="shared" si="123"/>
        <v>00</v>
      </c>
      <c r="G780" s="114" t="str">
        <f t="shared" si="124"/>
        <v>1</v>
      </c>
      <c r="H780" s="114" t="str">
        <f t="shared" si="125"/>
        <v>0</v>
      </c>
      <c r="I780" s="115">
        <v>21120010</v>
      </c>
      <c r="J780" s="114" t="s">
        <v>4567</v>
      </c>
      <c r="K780" s="114" t="s">
        <v>4568</v>
      </c>
      <c r="L780" s="116"/>
      <c r="M780" s="114" t="s">
        <v>2878</v>
      </c>
      <c r="N780" s="114" t="s">
        <v>2879</v>
      </c>
      <c r="O780" s="114" t="s">
        <v>2878</v>
      </c>
      <c r="P780" s="117" t="s">
        <v>2880</v>
      </c>
    </row>
    <row r="781" spans="2:16" ht="75" x14ac:dyDescent="0.25">
      <c r="B781" s="104" t="str">
        <f t="shared" si="119"/>
        <v>2</v>
      </c>
      <c r="C781" s="104" t="str">
        <f t="shared" si="120"/>
        <v>1</v>
      </c>
      <c r="D781" s="104" t="str">
        <f t="shared" si="121"/>
        <v>1</v>
      </c>
      <c r="E781" s="104" t="str">
        <f t="shared" si="122"/>
        <v>3</v>
      </c>
      <c r="F781" s="104" t="str">
        <f t="shared" si="123"/>
        <v>00</v>
      </c>
      <c r="G781" s="104" t="str">
        <f t="shared" si="124"/>
        <v>0</v>
      </c>
      <c r="H781" s="104" t="str">
        <f t="shared" si="125"/>
        <v>0</v>
      </c>
      <c r="I781" s="105">
        <v>21130000</v>
      </c>
      <c r="J781" s="104" t="s">
        <v>2624</v>
      </c>
      <c r="K781" s="104" t="s">
        <v>4573</v>
      </c>
      <c r="L781" s="106"/>
      <c r="M781" s="104" t="s">
        <v>2878</v>
      </c>
      <c r="N781" s="104" t="s">
        <v>2879</v>
      </c>
      <c r="O781" s="104" t="s">
        <v>2878</v>
      </c>
      <c r="P781" s="107" t="s">
        <v>2880</v>
      </c>
    </row>
    <row r="782" spans="2:16" ht="75" x14ac:dyDescent="0.25">
      <c r="B782" s="114" t="str">
        <f t="shared" si="119"/>
        <v>2</v>
      </c>
      <c r="C782" s="114" t="str">
        <f t="shared" si="120"/>
        <v>1</v>
      </c>
      <c r="D782" s="114" t="str">
        <f t="shared" si="121"/>
        <v>1</v>
      </c>
      <c r="E782" s="114" t="str">
        <f t="shared" si="122"/>
        <v>3</v>
      </c>
      <c r="F782" s="114" t="str">
        <f t="shared" si="123"/>
        <v>00</v>
      </c>
      <c r="G782" s="114" t="str">
        <f t="shared" si="124"/>
        <v>1</v>
      </c>
      <c r="H782" s="114" t="str">
        <f t="shared" si="125"/>
        <v>0</v>
      </c>
      <c r="I782" s="115">
        <v>21130010</v>
      </c>
      <c r="J782" s="114" t="s">
        <v>2624</v>
      </c>
      <c r="K782" s="114" t="s">
        <v>4573</v>
      </c>
      <c r="L782" s="116"/>
      <c r="M782" s="114" t="s">
        <v>2878</v>
      </c>
      <c r="N782" s="114" t="s">
        <v>2879</v>
      </c>
      <c r="O782" s="114" t="s">
        <v>2878</v>
      </c>
      <c r="P782" s="117" t="s">
        <v>2880</v>
      </c>
    </row>
    <row r="783" spans="2:16" ht="75" x14ac:dyDescent="0.25">
      <c r="B783" s="104" t="str">
        <f t="shared" si="119"/>
        <v>2</v>
      </c>
      <c r="C783" s="104" t="str">
        <f t="shared" si="120"/>
        <v>1</v>
      </c>
      <c r="D783" s="104" t="str">
        <f t="shared" si="121"/>
        <v>1</v>
      </c>
      <c r="E783" s="104" t="str">
        <f t="shared" si="122"/>
        <v>8</v>
      </c>
      <c r="F783" s="104" t="str">
        <f t="shared" si="123"/>
        <v>00</v>
      </c>
      <c r="G783" s="104" t="str">
        <f t="shared" si="124"/>
        <v>0</v>
      </c>
      <c r="H783" s="104" t="str">
        <f t="shared" si="125"/>
        <v>0</v>
      </c>
      <c r="I783" s="105">
        <v>21180000</v>
      </c>
      <c r="J783" s="104" t="s">
        <v>4896</v>
      </c>
      <c r="K783" s="104" t="s">
        <v>5037</v>
      </c>
      <c r="L783" s="106"/>
      <c r="M783" s="104" t="s">
        <v>2878</v>
      </c>
      <c r="N783" s="104"/>
      <c r="O783" s="104" t="s">
        <v>5018</v>
      </c>
      <c r="P783" s="107" t="s">
        <v>2880</v>
      </c>
    </row>
    <row r="784" spans="2:16" ht="30" x14ac:dyDescent="0.25">
      <c r="B784" s="108" t="str">
        <f t="shared" si="119"/>
        <v>2</v>
      </c>
      <c r="C784" s="108" t="str">
        <f t="shared" si="120"/>
        <v>1</v>
      </c>
      <c r="D784" s="108" t="str">
        <f t="shared" si="121"/>
        <v>1</v>
      </c>
      <c r="E784" s="108" t="str">
        <f t="shared" si="122"/>
        <v>8</v>
      </c>
      <c r="F784" s="108" t="str">
        <f t="shared" si="123"/>
        <v>01</v>
      </c>
      <c r="G784" s="108" t="str">
        <f t="shared" si="124"/>
        <v>0</v>
      </c>
      <c r="H784" s="108" t="str">
        <f t="shared" si="125"/>
        <v>0</v>
      </c>
      <c r="I784" s="109">
        <v>21180100</v>
      </c>
      <c r="J784" s="108" t="s">
        <v>4894</v>
      </c>
      <c r="K784" s="108" t="s">
        <v>5119</v>
      </c>
      <c r="L784" s="110"/>
      <c r="M784" s="108"/>
      <c r="N784" s="108"/>
      <c r="O784" s="108" t="s">
        <v>2878</v>
      </c>
      <c r="P784" s="111" t="s">
        <v>2880</v>
      </c>
    </row>
    <row r="785" spans="2:16" ht="30" x14ac:dyDescent="0.25">
      <c r="B785" s="114" t="str">
        <f t="shared" si="119"/>
        <v>2</v>
      </c>
      <c r="C785" s="114" t="str">
        <f t="shared" si="120"/>
        <v>1</v>
      </c>
      <c r="D785" s="114" t="str">
        <f t="shared" si="121"/>
        <v>1</v>
      </c>
      <c r="E785" s="114" t="str">
        <f t="shared" si="122"/>
        <v>8</v>
      </c>
      <c r="F785" s="114" t="str">
        <f t="shared" si="123"/>
        <v>01</v>
      </c>
      <c r="G785" s="114" t="str">
        <f t="shared" si="124"/>
        <v>1</v>
      </c>
      <c r="H785" s="114" t="str">
        <f t="shared" si="125"/>
        <v>0</v>
      </c>
      <c r="I785" s="115">
        <v>21180110</v>
      </c>
      <c r="J785" s="114" t="s">
        <v>2628</v>
      </c>
      <c r="K785" s="114" t="s">
        <v>2629</v>
      </c>
      <c r="L785" s="116"/>
      <c r="M785" s="114"/>
      <c r="N785" s="114"/>
      <c r="O785" s="114" t="s">
        <v>2878</v>
      </c>
      <c r="P785" s="117" t="s">
        <v>2880</v>
      </c>
    </row>
    <row r="786" spans="2:16" ht="30" x14ac:dyDescent="0.25">
      <c r="B786" s="114" t="str">
        <f t="shared" si="119"/>
        <v>2</v>
      </c>
      <c r="C786" s="114" t="str">
        <f t="shared" si="120"/>
        <v>1</v>
      </c>
      <c r="D786" s="114" t="str">
        <f t="shared" si="121"/>
        <v>1</v>
      </c>
      <c r="E786" s="114" t="str">
        <f t="shared" si="122"/>
        <v>8</v>
      </c>
      <c r="F786" s="114" t="str">
        <f t="shared" si="123"/>
        <v>01</v>
      </c>
      <c r="G786" s="114" t="str">
        <f t="shared" si="124"/>
        <v>2</v>
      </c>
      <c r="H786" s="114" t="str">
        <f t="shared" si="125"/>
        <v>0</v>
      </c>
      <c r="I786" s="115">
        <v>21180120</v>
      </c>
      <c r="J786" s="114" t="s">
        <v>2630</v>
      </c>
      <c r="K786" s="114" t="s">
        <v>2631</v>
      </c>
      <c r="L786" s="116"/>
      <c r="M786" s="114"/>
      <c r="N786" s="114"/>
      <c r="O786" s="114" t="s">
        <v>2878</v>
      </c>
      <c r="P786" s="117" t="s">
        <v>2880</v>
      </c>
    </row>
    <row r="787" spans="2:16" ht="30" x14ac:dyDescent="0.25">
      <c r="B787" s="114" t="str">
        <f t="shared" si="119"/>
        <v>2</v>
      </c>
      <c r="C787" s="114" t="str">
        <f t="shared" si="120"/>
        <v>1</v>
      </c>
      <c r="D787" s="114" t="str">
        <f t="shared" si="121"/>
        <v>1</v>
      </c>
      <c r="E787" s="114" t="str">
        <f t="shared" si="122"/>
        <v>8</v>
      </c>
      <c r="F787" s="114" t="str">
        <f t="shared" si="123"/>
        <v>01</v>
      </c>
      <c r="G787" s="114" t="str">
        <f t="shared" si="124"/>
        <v>3</v>
      </c>
      <c r="H787" s="114" t="str">
        <f t="shared" si="125"/>
        <v>0</v>
      </c>
      <c r="I787" s="115">
        <v>21180130</v>
      </c>
      <c r="J787" s="114" t="s">
        <v>2632</v>
      </c>
      <c r="K787" s="114" t="s">
        <v>2633</v>
      </c>
      <c r="L787" s="116"/>
      <c r="M787" s="114"/>
      <c r="N787" s="114"/>
      <c r="O787" s="114" t="s">
        <v>2878</v>
      </c>
      <c r="P787" s="117" t="s">
        <v>2880</v>
      </c>
    </row>
    <row r="788" spans="2:16" ht="30" x14ac:dyDescent="0.25">
      <c r="B788" s="114" t="str">
        <f t="shared" si="119"/>
        <v>2</v>
      </c>
      <c r="C788" s="114" t="str">
        <f t="shared" si="120"/>
        <v>1</v>
      </c>
      <c r="D788" s="114" t="str">
        <f t="shared" si="121"/>
        <v>1</v>
      </c>
      <c r="E788" s="114" t="str">
        <f t="shared" si="122"/>
        <v>8</v>
      </c>
      <c r="F788" s="114" t="str">
        <f t="shared" si="123"/>
        <v>01</v>
      </c>
      <c r="G788" s="114" t="str">
        <f t="shared" si="124"/>
        <v>4</v>
      </c>
      <c r="H788" s="114" t="str">
        <f t="shared" si="125"/>
        <v>0</v>
      </c>
      <c r="I788" s="115">
        <v>21180140</v>
      </c>
      <c r="J788" s="114" t="s">
        <v>2634</v>
      </c>
      <c r="K788" s="114" t="s">
        <v>2635</v>
      </c>
      <c r="L788" s="116"/>
      <c r="M788" s="114"/>
      <c r="N788" s="114"/>
      <c r="O788" s="114" t="s">
        <v>2878</v>
      </c>
      <c r="P788" s="117" t="s">
        <v>2880</v>
      </c>
    </row>
    <row r="789" spans="2:16" ht="30" x14ac:dyDescent="0.25">
      <c r="B789" s="114" t="str">
        <f t="shared" si="119"/>
        <v>2</v>
      </c>
      <c r="C789" s="114" t="str">
        <f t="shared" si="120"/>
        <v>1</v>
      </c>
      <c r="D789" s="114" t="str">
        <f t="shared" si="121"/>
        <v>1</v>
      </c>
      <c r="E789" s="114" t="str">
        <f t="shared" si="122"/>
        <v>8</v>
      </c>
      <c r="F789" s="114" t="str">
        <f t="shared" si="123"/>
        <v>01</v>
      </c>
      <c r="G789" s="114" t="str">
        <f t="shared" si="124"/>
        <v>5</v>
      </c>
      <c r="H789" s="114" t="str">
        <f t="shared" si="125"/>
        <v>0</v>
      </c>
      <c r="I789" s="115">
        <v>21180150</v>
      </c>
      <c r="J789" s="114" t="s">
        <v>2636</v>
      </c>
      <c r="K789" s="114" t="s">
        <v>2637</v>
      </c>
      <c r="L789" s="116"/>
      <c r="M789" s="114"/>
      <c r="N789" s="114"/>
      <c r="O789" s="114" t="s">
        <v>2878</v>
      </c>
      <c r="P789" s="117" t="s">
        <v>2880</v>
      </c>
    </row>
    <row r="790" spans="2:16" ht="30" x14ac:dyDescent="0.25">
      <c r="B790" s="114" t="str">
        <f t="shared" ref="B790:B830" si="126">MID($I790,1,1)</f>
        <v>2</v>
      </c>
      <c r="C790" s="114" t="str">
        <f t="shared" ref="C790:C830" si="127">MID($I790,2,1)</f>
        <v>1</v>
      </c>
      <c r="D790" s="114" t="str">
        <f t="shared" ref="D790:D830" si="128">MID($I790,3,1)</f>
        <v>1</v>
      </c>
      <c r="E790" s="114" t="str">
        <f t="shared" ref="E790:E830" si="129">MID($I790,4,1)</f>
        <v>8</v>
      </c>
      <c r="F790" s="114" t="str">
        <f t="shared" ref="F790:F830" si="130">MID($I790,5,2)</f>
        <v>01</v>
      </c>
      <c r="G790" s="114" t="str">
        <f t="shared" ref="G790:G830" si="131">MID($I790,7,1)</f>
        <v>6</v>
      </c>
      <c r="H790" s="114" t="str">
        <f t="shared" ref="H790:H830" si="132">MID($I790,8,1)</f>
        <v>0</v>
      </c>
      <c r="I790" s="115">
        <v>21180160</v>
      </c>
      <c r="J790" s="114" t="s">
        <v>2638</v>
      </c>
      <c r="K790" s="114" t="s">
        <v>2639</v>
      </c>
      <c r="L790" s="116"/>
      <c r="M790" s="114"/>
      <c r="N790" s="114"/>
      <c r="O790" s="114" t="s">
        <v>2878</v>
      </c>
      <c r="P790" s="117" t="s">
        <v>2880</v>
      </c>
    </row>
    <row r="791" spans="2:16" ht="30" x14ac:dyDescent="0.25">
      <c r="B791" s="114" t="str">
        <f t="shared" si="126"/>
        <v>2</v>
      </c>
      <c r="C791" s="114" t="str">
        <f t="shared" si="127"/>
        <v>1</v>
      </c>
      <c r="D791" s="114" t="str">
        <f t="shared" si="128"/>
        <v>1</v>
      </c>
      <c r="E791" s="114" t="str">
        <f t="shared" si="129"/>
        <v>8</v>
      </c>
      <c r="F791" s="114" t="str">
        <f t="shared" si="130"/>
        <v>01</v>
      </c>
      <c r="G791" s="114" t="str">
        <f t="shared" si="131"/>
        <v>7</v>
      </c>
      <c r="H791" s="114" t="str">
        <f t="shared" si="132"/>
        <v>0</v>
      </c>
      <c r="I791" s="115">
        <v>21180170</v>
      </c>
      <c r="J791" s="114" t="s">
        <v>2640</v>
      </c>
      <c r="K791" s="114" t="s">
        <v>2641</v>
      </c>
      <c r="L791" s="116"/>
      <c r="M791" s="114"/>
      <c r="N791" s="114"/>
      <c r="O791" s="114" t="s">
        <v>2878</v>
      </c>
      <c r="P791" s="117" t="s">
        <v>2880</v>
      </c>
    </row>
    <row r="792" spans="2:16" ht="30" x14ac:dyDescent="0.25">
      <c r="B792" s="104" t="str">
        <f t="shared" si="126"/>
        <v>2</v>
      </c>
      <c r="C792" s="104" t="str">
        <f t="shared" si="127"/>
        <v>1</v>
      </c>
      <c r="D792" s="104" t="str">
        <f t="shared" si="128"/>
        <v>1</v>
      </c>
      <c r="E792" s="104" t="str">
        <f t="shared" si="129"/>
        <v>9</v>
      </c>
      <c r="F792" s="104" t="str">
        <f t="shared" si="130"/>
        <v>00</v>
      </c>
      <c r="G792" s="104" t="str">
        <f t="shared" si="131"/>
        <v>0</v>
      </c>
      <c r="H792" s="104" t="str">
        <f t="shared" si="132"/>
        <v>0</v>
      </c>
      <c r="I792" s="105">
        <v>21190000</v>
      </c>
      <c r="J792" s="104" t="s">
        <v>4577</v>
      </c>
      <c r="K792" s="104" t="s">
        <v>4578</v>
      </c>
      <c r="L792" s="106"/>
      <c r="M792" s="104" t="s">
        <v>2878</v>
      </c>
      <c r="N792" s="104" t="s">
        <v>2879</v>
      </c>
      <c r="O792" s="104" t="s">
        <v>2878</v>
      </c>
      <c r="P792" s="107" t="s">
        <v>2880</v>
      </c>
    </row>
    <row r="793" spans="2:16" ht="30" x14ac:dyDescent="0.25">
      <c r="B793" s="114" t="str">
        <f t="shared" si="126"/>
        <v>2</v>
      </c>
      <c r="C793" s="114" t="str">
        <f t="shared" si="127"/>
        <v>1</v>
      </c>
      <c r="D793" s="114" t="str">
        <f t="shared" si="128"/>
        <v>1</v>
      </c>
      <c r="E793" s="114" t="str">
        <f t="shared" si="129"/>
        <v>9</v>
      </c>
      <c r="F793" s="114" t="str">
        <f t="shared" si="130"/>
        <v>00</v>
      </c>
      <c r="G793" s="114" t="str">
        <f t="shared" si="131"/>
        <v>1</v>
      </c>
      <c r="H793" s="114" t="str">
        <f t="shared" si="132"/>
        <v>0</v>
      </c>
      <c r="I793" s="115">
        <v>21190010</v>
      </c>
      <c r="J793" s="114" t="s">
        <v>4577</v>
      </c>
      <c r="K793" s="114" t="s">
        <v>4578</v>
      </c>
      <c r="L793" s="116"/>
      <c r="M793" s="114" t="s">
        <v>2878</v>
      </c>
      <c r="N793" s="114" t="s">
        <v>2879</v>
      </c>
      <c r="O793" s="114" t="s">
        <v>2878</v>
      </c>
      <c r="P793" s="117" t="s">
        <v>2880</v>
      </c>
    </row>
    <row r="794" spans="2:16" ht="45" x14ac:dyDescent="0.25">
      <c r="B794" s="126" t="str">
        <f t="shared" si="126"/>
        <v>2</v>
      </c>
      <c r="C794" s="126" t="str">
        <f t="shared" si="127"/>
        <v>1</v>
      </c>
      <c r="D794" s="126" t="str">
        <f t="shared" si="128"/>
        <v>2</v>
      </c>
      <c r="E794" s="126" t="str">
        <f t="shared" si="129"/>
        <v>0</v>
      </c>
      <c r="F794" s="126" t="str">
        <f t="shared" si="130"/>
        <v>00</v>
      </c>
      <c r="G794" s="126" t="str">
        <f t="shared" si="131"/>
        <v>0</v>
      </c>
      <c r="H794" s="126" t="str">
        <f t="shared" si="132"/>
        <v>0</v>
      </c>
      <c r="I794" s="127">
        <v>21200000</v>
      </c>
      <c r="J794" s="126" t="s">
        <v>4582</v>
      </c>
      <c r="K794" s="126" t="s">
        <v>4583</v>
      </c>
      <c r="L794" s="122"/>
      <c r="M794" s="126" t="s">
        <v>2878</v>
      </c>
      <c r="N794" s="126" t="s">
        <v>5016</v>
      </c>
      <c r="O794" s="126" t="s">
        <v>2878</v>
      </c>
      <c r="P794" s="128" t="s">
        <v>2880</v>
      </c>
    </row>
    <row r="795" spans="2:16" ht="135" x14ac:dyDescent="0.25">
      <c r="B795" s="104" t="str">
        <f t="shared" si="126"/>
        <v>2</v>
      </c>
      <c r="C795" s="104" t="str">
        <f t="shared" si="127"/>
        <v>1</v>
      </c>
      <c r="D795" s="104" t="str">
        <f t="shared" si="128"/>
        <v>2</v>
      </c>
      <c r="E795" s="104" t="str">
        <f t="shared" si="129"/>
        <v>1</v>
      </c>
      <c r="F795" s="104" t="str">
        <f t="shared" si="130"/>
        <v>00</v>
      </c>
      <c r="G795" s="104" t="str">
        <f t="shared" si="131"/>
        <v>0</v>
      </c>
      <c r="H795" s="104" t="str">
        <f t="shared" si="132"/>
        <v>0</v>
      </c>
      <c r="I795" s="105">
        <v>21210000</v>
      </c>
      <c r="J795" s="104" t="s">
        <v>4584</v>
      </c>
      <c r="K795" s="104" t="s">
        <v>4585</v>
      </c>
      <c r="L795" s="106"/>
      <c r="M795" s="104" t="s">
        <v>2878</v>
      </c>
      <c r="N795" s="104" t="s">
        <v>2879</v>
      </c>
      <c r="O795" s="104" t="s">
        <v>2878</v>
      </c>
      <c r="P795" s="107" t="s">
        <v>2880</v>
      </c>
    </row>
    <row r="796" spans="2:16" ht="90" x14ac:dyDescent="0.25">
      <c r="B796" s="114" t="str">
        <f t="shared" si="126"/>
        <v>2</v>
      </c>
      <c r="C796" s="114" t="str">
        <f t="shared" si="127"/>
        <v>1</v>
      </c>
      <c r="D796" s="114" t="str">
        <f t="shared" si="128"/>
        <v>2</v>
      </c>
      <c r="E796" s="114" t="str">
        <f t="shared" si="129"/>
        <v>1</v>
      </c>
      <c r="F796" s="114" t="str">
        <f t="shared" si="130"/>
        <v>00</v>
      </c>
      <c r="G796" s="114" t="str">
        <f t="shared" si="131"/>
        <v>1</v>
      </c>
      <c r="H796" s="114" t="str">
        <f t="shared" si="132"/>
        <v>0</v>
      </c>
      <c r="I796" s="115">
        <v>21210010</v>
      </c>
      <c r="J796" s="114" t="s">
        <v>4584</v>
      </c>
      <c r="K796" s="114" t="s">
        <v>4586</v>
      </c>
      <c r="L796" s="116"/>
      <c r="M796" s="114" t="s">
        <v>2878</v>
      </c>
      <c r="N796" s="114" t="s">
        <v>2879</v>
      </c>
      <c r="O796" s="114" t="s">
        <v>2878</v>
      </c>
      <c r="P796" s="117" t="s">
        <v>2880</v>
      </c>
    </row>
    <row r="797" spans="2:16" ht="105" x14ac:dyDescent="0.25">
      <c r="B797" s="114" t="str">
        <f t="shared" si="126"/>
        <v>2</v>
      </c>
      <c r="C797" s="114" t="str">
        <f t="shared" si="127"/>
        <v>1</v>
      </c>
      <c r="D797" s="114" t="str">
        <f t="shared" si="128"/>
        <v>2</v>
      </c>
      <c r="E797" s="114" t="str">
        <f t="shared" si="129"/>
        <v>1</v>
      </c>
      <c r="F797" s="114" t="str">
        <f t="shared" si="130"/>
        <v>00</v>
      </c>
      <c r="G797" s="114" t="str">
        <f t="shared" si="131"/>
        <v>2</v>
      </c>
      <c r="H797" s="114" t="str">
        <f t="shared" si="132"/>
        <v>0</v>
      </c>
      <c r="I797" s="115">
        <v>21210020</v>
      </c>
      <c r="J797" s="114" t="s">
        <v>4591</v>
      </c>
      <c r="K797" s="114" t="s">
        <v>4592</v>
      </c>
      <c r="L797" s="116"/>
      <c r="M797" s="114" t="s">
        <v>2878</v>
      </c>
      <c r="N797" s="114" t="s">
        <v>2879</v>
      </c>
      <c r="O797" s="114" t="s">
        <v>2878</v>
      </c>
      <c r="P797" s="117" t="s">
        <v>2880</v>
      </c>
    </row>
    <row r="798" spans="2:16" ht="75" x14ac:dyDescent="0.25">
      <c r="B798" s="104" t="str">
        <f t="shared" si="126"/>
        <v>2</v>
      </c>
      <c r="C798" s="104" t="str">
        <f t="shared" si="127"/>
        <v>1</v>
      </c>
      <c r="D798" s="104" t="str">
        <f t="shared" si="128"/>
        <v>2</v>
      </c>
      <c r="E798" s="104" t="str">
        <f t="shared" si="129"/>
        <v>2</v>
      </c>
      <c r="F798" s="104" t="str">
        <f t="shared" si="130"/>
        <v>00</v>
      </c>
      <c r="G798" s="104" t="str">
        <f t="shared" si="131"/>
        <v>0</v>
      </c>
      <c r="H798" s="104" t="str">
        <f t="shared" si="132"/>
        <v>0</v>
      </c>
      <c r="I798" s="105">
        <v>21220000</v>
      </c>
      <c r="J798" s="104" t="s">
        <v>4596</v>
      </c>
      <c r="K798" s="104" t="s">
        <v>4597</v>
      </c>
      <c r="L798" s="106"/>
      <c r="M798" s="104" t="s">
        <v>2878</v>
      </c>
      <c r="N798" s="104" t="s">
        <v>2879</v>
      </c>
      <c r="O798" s="104" t="s">
        <v>2878</v>
      </c>
      <c r="P798" s="107" t="s">
        <v>2880</v>
      </c>
    </row>
    <row r="799" spans="2:16" ht="75" x14ac:dyDescent="0.25">
      <c r="B799" s="114" t="str">
        <f t="shared" si="126"/>
        <v>2</v>
      </c>
      <c r="C799" s="114" t="str">
        <f t="shared" si="127"/>
        <v>1</v>
      </c>
      <c r="D799" s="114" t="str">
        <f t="shared" si="128"/>
        <v>2</v>
      </c>
      <c r="E799" s="114" t="str">
        <f t="shared" si="129"/>
        <v>2</v>
      </c>
      <c r="F799" s="114" t="str">
        <f t="shared" si="130"/>
        <v>00</v>
      </c>
      <c r="G799" s="114" t="str">
        <f t="shared" si="131"/>
        <v>1</v>
      </c>
      <c r="H799" s="114" t="str">
        <f t="shared" si="132"/>
        <v>0</v>
      </c>
      <c r="I799" s="115">
        <v>21220010</v>
      </c>
      <c r="J799" s="114" t="s">
        <v>4596</v>
      </c>
      <c r="K799" s="114" t="s">
        <v>4597</v>
      </c>
      <c r="L799" s="116"/>
      <c r="M799" s="114" t="s">
        <v>2878</v>
      </c>
      <c r="N799" s="114" t="s">
        <v>2879</v>
      </c>
      <c r="O799" s="114" t="s">
        <v>2878</v>
      </c>
      <c r="P799" s="117" t="s">
        <v>2880</v>
      </c>
    </row>
    <row r="800" spans="2:16" ht="75" x14ac:dyDescent="0.25">
      <c r="B800" s="104" t="str">
        <f t="shared" si="126"/>
        <v>2</v>
      </c>
      <c r="C800" s="104" t="str">
        <f t="shared" si="127"/>
        <v>1</v>
      </c>
      <c r="D800" s="104" t="str">
        <f t="shared" si="128"/>
        <v>2</v>
      </c>
      <c r="E800" s="104" t="str">
        <f t="shared" si="129"/>
        <v>8</v>
      </c>
      <c r="F800" s="104" t="str">
        <f t="shared" si="130"/>
        <v>00</v>
      </c>
      <c r="G800" s="104" t="str">
        <f t="shared" si="131"/>
        <v>0</v>
      </c>
      <c r="H800" s="104" t="str">
        <f t="shared" si="132"/>
        <v>0</v>
      </c>
      <c r="I800" s="105">
        <v>21280000</v>
      </c>
      <c r="J800" s="104" t="s">
        <v>4897</v>
      </c>
      <c r="K800" s="104" t="s">
        <v>5038</v>
      </c>
      <c r="L800" s="106"/>
      <c r="M800" s="104" t="s">
        <v>2878</v>
      </c>
      <c r="N800" s="104"/>
      <c r="O800" s="104" t="s">
        <v>5018</v>
      </c>
      <c r="P800" s="107" t="s">
        <v>2880</v>
      </c>
    </row>
    <row r="801" spans="2:16" ht="30" x14ac:dyDescent="0.25">
      <c r="B801" s="108" t="str">
        <f t="shared" si="126"/>
        <v>2</v>
      </c>
      <c r="C801" s="108" t="str">
        <f t="shared" si="127"/>
        <v>1</v>
      </c>
      <c r="D801" s="108" t="str">
        <f t="shared" si="128"/>
        <v>2</v>
      </c>
      <c r="E801" s="108" t="str">
        <f t="shared" si="129"/>
        <v>8</v>
      </c>
      <c r="F801" s="108" t="str">
        <f t="shared" si="130"/>
        <v>01</v>
      </c>
      <c r="G801" s="108" t="str">
        <f t="shared" si="131"/>
        <v>0</v>
      </c>
      <c r="H801" s="108" t="str">
        <f t="shared" si="132"/>
        <v>0</v>
      </c>
      <c r="I801" s="109">
        <v>21280100</v>
      </c>
      <c r="J801" s="108" t="s">
        <v>4895</v>
      </c>
      <c r="K801" s="108" t="s">
        <v>5046</v>
      </c>
      <c r="L801" s="110"/>
      <c r="M801" s="108"/>
      <c r="N801" s="108"/>
      <c r="O801" s="108" t="s">
        <v>2878</v>
      </c>
      <c r="P801" s="111" t="s">
        <v>2880</v>
      </c>
    </row>
    <row r="802" spans="2:16" ht="30" x14ac:dyDescent="0.25">
      <c r="B802" s="114" t="str">
        <f t="shared" si="126"/>
        <v>2</v>
      </c>
      <c r="C802" s="114" t="str">
        <f t="shared" si="127"/>
        <v>1</v>
      </c>
      <c r="D802" s="114" t="str">
        <f t="shared" si="128"/>
        <v>2</v>
      </c>
      <c r="E802" s="114" t="str">
        <f t="shared" si="129"/>
        <v>8</v>
      </c>
      <c r="F802" s="114" t="str">
        <f t="shared" si="130"/>
        <v>01</v>
      </c>
      <c r="G802" s="114" t="str">
        <f t="shared" si="131"/>
        <v>1</v>
      </c>
      <c r="H802" s="114" t="str">
        <f t="shared" si="132"/>
        <v>0</v>
      </c>
      <c r="I802" s="115">
        <v>21280110</v>
      </c>
      <c r="J802" s="114" t="s">
        <v>2654</v>
      </c>
      <c r="K802" s="114" t="s">
        <v>2655</v>
      </c>
      <c r="L802" s="116"/>
      <c r="M802" s="114"/>
      <c r="N802" s="114"/>
      <c r="O802" s="114" t="s">
        <v>2878</v>
      </c>
      <c r="P802" s="117" t="s">
        <v>2880</v>
      </c>
    </row>
    <row r="803" spans="2:16" ht="30" x14ac:dyDescent="0.25">
      <c r="B803" s="114" t="str">
        <f t="shared" si="126"/>
        <v>2</v>
      </c>
      <c r="C803" s="114" t="str">
        <f t="shared" si="127"/>
        <v>1</v>
      </c>
      <c r="D803" s="114" t="str">
        <f t="shared" si="128"/>
        <v>2</v>
      </c>
      <c r="E803" s="114" t="str">
        <f t="shared" si="129"/>
        <v>8</v>
      </c>
      <c r="F803" s="114" t="str">
        <f t="shared" si="130"/>
        <v>01</v>
      </c>
      <c r="G803" s="114" t="str">
        <f t="shared" si="131"/>
        <v>2</v>
      </c>
      <c r="H803" s="114" t="str">
        <f t="shared" si="132"/>
        <v>0</v>
      </c>
      <c r="I803" s="115">
        <v>21280120</v>
      </c>
      <c r="J803" s="114" t="s">
        <v>2656</v>
      </c>
      <c r="K803" s="114" t="s">
        <v>2657</v>
      </c>
      <c r="L803" s="116"/>
      <c r="M803" s="114"/>
      <c r="N803" s="114"/>
      <c r="O803" s="114" t="s">
        <v>2878</v>
      </c>
      <c r="P803" s="117" t="s">
        <v>2880</v>
      </c>
    </row>
    <row r="804" spans="2:16" ht="30" x14ac:dyDescent="0.25">
      <c r="B804" s="114" t="str">
        <f t="shared" si="126"/>
        <v>2</v>
      </c>
      <c r="C804" s="114" t="str">
        <f t="shared" si="127"/>
        <v>1</v>
      </c>
      <c r="D804" s="114" t="str">
        <f t="shared" si="128"/>
        <v>2</v>
      </c>
      <c r="E804" s="114" t="str">
        <f t="shared" si="129"/>
        <v>8</v>
      </c>
      <c r="F804" s="114" t="str">
        <f t="shared" si="130"/>
        <v>01</v>
      </c>
      <c r="G804" s="114" t="str">
        <f t="shared" si="131"/>
        <v>3</v>
      </c>
      <c r="H804" s="114" t="str">
        <f t="shared" si="132"/>
        <v>0</v>
      </c>
      <c r="I804" s="115">
        <v>21280130</v>
      </c>
      <c r="J804" s="114" t="s">
        <v>2658</v>
      </c>
      <c r="K804" s="114" t="s">
        <v>2659</v>
      </c>
      <c r="L804" s="116"/>
      <c r="M804" s="114"/>
      <c r="N804" s="114"/>
      <c r="O804" s="114" t="s">
        <v>2878</v>
      </c>
      <c r="P804" s="117" t="s">
        <v>2880</v>
      </c>
    </row>
    <row r="805" spans="2:16" ht="30" x14ac:dyDescent="0.25">
      <c r="B805" s="114" t="str">
        <f t="shared" si="126"/>
        <v>2</v>
      </c>
      <c r="C805" s="114" t="str">
        <f t="shared" si="127"/>
        <v>1</v>
      </c>
      <c r="D805" s="114" t="str">
        <f t="shared" si="128"/>
        <v>2</v>
      </c>
      <c r="E805" s="114" t="str">
        <f t="shared" si="129"/>
        <v>8</v>
      </c>
      <c r="F805" s="114" t="str">
        <f t="shared" si="130"/>
        <v>01</v>
      </c>
      <c r="G805" s="114" t="str">
        <f t="shared" si="131"/>
        <v>4</v>
      </c>
      <c r="H805" s="114" t="str">
        <f t="shared" si="132"/>
        <v>0</v>
      </c>
      <c r="I805" s="115">
        <v>21280140</v>
      </c>
      <c r="J805" s="114" t="s">
        <v>2660</v>
      </c>
      <c r="K805" s="114" t="s">
        <v>2661</v>
      </c>
      <c r="L805" s="116"/>
      <c r="M805" s="114"/>
      <c r="N805" s="114"/>
      <c r="O805" s="114" t="s">
        <v>2878</v>
      </c>
      <c r="P805" s="117" t="s">
        <v>2880</v>
      </c>
    </row>
    <row r="806" spans="2:16" ht="30" x14ac:dyDescent="0.25">
      <c r="B806" s="114" t="str">
        <f t="shared" si="126"/>
        <v>2</v>
      </c>
      <c r="C806" s="114" t="str">
        <f t="shared" si="127"/>
        <v>1</v>
      </c>
      <c r="D806" s="114" t="str">
        <f t="shared" si="128"/>
        <v>2</v>
      </c>
      <c r="E806" s="114" t="str">
        <f t="shared" si="129"/>
        <v>8</v>
      </c>
      <c r="F806" s="114" t="str">
        <f t="shared" si="130"/>
        <v>01</v>
      </c>
      <c r="G806" s="114" t="str">
        <f t="shared" si="131"/>
        <v>5</v>
      </c>
      <c r="H806" s="114" t="str">
        <f t="shared" si="132"/>
        <v>0</v>
      </c>
      <c r="I806" s="115">
        <v>21280150</v>
      </c>
      <c r="J806" s="114" t="s">
        <v>2662</v>
      </c>
      <c r="K806" s="114" t="s">
        <v>2663</v>
      </c>
      <c r="L806" s="116"/>
      <c r="M806" s="114"/>
      <c r="N806" s="114"/>
      <c r="O806" s="114" t="s">
        <v>2878</v>
      </c>
      <c r="P806" s="117" t="s">
        <v>2880</v>
      </c>
    </row>
    <row r="807" spans="2:16" ht="30" x14ac:dyDescent="0.25">
      <c r="B807" s="114" t="str">
        <f t="shared" si="126"/>
        <v>2</v>
      </c>
      <c r="C807" s="114" t="str">
        <f t="shared" si="127"/>
        <v>1</v>
      </c>
      <c r="D807" s="114" t="str">
        <f t="shared" si="128"/>
        <v>2</v>
      </c>
      <c r="E807" s="114" t="str">
        <f t="shared" si="129"/>
        <v>8</v>
      </c>
      <c r="F807" s="114" t="str">
        <f t="shared" si="130"/>
        <v>01</v>
      </c>
      <c r="G807" s="114" t="str">
        <f t="shared" si="131"/>
        <v>6</v>
      </c>
      <c r="H807" s="114" t="str">
        <f t="shared" si="132"/>
        <v>0</v>
      </c>
      <c r="I807" s="115">
        <v>21280160</v>
      </c>
      <c r="J807" s="114" t="s">
        <v>2664</v>
      </c>
      <c r="K807" s="114" t="s">
        <v>2665</v>
      </c>
      <c r="L807" s="116"/>
      <c r="M807" s="114"/>
      <c r="N807" s="114"/>
      <c r="O807" s="114" t="s">
        <v>2878</v>
      </c>
      <c r="P807" s="117" t="s">
        <v>2880</v>
      </c>
    </row>
    <row r="808" spans="2:16" ht="30" x14ac:dyDescent="0.25">
      <c r="B808" s="104" t="str">
        <f t="shared" si="126"/>
        <v>2</v>
      </c>
      <c r="C808" s="104" t="str">
        <f t="shared" si="127"/>
        <v>1</v>
      </c>
      <c r="D808" s="104" t="str">
        <f t="shared" si="128"/>
        <v>2</v>
      </c>
      <c r="E808" s="104" t="str">
        <f t="shared" si="129"/>
        <v>9</v>
      </c>
      <c r="F808" s="104" t="str">
        <f t="shared" si="130"/>
        <v>00</v>
      </c>
      <c r="G808" s="104" t="str">
        <f t="shared" si="131"/>
        <v>0</v>
      </c>
      <c r="H808" s="104" t="str">
        <f t="shared" si="132"/>
        <v>0</v>
      </c>
      <c r="I808" s="105">
        <v>21290000</v>
      </c>
      <c r="J808" s="104" t="s">
        <v>4601</v>
      </c>
      <c r="K808" s="104" t="s">
        <v>4602</v>
      </c>
      <c r="L808" s="106"/>
      <c r="M808" s="104" t="s">
        <v>2878</v>
      </c>
      <c r="N808" s="104" t="s">
        <v>2879</v>
      </c>
      <c r="O808" s="104" t="s">
        <v>2878</v>
      </c>
      <c r="P808" s="107" t="s">
        <v>2880</v>
      </c>
    </row>
    <row r="809" spans="2:16" ht="30" x14ac:dyDescent="0.25">
      <c r="B809" s="114" t="str">
        <f t="shared" si="126"/>
        <v>2</v>
      </c>
      <c r="C809" s="114" t="str">
        <f t="shared" si="127"/>
        <v>1</v>
      </c>
      <c r="D809" s="114" t="str">
        <f t="shared" si="128"/>
        <v>2</v>
      </c>
      <c r="E809" s="114" t="str">
        <f t="shared" si="129"/>
        <v>9</v>
      </c>
      <c r="F809" s="114" t="str">
        <f t="shared" si="130"/>
        <v>00</v>
      </c>
      <c r="G809" s="114" t="str">
        <f t="shared" si="131"/>
        <v>1</v>
      </c>
      <c r="H809" s="114" t="str">
        <f t="shared" si="132"/>
        <v>0</v>
      </c>
      <c r="I809" s="115">
        <v>21290010</v>
      </c>
      <c r="J809" s="114" t="s">
        <v>4601</v>
      </c>
      <c r="K809" s="114" t="s">
        <v>4602</v>
      </c>
      <c r="L809" s="116"/>
      <c r="M809" s="114" t="s">
        <v>2878</v>
      </c>
      <c r="N809" s="114" t="s">
        <v>2879</v>
      </c>
      <c r="O809" s="114" t="s">
        <v>2878</v>
      </c>
      <c r="P809" s="117" t="s">
        <v>2880</v>
      </c>
    </row>
    <row r="810" spans="2:16" ht="30" x14ac:dyDescent="0.25">
      <c r="B810" s="123" t="str">
        <f t="shared" si="126"/>
        <v>2</v>
      </c>
      <c r="C810" s="123" t="str">
        <f t="shared" si="127"/>
        <v>2</v>
      </c>
      <c r="D810" s="123" t="str">
        <f t="shared" si="128"/>
        <v>0</v>
      </c>
      <c r="E810" s="123" t="str">
        <f t="shared" si="129"/>
        <v>0</v>
      </c>
      <c r="F810" s="123" t="str">
        <f t="shared" si="130"/>
        <v>00</v>
      </c>
      <c r="G810" s="123" t="str">
        <f t="shared" si="131"/>
        <v>0</v>
      </c>
      <c r="H810" s="123" t="str">
        <f t="shared" si="132"/>
        <v>0</v>
      </c>
      <c r="I810" s="124">
        <v>22000000</v>
      </c>
      <c r="J810" s="123" t="s">
        <v>2670</v>
      </c>
      <c r="K810" s="123" t="s">
        <v>4605</v>
      </c>
      <c r="L810" s="103"/>
      <c r="M810" s="123" t="s">
        <v>2878</v>
      </c>
      <c r="N810" s="123" t="s">
        <v>5016</v>
      </c>
      <c r="O810" s="123" t="s">
        <v>2878</v>
      </c>
      <c r="P810" s="125" t="s">
        <v>2880</v>
      </c>
    </row>
    <row r="811" spans="2:16" ht="30" x14ac:dyDescent="0.25">
      <c r="B811" s="126" t="str">
        <f t="shared" si="126"/>
        <v>2</v>
      </c>
      <c r="C811" s="126" t="str">
        <f t="shared" si="127"/>
        <v>2</v>
      </c>
      <c r="D811" s="126" t="str">
        <f t="shared" si="128"/>
        <v>1</v>
      </c>
      <c r="E811" s="126" t="str">
        <f t="shared" si="129"/>
        <v>0</v>
      </c>
      <c r="F811" s="126" t="str">
        <f t="shared" si="130"/>
        <v>00</v>
      </c>
      <c r="G811" s="126" t="str">
        <f t="shared" si="131"/>
        <v>0</v>
      </c>
      <c r="H811" s="126" t="str">
        <f t="shared" si="132"/>
        <v>0</v>
      </c>
      <c r="I811" s="127">
        <v>22100000</v>
      </c>
      <c r="J811" s="126" t="s">
        <v>2672</v>
      </c>
      <c r="K811" s="126" t="s">
        <v>4606</v>
      </c>
      <c r="L811" s="122"/>
      <c r="M811" s="126" t="s">
        <v>2878</v>
      </c>
      <c r="N811" s="126" t="s">
        <v>5016</v>
      </c>
      <c r="O811" s="126" t="s">
        <v>2878</v>
      </c>
      <c r="P811" s="128" t="s">
        <v>2880</v>
      </c>
    </row>
    <row r="812" spans="2:16" ht="30" x14ac:dyDescent="0.25">
      <c r="B812" s="104" t="str">
        <f t="shared" si="126"/>
        <v>2</v>
      </c>
      <c r="C812" s="104" t="str">
        <f t="shared" si="127"/>
        <v>2</v>
      </c>
      <c r="D812" s="104" t="str">
        <f t="shared" si="128"/>
        <v>1</v>
      </c>
      <c r="E812" s="104" t="str">
        <f t="shared" si="129"/>
        <v>1</v>
      </c>
      <c r="F812" s="104" t="str">
        <f t="shared" si="130"/>
        <v>00</v>
      </c>
      <c r="G812" s="104" t="str">
        <f t="shared" si="131"/>
        <v>0</v>
      </c>
      <c r="H812" s="104" t="str">
        <f t="shared" si="132"/>
        <v>0</v>
      </c>
      <c r="I812" s="105">
        <v>22110000</v>
      </c>
      <c r="J812" s="104" t="s">
        <v>2674</v>
      </c>
      <c r="K812" s="104" t="s">
        <v>4607</v>
      </c>
      <c r="L812" s="106"/>
      <c r="M812" s="104" t="s">
        <v>2878</v>
      </c>
      <c r="N812" s="104" t="s">
        <v>2879</v>
      </c>
      <c r="O812" s="104" t="s">
        <v>2878</v>
      </c>
      <c r="P812" s="107" t="s">
        <v>2880</v>
      </c>
    </row>
    <row r="813" spans="2:16" ht="30" x14ac:dyDescent="0.25">
      <c r="B813" s="114" t="str">
        <f t="shared" si="126"/>
        <v>2</v>
      </c>
      <c r="C813" s="114" t="str">
        <f t="shared" si="127"/>
        <v>2</v>
      </c>
      <c r="D813" s="114" t="str">
        <f t="shared" si="128"/>
        <v>1</v>
      </c>
      <c r="E813" s="114" t="str">
        <f t="shared" si="129"/>
        <v>1</v>
      </c>
      <c r="F813" s="114" t="str">
        <f t="shared" si="130"/>
        <v>00</v>
      </c>
      <c r="G813" s="114" t="str">
        <f t="shared" si="131"/>
        <v>1</v>
      </c>
      <c r="H813" s="114" t="str">
        <f t="shared" si="132"/>
        <v>0</v>
      </c>
      <c r="I813" s="115">
        <v>22110010</v>
      </c>
      <c r="J813" s="114" t="s">
        <v>2674</v>
      </c>
      <c r="K813" s="114" t="s">
        <v>4607</v>
      </c>
      <c r="L813" s="116"/>
      <c r="M813" s="114" t="s">
        <v>2878</v>
      </c>
      <c r="N813" s="114" t="s">
        <v>2879</v>
      </c>
      <c r="O813" s="114" t="s">
        <v>2878</v>
      </c>
      <c r="P813" s="117" t="s">
        <v>2880</v>
      </c>
    </row>
    <row r="814" spans="2:16" ht="30" x14ac:dyDescent="0.25">
      <c r="B814" s="104" t="str">
        <f t="shared" si="126"/>
        <v>2</v>
      </c>
      <c r="C814" s="104" t="str">
        <f t="shared" si="127"/>
        <v>2</v>
      </c>
      <c r="D814" s="104" t="str">
        <f t="shared" si="128"/>
        <v>1</v>
      </c>
      <c r="E814" s="104" t="str">
        <f t="shared" si="129"/>
        <v>2</v>
      </c>
      <c r="F814" s="104" t="str">
        <f t="shared" si="130"/>
        <v>00</v>
      </c>
      <c r="G814" s="104" t="str">
        <f t="shared" si="131"/>
        <v>0</v>
      </c>
      <c r="H814" s="104" t="str">
        <f t="shared" si="132"/>
        <v>0</v>
      </c>
      <c r="I814" s="105">
        <v>22120000</v>
      </c>
      <c r="J814" s="104" t="s">
        <v>2676</v>
      </c>
      <c r="K814" s="104" t="s">
        <v>4612</v>
      </c>
      <c r="L814" s="106"/>
      <c r="M814" s="104" t="s">
        <v>2878</v>
      </c>
      <c r="N814" s="104" t="s">
        <v>2879</v>
      </c>
      <c r="O814" s="104" t="s">
        <v>2878</v>
      </c>
      <c r="P814" s="107" t="s">
        <v>2880</v>
      </c>
    </row>
    <row r="815" spans="2:16" ht="105" x14ac:dyDescent="0.25">
      <c r="B815" s="108" t="str">
        <f t="shared" si="126"/>
        <v>2</v>
      </c>
      <c r="C815" s="108" t="str">
        <f t="shared" si="127"/>
        <v>2</v>
      </c>
      <c r="D815" s="108" t="str">
        <f t="shared" si="128"/>
        <v>1</v>
      </c>
      <c r="E815" s="108" t="str">
        <f t="shared" si="129"/>
        <v>2</v>
      </c>
      <c r="F815" s="108" t="str">
        <f t="shared" si="130"/>
        <v>01</v>
      </c>
      <c r="G815" s="108" t="str">
        <f t="shared" si="131"/>
        <v>0</v>
      </c>
      <c r="H815" s="108" t="str">
        <f t="shared" si="132"/>
        <v>0</v>
      </c>
      <c r="I815" s="109">
        <v>22120100</v>
      </c>
      <c r="J815" s="108" t="s">
        <v>4613</v>
      </c>
      <c r="K815" s="108" t="s">
        <v>4614</v>
      </c>
      <c r="L815" s="110"/>
      <c r="M815" s="108" t="s">
        <v>2878</v>
      </c>
      <c r="N815" s="108" t="s">
        <v>2879</v>
      </c>
      <c r="O815" s="108" t="s">
        <v>2878</v>
      </c>
      <c r="P815" s="111" t="s">
        <v>2880</v>
      </c>
    </row>
    <row r="816" spans="2:16" ht="105" x14ac:dyDescent="0.25">
      <c r="B816" s="114" t="str">
        <f t="shared" si="126"/>
        <v>2</v>
      </c>
      <c r="C816" s="114" t="str">
        <f t="shared" si="127"/>
        <v>2</v>
      </c>
      <c r="D816" s="114" t="str">
        <f t="shared" si="128"/>
        <v>1</v>
      </c>
      <c r="E816" s="114" t="str">
        <f t="shared" si="129"/>
        <v>2</v>
      </c>
      <c r="F816" s="114" t="str">
        <f t="shared" si="130"/>
        <v>01</v>
      </c>
      <c r="G816" s="114" t="str">
        <f t="shared" si="131"/>
        <v>1</v>
      </c>
      <c r="H816" s="114" t="str">
        <f t="shared" si="132"/>
        <v>0</v>
      </c>
      <c r="I816" s="115">
        <v>22120110</v>
      </c>
      <c r="J816" s="114" t="s">
        <v>4613</v>
      </c>
      <c r="K816" s="114" t="s">
        <v>4614</v>
      </c>
      <c r="L816" s="116"/>
      <c r="M816" s="114" t="s">
        <v>2878</v>
      </c>
      <c r="N816" s="114" t="s">
        <v>2879</v>
      </c>
      <c r="O816" s="114" t="s">
        <v>2878</v>
      </c>
      <c r="P816" s="117" t="s">
        <v>2880</v>
      </c>
    </row>
    <row r="817" spans="2:16" ht="60" x14ac:dyDescent="0.25">
      <c r="B817" s="108" t="str">
        <f t="shared" si="126"/>
        <v>2</v>
      </c>
      <c r="C817" s="108" t="str">
        <f t="shared" si="127"/>
        <v>2</v>
      </c>
      <c r="D817" s="108" t="str">
        <f t="shared" si="128"/>
        <v>1</v>
      </c>
      <c r="E817" s="108" t="str">
        <f t="shared" si="129"/>
        <v>2</v>
      </c>
      <c r="F817" s="108" t="str">
        <f t="shared" si="130"/>
        <v>02</v>
      </c>
      <c r="G817" s="108" t="str">
        <f t="shared" si="131"/>
        <v>0</v>
      </c>
      <c r="H817" s="108" t="str">
        <f t="shared" si="132"/>
        <v>0</v>
      </c>
      <c r="I817" s="109">
        <v>22120200</v>
      </c>
      <c r="J817" s="108" t="s">
        <v>4619</v>
      </c>
      <c r="K817" s="108" t="s">
        <v>4620</v>
      </c>
      <c r="L817" s="110"/>
      <c r="M817" s="108" t="s">
        <v>2878</v>
      </c>
      <c r="N817" s="108" t="s">
        <v>2879</v>
      </c>
      <c r="O817" s="108" t="s">
        <v>2878</v>
      </c>
      <c r="P817" s="111" t="s">
        <v>2880</v>
      </c>
    </row>
    <row r="818" spans="2:16" ht="60" x14ac:dyDescent="0.25">
      <c r="B818" s="114" t="str">
        <f t="shared" si="126"/>
        <v>2</v>
      </c>
      <c r="C818" s="114" t="str">
        <f t="shared" si="127"/>
        <v>2</v>
      </c>
      <c r="D818" s="114" t="str">
        <f t="shared" si="128"/>
        <v>1</v>
      </c>
      <c r="E818" s="114" t="str">
        <f t="shared" si="129"/>
        <v>2</v>
      </c>
      <c r="F818" s="114" t="str">
        <f t="shared" si="130"/>
        <v>02</v>
      </c>
      <c r="G818" s="114" t="str">
        <f t="shared" si="131"/>
        <v>1</v>
      </c>
      <c r="H818" s="114" t="str">
        <f t="shared" si="132"/>
        <v>0</v>
      </c>
      <c r="I818" s="115">
        <v>22120210</v>
      </c>
      <c r="J818" s="114" t="s">
        <v>4619</v>
      </c>
      <c r="K818" s="114" t="s">
        <v>4620</v>
      </c>
      <c r="L818" s="116"/>
      <c r="M818" s="114" t="s">
        <v>2878</v>
      </c>
      <c r="N818" s="114" t="s">
        <v>2879</v>
      </c>
      <c r="O818" s="114" t="s">
        <v>2878</v>
      </c>
      <c r="P818" s="117" t="s">
        <v>2880</v>
      </c>
    </row>
    <row r="819" spans="2:16" ht="60" x14ac:dyDescent="0.25">
      <c r="B819" s="108" t="str">
        <f t="shared" si="126"/>
        <v>2</v>
      </c>
      <c r="C819" s="108" t="str">
        <f t="shared" si="127"/>
        <v>2</v>
      </c>
      <c r="D819" s="108" t="str">
        <f t="shared" si="128"/>
        <v>1</v>
      </c>
      <c r="E819" s="108" t="str">
        <f t="shared" si="129"/>
        <v>2</v>
      </c>
      <c r="F819" s="108" t="str">
        <f t="shared" si="130"/>
        <v>03</v>
      </c>
      <c r="G819" s="108" t="str">
        <f t="shared" si="131"/>
        <v>0</v>
      </c>
      <c r="H819" s="108" t="str">
        <f t="shared" si="132"/>
        <v>0</v>
      </c>
      <c r="I819" s="109">
        <v>22120300</v>
      </c>
      <c r="J819" s="108" t="s">
        <v>4625</v>
      </c>
      <c r="K819" s="108" t="s">
        <v>4626</v>
      </c>
      <c r="L819" s="110"/>
      <c r="M819" s="108" t="s">
        <v>2878</v>
      </c>
      <c r="N819" s="108" t="s">
        <v>2879</v>
      </c>
      <c r="O819" s="108" t="s">
        <v>2878</v>
      </c>
      <c r="P819" s="111" t="s">
        <v>2880</v>
      </c>
    </row>
    <row r="820" spans="2:16" ht="60" x14ac:dyDescent="0.25">
      <c r="B820" s="114" t="str">
        <f t="shared" si="126"/>
        <v>2</v>
      </c>
      <c r="C820" s="114" t="str">
        <f t="shared" si="127"/>
        <v>2</v>
      </c>
      <c r="D820" s="114" t="str">
        <f t="shared" si="128"/>
        <v>1</v>
      </c>
      <c r="E820" s="114" t="str">
        <f t="shared" si="129"/>
        <v>2</v>
      </c>
      <c r="F820" s="114" t="str">
        <f t="shared" si="130"/>
        <v>03</v>
      </c>
      <c r="G820" s="114" t="str">
        <f t="shared" si="131"/>
        <v>1</v>
      </c>
      <c r="H820" s="114" t="str">
        <f t="shared" si="132"/>
        <v>0</v>
      </c>
      <c r="I820" s="115">
        <v>22120310</v>
      </c>
      <c r="J820" s="114" t="s">
        <v>4625</v>
      </c>
      <c r="K820" s="114" t="s">
        <v>4626</v>
      </c>
      <c r="L820" s="116"/>
      <c r="M820" s="114" t="s">
        <v>2878</v>
      </c>
      <c r="N820" s="114" t="s">
        <v>2879</v>
      </c>
      <c r="O820" s="114" t="s">
        <v>2878</v>
      </c>
      <c r="P820" s="117" t="s">
        <v>2880</v>
      </c>
    </row>
    <row r="821" spans="2:16" ht="45" x14ac:dyDescent="0.25">
      <c r="B821" s="108" t="str">
        <f t="shared" si="126"/>
        <v>2</v>
      </c>
      <c r="C821" s="108" t="str">
        <f t="shared" si="127"/>
        <v>2</v>
      </c>
      <c r="D821" s="108" t="str">
        <f t="shared" si="128"/>
        <v>1</v>
      </c>
      <c r="E821" s="108" t="str">
        <f t="shared" si="129"/>
        <v>2</v>
      </c>
      <c r="F821" s="108" t="str">
        <f t="shared" si="130"/>
        <v>04</v>
      </c>
      <c r="G821" s="108" t="str">
        <f t="shared" si="131"/>
        <v>0</v>
      </c>
      <c r="H821" s="108" t="str">
        <f t="shared" si="132"/>
        <v>0</v>
      </c>
      <c r="I821" s="109">
        <v>22120400</v>
      </c>
      <c r="J821" s="108" t="s">
        <v>4631</v>
      </c>
      <c r="K821" s="108" t="s">
        <v>4632</v>
      </c>
      <c r="L821" s="110"/>
      <c r="M821" s="108" t="s">
        <v>2878</v>
      </c>
      <c r="N821" s="108" t="s">
        <v>2879</v>
      </c>
      <c r="O821" s="108" t="s">
        <v>2878</v>
      </c>
      <c r="P821" s="111" t="s">
        <v>2880</v>
      </c>
    </row>
    <row r="822" spans="2:16" ht="45" x14ac:dyDescent="0.25">
      <c r="B822" s="114" t="str">
        <f t="shared" si="126"/>
        <v>2</v>
      </c>
      <c r="C822" s="114" t="str">
        <f t="shared" si="127"/>
        <v>2</v>
      </c>
      <c r="D822" s="114" t="str">
        <f t="shared" si="128"/>
        <v>1</v>
      </c>
      <c r="E822" s="114" t="str">
        <f t="shared" si="129"/>
        <v>2</v>
      </c>
      <c r="F822" s="114" t="str">
        <f t="shared" si="130"/>
        <v>04</v>
      </c>
      <c r="G822" s="114" t="str">
        <f t="shared" si="131"/>
        <v>1</v>
      </c>
      <c r="H822" s="114" t="str">
        <f t="shared" si="132"/>
        <v>0</v>
      </c>
      <c r="I822" s="115">
        <v>22120410</v>
      </c>
      <c r="J822" s="114" t="s">
        <v>4631</v>
      </c>
      <c r="K822" s="114" t="s">
        <v>4632</v>
      </c>
      <c r="L822" s="116"/>
      <c r="M822" s="114" t="s">
        <v>2878</v>
      </c>
      <c r="N822" s="114" t="s">
        <v>2879</v>
      </c>
      <c r="O822" s="114" t="s">
        <v>2878</v>
      </c>
      <c r="P822" s="117" t="s">
        <v>2880</v>
      </c>
    </row>
    <row r="823" spans="2:16" ht="30" x14ac:dyDescent="0.25">
      <c r="B823" s="104" t="str">
        <f t="shared" si="126"/>
        <v>2</v>
      </c>
      <c r="C823" s="104" t="str">
        <f t="shared" si="127"/>
        <v>2</v>
      </c>
      <c r="D823" s="104" t="str">
        <f t="shared" si="128"/>
        <v>1</v>
      </c>
      <c r="E823" s="104" t="str">
        <f t="shared" si="129"/>
        <v>3</v>
      </c>
      <c r="F823" s="104" t="str">
        <f t="shared" si="130"/>
        <v>00</v>
      </c>
      <c r="G823" s="104" t="str">
        <f t="shared" si="131"/>
        <v>0</v>
      </c>
      <c r="H823" s="104" t="str">
        <f t="shared" si="132"/>
        <v>0</v>
      </c>
      <c r="I823" s="105">
        <v>22130000</v>
      </c>
      <c r="J823" s="104" t="s">
        <v>4637</v>
      </c>
      <c r="K823" s="104" t="s">
        <v>4638</v>
      </c>
      <c r="L823" s="106"/>
      <c r="M823" s="104" t="s">
        <v>2878</v>
      </c>
      <c r="N823" s="104" t="s">
        <v>2879</v>
      </c>
      <c r="O823" s="104" t="s">
        <v>2878</v>
      </c>
      <c r="P823" s="107" t="s">
        <v>2880</v>
      </c>
    </row>
    <row r="824" spans="2:16" ht="30" x14ac:dyDescent="0.25">
      <c r="B824" s="114" t="str">
        <f t="shared" si="126"/>
        <v>2</v>
      </c>
      <c r="C824" s="114" t="str">
        <f t="shared" si="127"/>
        <v>2</v>
      </c>
      <c r="D824" s="114" t="str">
        <f t="shared" si="128"/>
        <v>1</v>
      </c>
      <c r="E824" s="114" t="str">
        <f t="shared" si="129"/>
        <v>3</v>
      </c>
      <c r="F824" s="114" t="str">
        <f t="shared" si="130"/>
        <v>00</v>
      </c>
      <c r="G824" s="114" t="str">
        <f t="shared" si="131"/>
        <v>1</v>
      </c>
      <c r="H824" s="114" t="str">
        <f t="shared" si="132"/>
        <v>0</v>
      </c>
      <c r="I824" s="115">
        <v>22130010</v>
      </c>
      <c r="J824" s="114" t="s">
        <v>4637</v>
      </c>
      <c r="K824" s="114" t="s">
        <v>4638</v>
      </c>
      <c r="L824" s="116"/>
      <c r="M824" s="114" t="s">
        <v>2878</v>
      </c>
      <c r="N824" s="114" t="s">
        <v>2879</v>
      </c>
      <c r="O824" s="114" t="s">
        <v>2878</v>
      </c>
      <c r="P824" s="117" t="s">
        <v>2880</v>
      </c>
    </row>
    <row r="825" spans="2:16" ht="45" x14ac:dyDescent="0.25">
      <c r="B825" s="104" t="str">
        <f t="shared" si="126"/>
        <v>2</v>
      </c>
      <c r="C825" s="104" t="str">
        <f t="shared" si="127"/>
        <v>2</v>
      </c>
      <c r="D825" s="104" t="str">
        <f t="shared" si="128"/>
        <v>1</v>
      </c>
      <c r="E825" s="104" t="str">
        <f t="shared" si="129"/>
        <v>8</v>
      </c>
      <c r="F825" s="104" t="str">
        <f t="shared" si="130"/>
        <v>00</v>
      </c>
      <c r="G825" s="104" t="str">
        <f t="shared" si="131"/>
        <v>0</v>
      </c>
      <c r="H825" s="104" t="str">
        <f t="shared" si="132"/>
        <v>0</v>
      </c>
      <c r="I825" s="105">
        <v>22180000</v>
      </c>
      <c r="J825" s="104" t="s">
        <v>5120</v>
      </c>
      <c r="K825" s="104" t="s">
        <v>5121</v>
      </c>
      <c r="L825" s="106"/>
      <c r="M825" s="104"/>
      <c r="N825" s="104"/>
      <c r="O825" s="104"/>
      <c r="P825" s="107" t="s">
        <v>2880</v>
      </c>
    </row>
    <row r="826" spans="2:16" ht="30" x14ac:dyDescent="0.25">
      <c r="B826" s="108" t="str">
        <f t="shared" si="126"/>
        <v>2</v>
      </c>
      <c r="C826" s="108" t="str">
        <f t="shared" si="127"/>
        <v>2</v>
      </c>
      <c r="D826" s="108" t="str">
        <f t="shared" si="128"/>
        <v>1</v>
      </c>
      <c r="E826" s="108" t="str">
        <f t="shared" si="129"/>
        <v>8</v>
      </c>
      <c r="F826" s="108" t="str">
        <f t="shared" si="130"/>
        <v>01</v>
      </c>
      <c r="G826" s="108" t="str">
        <f t="shared" si="131"/>
        <v>0</v>
      </c>
      <c r="H826" s="108" t="str">
        <f t="shared" si="132"/>
        <v>0</v>
      </c>
      <c r="I826" s="109">
        <v>22180100</v>
      </c>
      <c r="J826" s="108" t="s">
        <v>2674</v>
      </c>
      <c r="K826" s="108" t="s">
        <v>5122</v>
      </c>
      <c r="L826" s="110"/>
      <c r="M826" s="108"/>
      <c r="N826" s="108"/>
      <c r="O826" s="108"/>
      <c r="P826" s="111" t="s">
        <v>2880</v>
      </c>
    </row>
    <row r="827" spans="2:16" ht="30" x14ac:dyDescent="0.25">
      <c r="B827" s="114" t="str">
        <f t="shared" si="126"/>
        <v>2</v>
      </c>
      <c r="C827" s="114" t="str">
        <f t="shared" si="127"/>
        <v>2</v>
      </c>
      <c r="D827" s="114" t="str">
        <f t="shared" si="128"/>
        <v>1</v>
      </c>
      <c r="E827" s="114" t="str">
        <f t="shared" si="129"/>
        <v>8</v>
      </c>
      <c r="F827" s="114" t="str">
        <f t="shared" si="130"/>
        <v>01</v>
      </c>
      <c r="G827" s="114" t="str">
        <f t="shared" si="131"/>
        <v>1</v>
      </c>
      <c r="H827" s="114" t="str">
        <f t="shared" si="132"/>
        <v>0</v>
      </c>
      <c r="I827" s="115">
        <v>22180110</v>
      </c>
      <c r="J827" s="114" t="s">
        <v>5123</v>
      </c>
      <c r="K827" s="114" t="s">
        <v>5124</v>
      </c>
      <c r="L827" s="116"/>
      <c r="M827" s="114"/>
      <c r="N827" s="114"/>
      <c r="O827" s="114"/>
      <c r="P827" s="117" t="s">
        <v>2880</v>
      </c>
    </row>
    <row r="828" spans="2:16" ht="30" x14ac:dyDescent="0.25">
      <c r="B828" s="114" t="str">
        <f t="shared" si="126"/>
        <v>2</v>
      </c>
      <c r="C828" s="114" t="str">
        <f t="shared" si="127"/>
        <v>2</v>
      </c>
      <c r="D828" s="114" t="str">
        <f t="shared" si="128"/>
        <v>1</v>
      </c>
      <c r="E828" s="114" t="str">
        <f t="shared" si="129"/>
        <v>8</v>
      </c>
      <c r="F828" s="114" t="str">
        <f t="shared" si="130"/>
        <v>01</v>
      </c>
      <c r="G828" s="114" t="str">
        <f t="shared" si="131"/>
        <v>2</v>
      </c>
      <c r="H828" s="114" t="str">
        <f t="shared" si="132"/>
        <v>0</v>
      </c>
      <c r="I828" s="115">
        <v>22180120</v>
      </c>
      <c r="J828" s="114" t="s">
        <v>5126</v>
      </c>
      <c r="K828" s="114" t="s">
        <v>5127</v>
      </c>
      <c r="L828" s="116"/>
      <c r="M828" s="114"/>
      <c r="N828" s="114"/>
      <c r="O828" s="114"/>
      <c r="P828" s="117" t="s">
        <v>2880</v>
      </c>
    </row>
    <row r="829" spans="2:16" ht="30" x14ac:dyDescent="0.25">
      <c r="B829" s="126" t="str">
        <f t="shared" si="126"/>
        <v>2</v>
      </c>
      <c r="C829" s="126" t="str">
        <f t="shared" si="127"/>
        <v>2</v>
      </c>
      <c r="D829" s="126" t="str">
        <f t="shared" si="128"/>
        <v>2</v>
      </c>
      <c r="E829" s="126" t="str">
        <f t="shared" si="129"/>
        <v>0</v>
      </c>
      <c r="F829" s="126" t="str">
        <f t="shared" si="130"/>
        <v>00</v>
      </c>
      <c r="G829" s="126" t="str">
        <f t="shared" si="131"/>
        <v>0</v>
      </c>
      <c r="H829" s="126" t="str">
        <f t="shared" si="132"/>
        <v>0</v>
      </c>
      <c r="I829" s="127">
        <v>22200000</v>
      </c>
      <c r="J829" s="126" t="s">
        <v>2718</v>
      </c>
      <c r="K829" s="126" t="s">
        <v>5130</v>
      </c>
      <c r="L829" s="122"/>
      <c r="M829" s="126" t="s">
        <v>2878</v>
      </c>
      <c r="N829" s="126" t="s">
        <v>5016</v>
      </c>
      <c r="O829" s="126" t="s">
        <v>2878</v>
      </c>
      <c r="P829" s="128" t="s">
        <v>2880</v>
      </c>
    </row>
    <row r="830" spans="2:16" ht="30" x14ac:dyDescent="0.25">
      <c r="B830" s="114" t="str">
        <f t="shared" si="126"/>
        <v>2</v>
      </c>
      <c r="C830" s="114" t="str">
        <f t="shared" si="127"/>
        <v>2</v>
      </c>
      <c r="D830" s="114" t="str">
        <f t="shared" si="128"/>
        <v>2</v>
      </c>
      <c r="E830" s="114" t="str">
        <f t="shared" si="129"/>
        <v>0</v>
      </c>
      <c r="F830" s="114" t="str">
        <f t="shared" si="130"/>
        <v>00</v>
      </c>
      <c r="G830" s="114" t="str">
        <f t="shared" si="131"/>
        <v>1</v>
      </c>
      <c r="H830" s="114" t="str">
        <f t="shared" si="132"/>
        <v>0</v>
      </c>
      <c r="I830" s="115">
        <v>22200010</v>
      </c>
      <c r="J830" s="114" t="s">
        <v>2718</v>
      </c>
      <c r="K830" s="114" t="s">
        <v>5131</v>
      </c>
      <c r="L830" s="116"/>
      <c r="M830" s="114" t="s">
        <v>2878</v>
      </c>
      <c r="N830" s="114" t="s">
        <v>2879</v>
      </c>
      <c r="O830" s="114" t="s">
        <v>2878</v>
      </c>
      <c r="P830" s="117" t="s">
        <v>2880</v>
      </c>
    </row>
    <row r="831" spans="2:16" ht="30" x14ac:dyDescent="0.25">
      <c r="B831" s="114" t="str">
        <f t="shared" ref="B831:B889" si="133">MID($I831,1,1)</f>
        <v>2</v>
      </c>
      <c r="C831" s="114" t="str">
        <f t="shared" ref="C831:C889" si="134">MID($I831,2,1)</f>
        <v>2</v>
      </c>
      <c r="D831" s="114" t="str">
        <f t="shared" ref="D831:D889" si="135">MID($I831,3,1)</f>
        <v>2</v>
      </c>
      <c r="E831" s="114" t="str">
        <f t="shared" ref="E831:E889" si="136">MID($I831,4,1)</f>
        <v>0</v>
      </c>
      <c r="F831" s="114" t="str">
        <f t="shared" ref="F831:F889" si="137">MID($I831,5,2)</f>
        <v>00</v>
      </c>
      <c r="G831" s="114" t="str">
        <f t="shared" ref="G831:G889" si="138">MID($I831,7,1)</f>
        <v>2</v>
      </c>
      <c r="H831" s="114" t="str">
        <f t="shared" ref="H831:H889" si="139">MID($I831,8,1)</f>
        <v>0</v>
      </c>
      <c r="I831" s="115">
        <v>22200020</v>
      </c>
      <c r="J831" s="114" t="s">
        <v>5133</v>
      </c>
      <c r="K831" s="114" t="s">
        <v>5134</v>
      </c>
      <c r="L831" s="116"/>
      <c r="M831" s="114"/>
      <c r="N831" s="114" t="s">
        <v>5135</v>
      </c>
      <c r="O831" s="114"/>
      <c r="P831" s="117" t="s">
        <v>2890</v>
      </c>
    </row>
    <row r="832" spans="2:16" ht="90" x14ac:dyDescent="0.25">
      <c r="B832" s="126" t="str">
        <f t="shared" si="133"/>
        <v>2</v>
      </c>
      <c r="C832" s="126" t="str">
        <f t="shared" si="134"/>
        <v>2</v>
      </c>
      <c r="D832" s="126" t="str">
        <f t="shared" si="135"/>
        <v>3</v>
      </c>
      <c r="E832" s="126" t="str">
        <f t="shared" si="136"/>
        <v>0</v>
      </c>
      <c r="F832" s="126" t="str">
        <f t="shared" si="137"/>
        <v>00</v>
      </c>
      <c r="G832" s="126" t="str">
        <f t="shared" si="138"/>
        <v>0</v>
      </c>
      <c r="H832" s="126" t="str">
        <f t="shared" si="139"/>
        <v>0</v>
      </c>
      <c r="I832" s="127">
        <v>22300000</v>
      </c>
      <c r="J832" s="126" t="s">
        <v>4644</v>
      </c>
      <c r="K832" s="126" t="s">
        <v>4645</v>
      </c>
      <c r="L832" s="122"/>
      <c r="M832" s="126" t="s">
        <v>2878</v>
      </c>
      <c r="N832" s="126" t="s">
        <v>5016</v>
      </c>
      <c r="O832" s="126" t="s">
        <v>2878</v>
      </c>
      <c r="P832" s="128" t="s">
        <v>2880</v>
      </c>
    </row>
    <row r="833" spans="2:16" ht="90" x14ac:dyDescent="0.25">
      <c r="B833" s="114" t="str">
        <f t="shared" si="133"/>
        <v>2</v>
      </c>
      <c r="C833" s="114" t="str">
        <f t="shared" si="134"/>
        <v>2</v>
      </c>
      <c r="D833" s="114" t="str">
        <f t="shared" si="135"/>
        <v>3</v>
      </c>
      <c r="E833" s="114" t="str">
        <f t="shared" si="136"/>
        <v>0</v>
      </c>
      <c r="F833" s="114" t="str">
        <f t="shared" si="137"/>
        <v>00</v>
      </c>
      <c r="G833" s="114" t="str">
        <f t="shared" si="138"/>
        <v>1</v>
      </c>
      <c r="H833" s="114" t="str">
        <f t="shared" si="139"/>
        <v>0</v>
      </c>
      <c r="I833" s="115">
        <v>22300010</v>
      </c>
      <c r="J833" s="114" t="s">
        <v>4644</v>
      </c>
      <c r="K833" s="114" t="s">
        <v>4645</v>
      </c>
      <c r="L833" s="116"/>
      <c r="M833" s="114" t="s">
        <v>2878</v>
      </c>
      <c r="N833" s="114" t="s">
        <v>2879</v>
      </c>
      <c r="O833" s="114" t="s">
        <v>2878</v>
      </c>
      <c r="P833" s="117" t="s">
        <v>2880</v>
      </c>
    </row>
    <row r="834" spans="2:16" ht="60" x14ac:dyDescent="0.25">
      <c r="B834" s="123" t="str">
        <f t="shared" si="133"/>
        <v>2</v>
      </c>
      <c r="C834" s="123" t="str">
        <f t="shared" si="134"/>
        <v>3</v>
      </c>
      <c r="D834" s="123" t="str">
        <f t="shared" si="135"/>
        <v>0</v>
      </c>
      <c r="E834" s="123" t="str">
        <f t="shared" si="136"/>
        <v>0</v>
      </c>
      <c r="F834" s="123" t="str">
        <f t="shared" si="137"/>
        <v>00</v>
      </c>
      <c r="G834" s="123" t="str">
        <f t="shared" si="138"/>
        <v>0</v>
      </c>
      <c r="H834" s="123" t="str">
        <f t="shared" si="139"/>
        <v>0</v>
      </c>
      <c r="I834" s="124">
        <v>23000000</v>
      </c>
      <c r="J834" s="123" t="s">
        <v>2740</v>
      </c>
      <c r="K834" s="123" t="s">
        <v>4650</v>
      </c>
      <c r="L834" s="103"/>
      <c r="M834" s="123" t="s">
        <v>2878</v>
      </c>
      <c r="N834" s="123" t="s">
        <v>5016</v>
      </c>
      <c r="O834" s="123" t="s">
        <v>2878</v>
      </c>
      <c r="P834" s="125" t="s">
        <v>2880</v>
      </c>
    </row>
    <row r="835" spans="2:16" ht="285" x14ac:dyDescent="0.25">
      <c r="B835" s="108" t="str">
        <f t="shared" si="133"/>
        <v>2</v>
      </c>
      <c r="C835" s="108" t="str">
        <f t="shared" si="134"/>
        <v>3</v>
      </c>
      <c r="D835" s="108" t="str">
        <f t="shared" si="135"/>
        <v>0</v>
      </c>
      <c r="E835" s="108" t="str">
        <f t="shared" si="136"/>
        <v>0</v>
      </c>
      <c r="F835" s="108" t="str">
        <f t="shared" si="137"/>
        <v>01</v>
      </c>
      <c r="G835" s="108" t="str">
        <f t="shared" si="138"/>
        <v>0</v>
      </c>
      <c r="H835" s="108" t="str">
        <f t="shared" si="139"/>
        <v>0</v>
      </c>
      <c r="I835" s="109">
        <v>23000100</v>
      </c>
      <c r="J835" s="108" t="s">
        <v>4651</v>
      </c>
      <c r="K835" s="108" t="s">
        <v>4652</v>
      </c>
      <c r="L835" s="110"/>
      <c r="M835" s="108" t="s">
        <v>2878</v>
      </c>
      <c r="N835" s="108" t="s">
        <v>2879</v>
      </c>
      <c r="O835" s="108" t="s">
        <v>2878</v>
      </c>
      <c r="P835" s="111" t="s">
        <v>2880</v>
      </c>
    </row>
    <row r="836" spans="2:16" ht="285" x14ac:dyDescent="0.25">
      <c r="B836" s="114" t="str">
        <f t="shared" si="133"/>
        <v>2</v>
      </c>
      <c r="C836" s="114" t="str">
        <f t="shared" si="134"/>
        <v>3</v>
      </c>
      <c r="D836" s="114" t="str">
        <f t="shared" si="135"/>
        <v>0</v>
      </c>
      <c r="E836" s="114" t="str">
        <f t="shared" si="136"/>
        <v>0</v>
      </c>
      <c r="F836" s="114" t="str">
        <f t="shared" si="137"/>
        <v>01</v>
      </c>
      <c r="G836" s="114" t="str">
        <f t="shared" si="138"/>
        <v>1</v>
      </c>
      <c r="H836" s="114" t="str">
        <f t="shared" si="139"/>
        <v>0</v>
      </c>
      <c r="I836" s="115">
        <v>23000110</v>
      </c>
      <c r="J836" s="114" t="s">
        <v>4651</v>
      </c>
      <c r="K836" s="114" t="s">
        <v>4652</v>
      </c>
      <c r="L836" s="116"/>
      <c r="M836" s="114" t="s">
        <v>2878</v>
      </c>
      <c r="N836" s="114" t="s">
        <v>2879</v>
      </c>
      <c r="O836" s="114" t="s">
        <v>2878</v>
      </c>
      <c r="P836" s="117" t="s">
        <v>2880</v>
      </c>
    </row>
    <row r="837" spans="2:16" ht="135" x14ac:dyDescent="0.25">
      <c r="B837" s="108" t="str">
        <f t="shared" si="133"/>
        <v>2</v>
      </c>
      <c r="C837" s="108" t="str">
        <f t="shared" si="134"/>
        <v>3</v>
      </c>
      <c r="D837" s="108" t="str">
        <f t="shared" si="135"/>
        <v>0</v>
      </c>
      <c r="E837" s="108" t="str">
        <f t="shared" si="136"/>
        <v>0</v>
      </c>
      <c r="F837" s="108" t="str">
        <f t="shared" si="137"/>
        <v>02</v>
      </c>
      <c r="G837" s="108" t="str">
        <f t="shared" si="138"/>
        <v>0</v>
      </c>
      <c r="H837" s="108" t="str">
        <f t="shared" si="139"/>
        <v>0</v>
      </c>
      <c r="I837" s="109">
        <v>23000200</v>
      </c>
      <c r="J837" s="108" t="s">
        <v>4656</v>
      </c>
      <c r="K837" s="108" t="s">
        <v>4657</v>
      </c>
      <c r="L837" s="110"/>
      <c r="M837" s="108" t="s">
        <v>2878</v>
      </c>
      <c r="N837" s="108" t="s">
        <v>2879</v>
      </c>
      <c r="O837" s="108" t="s">
        <v>2878</v>
      </c>
      <c r="P837" s="111" t="s">
        <v>2880</v>
      </c>
    </row>
    <row r="838" spans="2:16" ht="135" x14ac:dyDescent="0.25">
      <c r="B838" s="114" t="str">
        <f t="shared" si="133"/>
        <v>2</v>
      </c>
      <c r="C838" s="114" t="str">
        <f t="shared" si="134"/>
        <v>3</v>
      </c>
      <c r="D838" s="114" t="str">
        <f t="shared" si="135"/>
        <v>0</v>
      </c>
      <c r="E838" s="114" t="str">
        <f t="shared" si="136"/>
        <v>0</v>
      </c>
      <c r="F838" s="114" t="str">
        <f t="shared" si="137"/>
        <v>02</v>
      </c>
      <c r="G838" s="114" t="str">
        <f t="shared" si="138"/>
        <v>1</v>
      </c>
      <c r="H838" s="114" t="str">
        <f t="shared" si="139"/>
        <v>0</v>
      </c>
      <c r="I838" s="115">
        <v>23000210</v>
      </c>
      <c r="J838" s="114" t="s">
        <v>4656</v>
      </c>
      <c r="K838" s="114" t="s">
        <v>4657</v>
      </c>
      <c r="L838" s="116"/>
      <c r="M838" s="114" t="s">
        <v>2878</v>
      </c>
      <c r="N838" s="114" t="s">
        <v>2879</v>
      </c>
      <c r="O838" s="114" t="s">
        <v>2878</v>
      </c>
      <c r="P838" s="117" t="s">
        <v>2880</v>
      </c>
    </row>
    <row r="839" spans="2:16" ht="150" x14ac:dyDescent="0.25">
      <c r="B839" s="108" t="str">
        <f t="shared" si="133"/>
        <v>2</v>
      </c>
      <c r="C839" s="108" t="str">
        <f t="shared" si="134"/>
        <v>3</v>
      </c>
      <c r="D839" s="108" t="str">
        <f t="shared" si="135"/>
        <v>0</v>
      </c>
      <c r="E839" s="108" t="str">
        <f t="shared" si="136"/>
        <v>0</v>
      </c>
      <c r="F839" s="108" t="str">
        <f t="shared" si="137"/>
        <v>03</v>
      </c>
      <c r="G839" s="108" t="str">
        <f t="shared" si="138"/>
        <v>0</v>
      </c>
      <c r="H839" s="108" t="str">
        <f t="shared" si="139"/>
        <v>0</v>
      </c>
      <c r="I839" s="109">
        <v>23000300</v>
      </c>
      <c r="J839" s="108" t="s">
        <v>4661</v>
      </c>
      <c r="K839" s="108" t="s">
        <v>4662</v>
      </c>
      <c r="L839" s="110"/>
      <c r="M839" s="108" t="s">
        <v>2878</v>
      </c>
      <c r="N839" s="108" t="s">
        <v>2879</v>
      </c>
      <c r="O839" s="108" t="s">
        <v>2878</v>
      </c>
      <c r="P839" s="111" t="s">
        <v>2880</v>
      </c>
    </row>
    <row r="840" spans="2:16" ht="150" x14ac:dyDescent="0.25">
      <c r="B840" s="114" t="str">
        <f t="shared" si="133"/>
        <v>2</v>
      </c>
      <c r="C840" s="114" t="str">
        <f t="shared" si="134"/>
        <v>3</v>
      </c>
      <c r="D840" s="114" t="str">
        <f t="shared" si="135"/>
        <v>0</v>
      </c>
      <c r="E840" s="114" t="str">
        <f t="shared" si="136"/>
        <v>0</v>
      </c>
      <c r="F840" s="114" t="str">
        <f t="shared" si="137"/>
        <v>03</v>
      </c>
      <c r="G840" s="114" t="str">
        <f t="shared" si="138"/>
        <v>1</v>
      </c>
      <c r="H840" s="114" t="str">
        <f t="shared" si="139"/>
        <v>0</v>
      </c>
      <c r="I840" s="115">
        <v>23000310</v>
      </c>
      <c r="J840" s="114" t="s">
        <v>4661</v>
      </c>
      <c r="K840" s="114" t="s">
        <v>4662</v>
      </c>
      <c r="L840" s="116"/>
      <c r="M840" s="114" t="s">
        <v>2878</v>
      </c>
      <c r="N840" s="114" t="s">
        <v>2879</v>
      </c>
      <c r="O840" s="114" t="s">
        <v>2878</v>
      </c>
      <c r="P840" s="117" t="s">
        <v>2880</v>
      </c>
    </row>
    <row r="841" spans="2:16" ht="210" x14ac:dyDescent="0.25">
      <c r="B841" s="108" t="str">
        <f t="shared" si="133"/>
        <v>2</v>
      </c>
      <c r="C841" s="108" t="str">
        <f t="shared" si="134"/>
        <v>3</v>
      </c>
      <c r="D841" s="108" t="str">
        <f t="shared" si="135"/>
        <v>0</v>
      </c>
      <c r="E841" s="108" t="str">
        <f t="shared" si="136"/>
        <v>0</v>
      </c>
      <c r="F841" s="108" t="str">
        <f t="shared" si="137"/>
        <v>04</v>
      </c>
      <c r="G841" s="108" t="str">
        <f t="shared" si="138"/>
        <v>0</v>
      </c>
      <c r="H841" s="108" t="str">
        <f t="shared" si="139"/>
        <v>0</v>
      </c>
      <c r="I841" s="109">
        <v>23000400</v>
      </c>
      <c r="J841" s="108" t="s">
        <v>4666</v>
      </c>
      <c r="K841" s="108" t="s">
        <v>4667</v>
      </c>
      <c r="L841" s="110"/>
      <c r="M841" s="108" t="s">
        <v>2878</v>
      </c>
      <c r="N841" s="108" t="s">
        <v>2879</v>
      </c>
      <c r="O841" s="108" t="s">
        <v>2878</v>
      </c>
      <c r="P841" s="111" t="s">
        <v>2880</v>
      </c>
    </row>
    <row r="842" spans="2:16" ht="210" x14ac:dyDescent="0.25">
      <c r="B842" s="114" t="str">
        <f t="shared" si="133"/>
        <v>2</v>
      </c>
      <c r="C842" s="114" t="str">
        <f t="shared" si="134"/>
        <v>3</v>
      </c>
      <c r="D842" s="114" t="str">
        <f t="shared" si="135"/>
        <v>0</v>
      </c>
      <c r="E842" s="114" t="str">
        <f t="shared" si="136"/>
        <v>0</v>
      </c>
      <c r="F842" s="114" t="str">
        <f t="shared" si="137"/>
        <v>04</v>
      </c>
      <c r="G842" s="114" t="str">
        <f t="shared" si="138"/>
        <v>1</v>
      </c>
      <c r="H842" s="114" t="str">
        <f t="shared" si="139"/>
        <v>0</v>
      </c>
      <c r="I842" s="115">
        <v>23000410</v>
      </c>
      <c r="J842" s="114" t="s">
        <v>4666</v>
      </c>
      <c r="K842" s="114" t="s">
        <v>4667</v>
      </c>
      <c r="L842" s="116"/>
      <c r="M842" s="114" t="s">
        <v>2878</v>
      </c>
      <c r="N842" s="114" t="s">
        <v>2879</v>
      </c>
      <c r="O842" s="114" t="s">
        <v>2878</v>
      </c>
      <c r="P842" s="117" t="s">
        <v>2880</v>
      </c>
    </row>
    <row r="843" spans="2:16" ht="90" x14ac:dyDescent="0.25">
      <c r="B843" s="108" t="str">
        <f t="shared" si="133"/>
        <v>2</v>
      </c>
      <c r="C843" s="108" t="str">
        <f t="shared" si="134"/>
        <v>3</v>
      </c>
      <c r="D843" s="108" t="str">
        <f t="shared" si="135"/>
        <v>0</v>
      </c>
      <c r="E843" s="108" t="str">
        <f t="shared" si="136"/>
        <v>0</v>
      </c>
      <c r="F843" s="108" t="str">
        <f t="shared" si="137"/>
        <v>05</v>
      </c>
      <c r="G843" s="108" t="str">
        <f t="shared" si="138"/>
        <v>0</v>
      </c>
      <c r="H843" s="108" t="str">
        <f t="shared" si="139"/>
        <v>0</v>
      </c>
      <c r="I843" s="109">
        <v>23000500</v>
      </c>
      <c r="J843" s="108" t="s">
        <v>4671</v>
      </c>
      <c r="K843" s="108" t="s">
        <v>4672</v>
      </c>
      <c r="L843" s="110"/>
      <c r="M843" s="108" t="s">
        <v>2878</v>
      </c>
      <c r="N843" s="108" t="s">
        <v>2879</v>
      </c>
      <c r="O843" s="108" t="s">
        <v>2878</v>
      </c>
      <c r="P843" s="111" t="s">
        <v>2880</v>
      </c>
    </row>
    <row r="844" spans="2:16" ht="90" x14ac:dyDescent="0.25">
      <c r="B844" s="114" t="str">
        <f t="shared" si="133"/>
        <v>2</v>
      </c>
      <c r="C844" s="114" t="str">
        <f t="shared" si="134"/>
        <v>3</v>
      </c>
      <c r="D844" s="114" t="str">
        <f t="shared" si="135"/>
        <v>0</v>
      </c>
      <c r="E844" s="114" t="str">
        <f t="shared" si="136"/>
        <v>0</v>
      </c>
      <c r="F844" s="114" t="str">
        <f t="shared" si="137"/>
        <v>05</v>
      </c>
      <c r="G844" s="114" t="str">
        <f t="shared" si="138"/>
        <v>1</v>
      </c>
      <c r="H844" s="114" t="str">
        <f t="shared" si="139"/>
        <v>0</v>
      </c>
      <c r="I844" s="115">
        <v>23000510</v>
      </c>
      <c r="J844" s="114" t="s">
        <v>4671</v>
      </c>
      <c r="K844" s="114" t="s">
        <v>4672</v>
      </c>
      <c r="L844" s="116"/>
      <c r="M844" s="114" t="s">
        <v>2878</v>
      </c>
      <c r="N844" s="114" t="s">
        <v>2879</v>
      </c>
      <c r="O844" s="114" t="s">
        <v>2878</v>
      </c>
      <c r="P844" s="117" t="s">
        <v>2880</v>
      </c>
    </row>
    <row r="845" spans="2:16" ht="45" x14ac:dyDescent="0.25">
      <c r="B845" s="108" t="str">
        <f t="shared" si="133"/>
        <v>2</v>
      </c>
      <c r="C845" s="108" t="str">
        <f t="shared" si="134"/>
        <v>3</v>
      </c>
      <c r="D845" s="108" t="str">
        <f t="shared" si="135"/>
        <v>0</v>
      </c>
      <c r="E845" s="108" t="str">
        <f t="shared" si="136"/>
        <v>0</v>
      </c>
      <c r="F845" s="108" t="str">
        <f t="shared" si="137"/>
        <v>06</v>
      </c>
      <c r="G845" s="108" t="str">
        <f t="shared" si="138"/>
        <v>0</v>
      </c>
      <c r="H845" s="108" t="str">
        <f t="shared" si="139"/>
        <v>0</v>
      </c>
      <c r="I845" s="109">
        <v>23000600</v>
      </c>
      <c r="J845" s="108" t="s">
        <v>4677</v>
      </c>
      <c r="K845" s="108" t="s">
        <v>4678</v>
      </c>
      <c r="L845" s="110"/>
      <c r="M845" s="108" t="s">
        <v>2878</v>
      </c>
      <c r="N845" s="108" t="s">
        <v>2879</v>
      </c>
      <c r="O845" s="108" t="s">
        <v>2878</v>
      </c>
      <c r="P845" s="111" t="s">
        <v>2880</v>
      </c>
    </row>
    <row r="846" spans="2:16" ht="45" x14ac:dyDescent="0.25">
      <c r="B846" s="114" t="str">
        <f t="shared" si="133"/>
        <v>2</v>
      </c>
      <c r="C846" s="114" t="str">
        <f t="shared" si="134"/>
        <v>3</v>
      </c>
      <c r="D846" s="114" t="str">
        <f t="shared" si="135"/>
        <v>0</v>
      </c>
      <c r="E846" s="114" t="str">
        <f t="shared" si="136"/>
        <v>0</v>
      </c>
      <c r="F846" s="114" t="str">
        <f t="shared" si="137"/>
        <v>06</v>
      </c>
      <c r="G846" s="114" t="str">
        <f t="shared" si="138"/>
        <v>1</v>
      </c>
      <c r="H846" s="114" t="str">
        <f t="shared" si="139"/>
        <v>0</v>
      </c>
      <c r="I846" s="115">
        <v>23000610</v>
      </c>
      <c r="J846" s="114" t="s">
        <v>4677</v>
      </c>
      <c r="K846" s="114" t="s">
        <v>4678</v>
      </c>
      <c r="L846" s="116"/>
      <c r="M846" s="114" t="s">
        <v>2878</v>
      </c>
      <c r="N846" s="114" t="s">
        <v>2879</v>
      </c>
      <c r="O846" s="114" t="s">
        <v>2878</v>
      </c>
      <c r="P846" s="117" t="s">
        <v>2880</v>
      </c>
    </row>
    <row r="847" spans="2:16" ht="30" x14ac:dyDescent="0.25">
      <c r="B847" s="108" t="str">
        <f t="shared" si="133"/>
        <v>2</v>
      </c>
      <c r="C847" s="108" t="str">
        <f t="shared" si="134"/>
        <v>3</v>
      </c>
      <c r="D847" s="108" t="str">
        <f t="shared" si="135"/>
        <v>0</v>
      </c>
      <c r="E847" s="108" t="str">
        <f t="shared" si="136"/>
        <v>0</v>
      </c>
      <c r="F847" s="108" t="str">
        <f t="shared" si="137"/>
        <v>07</v>
      </c>
      <c r="G847" s="108" t="str">
        <f t="shared" si="138"/>
        <v>0</v>
      </c>
      <c r="H847" s="108" t="str">
        <f t="shared" si="139"/>
        <v>0</v>
      </c>
      <c r="I847" s="109">
        <v>23000700</v>
      </c>
      <c r="J847" s="108" t="s">
        <v>2762</v>
      </c>
      <c r="K847" s="108" t="s">
        <v>4681</v>
      </c>
      <c r="L847" s="110"/>
      <c r="M847" s="108" t="s">
        <v>2878</v>
      </c>
      <c r="N847" s="108" t="s">
        <v>2879</v>
      </c>
      <c r="O847" s="108" t="s">
        <v>2878</v>
      </c>
      <c r="P847" s="111" t="s">
        <v>2880</v>
      </c>
    </row>
    <row r="848" spans="2:16" ht="30" x14ac:dyDescent="0.25">
      <c r="B848" s="114" t="str">
        <f t="shared" si="133"/>
        <v>2</v>
      </c>
      <c r="C848" s="114" t="str">
        <f t="shared" si="134"/>
        <v>3</v>
      </c>
      <c r="D848" s="114" t="str">
        <f t="shared" si="135"/>
        <v>0</v>
      </c>
      <c r="E848" s="114" t="str">
        <f t="shared" si="136"/>
        <v>0</v>
      </c>
      <c r="F848" s="114" t="str">
        <f t="shared" si="137"/>
        <v>07</v>
      </c>
      <c r="G848" s="114" t="str">
        <f t="shared" si="138"/>
        <v>1</v>
      </c>
      <c r="H848" s="114" t="str">
        <f t="shared" si="139"/>
        <v>0</v>
      </c>
      <c r="I848" s="115">
        <v>23000710</v>
      </c>
      <c r="J848" s="114" t="s">
        <v>2762</v>
      </c>
      <c r="K848" s="114" t="s">
        <v>4681</v>
      </c>
      <c r="L848" s="116"/>
      <c r="M848" s="114" t="s">
        <v>2878</v>
      </c>
      <c r="N848" s="114" t="s">
        <v>2879</v>
      </c>
      <c r="O848" s="114" t="s">
        <v>2878</v>
      </c>
      <c r="P848" s="117" t="s">
        <v>2880</v>
      </c>
    </row>
    <row r="849" spans="2:16" s="153" customFormat="1" ht="30" x14ac:dyDescent="0.25">
      <c r="B849" s="113" t="str">
        <f t="shared" si="133"/>
        <v>2</v>
      </c>
      <c r="C849" s="113" t="str">
        <f t="shared" si="134"/>
        <v>3</v>
      </c>
      <c r="D849" s="113" t="str">
        <f t="shared" si="135"/>
        <v>0</v>
      </c>
      <c r="E849" s="113" t="str">
        <f t="shared" si="136"/>
        <v>0</v>
      </c>
      <c r="F849" s="113" t="str">
        <f t="shared" si="137"/>
        <v>80</v>
      </c>
      <c r="G849" s="113" t="str">
        <f t="shared" si="138"/>
        <v>0</v>
      </c>
      <c r="H849" s="113" t="str">
        <f t="shared" si="139"/>
        <v>0</v>
      </c>
      <c r="I849" s="112">
        <v>23008000</v>
      </c>
      <c r="J849" s="113" t="s">
        <v>4684</v>
      </c>
      <c r="K849" s="113" t="s">
        <v>4685</v>
      </c>
      <c r="L849" s="110"/>
      <c r="M849" s="113" t="s">
        <v>2878</v>
      </c>
      <c r="N849" s="113" t="s">
        <v>2879</v>
      </c>
      <c r="O849" s="113" t="s">
        <v>2878</v>
      </c>
      <c r="P849" s="163" t="s">
        <v>2880</v>
      </c>
    </row>
    <row r="850" spans="2:16" s="153" customFormat="1" ht="30" x14ac:dyDescent="0.25">
      <c r="B850" s="130" t="str">
        <f t="shared" si="133"/>
        <v>2</v>
      </c>
      <c r="C850" s="130" t="str">
        <f t="shared" si="134"/>
        <v>3</v>
      </c>
      <c r="D850" s="130" t="str">
        <f t="shared" si="135"/>
        <v>0</v>
      </c>
      <c r="E850" s="130" t="str">
        <f t="shared" si="136"/>
        <v>0</v>
      </c>
      <c r="F850" s="130" t="str">
        <f t="shared" si="137"/>
        <v>80</v>
      </c>
      <c r="G850" s="130" t="str">
        <f t="shared" si="138"/>
        <v>1</v>
      </c>
      <c r="H850" s="130" t="str">
        <f t="shared" si="139"/>
        <v>0</v>
      </c>
      <c r="I850" s="129">
        <v>23008010</v>
      </c>
      <c r="J850" s="130" t="s">
        <v>4684</v>
      </c>
      <c r="K850" s="130" t="s">
        <v>4685</v>
      </c>
      <c r="L850" s="116"/>
      <c r="M850" s="130" t="s">
        <v>2878</v>
      </c>
      <c r="N850" s="130" t="s">
        <v>2879</v>
      </c>
      <c r="O850" s="130" t="s">
        <v>2878</v>
      </c>
      <c r="P850" s="152" t="s">
        <v>2880</v>
      </c>
    </row>
    <row r="851" spans="2:16" ht="45" x14ac:dyDescent="0.25">
      <c r="B851" s="123" t="str">
        <f t="shared" si="133"/>
        <v>2</v>
      </c>
      <c r="C851" s="123" t="str">
        <f t="shared" si="134"/>
        <v>4</v>
      </c>
      <c r="D851" s="123" t="str">
        <f t="shared" si="135"/>
        <v>0</v>
      </c>
      <c r="E851" s="123" t="str">
        <f t="shared" si="136"/>
        <v>0</v>
      </c>
      <c r="F851" s="123" t="str">
        <f t="shared" si="137"/>
        <v>00</v>
      </c>
      <c r="G851" s="123" t="str">
        <f t="shared" si="138"/>
        <v>0</v>
      </c>
      <c r="H851" s="123" t="str">
        <f t="shared" si="139"/>
        <v>0</v>
      </c>
      <c r="I851" s="124">
        <v>24000000</v>
      </c>
      <c r="J851" s="123" t="s">
        <v>2773</v>
      </c>
      <c r="K851" s="123" t="s">
        <v>4689</v>
      </c>
      <c r="L851" s="103"/>
      <c r="M851" s="123" t="s">
        <v>2878</v>
      </c>
      <c r="N851" s="123" t="s">
        <v>5016</v>
      </c>
      <c r="O851" s="123" t="s">
        <v>2878</v>
      </c>
      <c r="P851" s="125" t="s">
        <v>2880</v>
      </c>
    </row>
    <row r="852" spans="2:16" ht="60" x14ac:dyDescent="0.25">
      <c r="B852" s="126" t="str">
        <f t="shared" si="133"/>
        <v>2</v>
      </c>
      <c r="C852" s="126" t="str">
        <f t="shared" si="134"/>
        <v>4</v>
      </c>
      <c r="D852" s="126" t="str">
        <f t="shared" si="135"/>
        <v>1</v>
      </c>
      <c r="E852" s="126" t="str">
        <f t="shared" si="136"/>
        <v>0</v>
      </c>
      <c r="F852" s="126" t="str">
        <f t="shared" si="137"/>
        <v>00</v>
      </c>
      <c r="G852" s="126" t="str">
        <f t="shared" si="138"/>
        <v>0</v>
      </c>
      <c r="H852" s="126" t="str">
        <f t="shared" si="139"/>
        <v>0</v>
      </c>
      <c r="I852" s="127">
        <v>24100000</v>
      </c>
      <c r="J852" s="126" t="s">
        <v>4195</v>
      </c>
      <c r="K852" s="126" t="s">
        <v>4690</v>
      </c>
      <c r="L852" s="122"/>
      <c r="M852" s="126" t="s">
        <v>2878</v>
      </c>
      <c r="N852" s="126" t="s">
        <v>5016</v>
      </c>
      <c r="O852" s="126" t="s">
        <v>2878</v>
      </c>
      <c r="P852" s="128" t="s">
        <v>2880</v>
      </c>
    </row>
    <row r="853" spans="2:16" ht="60" x14ac:dyDescent="0.25">
      <c r="B853" s="114" t="str">
        <f t="shared" si="133"/>
        <v>2</v>
      </c>
      <c r="C853" s="114" t="str">
        <f t="shared" si="134"/>
        <v>4</v>
      </c>
      <c r="D853" s="114" t="str">
        <f t="shared" si="135"/>
        <v>1</v>
      </c>
      <c r="E853" s="114" t="str">
        <f t="shared" si="136"/>
        <v>0</v>
      </c>
      <c r="F853" s="114" t="str">
        <f t="shared" si="137"/>
        <v>00</v>
      </c>
      <c r="G853" s="114" t="str">
        <f t="shared" si="138"/>
        <v>1</v>
      </c>
      <c r="H853" s="114" t="str">
        <f t="shared" si="139"/>
        <v>0</v>
      </c>
      <c r="I853" s="115">
        <v>24100010</v>
      </c>
      <c r="J853" s="114" t="s">
        <v>4195</v>
      </c>
      <c r="K853" s="114" t="s">
        <v>4690</v>
      </c>
      <c r="L853" s="116"/>
      <c r="M853" s="114" t="s">
        <v>2878</v>
      </c>
      <c r="N853" s="114" t="s">
        <v>2879</v>
      </c>
      <c r="O853" s="114" t="s">
        <v>2878</v>
      </c>
      <c r="P853" s="117" t="s">
        <v>2880</v>
      </c>
    </row>
    <row r="854" spans="2:16" ht="45" x14ac:dyDescent="0.25">
      <c r="B854" s="104" t="str">
        <f t="shared" si="133"/>
        <v>2</v>
      </c>
      <c r="C854" s="104" t="str">
        <f t="shared" si="134"/>
        <v>4</v>
      </c>
      <c r="D854" s="104" t="str">
        <f t="shared" si="135"/>
        <v>1</v>
      </c>
      <c r="E854" s="104" t="str">
        <f t="shared" si="136"/>
        <v>8</v>
      </c>
      <c r="F854" s="104" t="str">
        <f t="shared" si="137"/>
        <v>00</v>
      </c>
      <c r="G854" s="104" t="str">
        <f t="shared" si="138"/>
        <v>0</v>
      </c>
      <c r="H854" s="104" t="str">
        <f t="shared" si="139"/>
        <v>0</v>
      </c>
      <c r="I854" s="105">
        <v>24180000</v>
      </c>
      <c r="J854" s="104" t="s">
        <v>5022</v>
      </c>
      <c r="K854" s="104" t="s">
        <v>5039</v>
      </c>
      <c r="L854" s="106"/>
      <c r="M854" s="104" t="s">
        <v>2878</v>
      </c>
      <c r="N854" s="104"/>
      <c r="O854" s="104" t="s">
        <v>5018</v>
      </c>
      <c r="P854" s="107" t="s">
        <v>2880</v>
      </c>
    </row>
    <row r="855" spans="2:16" ht="30" x14ac:dyDescent="0.25">
      <c r="B855" s="108" t="str">
        <f t="shared" si="133"/>
        <v>2</v>
      </c>
      <c r="C855" s="108" t="str">
        <f t="shared" si="134"/>
        <v>4</v>
      </c>
      <c r="D855" s="108" t="str">
        <f t="shared" si="135"/>
        <v>1</v>
      </c>
      <c r="E855" s="108" t="str">
        <f t="shared" si="136"/>
        <v>8</v>
      </c>
      <c r="F855" s="108" t="str">
        <f t="shared" si="137"/>
        <v>01</v>
      </c>
      <c r="G855" s="108" t="str">
        <f t="shared" si="138"/>
        <v>0</v>
      </c>
      <c r="H855" s="108" t="str">
        <f t="shared" si="139"/>
        <v>0</v>
      </c>
      <c r="I855" s="109">
        <v>24180100</v>
      </c>
      <c r="J855" s="108" t="s">
        <v>1276</v>
      </c>
      <c r="K855" s="108" t="s">
        <v>2779</v>
      </c>
      <c r="L855" s="110"/>
      <c r="M855" s="108"/>
      <c r="N855" s="108"/>
      <c r="O855" s="108" t="s">
        <v>2878</v>
      </c>
      <c r="P855" s="111" t="s">
        <v>2880</v>
      </c>
    </row>
    <row r="856" spans="2:16" ht="30" x14ac:dyDescent="0.25">
      <c r="B856" s="114" t="str">
        <f t="shared" si="133"/>
        <v>2</v>
      </c>
      <c r="C856" s="114" t="str">
        <f t="shared" si="134"/>
        <v>4</v>
      </c>
      <c r="D856" s="114" t="str">
        <f t="shared" si="135"/>
        <v>1</v>
      </c>
      <c r="E856" s="114" t="str">
        <f t="shared" si="136"/>
        <v>8</v>
      </c>
      <c r="F856" s="114" t="str">
        <f t="shared" si="137"/>
        <v>01</v>
      </c>
      <c r="G856" s="114" t="str">
        <f t="shared" si="138"/>
        <v>1</v>
      </c>
      <c r="H856" s="114" t="str">
        <f t="shared" si="139"/>
        <v>0</v>
      </c>
      <c r="I856" s="115">
        <v>24180110</v>
      </c>
      <c r="J856" s="114" t="s">
        <v>1276</v>
      </c>
      <c r="K856" s="114" t="s">
        <v>2779</v>
      </c>
      <c r="L856" s="116"/>
      <c r="M856" s="114"/>
      <c r="N856" s="114"/>
      <c r="O856" s="114" t="s">
        <v>2878</v>
      </c>
      <c r="P856" s="117" t="s">
        <v>2880</v>
      </c>
    </row>
    <row r="857" spans="2:16" s="148" customFormat="1" ht="60" x14ac:dyDescent="0.25">
      <c r="B857" s="145" t="str">
        <f t="shared" si="133"/>
        <v>2</v>
      </c>
      <c r="C857" s="145" t="str">
        <f t="shared" si="134"/>
        <v>4</v>
      </c>
      <c r="D857" s="145" t="str">
        <f t="shared" si="135"/>
        <v>1</v>
      </c>
      <c r="E857" s="145" t="str">
        <f t="shared" si="136"/>
        <v>8</v>
      </c>
      <c r="F857" s="145" t="str">
        <f t="shared" si="137"/>
        <v>03</v>
      </c>
      <c r="G857" s="145" t="str">
        <f t="shared" si="138"/>
        <v>0</v>
      </c>
      <c r="H857" s="145" t="str">
        <f t="shared" si="139"/>
        <v>0</v>
      </c>
      <c r="I857" s="143">
        <v>24180300</v>
      </c>
      <c r="J857" s="145" t="s">
        <v>5617</v>
      </c>
      <c r="K857" s="145" t="s">
        <v>5616</v>
      </c>
      <c r="L857" s="146"/>
      <c r="M857" s="145" t="s">
        <v>2878</v>
      </c>
      <c r="N857" s="145"/>
      <c r="O857" s="145" t="s">
        <v>2878</v>
      </c>
      <c r="P857" s="147" t="s">
        <v>2880</v>
      </c>
    </row>
    <row r="858" spans="2:16" s="148" customFormat="1" ht="60" x14ac:dyDescent="0.25">
      <c r="B858" s="149" t="str">
        <f t="shared" si="133"/>
        <v>2</v>
      </c>
      <c r="C858" s="149" t="str">
        <f t="shared" si="134"/>
        <v>4</v>
      </c>
      <c r="D858" s="149" t="str">
        <f t="shared" si="135"/>
        <v>1</v>
      </c>
      <c r="E858" s="149" t="str">
        <f t="shared" si="136"/>
        <v>8</v>
      </c>
      <c r="F858" s="149" t="str">
        <f t="shared" si="137"/>
        <v>03</v>
      </c>
      <c r="G858" s="149" t="str">
        <f t="shared" si="138"/>
        <v>1</v>
      </c>
      <c r="H858" s="149" t="str">
        <f t="shared" si="139"/>
        <v>0</v>
      </c>
      <c r="I858" s="144">
        <v>24180310</v>
      </c>
      <c r="J858" s="149" t="s">
        <v>5155</v>
      </c>
      <c r="K858" s="149" t="s">
        <v>5618</v>
      </c>
      <c r="L858" s="150"/>
      <c r="M858" s="149" t="s">
        <v>2878</v>
      </c>
      <c r="N858" s="149"/>
      <c r="O858" s="149" t="s">
        <v>2878</v>
      </c>
      <c r="P858" s="151" t="s">
        <v>2880</v>
      </c>
    </row>
    <row r="859" spans="2:16" s="148" customFormat="1" ht="60" x14ac:dyDescent="0.25">
      <c r="B859" s="149" t="str">
        <f t="shared" si="133"/>
        <v>2</v>
      </c>
      <c r="C859" s="149" t="str">
        <f t="shared" si="134"/>
        <v>4</v>
      </c>
      <c r="D859" s="149" t="str">
        <f t="shared" si="135"/>
        <v>1</v>
      </c>
      <c r="E859" s="149" t="str">
        <f t="shared" si="136"/>
        <v>8</v>
      </c>
      <c r="F859" s="149" t="str">
        <f t="shared" si="137"/>
        <v>03</v>
      </c>
      <c r="G859" s="149" t="str">
        <f t="shared" si="138"/>
        <v>2</v>
      </c>
      <c r="H859" s="149" t="str">
        <f t="shared" si="139"/>
        <v>0</v>
      </c>
      <c r="I859" s="144">
        <v>24180320</v>
      </c>
      <c r="J859" s="149" t="s">
        <v>5156</v>
      </c>
      <c r="K859" s="149" t="s">
        <v>5619</v>
      </c>
      <c r="L859" s="150"/>
      <c r="M859" s="149" t="s">
        <v>2878</v>
      </c>
      <c r="N859" s="149"/>
      <c r="O859" s="149" t="s">
        <v>2878</v>
      </c>
      <c r="P859" s="151" t="s">
        <v>2880</v>
      </c>
    </row>
    <row r="860" spans="2:16" s="148" customFormat="1" ht="60" x14ac:dyDescent="0.25">
      <c r="B860" s="149" t="str">
        <f t="shared" si="133"/>
        <v>2</v>
      </c>
      <c r="C860" s="149" t="str">
        <f t="shared" si="134"/>
        <v>4</v>
      </c>
      <c r="D860" s="149" t="str">
        <f t="shared" si="135"/>
        <v>1</v>
      </c>
      <c r="E860" s="149" t="str">
        <f t="shared" si="136"/>
        <v>8</v>
      </c>
      <c r="F860" s="149" t="str">
        <f t="shared" si="137"/>
        <v>03</v>
      </c>
      <c r="G860" s="149" t="str">
        <f t="shared" si="138"/>
        <v>3</v>
      </c>
      <c r="H860" s="149" t="str">
        <f t="shared" si="139"/>
        <v>0</v>
      </c>
      <c r="I860" s="144">
        <v>24180330</v>
      </c>
      <c r="J860" s="149" t="s">
        <v>5157</v>
      </c>
      <c r="K860" s="149" t="s">
        <v>5620</v>
      </c>
      <c r="L860" s="150"/>
      <c r="M860" s="149" t="s">
        <v>2878</v>
      </c>
      <c r="N860" s="149"/>
      <c r="O860" s="149" t="s">
        <v>2878</v>
      </c>
      <c r="P860" s="151" t="s">
        <v>2880</v>
      </c>
    </row>
    <row r="861" spans="2:16" s="148" customFormat="1" ht="60" x14ac:dyDescent="0.25">
      <c r="B861" s="149" t="str">
        <f t="shared" si="133"/>
        <v>2</v>
      </c>
      <c r="C861" s="149" t="str">
        <f t="shared" si="134"/>
        <v>4</v>
      </c>
      <c r="D861" s="149" t="str">
        <f t="shared" si="135"/>
        <v>1</v>
      </c>
      <c r="E861" s="149" t="str">
        <f t="shared" si="136"/>
        <v>8</v>
      </c>
      <c r="F861" s="149" t="str">
        <f t="shared" si="137"/>
        <v>03</v>
      </c>
      <c r="G861" s="149" t="str">
        <f t="shared" si="138"/>
        <v>4</v>
      </c>
      <c r="H861" s="149" t="str">
        <f t="shared" si="139"/>
        <v>0</v>
      </c>
      <c r="I861" s="144">
        <v>24180340</v>
      </c>
      <c r="J861" s="149" t="s">
        <v>5158</v>
      </c>
      <c r="K861" s="149" t="s">
        <v>5621</v>
      </c>
      <c r="L861" s="150"/>
      <c r="M861" s="149" t="s">
        <v>2878</v>
      </c>
      <c r="N861" s="149"/>
      <c r="O861" s="149" t="s">
        <v>2878</v>
      </c>
      <c r="P861" s="151" t="s">
        <v>2880</v>
      </c>
    </row>
    <row r="862" spans="2:16" s="148" customFormat="1" ht="60" x14ac:dyDescent="0.25">
      <c r="B862" s="149" t="str">
        <f t="shared" si="133"/>
        <v>2</v>
      </c>
      <c r="C862" s="149" t="str">
        <f t="shared" si="134"/>
        <v>4</v>
      </c>
      <c r="D862" s="149" t="str">
        <f t="shared" si="135"/>
        <v>1</v>
      </c>
      <c r="E862" s="149" t="str">
        <f t="shared" si="136"/>
        <v>8</v>
      </c>
      <c r="F862" s="149" t="str">
        <f t="shared" si="137"/>
        <v>03</v>
      </c>
      <c r="G862" s="149" t="str">
        <f t="shared" si="138"/>
        <v>5</v>
      </c>
      <c r="H862" s="149" t="str">
        <f t="shared" si="139"/>
        <v>0</v>
      </c>
      <c r="I862" s="144">
        <v>24180350</v>
      </c>
      <c r="J862" s="149" t="s">
        <v>5159</v>
      </c>
      <c r="K862" s="149" t="s">
        <v>5622</v>
      </c>
      <c r="L862" s="150"/>
      <c r="M862" s="149" t="s">
        <v>2878</v>
      </c>
      <c r="N862" s="149"/>
      <c r="O862" s="149" t="s">
        <v>2878</v>
      </c>
      <c r="P862" s="151" t="s">
        <v>2880</v>
      </c>
    </row>
    <row r="863" spans="2:16" s="148" customFormat="1" ht="60" x14ac:dyDescent="0.25">
      <c r="B863" s="149" t="str">
        <f t="shared" si="133"/>
        <v>2</v>
      </c>
      <c r="C863" s="149" t="str">
        <f t="shared" si="134"/>
        <v>4</v>
      </c>
      <c r="D863" s="149" t="str">
        <f t="shared" si="135"/>
        <v>1</v>
      </c>
      <c r="E863" s="149" t="str">
        <f t="shared" si="136"/>
        <v>8</v>
      </c>
      <c r="F863" s="149" t="str">
        <f t="shared" si="137"/>
        <v>03</v>
      </c>
      <c r="G863" s="149" t="str">
        <f t="shared" si="138"/>
        <v>9</v>
      </c>
      <c r="H863" s="149" t="str">
        <f t="shared" si="139"/>
        <v>0</v>
      </c>
      <c r="I863" s="144">
        <v>24180390</v>
      </c>
      <c r="J863" s="149" t="s">
        <v>5154</v>
      </c>
      <c r="K863" s="149" t="s">
        <v>5623</v>
      </c>
      <c r="L863" s="150"/>
      <c r="M863" s="149" t="s">
        <v>2878</v>
      </c>
      <c r="N863" s="149"/>
      <c r="O863" s="149" t="s">
        <v>2878</v>
      </c>
      <c r="P863" s="151" t="s">
        <v>2880</v>
      </c>
    </row>
    <row r="864" spans="2:16" s="148" customFormat="1" ht="60" x14ac:dyDescent="0.25">
      <c r="B864" s="145" t="str">
        <f t="shared" si="133"/>
        <v>2</v>
      </c>
      <c r="C864" s="145" t="str">
        <f t="shared" si="134"/>
        <v>4</v>
      </c>
      <c r="D864" s="145" t="str">
        <f t="shared" si="135"/>
        <v>1</v>
      </c>
      <c r="E864" s="145" t="str">
        <f t="shared" si="136"/>
        <v>8</v>
      </c>
      <c r="F864" s="145" t="str">
        <f t="shared" si="137"/>
        <v>04</v>
      </c>
      <c r="G864" s="145" t="str">
        <f t="shared" si="138"/>
        <v>0</v>
      </c>
      <c r="H864" s="145" t="str">
        <f t="shared" si="139"/>
        <v>0</v>
      </c>
      <c r="I864" s="143">
        <v>24180400</v>
      </c>
      <c r="J864" s="145" t="s">
        <v>5220</v>
      </c>
      <c r="K864" s="145" t="s">
        <v>5624</v>
      </c>
      <c r="L864" s="146"/>
      <c r="M864" s="145"/>
      <c r="N864" s="145"/>
      <c r="O864" s="145"/>
      <c r="P864" s="147"/>
    </row>
    <row r="865" spans="2:16" s="148" customFormat="1" ht="45" x14ac:dyDescent="0.25">
      <c r="B865" s="149" t="str">
        <f t="shared" si="133"/>
        <v>2</v>
      </c>
      <c r="C865" s="149" t="str">
        <f t="shared" si="134"/>
        <v>4</v>
      </c>
      <c r="D865" s="149" t="str">
        <f t="shared" si="135"/>
        <v>1</v>
      </c>
      <c r="E865" s="149" t="str">
        <f t="shared" si="136"/>
        <v>8</v>
      </c>
      <c r="F865" s="149" t="str">
        <f t="shared" si="137"/>
        <v>04</v>
      </c>
      <c r="G865" s="149" t="str">
        <f t="shared" si="138"/>
        <v>1</v>
      </c>
      <c r="H865" s="149" t="str">
        <f t="shared" si="139"/>
        <v>0</v>
      </c>
      <c r="I865" s="144">
        <v>24180410</v>
      </c>
      <c r="J865" s="149" t="s">
        <v>5213</v>
      </c>
      <c r="K865" s="149" t="s">
        <v>5625</v>
      </c>
      <c r="L865" s="150"/>
      <c r="M865" s="149"/>
      <c r="N865" s="149"/>
      <c r="O865" s="149"/>
      <c r="P865" s="151"/>
    </row>
    <row r="866" spans="2:16" s="148" customFormat="1" ht="45" x14ac:dyDescent="0.25">
      <c r="B866" s="149" t="str">
        <f t="shared" si="133"/>
        <v>2</v>
      </c>
      <c r="C866" s="149" t="str">
        <f t="shared" si="134"/>
        <v>4</v>
      </c>
      <c r="D866" s="149" t="str">
        <f t="shared" si="135"/>
        <v>1</v>
      </c>
      <c r="E866" s="149" t="str">
        <f t="shared" si="136"/>
        <v>8</v>
      </c>
      <c r="F866" s="149" t="str">
        <f t="shared" si="137"/>
        <v>04</v>
      </c>
      <c r="G866" s="149" t="str">
        <f t="shared" si="138"/>
        <v>2</v>
      </c>
      <c r="H866" s="149" t="str">
        <f t="shared" si="139"/>
        <v>0</v>
      </c>
      <c r="I866" s="144">
        <v>24180420</v>
      </c>
      <c r="J866" s="149" t="s">
        <v>5214</v>
      </c>
      <c r="K866" s="149" t="s">
        <v>5626</v>
      </c>
      <c r="L866" s="150"/>
      <c r="M866" s="149"/>
      <c r="N866" s="149"/>
      <c r="O866" s="149"/>
      <c r="P866" s="151"/>
    </row>
    <row r="867" spans="2:16" s="148" customFormat="1" ht="45" x14ac:dyDescent="0.25">
      <c r="B867" s="149" t="str">
        <f t="shared" si="133"/>
        <v>2</v>
      </c>
      <c r="C867" s="149" t="str">
        <f t="shared" si="134"/>
        <v>4</v>
      </c>
      <c r="D867" s="149" t="str">
        <f t="shared" si="135"/>
        <v>1</v>
      </c>
      <c r="E867" s="149" t="str">
        <f t="shared" si="136"/>
        <v>8</v>
      </c>
      <c r="F867" s="149" t="str">
        <f t="shared" si="137"/>
        <v>04</v>
      </c>
      <c r="G867" s="149" t="str">
        <f t="shared" si="138"/>
        <v>3</v>
      </c>
      <c r="H867" s="149" t="str">
        <f t="shared" si="139"/>
        <v>0</v>
      </c>
      <c r="I867" s="144">
        <v>24180430</v>
      </c>
      <c r="J867" s="149" t="s">
        <v>5215</v>
      </c>
      <c r="K867" s="149" t="s">
        <v>5627</v>
      </c>
      <c r="L867" s="150"/>
      <c r="M867" s="149"/>
      <c r="N867" s="149"/>
      <c r="O867" s="149"/>
      <c r="P867" s="151"/>
    </row>
    <row r="868" spans="2:16" s="148" customFormat="1" ht="60" x14ac:dyDescent="0.25">
      <c r="B868" s="149" t="str">
        <f t="shared" si="133"/>
        <v>2</v>
      </c>
      <c r="C868" s="149" t="str">
        <f t="shared" si="134"/>
        <v>4</v>
      </c>
      <c r="D868" s="149" t="str">
        <f t="shared" si="135"/>
        <v>1</v>
      </c>
      <c r="E868" s="149" t="str">
        <f t="shared" si="136"/>
        <v>8</v>
      </c>
      <c r="F868" s="149" t="str">
        <f t="shared" si="137"/>
        <v>04</v>
      </c>
      <c r="G868" s="149" t="str">
        <f t="shared" si="138"/>
        <v>4</v>
      </c>
      <c r="H868" s="149" t="str">
        <f t="shared" si="139"/>
        <v>0</v>
      </c>
      <c r="I868" s="144">
        <v>24180440</v>
      </c>
      <c r="J868" s="149" t="s">
        <v>5216</v>
      </c>
      <c r="K868" s="149" t="s">
        <v>5628</v>
      </c>
      <c r="L868" s="150"/>
      <c r="M868" s="149"/>
      <c r="N868" s="149"/>
      <c r="O868" s="149"/>
      <c r="P868" s="151"/>
    </row>
    <row r="869" spans="2:16" s="148" customFormat="1" ht="45" x14ac:dyDescent="0.25">
      <c r="B869" s="149" t="str">
        <f t="shared" si="133"/>
        <v>2</v>
      </c>
      <c r="C869" s="149" t="str">
        <f t="shared" si="134"/>
        <v>4</v>
      </c>
      <c r="D869" s="149" t="str">
        <f t="shared" si="135"/>
        <v>1</v>
      </c>
      <c r="E869" s="149" t="str">
        <f t="shared" si="136"/>
        <v>8</v>
      </c>
      <c r="F869" s="149" t="str">
        <f t="shared" si="137"/>
        <v>04</v>
      </c>
      <c r="G869" s="149" t="str">
        <f t="shared" si="138"/>
        <v>5</v>
      </c>
      <c r="H869" s="149" t="str">
        <f t="shared" si="139"/>
        <v>0</v>
      </c>
      <c r="I869" s="144">
        <v>24180450</v>
      </c>
      <c r="J869" s="149" t="s">
        <v>5217</v>
      </c>
      <c r="K869" s="149" t="s">
        <v>5629</v>
      </c>
      <c r="L869" s="150"/>
      <c r="M869" s="149"/>
      <c r="N869" s="149"/>
      <c r="O869" s="149"/>
      <c r="P869" s="151"/>
    </row>
    <row r="870" spans="2:16" s="148" customFormat="1" ht="45" x14ac:dyDescent="0.25">
      <c r="B870" s="149" t="str">
        <f t="shared" si="133"/>
        <v>2</v>
      </c>
      <c r="C870" s="149" t="str">
        <f t="shared" si="134"/>
        <v>4</v>
      </c>
      <c r="D870" s="149" t="str">
        <f t="shared" si="135"/>
        <v>1</v>
      </c>
      <c r="E870" s="149" t="str">
        <f t="shared" si="136"/>
        <v>8</v>
      </c>
      <c r="F870" s="149" t="str">
        <f t="shared" si="137"/>
        <v>04</v>
      </c>
      <c r="G870" s="149" t="str">
        <f t="shared" si="138"/>
        <v>6</v>
      </c>
      <c r="H870" s="149" t="str">
        <f t="shared" si="139"/>
        <v>0</v>
      </c>
      <c r="I870" s="144">
        <v>24180460</v>
      </c>
      <c r="J870" s="149" t="s">
        <v>5212</v>
      </c>
      <c r="K870" s="149" t="s">
        <v>5630</v>
      </c>
      <c r="L870" s="150"/>
      <c r="M870" s="149"/>
      <c r="N870" s="149"/>
      <c r="O870" s="149"/>
      <c r="P870" s="151"/>
    </row>
    <row r="871" spans="2:16" ht="30" x14ac:dyDescent="0.25">
      <c r="B871" s="108" t="str">
        <f t="shared" si="133"/>
        <v>2</v>
      </c>
      <c r="C871" s="108" t="str">
        <f t="shared" si="134"/>
        <v>4</v>
      </c>
      <c r="D871" s="108" t="str">
        <f t="shared" si="135"/>
        <v>1</v>
      </c>
      <c r="E871" s="108" t="str">
        <f t="shared" si="136"/>
        <v>8</v>
      </c>
      <c r="F871" s="108" t="str">
        <f t="shared" si="137"/>
        <v>05</v>
      </c>
      <c r="G871" s="108" t="str">
        <f t="shared" si="138"/>
        <v>0</v>
      </c>
      <c r="H871" s="108" t="str">
        <f t="shared" si="139"/>
        <v>0</v>
      </c>
      <c r="I871" s="109">
        <v>24180500</v>
      </c>
      <c r="J871" s="108" t="s">
        <v>2777</v>
      </c>
      <c r="K871" s="108" t="s">
        <v>2778</v>
      </c>
      <c r="L871" s="110"/>
      <c r="M871" s="108"/>
      <c r="N871" s="108"/>
      <c r="O871" s="108" t="s">
        <v>2878</v>
      </c>
      <c r="P871" s="111" t="s">
        <v>2880</v>
      </c>
    </row>
    <row r="872" spans="2:16" ht="30" x14ac:dyDescent="0.25">
      <c r="B872" s="114" t="str">
        <f t="shared" si="133"/>
        <v>2</v>
      </c>
      <c r="C872" s="114" t="str">
        <f t="shared" si="134"/>
        <v>4</v>
      </c>
      <c r="D872" s="114" t="str">
        <f t="shared" si="135"/>
        <v>1</v>
      </c>
      <c r="E872" s="114" t="str">
        <f t="shared" si="136"/>
        <v>8</v>
      </c>
      <c r="F872" s="114" t="str">
        <f t="shared" si="137"/>
        <v>05</v>
      </c>
      <c r="G872" s="114" t="str">
        <f t="shared" si="138"/>
        <v>1</v>
      </c>
      <c r="H872" s="114" t="str">
        <f t="shared" si="139"/>
        <v>0</v>
      </c>
      <c r="I872" s="115">
        <v>24180510</v>
      </c>
      <c r="J872" s="114" t="s">
        <v>2777</v>
      </c>
      <c r="K872" s="114" t="s">
        <v>2778</v>
      </c>
      <c r="L872" s="116"/>
      <c r="M872" s="114"/>
      <c r="N872" s="114"/>
      <c r="O872" s="114" t="s">
        <v>2878</v>
      </c>
      <c r="P872" s="117" t="s">
        <v>2880</v>
      </c>
    </row>
    <row r="873" spans="2:16" ht="45" x14ac:dyDescent="0.25">
      <c r="B873" s="108" t="str">
        <f t="shared" si="133"/>
        <v>2</v>
      </c>
      <c r="C873" s="108" t="str">
        <f t="shared" si="134"/>
        <v>4</v>
      </c>
      <c r="D873" s="108" t="str">
        <f t="shared" si="135"/>
        <v>1</v>
      </c>
      <c r="E873" s="108" t="str">
        <f t="shared" si="136"/>
        <v>8</v>
      </c>
      <c r="F873" s="108" t="str">
        <f t="shared" si="137"/>
        <v>08</v>
      </c>
      <c r="G873" s="108" t="str">
        <f t="shared" si="138"/>
        <v>0</v>
      </c>
      <c r="H873" s="108" t="str">
        <f t="shared" si="139"/>
        <v>0</v>
      </c>
      <c r="I873" s="109">
        <v>24180800</v>
      </c>
      <c r="J873" s="108" t="s">
        <v>5105</v>
      </c>
      <c r="K873" s="108" t="s">
        <v>5136</v>
      </c>
      <c r="L873" s="110"/>
      <c r="M873" s="108"/>
      <c r="N873" s="108"/>
      <c r="O873" s="108" t="s">
        <v>2878</v>
      </c>
      <c r="P873" s="111" t="s">
        <v>2880</v>
      </c>
    </row>
    <row r="874" spans="2:16" ht="45" x14ac:dyDescent="0.25">
      <c r="B874" s="114" t="str">
        <f t="shared" si="133"/>
        <v>2</v>
      </c>
      <c r="C874" s="114" t="str">
        <f t="shared" si="134"/>
        <v>4</v>
      </c>
      <c r="D874" s="114" t="str">
        <f t="shared" si="135"/>
        <v>1</v>
      </c>
      <c r="E874" s="114" t="str">
        <f t="shared" si="136"/>
        <v>8</v>
      </c>
      <c r="F874" s="114" t="str">
        <f t="shared" si="137"/>
        <v>08</v>
      </c>
      <c r="G874" s="114" t="str">
        <f t="shared" si="138"/>
        <v>1</v>
      </c>
      <c r="H874" s="114" t="str">
        <f t="shared" si="139"/>
        <v>0</v>
      </c>
      <c r="I874" s="115">
        <v>24180810</v>
      </c>
      <c r="J874" s="114" t="s">
        <v>5105</v>
      </c>
      <c r="K874" s="114" t="s">
        <v>5136</v>
      </c>
      <c r="L874" s="116"/>
      <c r="M874" s="114"/>
      <c r="N874" s="114"/>
      <c r="O874" s="114" t="s">
        <v>2878</v>
      </c>
      <c r="P874" s="117" t="s">
        <v>2880</v>
      </c>
    </row>
    <row r="875" spans="2:16" ht="75" x14ac:dyDescent="0.25">
      <c r="B875" s="108" t="str">
        <f t="shared" si="133"/>
        <v>2</v>
      </c>
      <c r="C875" s="108" t="str">
        <f t="shared" si="134"/>
        <v>4</v>
      </c>
      <c r="D875" s="108" t="str">
        <f t="shared" si="135"/>
        <v>1</v>
      </c>
      <c r="E875" s="108" t="str">
        <f t="shared" si="136"/>
        <v>8</v>
      </c>
      <c r="F875" s="108" t="str">
        <f t="shared" si="137"/>
        <v>10</v>
      </c>
      <c r="G875" s="108" t="str">
        <f t="shared" si="138"/>
        <v>0</v>
      </c>
      <c r="H875" s="108" t="str">
        <f t="shared" si="139"/>
        <v>0</v>
      </c>
      <c r="I875" s="109">
        <v>24181000</v>
      </c>
      <c r="J875" s="108" t="s">
        <v>2798</v>
      </c>
      <c r="K875" s="108" t="s">
        <v>2799</v>
      </c>
      <c r="L875" s="110"/>
      <c r="M875" s="108"/>
      <c r="N875" s="108"/>
      <c r="O875" s="108" t="s">
        <v>2878</v>
      </c>
      <c r="P875" s="111" t="s">
        <v>2880</v>
      </c>
    </row>
    <row r="876" spans="2:16" ht="45" x14ac:dyDescent="0.25">
      <c r="B876" s="114" t="str">
        <f t="shared" si="133"/>
        <v>2</v>
      </c>
      <c r="C876" s="114" t="str">
        <f t="shared" si="134"/>
        <v>4</v>
      </c>
      <c r="D876" s="114" t="str">
        <f t="shared" si="135"/>
        <v>1</v>
      </c>
      <c r="E876" s="114" t="str">
        <f t="shared" si="136"/>
        <v>8</v>
      </c>
      <c r="F876" s="114" t="str">
        <f t="shared" si="137"/>
        <v>10</v>
      </c>
      <c r="G876" s="114" t="str">
        <f t="shared" si="138"/>
        <v>1</v>
      </c>
      <c r="H876" s="114" t="str">
        <f t="shared" si="139"/>
        <v>0</v>
      </c>
      <c r="I876" s="115">
        <v>24181010</v>
      </c>
      <c r="J876" s="114" t="s">
        <v>2800</v>
      </c>
      <c r="K876" s="114" t="s">
        <v>2801</v>
      </c>
      <c r="L876" s="116"/>
      <c r="M876" s="114"/>
      <c r="N876" s="114"/>
      <c r="O876" s="114" t="s">
        <v>2878</v>
      </c>
      <c r="P876" s="117" t="s">
        <v>2880</v>
      </c>
    </row>
    <row r="877" spans="2:16" ht="45" x14ac:dyDescent="0.25">
      <c r="B877" s="114" t="str">
        <f t="shared" si="133"/>
        <v>2</v>
      </c>
      <c r="C877" s="114" t="str">
        <f t="shared" si="134"/>
        <v>4</v>
      </c>
      <c r="D877" s="114" t="str">
        <f t="shared" si="135"/>
        <v>1</v>
      </c>
      <c r="E877" s="114" t="str">
        <f t="shared" si="136"/>
        <v>8</v>
      </c>
      <c r="F877" s="114" t="str">
        <f t="shared" si="137"/>
        <v>10</v>
      </c>
      <c r="G877" s="114" t="str">
        <f t="shared" si="138"/>
        <v>2</v>
      </c>
      <c r="H877" s="114" t="str">
        <f t="shared" si="139"/>
        <v>0</v>
      </c>
      <c r="I877" s="115">
        <v>24181020</v>
      </c>
      <c r="J877" s="114" t="s">
        <v>2802</v>
      </c>
      <c r="K877" s="114" t="s">
        <v>2803</v>
      </c>
      <c r="L877" s="116"/>
      <c r="M877" s="114"/>
      <c r="N877" s="114"/>
      <c r="O877" s="114" t="s">
        <v>2878</v>
      </c>
      <c r="P877" s="117" t="s">
        <v>2880</v>
      </c>
    </row>
    <row r="878" spans="2:16" ht="45" x14ac:dyDescent="0.25">
      <c r="B878" s="114" t="str">
        <f t="shared" si="133"/>
        <v>2</v>
      </c>
      <c r="C878" s="114" t="str">
        <f t="shared" si="134"/>
        <v>4</v>
      </c>
      <c r="D878" s="114" t="str">
        <f t="shared" si="135"/>
        <v>1</v>
      </c>
      <c r="E878" s="114" t="str">
        <f t="shared" si="136"/>
        <v>8</v>
      </c>
      <c r="F878" s="114" t="str">
        <f t="shared" si="137"/>
        <v>10</v>
      </c>
      <c r="G878" s="114" t="str">
        <f t="shared" si="138"/>
        <v>5</v>
      </c>
      <c r="H878" s="114" t="str">
        <f t="shared" si="139"/>
        <v>0</v>
      </c>
      <c r="I878" s="115">
        <v>24181050</v>
      </c>
      <c r="J878" s="114" t="s">
        <v>2804</v>
      </c>
      <c r="K878" s="114" t="s">
        <v>2805</v>
      </c>
      <c r="L878" s="116"/>
      <c r="M878" s="114"/>
      <c r="N878" s="114"/>
      <c r="O878" s="114" t="s">
        <v>2878</v>
      </c>
      <c r="P878" s="117" t="s">
        <v>2880</v>
      </c>
    </row>
    <row r="879" spans="2:16" ht="90" x14ac:dyDescent="0.25">
      <c r="B879" s="114" t="str">
        <f t="shared" si="133"/>
        <v>2</v>
      </c>
      <c r="C879" s="114" t="str">
        <f t="shared" si="134"/>
        <v>4</v>
      </c>
      <c r="D879" s="114" t="str">
        <f t="shared" si="135"/>
        <v>1</v>
      </c>
      <c r="E879" s="114" t="str">
        <f t="shared" si="136"/>
        <v>8</v>
      </c>
      <c r="F879" s="114" t="str">
        <f t="shared" si="137"/>
        <v>10</v>
      </c>
      <c r="G879" s="114" t="str">
        <f t="shared" si="138"/>
        <v>6</v>
      </c>
      <c r="H879" s="114" t="str">
        <f t="shared" si="139"/>
        <v>0</v>
      </c>
      <c r="I879" s="115">
        <v>24181060</v>
      </c>
      <c r="J879" s="114" t="s">
        <v>2806</v>
      </c>
      <c r="K879" s="114" t="s">
        <v>2807</v>
      </c>
      <c r="L879" s="116"/>
      <c r="M879" s="114"/>
      <c r="N879" s="114"/>
      <c r="O879" s="114" t="s">
        <v>2878</v>
      </c>
      <c r="P879" s="117" t="s">
        <v>2880</v>
      </c>
    </row>
    <row r="880" spans="2:16" ht="90" x14ac:dyDescent="0.25">
      <c r="B880" s="114" t="str">
        <f t="shared" si="133"/>
        <v>2</v>
      </c>
      <c r="C880" s="114" t="str">
        <f t="shared" si="134"/>
        <v>4</v>
      </c>
      <c r="D880" s="114" t="str">
        <f t="shared" si="135"/>
        <v>1</v>
      </c>
      <c r="E880" s="114" t="str">
        <f t="shared" si="136"/>
        <v>8</v>
      </c>
      <c r="F880" s="114" t="str">
        <f t="shared" si="137"/>
        <v>10</v>
      </c>
      <c r="G880" s="114" t="str">
        <f t="shared" si="138"/>
        <v>7</v>
      </c>
      <c r="H880" s="114" t="str">
        <f t="shared" si="139"/>
        <v>0</v>
      </c>
      <c r="I880" s="115">
        <v>24181070</v>
      </c>
      <c r="J880" s="114" t="s">
        <v>5137</v>
      </c>
      <c r="K880" s="114" t="s">
        <v>5138</v>
      </c>
      <c r="L880" s="116"/>
      <c r="M880" s="114"/>
      <c r="N880" s="114"/>
      <c r="O880" s="114" t="s">
        <v>2878</v>
      </c>
      <c r="P880" s="117" t="s">
        <v>2880</v>
      </c>
    </row>
    <row r="881" spans="2:16" ht="45" x14ac:dyDescent="0.25">
      <c r="B881" s="114" t="str">
        <f t="shared" si="133"/>
        <v>2</v>
      </c>
      <c r="C881" s="114" t="str">
        <f t="shared" si="134"/>
        <v>4</v>
      </c>
      <c r="D881" s="114" t="str">
        <f t="shared" si="135"/>
        <v>1</v>
      </c>
      <c r="E881" s="114" t="str">
        <f t="shared" si="136"/>
        <v>8</v>
      </c>
      <c r="F881" s="114" t="str">
        <f t="shared" si="137"/>
        <v>10</v>
      </c>
      <c r="G881" s="114" t="str">
        <f t="shared" si="138"/>
        <v>9</v>
      </c>
      <c r="H881" s="114" t="str">
        <f t="shared" si="139"/>
        <v>0</v>
      </c>
      <c r="I881" s="115">
        <v>24181090</v>
      </c>
      <c r="J881" s="114" t="s">
        <v>1346</v>
      </c>
      <c r="K881" s="114" t="s">
        <v>2810</v>
      </c>
      <c r="L881" s="116"/>
      <c r="M881" s="114"/>
      <c r="N881" s="114"/>
      <c r="O881" s="114" t="s">
        <v>2878</v>
      </c>
      <c r="P881" s="117" t="s">
        <v>2880</v>
      </c>
    </row>
    <row r="882" spans="2:16" s="148" customFormat="1" ht="45" x14ac:dyDescent="0.25">
      <c r="B882" s="145" t="str">
        <f t="shared" si="133"/>
        <v>2</v>
      </c>
      <c r="C882" s="145" t="str">
        <f t="shared" si="134"/>
        <v>4</v>
      </c>
      <c r="D882" s="145" t="str">
        <f t="shared" si="135"/>
        <v>1</v>
      </c>
      <c r="E882" s="145" t="str">
        <f t="shared" si="136"/>
        <v>8</v>
      </c>
      <c r="F882" s="145" t="str">
        <f t="shared" si="137"/>
        <v>12</v>
      </c>
      <c r="G882" s="145" t="str">
        <f t="shared" si="138"/>
        <v>0</v>
      </c>
      <c r="H882" s="145" t="str">
        <f t="shared" si="139"/>
        <v>0</v>
      </c>
      <c r="I882" s="143">
        <v>24181200</v>
      </c>
      <c r="J882" s="145" t="s">
        <v>1258</v>
      </c>
      <c r="K882" s="145" t="s">
        <v>5631</v>
      </c>
      <c r="L882" s="146"/>
      <c r="M882" s="145" t="s">
        <v>2878</v>
      </c>
      <c r="N882" s="145"/>
      <c r="O882" s="145" t="s">
        <v>2878</v>
      </c>
      <c r="P882" s="147" t="s">
        <v>2880</v>
      </c>
    </row>
    <row r="883" spans="2:16" s="148" customFormat="1" ht="45" x14ac:dyDescent="0.25">
      <c r="B883" s="149" t="str">
        <f t="shared" si="133"/>
        <v>2</v>
      </c>
      <c r="C883" s="149" t="str">
        <f t="shared" si="134"/>
        <v>4</v>
      </c>
      <c r="D883" s="149" t="str">
        <f t="shared" si="135"/>
        <v>1</v>
      </c>
      <c r="E883" s="149" t="str">
        <f t="shared" si="136"/>
        <v>8</v>
      </c>
      <c r="F883" s="149" t="str">
        <f t="shared" si="137"/>
        <v>12</v>
      </c>
      <c r="G883" s="149" t="str">
        <f t="shared" si="138"/>
        <v>1</v>
      </c>
      <c r="H883" s="149" t="str">
        <f t="shared" si="139"/>
        <v>0</v>
      </c>
      <c r="I883" s="144">
        <v>24181210</v>
      </c>
      <c r="J883" s="149" t="s">
        <v>1258</v>
      </c>
      <c r="K883" s="149" t="s">
        <v>5631</v>
      </c>
      <c r="L883" s="150"/>
      <c r="M883" s="149"/>
      <c r="N883" s="149"/>
      <c r="O883" s="149" t="s">
        <v>2878</v>
      </c>
      <c r="P883" s="151" t="s">
        <v>2880</v>
      </c>
    </row>
    <row r="884" spans="2:16" ht="75" x14ac:dyDescent="0.25">
      <c r="B884" s="108" t="str">
        <f t="shared" si="133"/>
        <v>2</v>
      </c>
      <c r="C884" s="108" t="str">
        <f t="shared" si="134"/>
        <v>4</v>
      </c>
      <c r="D884" s="108" t="str">
        <f t="shared" si="135"/>
        <v>1</v>
      </c>
      <c r="E884" s="108" t="str">
        <f t="shared" si="136"/>
        <v>8</v>
      </c>
      <c r="F884" s="108" t="str">
        <f t="shared" si="137"/>
        <v>99</v>
      </c>
      <c r="G884" s="108" t="str">
        <f t="shared" si="138"/>
        <v>0</v>
      </c>
      <c r="H884" s="108" t="str">
        <f t="shared" si="139"/>
        <v>0</v>
      </c>
      <c r="I884" s="109">
        <v>24189900</v>
      </c>
      <c r="J884" s="108" t="s">
        <v>1277</v>
      </c>
      <c r="K884" s="108" t="s">
        <v>2780</v>
      </c>
      <c r="L884" s="110"/>
      <c r="M884" s="108"/>
      <c r="N884" s="108"/>
      <c r="O884" s="108" t="s">
        <v>2878</v>
      </c>
      <c r="P884" s="111" t="s">
        <v>2880</v>
      </c>
    </row>
    <row r="885" spans="2:16" ht="75" x14ac:dyDescent="0.25">
      <c r="B885" s="114" t="str">
        <f t="shared" si="133"/>
        <v>2</v>
      </c>
      <c r="C885" s="114" t="str">
        <f t="shared" si="134"/>
        <v>4</v>
      </c>
      <c r="D885" s="114" t="str">
        <f t="shared" si="135"/>
        <v>1</v>
      </c>
      <c r="E885" s="114" t="str">
        <f t="shared" si="136"/>
        <v>8</v>
      </c>
      <c r="F885" s="114" t="str">
        <f t="shared" si="137"/>
        <v>99</v>
      </c>
      <c r="G885" s="114" t="str">
        <f t="shared" si="138"/>
        <v>1</v>
      </c>
      <c r="H885" s="114" t="str">
        <f t="shared" si="139"/>
        <v>0</v>
      </c>
      <c r="I885" s="115">
        <v>24189910</v>
      </c>
      <c r="J885" s="114" t="s">
        <v>1277</v>
      </c>
      <c r="K885" s="114" t="s">
        <v>2780</v>
      </c>
      <c r="L885" s="116"/>
      <c r="M885" s="114"/>
      <c r="N885" s="114"/>
      <c r="O885" s="114" t="s">
        <v>2878</v>
      </c>
      <c r="P885" s="117" t="s">
        <v>2880</v>
      </c>
    </row>
    <row r="886" spans="2:16" ht="60" x14ac:dyDescent="0.25">
      <c r="B886" s="126" t="str">
        <f t="shared" si="133"/>
        <v>2</v>
      </c>
      <c r="C886" s="126" t="str">
        <f t="shared" si="134"/>
        <v>4</v>
      </c>
      <c r="D886" s="126" t="str">
        <f t="shared" si="135"/>
        <v>2</v>
      </c>
      <c r="E886" s="126" t="str">
        <f t="shared" si="136"/>
        <v>0</v>
      </c>
      <c r="F886" s="126" t="str">
        <f t="shared" si="137"/>
        <v>00</v>
      </c>
      <c r="G886" s="126" t="str">
        <f t="shared" si="138"/>
        <v>0</v>
      </c>
      <c r="H886" s="126" t="str">
        <f t="shared" si="139"/>
        <v>0</v>
      </c>
      <c r="I886" s="127">
        <v>24200000</v>
      </c>
      <c r="J886" s="126" t="s">
        <v>4198</v>
      </c>
      <c r="K886" s="126" t="s">
        <v>4691</v>
      </c>
      <c r="L886" s="122"/>
      <c r="M886" s="126" t="s">
        <v>2878</v>
      </c>
      <c r="N886" s="126" t="s">
        <v>5016</v>
      </c>
      <c r="O886" s="126" t="s">
        <v>2878</v>
      </c>
      <c r="P886" s="128" t="s">
        <v>2880</v>
      </c>
    </row>
    <row r="887" spans="2:16" ht="60" x14ac:dyDescent="0.25">
      <c r="B887" s="114" t="str">
        <f t="shared" si="133"/>
        <v>2</v>
      </c>
      <c r="C887" s="114" t="str">
        <f t="shared" si="134"/>
        <v>4</v>
      </c>
      <c r="D887" s="114" t="str">
        <f t="shared" si="135"/>
        <v>2</v>
      </c>
      <c r="E887" s="114" t="str">
        <f t="shared" si="136"/>
        <v>0</v>
      </c>
      <c r="F887" s="114" t="str">
        <f t="shared" si="137"/>
        <v>00</v>
      </c>
      <c r="G887" s="114" t="str">
        <f t="shared" si="138"/>
        <v>1</v>
      </c>
      <c r="H887" s="114" t="str">
        <f t="shared" si="139"/>
        <v>0</v>
      </c>
      <c r="I887" s="115">
        <v>24200010</v>
      </c>
      <c r="J887" s="114" t="s">
        <v>4198</v>
      </c>
      <c r="K887" s="114" t="s">
        <v>4691</v>
      </c>
      <c r="L887" s="116"/>
      <c r="M887" s="114" t="s">
        <v>2878</v>
      </c>
      <c r="N887" s="114" t="s">
        <v>2879</v>
      </c>
      <c r="O887" s="114" t="s">
        <v>2878</v>
      </c>
      <c r="P887" s="117" t="s">
        <v>2880</v>
      </c>
    </row>
    <row r="888" spans="2:16" ht="45" x14ac:dyDescent="0.25">
      <c r="B888" s="104" t="str">
        <f t="shared" si="133"/>
        <v>2</v>
      </c>
      <c r="C888" s="104" t="str">
        <f t="shared" si="134"/>
        <v>4</v>
      </c>
      <c r="D888" s="104" t="str">
        <f t="shared" si="135"/>
        <v>2</v>
      </c>
      <c r="E888" s="104" t="str">
        <f t="shared" si="136"/>
        <v>8</v>
      </c>
      <c r="F888" s="104" t="str">
        <f t="shared" si="137"/>
        <v>00</v>
      </c>
      <c r="G888" s="104" t="str">
        <f t="shared" si="138"/>
        <v>0</v>
      </c>
      <c r="H888" s="104" t="str">
        <f t="shared" si="139"/>
        <v>0</v>
      </c>
      <c r="I888" s="105">
        <v>24280000</v>
      </c>
      <c r="J888" s="104" t="s">
        <v>4965</v>
      </c>
      <c r="K888" s="104" t="s">
        <v>5040</v>
      </c>
      <c r="L888" s="106"/>
      <c r="M888" s="104" t="s">
        <v>2878</v>
      </c>
      <c r="N888" s="104"/>
      <c r="O888" s="104" t="s">
        <v>5018</v>
      </c>
      <c r="P888" s="107" t="s">
        <v>2880</v>
      </c>
    </row>
    <row r="889" spans="2:16" ht="45" x14ac:dyDescent="0.25">
      <c r="B889" s="108" t="str">
        <f t="shared" si="133"/>
        <v>2</v>
      </c>
      <c r="C889" s="108" t="str">
        <f t="shared" si="134"/>
        <v>4</v>
      </c>
      <c r="D889" s="108" t="str">
        <f t="shared" si="135"/>
        <v>2</v>
      </c>
      <c r="E889" s="108" t="str">
        <f t="shared" si="136"/>
        <v>8</v>
      </c>
      <c r="F889" s="108" t="str">
        <f t="shared" si="137"/>
        <v>01</v>
      </c>
      <c r="G889" s="108" t="str">
        <f t="shared" si="138"/>
        <v>0</v>
      </c>
      <c r="H889" s="108" t="str">
        <f t="shared" si="139"/>
        <v>0</v>
      </c>
      <c r="I889" s="109">
        <v>24280100</v>
      </c>
      <c r="J889" s="108" t="s">
        <v>4966</v>
      </c>
      <c r="K889" s="108" t="s">
        <v>4969</v>
      </c>
      <c r="L889" s="110"/>
      <c r="M889" s="108"/>
      <c r="N889" s="108"/>
      <c r="O889" s="108" t="s">
        <v>2878</v>
      </c>
      <c r="P889" s="111" t="s">
        <v>2880</v>
      </c>
    </row>
    <row r="890" spans="2:16" ht="45" x14ac:dyDescent="0.25">
      <c r="B890" s="114" t="str">
        <f t="shared" ref="B890:B937" si="140">MID($I890,1,1)</f>
        <v>2</v>
      </c>
      <c r="C890" s="114" t="str">
        <f t="shared" ref="C890:C937" si="141">MID($I890,2,1)</f>
        <v>4</v>
      </c>
      <c r="D890" s="114" t="str">
        <f t="shared" ref="D890:D937" si="142">MID($I890,3,1)</f>
        <v>2</v>
      </c>
      <c r="E890" s="114" t="str">
        <f t="shared" ref="E890:E937" si="143">MID($I890,4,1)</f>
        <v>8</v>
      </c>
      <c r="F890" s="114" t="str">
        <f t="shared" ref="F890:F937" si="144">MID($I890,5,2)</f>
        <v>01</v>
      </c>
      <c r="G890" s="114" t="str">
        <f t="shared" ref="G890:G937" si="145">MID($I890,7,1)</f>
        <v>1</v>
      </c>
      <c r="H890" s="114" t="str">
        <f t="shared" ref="H890:H937" si="146">MID($I890,8,1)</f>
        <v>0</v>
      </c>
      <c r="I890" s="115">
        <v>24280110</v>
      </c>
      <c r="J890" s="114" t="s">
        <v>4966</v>
      </c>
      <c r="K890" s="114" t="s">
        <v>4968</v>
      </c>
      <c r="L890" s="116"/>
      <c r="M890" s="114"/>
      <c r="N890" s="114"/>
      <c r="O890" s="114" t="s">
        <v>2878</v>
      </c>
      <c r="P890" s="117" t="s">
        <v>2880</v>
      </c>
    </row>
    <row r="891" spans="2:16" ht="45" x14ac:dyDescent="0.25">
      <c r="B891" s="108" t="str">
        <f t="shared" si="140"/>
        <v>2</v>
      </c>
      <c r="C891" s="108" t="str">
        <f t="shared" si="141"/>
        <v>4</v>
      </c>
      <c r="D891" s="108" t="str">
        <f t="shared" si="142"/>
        <v>2</v>
      </c>
      <c r="E891" s="108" t="str">
        <f t="shared" si="143"/>
        <v>8</v>
      </c>
      <c r="F891" s="108" t="str">
        <f t="shared" si="144"/>
        <v>03</v>
      </c>
      <c r="G891" s="108" t="str">
        <f t="shared" si="145"/>
        <v>0</v>
      </c>
      <c r="H891" s="108" t="str">
        <f t="shared" si="146"/>
        <v>0</v>
      </c>
      <c r="I891" s="109">
        <v>24280300</v>
      </c>
      <c r="J891" s="108" t="s">
        <v>1311</v>
      </c>
      <c r="K891" s="108" t="s">
        <v>2782</v>
      </c>
      <c r="L891" s="110"/>
      <c r="M891" s="108"/>
      <c r="N891" s="108"/>
      <c r="O891" s="108" t="s">
        <v>2878</v>
      </c>
      <c r="P891" s="111" t="s">
        <v>2880</v>
      </c>
    </row>
    <row r="892" spans="2:16" ht="45" x14ac:dyDescent="0.25">
      <c r="B892" s="114" t="str">
        <f t="shared" si="140"/>
        <v>2</v>
      </c>
      <c r="C892" s="114" t="str">
        <f t="shared" si="141"/>
        <v>4</v>
      </c>
      <c r="D892" s="114" t="str">
        <f t="shared" si="142"/>
        <v>2</v>
      </c>
      <c r="E892" s="114" t="str">
        <f t="shared" si="143"/>
        <v>8</v>
      </c>
      <c r="F892" s="114" t="str">
        <f t="shared" si="144"/>
        <v>03</v>
      </c>
      <c r="G892" s="114" t="str">
        <f t="shared" si="145"/>
        <v>1</v>
      </c>
      <c r="H892" s="114" t="str">
        <f t="shared" si="146"/>
        <v>0</v>
      </c>
      <c r="I892" s="115">
        <v>24280310</v>
      </c>
      <c r="J892" s="114" t="s">
        <v>1311</v>
      </c>
      <c r="K892" s="114" t="s">
        <v>2782</v>
      </c>
      <c r="L892" s="116"/>
      <c r="M892" s="114"/>
      <c r="N892" s="114"/>
      <c r="O892" s="114" t="s">
        <v>2878</v>
      </c>
      <c r="P892" s="117" t="s">
        <v>2880</v>
      </c>
    </row>
    <row r="893" spans="2:16" ht="45" x14ac:dyDescent="0.25">
      <c r="B893" s="108" t="str">
        <f t="shared" si="140"/>
        <v>2</v>
      </c>
      <c r="C893" s="108" t="str">
        <f t="shared" si="141"/>
        <v>4</v>
      </c>
      <c r="D893" s="108" t="str">
        <f t="shared" si="142"/>
        <v>2</v>
      </c>
      <c r="E893" s="108" t="str">
        <f t="shared" si="143"/>
        <v>8</v>
      </c>
      <c r="F893" s="108" t="str">
        <f t="shared" si="144"/>
        <v>05</v>
      </c>
      <c r="G893" s="108" t="str">
        <f t="shared" si="145"/>
        <v>0</v>
      </c>
      <c r="H893" s="108" t="str">
        <f t="shared" si="146"/>
        <v>0</v>
      </c>
      <c r="I893" s="109">
        <v>24280500</v>
      </c>
      <c r="J893" s="108" t="s">
        <v>2777</v>
      </c>
      <c r="K893" s="108" t="s">
        <v>2783</v>
      </c>
      <c r="L893" s="110"/>
      <c r="M893" s="108"/>
      <c r="N893" s="108"/>
      <c r="O893" s="108" t="s">
        <v>2878</v>
      </c>
      <c r="P893" s="111" t="s">
        <v>2880</v>
      </c>
    </row>
    <row r="894" spans="2:16" ht="45" x14ac:dyDescent="0.25">
      <c r="B894" s="114" t="str">
        <f t="shared" si="140"/>
        <v>2</v>
      </c>
      <c r="C894" s="114" t="str">
        <f t="shared" si="141"/>
        <v>4</v>
      </c>
      <c r="D894" s="114" t="str">
        <f t="shared" si="142"/>
        <v>2</v>
      </c>
      <c r="E894" s="114" t="str">
        <f t="shared" si="143"/>
        <v>8</v>
      </c>
      <c r="F894" s="114" t="str">
        <f t="shared" si="144"/>
        <v>05</v>
      </c>
      <c r="G894" s="114" t="str">
        <f t="shared" si="145"/>
        <v>1</v>
      </c>
      <c r="H894" s="114" t="str">
        <f t="shared" si="146"/>
        <v>0</v>
      </c>
      <c r="I894" s="115">
        <v>24280510</v>
      </c>
      <c r="J894" s="114" t="s">
        <v>2777</v>
      </c>
      <c r="K894" s="114" t="s">
        <v>2783</v>
      </c>
      <c r="L894" s="116"/>
      <c r="M894" s="114"/>
      <c r="N894" s="114"/>
      <c r="O894" s="114" t="s">
        <v>2878</v>
      </c>
      <c r="P894" s="117" t="s">
        <v>2880</v>
      </c>
    </row>
    <row r="895" spans="2:16" ht="60" x14ac:dyDescent="0.25">
      <c r="B895" s="108" t="str">
        <f t="shared" si="140"/>
        <v>2</v>
      </c>
      <c r="C895" s="108" t="str">
        <f t="shared" si="141"/>
        <v>4</v>
      </c>
      <c r="D895" s="108" t="str">
        <f t="shared" si="142"/>
        <v>2</v>
      </c>
      <c r="E895" s="108" t="str">
        <f t="shared" si="143"/>
        <v>8</v>
      </c>
      <c r="F895" s="108" t="str">
        <f t="shared" si="144"/>
        <v>10</v>
      </c>
      <c r="G895" s="108" t="str">
        <f t="shared" si="145"/>
        <v>0</v>
      </c>
      <c r="H895" s="108" t="str">
        <f t="shared" si="146"/>
        <v>0</v>
      </c>
      <c r="I895" s="109">
        <v>24281000</v>
      </c>
      <c r="J895" s="108" t="s">
        <v>2811</v>
      </c>
      <c r="K895" s="108" t="s">
        <v>2812</v>
      </c>
      <c r="L895" s="110"/>
      <c r="M895" s="108"/>
      <c r="N895" s="108"/>
      <c r="O895" s="108" t="s">
        <v>2878</v>
      </c>
      <c r="P895" s="111" t="s">
        <v>2880</v>
      </c>
    </row>
    <row r="896" spans="2:16" ht="45" x14ac:dyDescent="0.25">
      <c r="B896" s="114" t="str">
        <f t="shared" si="140"/>
        <v>2</v>
      </c>
      <c r="C896" s="114" t="str">
        <f t="shared" si="141"/>
        <v>4</v>
      </c>
      <c r="D896" s="114" t="str">
        <f t="shared" si="142"/>
        <v>2</v>
      </c>
      <c r="E896" s="114" t="str">
        <f t="shared" si="143"/>
        <v>8</v>
      </c>
      <c r="F896" s="114" t="str">
        <f t="shared" si="144"/>
        <v>10</v>
      </c>
      <c r="G896" s="114" t="str">
        <f t="shared" si="145"/>
        <v>1</v>
      </c>
      <c r="H896" s="114" t="str">
        <f t="shared" si="146"/>
        <v>0</v>
      </c>
      <c r="I896" s="115">
        <v>24281010</v>
      </c>
      <c r="J896" s="114" t="s">
        <v>2813</v>
      </c>
      <c r="K896" s="114" t="s">
        <v>2814</v>
      </c>
      <c r="L896" s="116"/>
      <c r="M896" s="114"/>
      <c r="N896" s="114"/>
      <c r="O896" s="114" t="s">
        <v>2878</v>
      </c>
      <c r="P896" s="117" t="s">
        <v>2880</v>
      </c>
    </row>
    <row r="897" spans="2:16" ht="45" x14ac:dyDescent="0.25">
      <c r="B897" s="114" t="str">
        <f t="shared" si="140"/>
        <v>2</v>
      </c>
      <c r="C897" s="114" t="str">
        <f t="shared" si="141"/>
        <v>4</v>
      </c>
      <c r="D897" s="114" t="str">
        <f t="shared" si="142"/>
        <v>2</v>
      </c>
      <c r="E897" s="114" t="str">
        <f t="shared" si="143"/>
        <v>8</v>
      </c>
      <c r="F897" s="114" t="str">
        <f t="shared" si="144"/>
        <v>10</v>
      </c>
      <c r="G897" s="114" t="str">
        <f t="shared" si="145"/>
        <v>2</v>
      </c>
      <c r="H897" s="114" t="str">
        <f t="shared" si="146"/>
        <v>0</v>
      </c>
      <c r="I897" s="115">
        <v>24281020</v>
      </c>
      <c r="J897" s="114" t="s">
        <v>2815</v>
      </c>
      <c r="K897" s="114" t="s">
        <v>2816</v>
      </c>
      <c r="L897" s="116"/>
      <c r="M897" s="114"/>
      <c r="N897" s="114"/>
      <c r="O897" s="114" t="s">
        <v>2878</v>
      </c>
      <c r="P897" s="117" t="s">
        <v>2880</v>
      </c>
    </row>
    <row r="898" spans="2:16" ht="45" x14ac:dyDescent="0.25">
      <c r="B898" s="114" t="str">
        <f t="shared" si="140"/>
        <v>2</v>
      </c>
      <c r="C898" s="114" t="str">
        <f t="shared" si="141"/>
        <v>4</v>
      </c>
      <c r="D898" s="114" t="str">
        <f t="shared" si="142"/>
        <v>2</v>
      </c>
      <c r="E898" s="114" t="str">
        <f t="shared" si="143"/>
        <v>8</v>
      </c>
      <c r="F898" s="114" t="str">
        <f t="shared" si="144"/>
        <v>10</v>
      </c>
      <c r="G898" s="114" t="str">
        <f t="shared" si="145"/>
        <v>5</v>
      </c>
      <c r="H898" s="114" t="str">
        <f t="shared" si="146"/>
        <v>0</v>
      </c>
      <c r="I898" s="115">
        <v>24281050</v>
      </c>
      <c r="J898" s="114" t="s">
        <v>2817</v>
      </c>
      <c r="K898" s="114" t="s">
        <v>2818</v>
      </c>
      <c r="L898" s="116"/>
      <c r="M898" s="114"/>
      <c r="N898" s="114"/>
      <c r="O898" s="114" t="s">
        <v>2878</v>
      </c>
      <c r="P898" s="117" t="s">
        <v>2880</v>
      </c>
    </row>
    <row r="899" spans="2:16" ht="90" x14ac:dyDescent="0.25">
      <c r="B899" s="114" t="str">
        <f t="shared" si="140"/>
        <v>2</v>
      </c>
      <c r="C899" s="114" t="str">
        <f t="shared" si="141"/>
        <v>4</v>
      </c>
      <c r="D899" s="114" t="str">
        <f t="shared" si="142"/>
        <v>2</v>
      </c>
      <c r="E899" s="114" t="str">
        <f t="shared" si="143"/>
        <v>8</v>
      </c>
      <c r="F899" s="114" t="str">
        <f t="shared" si="144"/>
        <v>10</v>
      </c>
      <c r="G899" s="114" t="str">
        <f t="shared" si="145"/>
        <v>6</v>
      </c>
      <c r="H899" s="114" t="str">
        <f t="shared" si="146"/>
        <v>0</v>
      </c>
      <c r="I899" s="115">
        <v>24281060</v>
      </c>
      <c r="J899" s="114" t="s">
        <v>2819</v>
      </c>
      <c r="K899" s="114" t="s">
        <v>2820</v>
      </c>
      <c r="L899" s="116"/>
      <c r="M899" s="114"/>
      <c r="N899" s="114"/>
      <c r="O899" s="114" t="s">
        <v>2878</v>
      </c>
      <c r="P899" s="117" t="s">
        <v>2880</v>
      </c>
    </row>
    <row r="900" spans="2:16" ht="90" x14ac:dyDescent="0.25">
      <c r="B900" s="114" t="str">
        <f t="shared" si="140"/>
        <v>2</v>
      </c>
      <c r="C900" s="114" t="str">
        <f t="shared" si="141"/>
        <v>4</v>
      </c>
      <c r="D900" s="114" t="str">
        <f t="shared" si="142"/>
        <v>2</v>
      </c>
      <c r="E900" s="114" t="str">
        <f t="shared" si="143"/>
        <v>8</v>
      </c>
      <c r="F900" s="114" t="str">
        <f t="shared" si="144"/>
        <v>10</v>
      </c>
      <c r="G900" s="114" t="str">
        <f t="shared" si="145"/>
        <v>7</v>
      </c>
      <c r="H900" s="114" t="str">
        <f t="shared" si="146"/>
        <v>0</v>
      </c>
      <c r="I900" s="115">
        <v>24281070</v>
      </c>
      <c r="J900" s="114" t="s">
        <v>5140</v>
      </c>
      <c r="K900" s="114" t="s">
        <v>5141</v>
      </c>
      <c r="L900" s="116"/>
      <c r="M900" s="114"/>
      <c r="N900" s="114"/>
      <c r="O900" s="114" t="s">
        <v>2878</v>
      </c>
      <c r="P900" s="117" t="s">
        <v>2880</v>
      </c>
    </row>
    <row r="901" spans="2:16" ht="45" x14ac:dyDescent="0.25">
      <c r="B901" s="114" t="str">
        <f t="shared" si="140"/>
        <v>2</v>
      </c>
      <c r="C901" s="114" t="str">
        <f t="shared" si="141"/>
        <v>4</v>
      </c>
      <c r="D901" s="114" t="str">
        <f t="shared" si="142"/>
        <v>2</v>
      </c>
      <c r="E901" s="114" t="str">
        <f t="shared" si="143"/>
        <v>8</v>
      </c>
      <c r="F901" s="114" t="str">
        <f t="shared" si="144"/>
        <v>10</v>
      </c>
      <c r="G901" s="114" t="str">
        <f t="shared" si="145"/>
        <v>9</v>
      </c>
      <c r="H901" s="114" t="str">
        <f t="shared" si="146"/>
        <v>0</v>
      </c>
      <c r="I901" s="115">
        <v>24281090</v>
      </c>
      <c r="J901" s="114" t="s">
        <v>1354</v>
      </c>
      <c r="K901" s="114" t="s">
        <v>2823</v>
      </c>
      <c r="L901" s="116"/>
      <c r="M901" s="114"/>
      <c r="N901" s="114"/>
      <c r="O901" s="114" t="s">
        <v>2878</v>
      </c>
      <c r="P901" s="117" t="s">
        <v>2880</v>
      </c>
    </row>
    <row r="902" spans="2:16" ht="45" x14ac:dyDescent="0.25">
      <c r="B902" s="108" t="str">
        <f t="shared" si="140"/>
        <v>2</v>
      </c>
      <c r="C902" s="108" t="str">
        <f t="shared" si="141"/>
        <v>4</v>
      </c>
      <c r="D902" s="108" t="str">
        <f t="shared" si="142"/>
        <v>2</v>
      </c>
      <c r="E902" s="108" t="str">
        <f t="shared" si="143"/>
        <v>8</v>
      </c>
      <c r="F902" s="108" t="str">
        <f t="shared" si="144"/>
        <v>99</v>
      </c>
      <c r="G902" s="108" t="str">
        <f t="shared" si="145"/>
        <v>0</v>
      </c>
      <c r="H902" s="108" t="str">
        <f t="shared" si="146"/>
        <v>0</v>
      </c>
      <c r="I902" s="109">
        <v>24289900</v>
      </c>
      <c r="J902" s="108" t="s">
        <v>1294</v>
      </c>
      <c r="K902" s="108" t="s">
        <v>2785</v>
      </c>
      <c r="L902" s="110"/>
      <c r="M902" s="108"/>
      <c r="N902" s="108"/>
      <c r="O902" s="108" t="s">
        <v>2878</v>
      </c>
      <c r="P902" s="111" t="s">
        <v>2880</v>
      </c>
    </row>
    <row r="903" spans="2:16" ht="45" x14ac:dyDescent="0.25">
      <c r="B903" s="114" t="str">
        <f t="shared" si="140"/>
        <v>2</v>
      </c>
      <c r="C903" s="114" t="str">
        <f t="shared" si="141"/>
        <v>4</v>
      </c>
      <c r="D903" s="114" t="str">
        <f t="shared" si="142"/>
        <v>2</v>
      </c>
      <c r="E903" s="114" t="str">
        <f t="shared" si="143"/>
        <v>8</v>
      </c>
      <c r="F903" s="114" t="str">
        <f t="shared" si="144"/>
        <v>99</v>
      </c>
      <c r="G903" s="114" t="str">
        <f t="shared" si="145"/>
        <v>1</v>
      </c>
      <c r="H903" s="114" t="str">
        <f t="shared" si="146"/>
        <v>0</v>
      </c>
      <c r="I903" s="115">
        <v>24289910</v>
      </c>
      <c r="J903" s="114" t="s">
        <v>1294</v>
      </c>
      <c r="K903" s="114" t="s">
        <v>2785</v>
      </c>
      <c r="L903" s="116"/>
      <c r="M903" s="114"/>
      <c r="N903" s="114"/>
      <c r="O903" s="114" t="s">
        <v>2878</v>
      </c>
      <c r="P903" s="117" t="s">
        <v>2880</v>
      </c>
    </row>
    <row r="904" spans="2:16" ht="60" x14ac:dyDescent="0.25">
      <c r="B904" s="126" t="str">
        <f t="shared" si="140"/>
        <v>2</v>
      </c>
      <c r="C904" s="126" t="str">
        <f t="shared" si="141"/>
        <v>4</v>
      </c>
      <c r="D904" s="126" t="str">
        <f t="shared" si="142"/>
        <v>3</v>
      </c>
      <c r="E904" s="126" t="str">
        <f t="shared" si="143"/>
        <v>0</v>
      </c>
      <c r="F904" s="126" t="str">
        <f t="shared" si="144"/>
        <v>00</v>
      </c>
      <c r="G904" s="126" t="str">
        <f t="shared" si="145"/>
        <v>0</v>
      </c>
      <c r="H904" s="126" t="str">
        <f t="shared" si="146"/>
        <v>0</v>
      </c>
      <c r="I904" s="127">
        <v>24300000</v>
      </c>
      <c r="J904" s="126" t="s">
        <v>4200</v>
      </c>
      <c r="K904" s="126" t="s">
        <v>4692</v>
      </c>
      <c r="L904" s="122"/>
      <c r="M904" s="126" t="s">
        <v>2878</v>
      </c>
      <c r="N904" s="126" t="s">
        <v>5016</v>
      </c>
      <c r="O904" s="126" t="s">
        <v>2878</v>
      </c>
      <c r="P904" s="128" t="s">
        <v>2880</v>
      </c>
    </row>
    <row r="905" spans="2:16" ht="60" x14ac:dyDescent="0.25">
      <c r="B905" s="114" t="str">
        <f t="shared" si="140"/>
        <v>2</v>
      </c>
      <c r="C905" s="114" t="str">
        <f t="shared" si="141"/>
        <v>4</v>
      </c>
      <c r="D905" s="114" t="str">
        <f t="shared" si="142"/>
        <v>3</v>
      </c>
      <c r="E905" s="114" t="str">
        <f t="shared" si="143"/>
        <v>0</v>
      </c>
      <c r="F905" s="114" t="str">
        <f t="shared" si="144"/>
        <v>00</v>
      </c>
      <c r="G905" s="114" t="str">
        <f t="shared" si="145"/>
        <v>1</v>
      </c>
      <c r="H905" s="114" t="str">
        <f t="shared" si="146"/>
        <v>0</v>
      </c>
      <c r="I905" s="115">
        <v>24300010</v>
      </c>
      <c r="J905" s="114" t="s">
        <v>4200</v>
      </c>
      <c r="K905" s="114" t="s">
        <v>4692</v>
      </c>
      <c r="L905" s="116"/>
      <c r="M905" s="114" t="s">
        <v>2878</v>
      </c>
      <c r="N905" s="114" t="s">
        <v>2879</v>
      </c>
      <c r="O905" s="114" t="s">
        <v>2878</v>
      </c>
      <c r="P905" s="117" t="s">
        <v>2880</v>
      </c>
    </row>
    <row r="906" spans="2:16" ht="30" x14ac:dyDescent="0.25">
      <c r="B906" s="104" t="str">
        <f t="shared" si="140"/>
        <v>2</v>
      </c>
      <c r="C906" s="104" t="str">
        <f t="shared" si="141"/>
        <v>4</v>
      </c>
      <c r="D906" s="104" t="str">
        <f t="shared" si="142"/>
        <v>3</v>
      </c>
      <c r="E906" s="104" t="str">
        <f t="shared" si="143"/>
        <v>8</v>
      </c>
      <c r="F906" s="104" t="str">
        <f t="shared" si="144"/>
        <v>00</v>
      </c>
      <c r="G906" s="104" t="str">
        <f t="shared" si="145"/>
        <v>0</v>
      </c>
      <c r="H906" s="104" t="str">
        <f t="shared" si="146"/>
        <v>0</v>
      </c>
      <c r="I906" s="105">
        <v>24380000</v>
      </c>
      <c r="J906" s="104" t="s">
        <v>4200</v>
      </c>
      <c r="K906" s="104" t="s">
        <v>2786</v>
      </c>
      <c r="L906" s="106"/>
      <c r="M906" s="104" t="s">
        <v>2878</v>
      </c>
      <c r="N906" s="104"/>
      <c r="O906" s="104" t="s">
        <v>5018</v>
      </c>
      <c r="P906" s="107" t="s">
        <v>2880</v>
      </c>
    </row>
    <row r="907" spans="2:16" ht="30" x14ac:dyDescent="0.25">
      <c r="B907" s="108" t="str">
        <f t="shared" si="140"/>
        <v>2</v>
      </c>
      <c r="C907" s="108" t="str">
        <f t="shared" si="141"/>
        <v>4</v>
      </c>
      <c r="D907" s="108" t="str">
        <f t="shared" si="142"/>
        <v>3</v>
      </c>
      <c r="E907" s="108" t="str">
        <f t="shared" si="143"/>
        <v>8</v>
      </c>
      <c r="F907" s="108" t="str">
        <f t="shared" si="144"/>
        <v>01</v>
      </c>
      <c r="G907" s="108" t="str">
        <f t="shared" si="145"/>
        <v>0</v>
      </c>
      <c r="H907" s="108" t="str">
        <f t="shared" si="146"/>
        <v>0</v>
      </c>
      <c r="I907" s="109">
        <v>24380100</v>
      </c>
      <c r="J907" s="108" t="s">
        <v>1314</v>
      </c>
      <c r="K907" s="108" t="s">
        <v>2790</v>
      </c>
      <c r="L907" s="110"/>
      <c r="M907" s="108"/>
      <c r="N907" s="108"/>
      <c r="O907" s="108" t="s">
        <v>2878</v>
      </c>
      <c r="P907" s="111" t="s">
        <v>2880</v>
      </c>
    </row>
    <row r="908" spans="2:16" ht="30" x14ac:dyDescent="0.25">
      <c r="B908" s="114" t="str">
        <f t="shared" si="140"/>
        <v>2</v>
      </c>
      <c r="C908" s="114" t="str">
        <f t="shared" si="141"/>
        <v>4</v>
      </c>
      <c r="D908" s="114" t="str">
        <f t="shared" si="142"/>
        <v>3</v>
      </c>
      <c r="E908" s="114" t="str">
        <f t="shared" si="143"/>
        <v>8</v>
      </c>
      <c r="F908" s="114" t="str">
        <f t="shared" si="144"/>
        <v>01</v>
      </c>
      <c r="G908" s="114" t="str">
        <f t="shared" si="145"/>
        <v>1</v>
      </c>
      <c r="H908" s="114" t="str">
        <f t="shared" si="146"/>
        <v>0</v>
      </c>
      <c r="I908" s="115">
        <v>24380110</v>
      </c>
      <c r="J908" s="114" t="s">
        <v>1314</v>
      </c>
      <c r="K908" s="114" t="s">
        <v>2790</v>
      </c>
      <c r="L908" s="116"/>
      <c r="M908" s="114"/>
      <c r="N908" s="114"/>
      <c r="O908" s="114" t="s">
        <v>2878</v>
      </c>
      <c r="P908" s="117" t="s">
        <v>2880</v>
      </c>
    </row>
    <row r="909" spans="2:16" ht="60" x14ac:dyDescent="0.25">
      <c r="B909" s="108" t="str">
        <f t="shared" si="140"/>
        <v>2</v>
      </c>
      <c r="C909" s="108" t="str">
        <f t="shared" si="141"/>
        <v>4</v>
      </c>
      <c r="D909" s="108" t="str">
        <f t="shared" si="142"/>
        <v>3</v>
      </c>
      <c r="E909" s="108" t="str">
        <f t="shared" si="143"/>
        <v>8</v>
      </c>
      <c r="F909" s="108" t="str">
        <f t="shared" si="144"/>
        <v>10</v>
      </c>
      <c r="G909" s="108" t="str">
        <f t="shared" si="145"/>
        <v>0</v>
      </c>
      <c r="H909" s="108" t="str">
        <f t="shared" si="146"/>
        <v>0</v>
      </c>
      <c r="I909" s="109">
        <v>24381000</v>
      </c>
      <c r="J909" s="108" t="s">
        <v>2824</v>
      </c>
      <c r="K909" s="108" t="s">
        <v>2825</v>
      </c>
      <c r="L909" s="110"/>
      <c r="M909" s="108"/>
      <c r="N909" s="108"/>
      <c r="O909" s="108" t="s">
        <v>2878</v>
      </c>
      <c r="P909" s="111" t="s">
        <v>2880</v>
      </c>
    </row>
    <row r="910" spans="2:16" ht="45" x14ac:dyDescent="0.25">
      <c r="B910" s="114" t="str">
        <f t="shared" si="140"/>
        <v>2</v>
      </c>
      <c r="C910" s="114" t="str">
        <f t="shared" si="141"/>
        <v>4</v>
      </c>
      <c r="D910" s="114" t="str">
        <f t="shared" si="142"/>
        <v>3</v>
      </c>
      <c r="E910" s="114" t="str">
        <f t="shared" si="143"/>
        <v>8</v>
      </c>
      <c r="F910" s="114" t="str">
        <f t="shared" si="144"/>
        <v>10</v>
      </c>
      <c r="G910" s="114" t="str">
        <f t="shared" si="145"/>
        <v>1</v>
      </c>
      <c r="H910" s="114" t="str">
        <f t="shared" si="146"/>
        <v>0</v>
      </c>
      <c r="I910" s="115">
        <v>24381010</v>
      </c>
      <c r="J910" s="114" t="s">
        <v>2826</v>
      </c>
      <c r="K910" s="114" t="s">
        <v>2827</v>
      </c>
      <c r="L910" s="116"/>
      <c r="M910" s="114"/>
      <c r="N910" s="114"/>
      <c r="O910" s="114" t="s">
        <v>2878</v>
      </c>
      <c r="P910" s="117" t="s">
        <v>2880</v>
      </c>
    </row>
    <row r="911" spans="2:16" ht="45" x14ac:dyDescent="0.25">
      <c r="B911" s="114" t="str">
        <f t="shared" si="140"/>
        <v>2</v>
      </c>
      <c r="C911" s="114" t="str">
        <f t="shared" si="141"/>
        <v>4</v>
      </c>
      <c r="D911" s="114" t="str">
        <f t="shared" si="142"/>
        <v>3</v>
      </c>
      <c r="E911" s="114" t="str">
        <f t="shared" si="143"/>
        <v>8</v>
      </c>
      <c r="F911" s="114" t="str">
        <f t="shared" si="144"/>
        <v>10</v>
      </c>
      <c r="G911" s="114" t="str">
        <f t="shared" si="145"/>
        <v>2</v>
      </c>
      <c r="H911" s="114" t="str">
        <f t="shared" si="146"/>
        <v>0</v>
      </c>
      <c r="I911" s="115">
        <v>24381020</v>
      </c>
      <c r="J911" s="114" t="s">
        <v>2828</v>
      </c>
      <c r="K911" s="114" t="s">
        <v>2829</v>
      </c>
      <c r="L911" s="116"/>
      <c r="M911" s="114"/>
      <c r="N911" s="114"/>
      <c r="O911" s="114" t="s">
        <v>2878</v>
      </c>
      <c r="P911" s="117" t="s">
        <v>2880</v>
      </c>
    </row>
    <row r="912" spans="2:16" s="148" customFormat="1" ht="45" x14ac:dyDescent="0.25">
      <c r="B912" s="149" t="str">
        <f t="shared" si="140"/>
        <v>2</v>
      </c>
      <c r="C912" s="149" t="str">
        <f t="shared" si="141"/>
        <v>4</v>
      </c>
      <c r="D912" s="149" t="str">
        <f t="shared" si="142"/>
        <v>3</v>
      </c>
      <c r="E912" s="149" t="str">
        <f t="shared" si="143"/>
        <v>8</v>
      </c>
      <c r="F912" s="149" t="str">
        <f t="shared" si="144"/>
        <v>10</v>
      </c>
      <c r="G912" s="149" t="str">
        <f t="shared" si="145"/>
        <v>3</v>
      </c>
      <c r="H912" s="149" t="str">
        <f t="shared" si="146"/>
        <v>0</v>
      </c>
      <c r="I912" s="144">
        <v>24381030</v>
      </c>
      <c r="J912" s="149" t="s">
        <v>5218</v>
      </c>
      <c r="K912" s="149" t="s">
        <v>5219</v>
      </c>
      <c r="L912" s="150"/>
      <c r="M912" s="149"/>
      <c r="N912" s="149"/>
      <c r="O912" s="149" t="s">
        <v>2878</v>
      </c>
      <c r="P912" s="151" t="s">
        <v>2880</v>
      </c>
    </row>
    <row r="913" spans="2:16" ht="45" x14ac:dyDescent="0.25">
      <c r="B913" s="114" t="str">
        <f t="shared" si="140"/>
        <v>2</v>
      </c>
      <c r="C913" s="114" t="str">
        <f t="shared" si="141"/>
        <v>4</v>
      </c>
      <c r="D913" s="114" t="str">
        <f t="shared" si="142"/>
        <v>3</v>
      </c>
      <c r="E913" s="114" t="str">
        <f t="shared" si="143"/>
        <v>8</v>
      </c>
      <c r="F913" s="114" t="str">
        <f t="shared" si="144"/>
        <v>10</v>
      </c>
      <c r="G913" s="114" t="str">
        <f t="shared" si="145"/>
        <v>9</v>
      </c>
      <c r="H913" s="114" t="str">
        <f t="shared" si="146"/>
        <v>0</v>
      </c>
      <c r="I913" s="115">
        <v>24381090</v>
      </c>
      <c r="J913" s="114" t="s">
        <v>1362</v>
      </c>
      <c r="K913" s="114" t="s">
        <v>2830</v>
      </c>
      <c r="L913" s="116"/>
      <c r="M913" s="114"/>
      <c r="N913" s="114"/>
      <c r="O913" s="114" t="s">
        <v>2878</v>
      </c>
      <c r="P913" s="117" t="s">
        <v>2880</v>
      </c>
    </row>
    <row r="914" spans="2:16" ht="45" x14ac:dyDescent="0.25">
      <c r="B914" s="108" t="str">
        <f t="shared" si="140"/>
        <v>2</v>
      </c>
      <c r="C914" s="108" t="str">
        <f t="shared" si="141"/>
        <v>4</v>
      </c>
      <c r="D914" s="108" t="str">
        <f t="shared" si="142"/>
        <v>3</v>
      </c>
      <c r="E914" s="108" t="str">
        <f t="shared" si="143"/>
        <v>8</v>
      </c>
      <c r="F914" s="108" t="str">
        <f t="shared" si="144"/>
        <v>99</v>
      </c>
      <c r="G914" s="108" t="str">
        <f t="shared" si="145"/>
        <v>0</v>
      </c>
      <c r="H914" s="108" t="str">
        <f t="shared" si="146"/>
        <v>0</v>
      </c>
      <c r="I914" s="109">
        <v>24389900</v>
      </c>
      <c r="J914" s="108" t="s">
        <v>1315</v>
      </c>
      <c r="K914" s="108" t="s">
        <v>2791</v>
      </c>
      <c r="L914" s="110"/>
      <c r="M914" s="108"/>
      <c r="N914" s="108"/>
      <c r="O914" s="108" t="s">
        <v>2878</v>
      </c>
      <c r="P914" s="111" t="s">
        <v>2880</v>
      </c>
    </row>
    <row r="915" spans="2:16" ht="45" x14ac:dyDescent="0.25">
      <c r="B915" s="114" t="str">
        <f t="shared" si="140"/>
        <v>2</v>
      </c>
      <c r="C915" s="114" t="str">
        <f t="shared" si="141"/>
        <v>4</v>
      </c>
      <c r="D915" s="114" t="str">
        <f t="shared" si="142"/>
        <v>3</v>
      </c>
      <c r="E915" s="114" t="str">
        <f t="shared" si="143"/>
        <v>8</v>
      </c>
      <c r="F915" s="114" t="str">
        <f t="shared" si="144"/>
        <v>99</v>
      </c>
      <c r="G915" s="114" t="str">
        <f t="shared" si="145"/>
        <v>1</v>
      </c>
      <c r="H915" s="114" t="str">
        <f t="shared" si="146"/>
        <v>0</v>
      </c>
      <c r="I915" s="115">
        <v>24389910</v>
      </c>
      <c r="J915" s="114" t="s">
        <v>1315</v>
      </c>
      <c r="K915" s="114" t="s">
        <v>2791</v>
      </c>
      <c r="L915" s="116"/>
      <c r="M915" s="114"/>
      <c r="N915" s="114"/>
      <c r="O915" s="114" t="s">
        <v>2878</v>
      </c>
      <c r="P915" s="117" t="s">
        <v>2880</v>
      </c>
    </row>
    <row r="916" spans="2:16" ht="60" x14ac:dyDescent="0.25">
      <c r="B916" s="126" t="str">
        <f t="shared" si="140"/>
        <v>2</v>
      </c>
      <c r="C916" s="126" t="str">
        <f t="shared" si="141"/>
        <v>4</v>
      </c>
      <c r="D916" s="126" t="str">
        <f t="shared" si="142"/>
        <v>4</v>
      </c>
      <c r="E916" s="126" t="str">
        <f t="shared" si="143"/>
        <v>0</v>
      </c>
      <c r="F916" s="126" t="str">
        <f t="shared" si="144"/>
        <v>00</v>
      </c>
      <c r="G916" s="126" t="str">
        <f t="shared" si="145"/>
        <v>0</v>
      </c>
      <c r="H916" s="126" t="str">
        <f t="shared" si="146"/>
        <v>0</v>
      </c>
      <c r="I916" s="127">
        <v>24400000</v>
      </c>
      <c r="J916" s="126" t="s">
        <v>1326</v>
      </c>
      <c r="K916" s="126" t="s">
        <v>4693</v>
      </c>
      <c r="L916" s="122"/>
      <c r="M916" s="126" t="s">
        <v>2878</v>
      </c>
      <c r="N916" s="126" t="s">
        <v>5016</v>
      </c>
      <c r="O916" s="126" t="s">
        <v>2878</v>
      </c>
      <c r="P916" s="128" t="s">
        <v>2880</v>
      </c>
    </row>
    <row r="917" spans="2:16" ht="60" x14ac:dyDescent="0.25">
      <c r="B917" s="114" t="str">
        <f t="shared" si="140"/>
        <v>2</v>
      </c>
      <c r="C917" s="114" t="str">
        <f t="shared" si="141"/>
        <v>4</v>
      </c>
      <c r="D917" s="114" t="str">
        <f t="shared" si="142"/>
        <v>4</v>
      </c>
      <c r="E917" s="114" t="str">
        <f t="shared" si="143"/>
        <v>0</v>
      </c>
      <c r="F917" s="114" t="str">
        <f t="shared" si="144"/>
        <v>00</v>
      </c>
      <c r="G917" s="114" t="str">
        <f t="shared" si="145"/>
        <v>1</v>
      </c>
      <c r="H917" s="114" t="str">
        <f t="shared" si="146"/>
        <v>0</v>
      </c>
      <c r="I917" s="115">
        <v>24400010</v>
      </c>
      <c r="J917" s="114" t="s">
        <v>1326</v>
      </c>
      <c r="K917" s="114" t="s">
        <v>4693</v>
      </c>
      <c r="L917" s="116"/>
      <c r="M917" s="114" t="s">
        <v>2878</v>
      </c>
      <c r="N917" s="114" t="s">
        <v>2879</v>
      </c>
      <c r="O917" s="114" t="s">
        <v>2878</v>
      </c>
      <c r="P917" s="117" t="s">
        <v>2880</v>
      </c>
    </row>
    <row r="918" spans="2:16" ht="75" x14ac:dyDescent="0.25">
      <c r="B918" s="104" t="str">
        <f t="shared" si="140"/>
        <v>2</v>
      </c>
      <c r="C918" s="104" t="str">
        <f t="shared" si="141"/>
        <v>4</v>
      </c>
      <c r="D918" s="104" t="str">
        <f t="shared" si="142"/>
        <v>4</v>
      </c>
      <c r="E918" s="104" t="str">
        <f t="shared" si="143"/>
        <v>8</v>
      </c>
      <c r="F918" s="104" t="str">
        <f t="shared" si="144"/>
        <v>00</v>
      </c>
      <c r="G918" s="104" t="str">
        <f t="shared" si="145"/>
        <v>0</v>
      </c>
      <c r="H918" s="104" t="str">
        <f t="shared" si="146"/>
        <v>0</v>
      </c>
      <c r="I918" s="105">
        <v>24480000</v>
      </c>
      <c r="J918" s="104" t="s">
        <v>5025</v>
      </c>
      <c r="K918" s="104" t="s">
        <v>5041</v>
      </c>
      <c r="L918" s="106"/>
      <c r="M918" s="104" t="s">
        <v>2878</v>
      </c>
      <c r="N918" s="104" t="s">
        <v>2879</v>
      </c>
      <c r="O918" s="104" t="s">
        <v>5018</v>
      </c>
      <c r="P918" s="107" t="s">
        <v>2880</v>
      </c>
    </row>
    <row r="919" spans="2:16" s="148" customFormat="1" ht="60" x14ac:dyDescent="0.25">
      <c r="B919" s="145" t="str">
        <f t="shared" si="140"/>
        <v>2</v>
      </c>
      <c r="C919" s="145" t="str">
        <f t="shared" si="141"/>
        <v>4</v>
      </c>
      <c r="D919" s="145" t="str">
        <f t="shared" si="142"/>
        <v>4</v>
      </c>
      <c r="E919" s="145" t="str">
        <f t="shared" si="143"/>
        <v>8</v>
      </c>
      <c r="F919" s="145" t="str">
        <f t="shared" si="144"/>
        <v>01</v>
      </c>
      <c r="G919" s="145" t="str">
        <f t="shared" si="145"/>
        <v>0</v>
      </c>
      <c r="H919" s="145" t="str">
        <f t="shared" si="146"/>
        <v>0</v>
      </c>
      <c r="I919" s="143">
        <v>24480100</v>
      </c>
      <c r="J919" s="145" t="s">
        <v>2831</v>
      </c>
      <c r="K919" s="145" t="s">
        <v>5223</v>
      </c>
      <c r="L919" s="146"/>
      <c r="M919" s="145" t="s">
        <v>2878</v>
      </c>
      <c r="N919" s="145"/>
      <c r="O919" s="145" t="s">
        <v>2878</v>
      </c>
      <c r="P919" s="147" t="s">
        <v>2880</v>
      </c>
    </row>
    <row r="920" spans="2:16" s="148" customFormat="1" ht="60" x14ac:dyDescent="0.25">
      <c r="B920" s="149" t="str">
        <f t="shared" si="140"/>
        <v>2</v>
      </c>
      <c r="C920" s="149" t="str">
        <f t="shared" si="141"/>
        <v>4</v>
      </c>
      <c r="D920" s="149" t="str">
        <f t="shared" si="142"/>
        <v>4</v>
      </c>
      <c r="E920" s="149" t="str">
        <f t="shared" si="143"/>
        <v>8</v>
      </c>
      <c r="F920" s="149" t="str">
        <f t="shared" si="144"/>
        <v>01</v>
      </c>
      <c r="G920" s="149" t="str">
        <f t="shared" si="145"/>
        <v>1</v>
      </c>
      <c r="H920" s="149" t="str">
        <f t="shared" si="146"/>
        <v>0</v>
      </c>
      <c r="I920" s="144">
        <v>24480110</v>
      </c>
      <c r="J920" s="149" t="s">
        <v>5221</v>
      </c>
      <c r="K920" s="149" t="s">
        <v>5224</v>
      </c>
      <c r="L920" s="150"/>
      <c r="M920" s="149" t="s">
        <v>2878</v>
      </c>
      <c r="N920" s="149"/>
      <c r="O920" s="149" t="s">
        <v>2878</v>
      </c>
      <c r="P920" s="151" t="s">
        <v>2880</v>
      </c>
    </row>
    <row r="921" spans="2:16" s="148" customFormat="1" ht="60" x14ac:dyDescent="0.25">
      <c r="B921" s="145" t="str">
        <f t="shared" si="140"/>
        <v>2</v>
      </c>
      <c r="C921" s="145" t="str">
        <f t="shared" si="141"/>
        <v>4</v>
      </c>
      <c r="D921" s="145" t="str">
        <f t="shared" si="142"/>
        <v>4</v>
      </c>
      <c r="E921" s="145" t="str">
        <f t="shared" si="143"/>
        <v>8</v>
      </c>
      <c r="F921" s="145" t="str">
        <f t="shared" si="144"/>
        <v>10</v>
      </c>
      <c r="G921" s="145" t="str">
        <f t="shared" si="145"/>
        <v>0</v>
      </c>
      <c r="H921" s="145" t="str">
        <f t="shared" si="146"/>
        <v>0</v>
      </c>
      <c r="I921" s="143">
        <v>24481000</v>
      </c>
      <c r="J921" s="145" t="s">
        <v>5222</v>
      </c>
      <c r="K921" s="145" t="s">
        <v>5225</v>
      </c>
      <c r="L921" s="146"/>
      <c r="M921" s="145" t="s">
        <v>2878</v>
      </c>
      <c r="N921" s="145"/>
      <c r="O921" s="145" t="s">
        <v>2878</v>
      </c>
      <c r="P921" s="147" t="s">
        <v>2880</v>
      </c>
    </row>
    <row r="922" spans="2:16" s="148" customFormat="1" ht="60" x14ac:dyDescent="0.25">
      <c r="B922" s="149" t="str">
        <f t="shared" si="140"/>
        <v>2</v>
      </c>
      <c r="C922" s="149" t="str">
        <f t="shared" si="141"/>
        <v>4</v>
      </c>
      <c r="D922" s="149" t="str">
        <f t="shared" si="142"/>
        <v>4</v>
      </c>
      <c r="E922" s="149" t="str">
        <f t="shared" si="143"/>
        <v>8</v>
      </c>
      <c r="F922" s="149" t="str">
        <f t="shared" si="144"/>
        <v>10</v>
      </c>
      <c r="G922" s="149" t="str">
        <f t="shared" si="145"/>
        <v>1</v>
      </c>
      <c r="H922" s="149" t="str">
        <f t="shared" si="146"/>
        <v>0</v>
      </c>
      <c r="I922" s="144">
        <v>24481010</v>
      </c>
      <c r="J922" s="149" t="s">
        <v>5222</v>
      </c>
      <c r="K922" s="149" t="s">
        <v>5225</v>
      </c>
      <c r="L922" s="150"/>
      <c r="M922" s="149" t="s">
        <v>2878</v>
      </c>
      <c r="N922" s="149"/>
      <c r="O922" s="149" t="s">
        <v>2878</v>
      </c>
      <c r="P922" s="151" t="s">
        <v>2880</v>
      </c>
    </row>
    <row r="923" spans="2:16" ht="60" x14ac:dyDescent="0.25">
      <c r="B923" s="126" t="str">
        <f t="shared" si="140"/>
        <v>2</v>
      </c>
      <c r="C923" s="126" t="str">
        <f t="shared" si="141"/>
        <v>4</v>
      </c>
      <c r="D923" s="126" t="str">
        <f t="shared" si="142"/>
        <v>5</v>
      </c>
      <c r="E923" s="126" t="str">
        <f t="shared" si="143"/>
        <v>0</v>
      </c>
      <c r="F923" s="126" t="str">
        <f t="shared" si="144"/>
        <v>00</v>
      </c>
      <c r="G923" s="126" t="str">
        <f t="shared" si="145"/>
        <v>0</v>
      </c>
      <c r="H923" s="126" t="str">
        <f t="shared" si="146"/>
        <v>0</v>
      </c>
      <c r="I923" s="127">
        <v>24500000</v>
      </c>
      <c r="J923" s="126" t="s">
        <v>4204</v>
      </c>
      <c r="K923" s="126" t="s">
        <v>4694</v>
      </c>
      <c r="L923" s="122"/>
      <c r="M923" s="126" t="s">
        <v>2878</v>
      </c>
      <c r="N923" s="126" t="s">
        <v>5016</v>
      </c>
      <c r="O923" s="126" t="s">
        <v>2878</v>
      </c>
      <c r="P923" s="128" t="s">
        <v>2880</v>
      </c>
    </row>
    <row r="924" spans="2:16" ht="60" x14ac:dyDescent="0.25">
      <c r="B924" s="114" t="str">
        <f t="shared" si="140"/>
        <v>2</v>
      </c>
      <c r="C924" s="114" t="str">
        <f t="shared" si="141"/>
        <v>4</v>
      </c>
      <c r="D924" s="114" t="str">
        <f t="shared" si="142"/>
        <v>5</v>
      </c>
      <c r="E924" s="114" t="str">
        <f t="shared" si="143"/>
        <v>0</v>
      </c>
      <c r="F924" s="114" t="str">
        <f t="shared" si="144"/>
        <v>00</v>
      </c>
      <c r="G924" s="114" t="str">
        <f t="shared" si="145"/>
        <v>1</v>
      </c>
      <c r="H924" s="114" t="str">
        <f t="shared" si="146"/>
        <v>0</v>
      </c>
      <c r="I924" s="115">
        <v>24500010</v>
      </c>
      <c r="J924" s="114" t="s">
        <v>4204</v>
      </c>
      <c r="K924" s="114" t="s">
        <v>4694</v>
      </c>
      <c r="L924" s="116"/>
      <c r="M924" s="114" t="s">
        <v>2878</v>
      </c>
      <c r="N924" s="114" t="s">
        <v>2879</v>
      </c>
      <c r="O924" s="114" t="s">
        <v>2878</v>
      </c>
      <c r="P924" s="117" t="s">
        <v>2880</v>
      </c>
    </row>
    <row r="925" spans="2:16" ht="75" x14ac:dyDescent="0.25">
      <c r="B925" s="104" t="str">
        <f t="shared" si="140"/>
        <v>2</v>
      </c>
      <c r="C925" s="104" t="str">
        <f t="shared" si="141"/>
        <v>4</v>
      </c>
      <c r="D925" s="104" t="str">
        <f t="shared" si="142"/>
        <v>5</v>
      </c>
      <c r="E925" s="104" t="str">
        <f t="shared" si="143"/>
        <v>8</v>
      </c>
      <c r="F925" s="104" t="str">
        <f t="shared" si="144"/>
        <v>00</v>
      </c>
      <c r="G925" s="104" t="str">
        <f t="shared" si="145"/>
        <v>0</v>
      </c>
      <c r="H925" s="104" t="str">
        <f t="shared" si="146"/>
        <v>0</v>
      </c>
      <c r="I925" s="105">
        <v>24580000</v>
      </c>
      <c r="J925" s="104" t="s">
        <v>5026</v>
      </c>
      <c r="K925" s="104" t="s">
        <v>5042</v>
      </c>
      <c r="L925" s="106"/>
      <c r="M925" s="104" t="s">
        <v>2878</v>
      </c>
      <c r="N925" s="104"/>
      <c r="O925" s="104" t="s">
        <v>5018</v>
      </c>
      <c r="P925" s="107" t="s">
        <v>2880</v>
      </c>
    </row>
    <row r="926" spans="2:16" ht="60" x14ac:dyDescent="0.25">
      <c r="B926" s="108" t="str">
        <f t="shared" si="140"/>
        <v>2</v>
      </c>
      <c r="C926" s="108" t="str">
        <f t="shared" si="141"/>
        <v>4</v>
      </c>
      <c r="D926" s="108" t="str">
        <f t="shared" si="142"/>
        <v>5</v>
      </c>
      <c r="E926" s="108" t="str">
        <f t="shared" si="143"/>
        <v>8</v>
      </c>
      <c r="F926" s="108" t="str">
        <f t="shared" si="144"/>
        <v>01</v>
      </c>
      <c r="G926" s="108" t="str">
        <f t="shared" si="145"/>
        <v>0</v>
      </c>
      <c r="H926" s="108" t="str">
        <f t="shared" si="146"/>
        <v>0</v>
      </c>
      <c r="I926" s="109">
        <v>24580100</v>
      </c>
      <c r="J926" s="108" t="s">
        <v>4204</v>
      </c>
      <c r="K926" s="108" t="s">
        <v>4694</v>
      </c>
      <c r="L926" s="110"/>
      <c r="M926" s="108"/>
      <c r="N926" s="108"/>
      <c r="O926" s="108" t="s">
        <v>2878</v>
      </c>
      <c r="P926" s="111" t="s">
        <v>2880</v>
      </c>
    </row>
    <row r="927" spans="2:16" ht="60" x14ac:dyDescent="0.25">
      <c r="B927" s="114" t="str">
        <f t="shared" si="140"/>
        <v>2</v>
      </c>
      <c r="C927" s="114" t="str">
        <f t="shared" si="141"/>
        <v>4</v>
      </c>
      <c r="D927" s="114" t="str">
        <f t="shared" si="142"/>
        <v>5</v>
      </c>
      <c r="E927" s="114" t="str">
        <f t="shared" si="143"/>
        <v>8</v>
      </c>
      <c r="F927" s="114" t="str">
        <f t="shared" si="144"/>
        <v>01</v>
      </c>
      <c r="G927" s="114" t="str">
        <f t="shared" si="145"/>
        <v>1</v>
      </c>
      <c r="H927" s="114" t="str">
        <f t="shared" si="146"/>
        <v>0</v>
      </c>
      <c r="I927" s="115">
        <v>24580110</v>
      </c>
      <c r="J927" s="114" t="s">
        <v>4204</v>
      </c>
      <c r="K927" s="114" t="s">
        <v>4694</v>
      </c>
      <c r="L927" s="116"/>
      <c r="M927" s="114"/>
      <c r="N927" s="114"/>
      <c r="O927" s="114" t="s">
        <v>2878</v>
      </c>
      <c r="P927" s="117" t="s">
        <v>2880</v>
      </c>
    </row>
    <row r="928" spans="2:16" ht="45" x14ac:dyDescent="0.25">
      <c r="B928" s="126" t="str">
        <f t="shared" si="140"/>
        <v>2</v>
      </c>
      <c r="C928" s="126" t="str">
        <f t="shared" si="141"/>
        <v>4</v>
      </c>
      <c r="D928" s="126" t="str">
        <f t="shared" si="142"/>
        <v>6</v>
      </c>
      <c r="E928" s="126" t="str">
        <f t="shared" si="143"/>
        <v>0</v>
      </c>
      <c r="F928" s="126" t="str">
        <f t="shared" si="144"/>
        <v>00</v>
      </c>
      <c r="G928" s="126" t="str">
        <f t="shared" si="145"/>
        <v>0</v>
      </c>
      <c r="H928" s="126" t="str">
        <f t="shared" si="146"/>
        <v>0</v>
      </c>
      <c r="I928" s="127">
        <v>24600000</v>
      </c>
      <c r="J928" s="126" t="s">
        <v>1328</v>
      </c>
      <c r="K928" s="126" t="s">
        <v>4695</v>
      </c>
      <c r="L928" s="122"/>
      <c r="M928" s="126" t="s">
        <v>2878</v>
      </c>
      <c r="N928" s="126" t="s">
        <v>5016</v>
      </c>
      <c r="O928" s="126" t="s">
        <v>2878</v>
      </c>
      <c r="P928" s="128" t="s">
        <v>2880</v>
      </c>
    </row>
    <row r="929" spans="2:16" ht="45" x14ac:dyDescent="0.25">
      <c r="B929" s="114" t="str">
        <f t="shared" si="140"/>
        <v>2</v>
      </c>
      <c r="C929" s="114" t="str">
        <f t="shared" si="141"/>
        <v>4</v>
      </c>
      <c r="D929" s="114" t="str">
        <f t="shared" si="142"/>
        <v>6</v>
      </c>
      <c r="E929" s="114" t="str">
        <f t="shared" si="143"/>
        <v>0</v>
      </c>
      <c r="F929" s="114" t="str">
        <f t="shared" si="144"/>
        <v>00</v>
      </c>
      <c r="G929" s="114" t="str">
        <f t="shared" si="145"/>
        <v>1</v>
      </c>
      <c r="H929" s="114" t="str">
        <f t="shared" si="146"/>
        <v>0</v>
      </c>
      <c r="I929" s="115">
        <v>24600010</v>
      </c>
      <c r="J929" s="114" t="s">
        <v>1328</v>
      </c>
      <c r="K929" s="114" t="s">
        <v>4695</v>
      </c>
      <c r="L929" s="116"/>
      <c r="M929" s="114" t="s">
        <v>2878</v>
      </c>
      <c r="N929" s="114" t="s">
        <v>2879</v>
      </c>
      <c r="O929" s="114" t="s">
        <v>2878</v>
      </c>
      <c r="P929" s="117" t="s">
        <v>2880</v>
      </c>
    </row>
    <row r="930" spans="2:16" ht="60" x14ac:dyDescent="0.25">
      <c r="B930" s="104" t="str">
        <f t="shared" si="140"/>
        <v>2</v>
      </c>
      <c r="C930" s="104" t="str">
        <f t="shared" si="141"/>
        <v>4</v>
      </c>
      <c r="D930" s="104" t="str">
        <f t="shared" si="142"/>
        <v>6</v>
      </c>
      <c r="E930" s="104" t="str">
        <f t="shared" si="143"/>
        <v>8</v>
      </c>
      <c r="F930" s="104" t="str">
        <f t="shared" si="144"/>
        <v>00</v>
      </c>
      <c r="G930" s="104" t="str">
        <f t="shared" si="145"/>
        <v>0</v>
      </c>
      <c r="H930" s="104" t="str">
        <f t="shared" si="146"/>
        <v>0</v>
      </c>
      <c r="I930" s="105">
        <v>24680000</v>
      </c>
      <c r="J930" s="104" t="s">
        <v>5027</v>
      </c>
      <c r="K930" s="104" t="s">
        <v>5043</v>
      </c>
      <c r="L930" s="106"/>
      <c r="M930" s="104" t="s">
        <v>2878</v>
      </c>
      <c r="N930" s="104"/>
      <c r="O930" s="104" t="s">
        <v>5018</v>
      </c>
      <c r="P930" s="107" t="s">
        <v>2880</v>
      </c>
    </row>
    <row r="931" spans="2:16" ht="45" x14ac:dyDescent="0.25">
      <c r="B931" s="108" t="str">
        <f t="shared" si="140"/>
        <v>2</v>
      </c>
      <c r="C931" s="108" t="str">
        <f t="shared" si="141"/>
        <v>4</v>
      </c>
      <c r="D931" s="108" t="str">
        <f t="shared" si="142"/>
        <v>6</v>
      </c>
      <c r="E931" s="108" t="str">
        <f t="shared" si="143"/>
        <v>8</v>
      </c>
      <c r="F931" s="108" t="str">
        <f t="shared" si="144"/>
        <v>01</v>
      </c>
      <c r="G931" s="108" t="str">
        <f t="shared" si="145"/>
        <v>0</v>
      </c>
      <c r="H931" s="108" t="str">
        <f t="shared" si="146"/>
        <v>0</v>
      </c>
      <c r="I931" s="109">
        <v>24680100</v>
      </c>
      <c r="J931" s="108" t="s">
        <v>1328</v>
      </c>
      <c r="K931" s="108" t="s">
        <v>4695</v>
      </c>
      <c r="L931" s="110"/>
      <c r="M931" s="108"/>
      <c r="N931" s="108"/>
      <c r="O931" s="108" t="s">
        <v>2878</v>
      </c>
      <c r="P931" s="111" t="s">
        <v>2880</v>
      </c>
    </row>
    <row r="932" spans="2:16" s="148" customFormat="1" ht="60" x14ac:dyDescent="0.25">
      <c r="B932" s="149" t="str">
        <f t="shared" si="140"/>
        <v>2</v>
      </c>
      <c r="C932" s="149" t="str">
        <f t="shared" si="141"/>
        <v>4</v>
      </c>
      <c r="D932" s="149" t="str">
        <f t="shared" si="142"/>
        <v>6</v>
      </c>
      <c r="E932" s="149" t="str">
        <f t="shared" si="143"/>
        <v>8</v>
      </c>
      <c r="F932" s="149" t="str">
        <f t="shared" si="144"/>
        <v>01</v>
      </c>
      <c r="G932" s="149" t="str">
        <f t="shared" si="145"/>
        <v>1</v>
      </c>
      <c r="H932" s="149" t="str">
        <f t="shared" si="146"/>
        <v>0</v>
      </c>
      <c r="I932" s="144">
        <v>24680110</v>
      </c>
      <c r="J932" s="149" t="s">
        <v>5226</v>
      </c>
      <c r="K932" s="149" t="s">
        <v>5228</v>
      </c>
      <c r="L932" s="150"/>
      <c r="M932" s="149" t="s">
        <v>2878</v>
      </c>
      <c r="N932" s="149"/>
      <c r="O932" s="149" t="s">
        <v>2878</v>
      </c>
      <c r="P932" s="151" t="s">
        <v>2880</v>
      </c>
    </row>
    <row r="933" spans="2:16" s="148" customFormat="1" ht="60" x14ac:dyDescent="0.25">
      <c r="B933" s="149" t="str">
        <f t="shared" si="140"/>
        <v>2</v>
      </c>
      <c r="C933" s="149" t="str">
        <f t="shared" si="141"/>
        <v>4</v>
      </c>
      <c r="D933" s="149" t="str">
        <f t="shared" si="142"/>
        <v>6</v>
      </c>
      <c r="E933" s="149" t="str">
        <f t="shared" si="143"/>
        <v>8</v>
      </c>
      <c r="F933" s="149" t="str">
        <f t="shared" si="144"/>
        <v>10</v>
      </c>
      <c r="G933" s="149" t="str">
        <f t="shared" si="145"/>
        <v>1</v>
      </c>
      <c r="H933" s="149" t="str">
        <f t="shared" si="146"/>
        <v>0</v>
      </c>
      <c r="I933" s="144">
        <v>24681010</v>
      </c>
      <c r="J933" s="149" t="s">
        <v>5227</v>
      </c>
      <c r="K933" s="149" t="s">
        <v>5229</v>
      </c>
      <c r="L933" s="150"/>
      <c r="M933" s="149" t="s">
        <v>2878</v>
      </c>
      <c r="N933" s="149"/>
      <c r="O933" s="149" t="s">
        <v>2878</v>
      </c>
      <c r="P933" s="151" t="s">
        <v>2880</v>
      </c>
    </row>
    <row r="934" spans="2:16" ht="60" x14ac:dyDescent="0.25">
      <c r="B934" s="126" t="str">
        <f t="shared" si="140"/>
        <v>2</v>
      </c>
      <c r="C934" s="126" t="str">
        <f t="shared" si="141"/>
        <v>4</v>
      </c>
      <c r="D934" s="126" t="str">
        <f t="shared" si="142"/>
        <v>7</v>
      </c>
      <c r="E934" s="126" t="str">
        <f t="shared" si="143"/>
        <v>0</v>
      </c>
      <c r="F934" s="126" t="str">
        <f t="shared" si="144"/>
        <v>00</v>
      </c>
      <c r="G934" s="126" t="str">
        <f t="shared" si="145"/>
        <v>0</v>
      </c>
      <c r="H934" s="126" t="str">
        <f t="shared" si="146"/>
        <v>0</v>
      </c>
      <c r="I934" s="127">
        <v>24700000</v>
      </c>
      <c r="J934" s="126" t="s">
        <v>4209</v>
      </c>
      <c r="K934" s="126" t="s">
        <v>4696</v>
      </c>
      <c r="L934" s="122"/>
      <c r="M934" s="126" t="s">
        <v>2878</v>
      </c>
      <c r="N934" s="126" t="s">
        <v>5016</v>
      </c>
      <c r="O934" s="126" t="s">
        <v>2878</v>
      </c>
      <c r="P934" s="128" t="s">
        <v>2880</v>
      </c>
    </row>
    <row r="935" spans="2:16" ht="60" x14ac:dyDescent="0.25">
      <c r="B935" s="114" t="str">
        <f t="shared" si="140"/>
        <v>2</v>
      </c>
      <c r="C935" s="114" t="str">
        <f t="shared" si="141"/>
        <v>4</v>
      </c>
      <c r="D935" s="114" t="str">
        <f t="shared" si="142"/>
        <v>7</v>
      </c>
      <c r="E935" s="114" t="str">
        <f t="shared" si="143"/>
        <v>0</v>
      </c>
      <c r="F935" s="114" t="str">
        <f t="shared" si="144"/>
        <v>00</v>
      </c>
      <c r="G935" s="114" t="str">
        <f t="shared" si="145"/>
        <v>1</v>
      </c>
      <c r="H935" s="114" t="str">
        <f t="shared" si="146"/>
        <v>0</v>
      </c>
      <c r="I935" s="115">
        <v>24700010</v>
      </c>
      <c r="J935" s="114" t="s">
        <v>4209</v>
      </c>
      <c r="K935" s="114" t="s">
        <v>4696</v>
      </c>
      <c r="L935" s="116"/>
      <c r="M935" s="114" t="s">
        <v>2878</v>
      </c>
      <c r="N935" s="114" t="s">
        <v>2879</v>
      </c>
      <c r="O935" s="114" t="s">
        <v>2878</v>
      </c>
      <c r="P935" s="117" t="s">
        <v>2880</v>
      </c>
    </row>
    <row r="936" spans="2:16" ht="60" x14ac:dyDescent="0.25">
      <c r="B936" s="104" t="str">
        <f t="shared" si="140"/>
        <v>2</v>
      </c>
      <c r="C936" s="104" t="str">
        <f t="shared" si="141"/>
        <v>4</v>
      </c>
      <c r="D936" s="104" t="str">
        <f t="shared" si="142"/>
        <v>7</v>
      </c>
      <c r="E936" s="104" t="str">
        <f t="shared" si="143"/>
        <v>8</v>
      </c>
      <c r="F936" s="104" t="str">
        <f t="shared" si="144"/>
        <v>00</v>
      </c>
      <c r="G936" s="104" t="str">
        <f t="shared" si="145"/>
        <v>0</v>
      </c>
      <c r="H936" s="104" t="str">
        <f t="shared" si="146"/>
        <v>0</v>
      </c>
      <c r="I936" s="105">
        <v>24780000</v>
      </c>
      <c r="J936" s="104" t="s">
        <v>5028</v>
      </c>
      <c r="K936" s="104" t="s">
        <v>5044</v>
      </c>
      <c r="L936" s="106"/>
      <c r="M936" s="104" t="s">
        <v>2878</v>
      </c>
      <c r="N936" s="104"/>
      <c r="O936" s="104" t="s">
        <v>5018</v>
      </c>
      <c r="P936" s="107" t="s">
        <v>2880</v>
      </c>
    </row>
    <row r="937" spans="2:16" ht="30" x14ac:dyDescent="0.25">
      <c r="B937" s="108" t="str">
        <f t="shared" si="140"/>
        <v>2</v>
      </c>
      <c r="C937" s="108" t="str">
        <f t="shared" si="141"/>
        <v>4</v>
      </c>
      <c r="D937" s="108" t="str">
        <f t="shared" si="142"/>
        <v>7</v>
      </c>
      <c r="E937" s="108" t="str">
        <f t="shared" si="143"/>
        <v>8</v>
      </c>
      <c r="F937" s="108" t="str">
        <f t="shared" si="144"/>
        <v>01</v>
      </c>
      <c r="G937" s="108" t="str">
        <f t="shared" si="145"/>
        <v>0</v>
      </c>
      <c r="H937" s="108" t="str">
        <f t="shared" si="146"/>
        <v>0</v>
      </c>
      <c r="I937" s="109">
        <v>24780100</v>
      </c>
      <c r="J937" s="108" t="s">
        <v>4209</v>
      </c>
      <c r="K937" s="108" t="s">
        <v>4984</v>
      </c>
      <c r="L937" s="110"/>
      <c r="M937" s="108" t="s">
        <v>2878</v>
      </c>
      <c r="N937" s="108"/>
      <c r="O937" s="108" t="s">
        <v>2878</v>
      </c>
      <c r="P937" s="111" t="s">
        <v>2880</v>
      </c>
    </row>
    <row r="938" spans="2:16" s="148" customFormat="1" ht="30" x14ac:dyDescent="0.25">
      <c r="B938" s="149" t="str">
        <f t="shared" ref="B938:B960" si="147">MID($I938,1,1)</f>
        <v>2</v>
      </c>
      <c r="C938" s="149" t="str">
        <f t="shared" ref="C938:C960" si="148">MID($I938,2,1)</f>
        <v>4</v>
      </c>
      <c r="D938" s="149" t="str">
        <f t="shared" ref="D938:D960" si="149">MID($I938,3,1)</f>
        <v>7</v>
      </c>
      <c r="E938" s="149" t="str">
        <f t="shared" ref="E938:E960" si="150">MID($I938,4,1)</f>
        <v>8</v>
      </c>
      <c r="F938" s="149" t="str">
        <f t="shared" ref="F938:F960" si="151">MID($I938,5,2)</f>
        <v>01</v>
      </c>
      <c r="G938" s="149" t="str">
        <f t="shared" ref="G938:G960" si="152">MID($I938,7,1)</f>
        <v>1</v>
      </c>
      <c r="H938" s="149" t="str">
        <f t="shared" ref="H938:H960" si="153">MID($I938,8,1)</f>
        <v>0</v>
      </c>
      <c r="I938" s="144">
        <v>24780110</v>
      </c>
      <c r="J938" s="149" t="s">
        <v>5231</v>
      </c>
      <c r="K938" s="149" t="s">
        <v>5232</v>
      </c>
      <c r="L938" s="150"/>
      <c r="M938" s="149" t="s">
        <v>2878</v>
      </c>
      <c r="N938" s="149"/>
      <c r="O938" s="149" t="s">
        <v>2878</v>
      </c>
      <c r="P938" s="151" t="s">
        <v>2880</v>
      </c>
    </row>
    <row r="939" spans="2:16" s="148" customFormat="1" ht="30" x14ac:dyDescent="0.25">
      <c r="B939" s="149" t="str">
        <f t="shared" si="147"/>
        <v>2</v>
      </c>
      <c r="C939" s="149" t="str">
        <f t="shared" si="148"/>
        <v>4</v>
      </c>
      <c r="D939" s="149" t="str">
        <f t="shared" si="149"/>
        <v>7</v>
      </c>
      <c r="E939" s="149" t="str">
        <f t="shared" si="150"/>
        <v>8</v>
      </c>
      <c r="F939" s="149" t="str">
        <f t="shared" si="151"/>
        <v>01</v>
      </c>
      <c r="G939" s="149" t="str">
        <f t="shared" si="152"/>
        <v>9</v>
      </c>
      <c r="H939" s="149" t="str">
        <f t="shared" si="153"/>
        <v>0</v>
      </c>
      <c r="I939" s="144">
        <v>24780190</v>
      </c>
      <c r="J939" s="149" t="s">
        <v>5230</v>
      </c>
      <c r="K939" s="149" t="s">
        <v>5233</v>
      </c>
      <c r="L939" s="150"/>
      <c r="M939" s="149" t="s">
        <v>2878</v>
      </c>
      <c r="N939" s="149"/>
      <c r="O939" s="149" t="s">
        <v>2878</v>
      </c>
      <c r="P939" s="151" t="s">
        <v>2880</v>
      </c>
    </row>
    <row r="940" spans="2:16" ht="30" x14ac:dyDescent="0.25">
      <c r="B940" s="126" t="str">
        <f t="shared" si="147"/>
        <v>2</v>
      </c>
      <c r="C940" s="126" t="str">
        <f t="shared" si="148"/>
        <v>4</v>
      </c>
      <c r="D940" s="126" t="str">
        <f t="shared" si="149"/>
        <v>8</v>
      </c>
      <c r="E940" s="126" t="str">
        <f t="shared" si="150"/>
        <v>0</v>
      </c>
      <c r="F940" s="126" t="str">
        <f t="shared" si="151"/>
        <v>00</v>
      </c>
      <c r="G940" s="126" t="str">
        <f t="shared" si="152"/>
        <v>0</v>
      </c>
      <c r="H940" s="126" t="str">
        <f t="shared" si="153"/>
        <v>0</v>
      </c>
      <c r="I940" s="127">
        <v>24800000</v>
      </c>
      <c r="J940" s="126" t="s">
        <v>4212</v>
      </c>
      <c r="K940" s="126" t="s">
        <v>4697</v>
      </c>
      <c r="L940" s="122"/>
      <c r="M940" s="126" t="s">
        <v>2878</v>
      </c>
      <c r="N940" s="126" t="s">
        <v>5016</v>
      </c>
      <c r="O940" s="126" t="s">
        <v>2878</v>
      </c>
      <c r="P940" s="128" t="s">
        <v>2880</v>
      </c>
    </row>
    <row r="941" spans="2:16" ht="30" x14ac:dyDescent="0.25">
      <c r="B941" s="114" t="str">
        <f t="shared" si="147"/>
        <v>2</v>
      </c>
      <c r="C941" s="114" t="str">
        <f t="shared" si="148"/>
        <v>4</v>
      </c>
      <c r="D941" s="114" t="str">
        <f t="shared" si="149"/>
        <v>8</v>
      </c>
      <c r="E941" s="114" t="str">
        <f t="shared" si="150"/>
        <v>0</v>
      </c>
      <c r="F941" s="114" t="str">
        <f t="shared" si="151"/>
        <v>00</v>
      </c>
      <c r="G941" s="114" t="str">
        <f t="shared" si="152"/>
        <v>1</v>
      </c>
      <c r="H941" s="114" t="str">
        <f t="shared" si="153"/>
        <v>0</v>
      </c>
      <c r="I941" s="115">
        <v>24800010</v>
      </c>
      <c r="J941" s="114" t="s">
        <v>5048</v>
      </c>
      <c r="K941" s="114" t="s">
        <v>4697</v>
      </c>
      <c r="L941" s="116"/>
      <c r="M941" s="114" t="s">
        <v>2878</v>
      </c>
      <c r="N941" s="114" t="s">
        <v>2879</v>
      </c>
      <c r="O941" s="114" t="s">
        <v>2878</v>
      </c>
      <c r="P941" s="117" t="s">
        <v>2880</v>
      </c>
    </row>
    <row r="942" spans="2:16" ht="45" x14ac:dyDescent="0.25">
      <c r="B942" s="104" t="str">
        <f t="shared" si="147"/>
        <v>2</v>
      </c>
      <c r="C942" s="104" t="str">
        <f t="shared" si="148"/>
        <v>4</v>
      </c>
      <c r="D942" s="104" t="str">
        <f t="shared" si="149"/>
        <v>8</v>
      </c>
      <c r="E942" s="104" t="str">
        <f t="shared" si="150"/>
        <v>8</v>
      </c>
      <c r="F942" s="104" t="str">
        <f t="shared" si="151"/>
        <v>00</v>
      </c>
      <c r="G942" s="104" t="str">
        <f t="shared" si="152"/>
        <v>0</v>
      </c>
      <c r="H942" s="104" t="str">
        <f t="shared" si="153"/>
        <v>0</v>
      </c>
      <c r="I942" s="105">
        <v>24880000</v>
      </c>
      <c r="J942" s="104" t="s">
        <v>5029</v>
      </c>
      <c r="K942" s="104" t="s">
        <v>5045</v>
      </c>
      <c r="L942" s="106"/>
      <c r="M942" s="104" t="s">
        <v>2878</v>
      </c>
      <c r="N942" s="104"/>
      <c r="O942" s="104" t="s">
        <v>5018</v>
      </c>
      <c r="P942" s="107" t="s">
        <v>2880</v>
      </c>
    </row>
    <row r="943" spans="2:16" ht="30" x14ac:dyDescent="0.25">
      <c r="B943" s="108" t="str">
        <f t="shared" si="147"/>
        <v>2</v>
      </c>
      <c r="C943" s="108" t="str">
        <f t="shared" si="148"/>
        <v>4</v>
      </c>
      <c r="D943" s="108" t="str">
        <f t="shared" si="149"/>
        <v>8</v>
      </c>
      <c r="E943" s="108" t="str">
        <f t="shared" si="150"/>
        <v>8</v>
      </c>
      <c r="F943" s="108" t="str">
        <f t="shared" si="151"/>
        <v>01</v>
      </c>
      <c r="G943" s="108" t="str">
        <f t="shared" si="152"/>
        <v>0</v>
      </c>
      <c r="H943" s="108" t="str">
        <f t="shared" si="153"/>
        <v>0</v>
      </c>
      <c r="I943" s="109">
        <v>24880100</v>
      </c>
      <c r="J943" s="108" t="s">
        <v>4981</v>
      </c>
      <c r="K943" s="108" t="s">
        <v>4697</v>
      </c>
      <c r="L943" s="110"/>
      <c r="M943" s="108"/>
      <c r="N943" s="108"/>
      <c r="O943" s="108" t="s">
        <v>2878</v>
      </c>
      <c r="P943" s="111" t="s">
        <v>2880</v>
      </c>
    </row>
    <row r="944" spans="2:16" ht="30" x14ac:dyDescent="0.25">
      <c r="B944" s="114" t="str">
        <f t="shared" si="147"/>
        <v>2</v>
      </c>
      <c r="C944" s="114" t="str">
        <f t="shared" si="148"/>
        <v>4</v>
      </c>
      <c r="D944" s="114" t="str">
        <f t="shared" si="149"/>
        <v>8</v>
      </c>
      <c r="E944" s="114" t="str">
        <f t="shared" si="150"/>
        <v>8</v>
      </c>
      <c r="F944" s="114" t="str">
        <f t="shared" si="151"/>
        <v>01</v>
      </c>
      <c r="G944" s="114" t="str">
        <f t="shared" si="152"/>
        <v>1</v>
      </c>
      <c r="H944" s="114" t="str">
        <f t="shared" si="153"/>
        <v>0</v>
      </c>
      <c r="I944" s="115">
        <v>24880110</v>
      </c>
      <c r="J944" s="114" t="s">
        <v>4981</v>
      </c>
      <c r="K944" s="114" t="s">
        <v>4699</v>
      </c>
      <c r="L944" s="116"/>
      <c r="M944" s="114"/>
      <c r="N944" s="114"/>
      <c r="O944" s="114" t="s">
        <v>2878</v>
      </c>
      <c r="P944" s="117" t="s">
        <v>2880</v>
      </c>
    </row>
    <row r="945" spans="2:16" ht="45" x14ac:dyDescent="0.25">
      <c r="B945" s="123" t="str">
        <f t="shared" si="147"/>
        <v>2</v>
      </c>
      <c r="C945" s="123" t="str">
        <f t="shared" si="148"/>
        <v>9</v>
      </c>
      <c r="D945" s="123" t="str">
        <f t="shared" si="149"/>
        <v>0</v>
      </c>
      <c r="E945" s="123" t="str">
        <f t="shared" si="150"/>
        <v>0</v>
      </c>
      <c r="F945" s="123" t="str">
        <f t="shared" si="151"/>
        <v>00</v>
      </c>
      <c r="G945" s="123" t="str">
        <f t="shared" si="152"/>
        <v>0</v>
      </c>
      <c r="H945" s="123" t="str">
        <f t="shared" si="153"/>
        <v>0</v>
      </c>
      <c r="I945" s="124">
        <v>29000000</v>
      </c>
      <c r="J945" s="123" t="s">
        <v>2839</v>
      </c>
      <c r="K945" s="123" t="s">
        <v>4700</v>
      </c>
      <c r="L945" s="103"/>
      <c r="M945" s="123" t="s">
        <v>2878</v>
      </c>
      <c r="N945" s="123" t="s">
        <v>5016</v>
      </c>
      <c r="O945" s="123" t="s">
        <v>2878</v>
      </c>
      <c r="P945" s="125" t="s">
        <v>2880</v>
      </c>
    </row>
    <row r="946" spans="2:16" ht="60" x14ac:dyDescent="0.25">
      <c r="B946" s="126" t="str">
        <f t="shared" si="147"/>
        <v>2</v>
      </c>
      <c r="C946" s="126" t="str">
        <f t="shared" si="148"/>
        <v>9</v>
      </c>
      <c r="D946" s="126" t="str">
        <f t="shared" si="149"/>
        <v>1</v>
      </c>
      <c r="E946" s="126" t="str">
        <f t="shared" si="150"/>
        <v>0</v>
      </c>
      <c r="F946" s="126" t="str">
        <f t="shared" si="151"/>
        <v>00</v>
      </c>
      <c r="G946" s="126" t="str">
        <f t="shared" si="152"/>
        <v>0</v>
      </c>
      <c r="H946" s="126" t="str">
        <f t="shared" si="153"/>
        <v>0</v>
      </c>
      <c r="I946" s="127">
        <v>29100000</v>
      </c>
      <c r="J946" s="126" t="s">
        <v>4701</v>
      </c>
      <c r="K946" s="126" t="s">
        <v>4702</v>
      </c>
      <c r="L946" s="122"/>
      <c r="M946" s="126" t="s">
        <v>2878</v>
      </c>
      <c r="N946" s="126" t="s">
        <v>5016</v>
      </c>
      <c r="O946" s="126" t="s">
        <v>2878</v>
      </c>
      <c r="P946" s="128" t="s">
        <v>2880</v>
      </c>
    </row>
    <row r="947" spans="2:16" ht="60" x14ac:dyDescent="0.25">
      <c r="B947" s="114" t="str">
        <f t="shared" si="147"/>
        <v>2</v>
      </c>
      <c r="C947" s="114" t="str">
        <f t="shared" si="148"/>
        <v>9</v>
      </c>
      <c r="D947" s="114" t="str">
        <f t="shared" si="149"/>
        <v>1</v>
      </c>
      <c r="E947" s="114" t="str">
        <f t="shared" si="150"/>
        <v>0</v>
      </c>
      <c r="F947" s="114" t="str">
        <f t="shared" si="151"/>
        <v>00</v>
      </c>
      <c r="G947" s="114" t="str">
        <f t="shared" si="152"/>
        <v>1</v>
      </c>
      <c r="H947" s="114" t="str">
        <f t="shared" si="153"/>
        <v>0</v>
      </c>
      <c r="I947" s="115">
        <v>29100010</v>
      </c>
      <c r="J947" s="114" t="s">
        <v>4701</v>
      </c>
      <c r="K947" s="114" t="s">
        <v>4702</v>
      </c>
      <c r="L947" s="116"/>
      <c r="M947" s="114" t="s">
        <v>2878</v>
      </c>
      <c r="N947" s="114" t="s">
        <v>2879</v>
      </c>
      <c r="O947" s="114" t="s">
        <v>2878</v>
      </c>
      <c r="P947" s="117" t="s">
        <v>2880</v>
      </c>
    </row>
    <row r="948" spans="2:16" ht="45" x14ac:dyDescent="0.25">
      <c r="B948" s="126" t="str">
        <f t="shared" si="147"/>
        <v>2</v>
      </c>
      <c r="C948" s="126" t="str">
        <f t="shared" si="148"/>
        <v>9</v>
      </c>
      <c r="D948" s="126" t="str">
        <f t="shared" si="149"/>
        <v>2</v>
      </c>
      <c r="E948" s="126" t="str">
        <f t="shared" si="150"/>
        <v>0</v>
      </c>
      <c r="F948" s="126" t="str">
        <f t="shared" si="151"/>
        <v>00</v>
      </c>
      <c r="G948" s="126" t="str">
        <f t="shared" si="152"/>
        <v>0</v>
      </c>
      <c r="H948" s="126" t="str">
        <f t="shared" si="153"/>
        <v>0</v>
      </c>
      <c r="I948" s="127">
        <v>29200000</v>
      </c>
      <c r="J948" s="126" t="s">
        <v>4706</v>
      </c>
      <c r="K948" s="126" t="s">
        <v>4707</v>
      </c>
      <c r="L948" s="122"/>
      <c r="M948" s="126" t="s">
        <v>2878</v>
      </c>
      <c r="N948" s="126" t="s">
        <v>5016</v>
      </c>
      <c r="O948" s="126" t="s">
        <v>2878</v>
      </c>
      <c r="P948" s="128" t="s">
        <v>2880</v>
      </c>
    </row>
    <row r="949" spans="2:16" ht="45" x14ac:dyDescent="0.25">
      <c r="B949" s="114" t="str">
        <f t="shared" si="147"/>
        <v>2</v>
      </c>
      <c r="C949" s="114" t="str">
        <f t="shared" si="148"/>
        <v>9</v>
      </c>
      <c r="D949" s="114" t="str">
        <f t="shared" si="149"/>
        <v>2</v>
      </c>
      <c r="E949" s="114" t="str">
        <f t="shared" si="150"/>
        <v>0</v>
      </c>
      <c r="F949" s="114" t="str">
        <f t="shared" si="151"/>
        <v>00</v>
      </c>
      <c r="G949" s="114" t="str">
        <f t="shared" si="152"/>
        <v>1</v>
      </c>
      <c r="H949" s="114" t="str">
        <f t="shared" si="153"/>
        <v>0</v>
      </c>
      <c r="I949" s="115">
        <v>29200010</v>
      </c>
      <c r="J949" s="114" t="s">
        <v>4708</v>
      </c>
      <c r="K949" s="114" t="s">
        <v>4709</v>
      </c>
      <c r="L949" s="116"/>
      <c r="M949" s="114" t="s">
        <v>2878</v>
      </c>
      <c r="N949" s="114" t="s">
        <v>2879</v>
      </c>
      <c r="O949" s="114" t="s">
        <v>2878</v>
      </c>
      <c r="P949" s="117" t="s">
        <v>2880</v>
      </c>
    </row>
    <row r="950" spans="2:16" ht="45" x14ac:dyDescent="0.25">
      <c r="B950" s="114" t="str">
        <f t="shared" si="147"/>
        <v>2</v>
      </c>
      <c r="C950" s="114" t="str">
        <f t="shared" si="148"/>
        <v>9</v>
      </c>
      <c r="D950" s="114" t="str">
        <f t="shared" si="149"/>
        <v>2</v>
      </c>
      <c r="E950" s="114" t="str">
        <f t="shared" si="150"/>
        <v>0</v>
      </c>
      <c r="F950" s="114" t="str">
        <f t="shared" si="151"/>
        <v>00</v>
      </c>
      <c r="G950" s="114" t="str">
        <f t="shared" si="152"/>
        <v>2</v>
      </c>
      <c r="H950" s="114" t="str">
        <f t="shared" si="153"/>
        <v>0</v>
      </c>
      <c r="I950" s="115">
        <v>29200020</v>
      </c>
      <c r="J950" s="114" t="s">
        <v>4714</v>
      </c>
      <c r="K950" s="114" t="s">
        <v>4715</v>
      </c>
      <c r="L950" s="116"/>
      <c r="M950" s="114" t="s">
        <v>2878</v>
      </c>
      <c r="N950" s="114" t="s">
        <v>2879</v>
      </c>
      <c r="O950" s="114" t="s">
        <v>2878</v>
      </c>
      <c r="P950" s="117" t="s">
        <v>2880</v>
      </c>
    </row>
    <row r="951" spans="2:16" ht="60" x14ac:dyDescent="0.25">
      <c r="B951" s="126" t="str">
        <f t="shared" si="147"/>
        <v>2</v>
      </c>
      <c r="C951" s="126" t="str">
        <f t="shared" si="148"/>
        <v>9</v>
      </c>
      <c r="D951" s="126" t="str">
        <f t="shared" si="149"/>
        <v>3</v>
      </c>
      <c r="E951" s="126" t="str">
        <f t="shared" si="150"/>
        <v>0</v>
      </c>
      <c r="F951" s="126" t="str">
        <f t="shared" si="151"/>
        <v>00</v>
      </c>
      <c r="G951" s="126" t="str">
        <f t="shared" si="152"/>
        <v>0</v>
      </c>
      <c r="H951" s="126" t="str">
        <f t="shared" si="153"/>
        <v>0</v>
      </c>
      <c r="I951" s="127">
        <v>29300000</v>
      </c>
      <c r="J951" s="126" t="s">
        <v>4718</v>
      </c>
      <c r="K951" s="126" t="s">
        <v>4719</v>
      </c>
      <c r="L951" s="122"/>
      <c r="M951" s="126" t="s">
        <v>2878</v>
      </c>
      <c r="N951" s="126" t="s">
        <v>5016</v>
      </c>
      <c r="O951" s="126" t="s">
        <v>2878</v>
      </c>
      <c r="P951" s="128" t="s">
        <v>2880</v>
      </c>
    </row>
    <row r="952" spans="2:16" ht="60" x14ac:dyDescent="0.25">
      <c r="B952" s="114" t="str">
        <f t="shared" si="147"/>
        <v>2</v>
      </c>
      <c r="C952" s="114" t="str">
        <f t="shared" si="148"/>
        <v>9</v>
      </c>
      <c r="D952" s="114" t="str">
        <f t="shared" si="149"/>
        <v>3</v>
      </c>
      <c r="E952" s="114" t="str">
        <f t="shared" si="150"/>
        <v>0</v>
      </c>
      <c r="F952" s="114" t="str">
        <f t="shared" si="151"/>
        <v>00</v>
      </c>
      <c r="G952" s="114" t="str">
        <f t="shared" si="152"/>
        <v>1</v>
      </c>
      <c r="H952" s="114" t="str">
        <f t="shared" si="153"/>
        <v>0</v>
      </c>
      <c r="I952" s="115">
        <v>29300010</v>
      </c>
      <c r="J952" s="114" t="s">
        <v>4718</v>
      </c>
      <c r="K952" s="114" t="s">
        <v>4719</v>
      </c>
      <c r="L952" s="116"/>
      <c r="M952" s="114" t="s">
        <v>2878</v>
      </c>
      <c r="N952" s="114" t="s">
        <v>2879</v>
      </c>
      <c r="O952" s="114" t="s">
        <v>2878</v>
      </c>
      <c r="P952" s="117" t="s">
        <v>2880</v>
      </c>
    </row>
    <row r="953" spans="2:16" ht="30" x14ac:dyDescent="0.25">
      <c r="B953" s="126" t="str">
        <f t="shared" si="147"/>
        <v>2</v>
      </c>
      <c r="C953" s="126" t="str">
        <f t="shared" si="148"/>
        <v>9</v>
      </c>
      <c r="D953" s="126" t="str">
        <f t="shared" si="149"/>
        <v>4</v>
      </c>
      <c r="E953" s="126" t="str">
        <f t="shared" si="150"/>
        <v>0</v>
      </c>
      <c r="F953" s="126" t="str">
        <f t="shared" si="151"/>
        <v>00</v>
      </c>
      <c r="G953" s="126" t="str">
        <f t="shared" si="152"/>
        <v>0</v>
      </c>
      <c r="H953" s="126" t="str">
        <f t="shared" si="153"/>
        <v>0</v>
      </c>
      <c r="I953" s="127">
        <v>29400000</v>
      </c>
      <c r="J953" s="126" t="s">
        <v>4723</v>
      </c>
      <c r="K953" s="126" t="s">
        <v>4724</v>
      </c>
      <c r="L953" s="122"/>
      <c r="M953" s="126" t="s">
        <v>2878</v>
      </c>
      <c r="N953" s="126" t="s">
        <v>5016</v>
      </c>
      <c r="O953" s="126" t="s">
        <v>2878</v>
      </c>
      <c r="P953" s="128" t="s">
        <v>2880</v>
      </c>
    </row>
    <row r="954" spans="2:16" ht="30" x14ac:dyDescent="0.25">
      <c r="B954" s="114" t="str">
        <f t="shared" si="147"/>
        <v>2</v>
      </c>
      <c r="C954" s="114" t="str">
        <f t="shared" si="148"/>
        <v>9</v>
      </c>
      <c r="D954" s="114" t="str">
        <f t="shared" si="149"/>
        <v>4</v>
      </c>
      <c r="E954" s="114" t="str">
        <f t="shared" si="150"/>
        <v>0</v>
      </c>
      <c r="F954" s="114" t="str">
        <f t="shared" si="151"/>
        <v>00</v>
      </c>
      <c r="G954" s="114" t="str">
        <f t="shared" si="152"/>
        <v>1</v>
      </c>
      <c r="H954" s="114" t="str">
        <f t="shared" si="153"/>
        <v>0</v>
      </c>
      <c r="I954" s="115">
        <v>29400010</v>
      </c>
      <c r="J954" s="114" t="s">
        <v>4723</v>
      </c>
      <c r="K954" s="114" t="s">
        <v>4724</v>
      </c>
      <c r="L954" s="116"/>
      <c r="M954" s="114" t="s">
        <v>2878</v>
      </c>
      <c r="N954" s="114" t="s">
        <v>2879</v>
      </c>
      <c r="O954" s="114" t="s">
        <v>2878</v>
      </c>
      <c r="P954" s="117" t="s">
        <v>2880</v>
      </c>
    </row>
    <row r="955" spans="2:16" ht="30" x14ac:dyDescent="0.25">
      <c r="B955" s="126" t="str">
        <f t="shared" si="147"/>
        <v>2</v>
      </c>
      <c r="C955" s="126" t="str">
        <f t="shared" si="148"/>
        <v>9</v>
      </c>
      <c r="D955" s="126" t="str">
        <f t="shared" si="149"/>
        <v>9</v>
      </c>
      <c r="E955" s="126" t="str">
        <f t="shared" si="150"/>
        <v>0</v>
      </c>
      <c r="F955" s="126" t="str">
        <f t="shared" si="151"/>
        <v>00</v>
      </c>
      <c r="G955" s="126" t="str">
        <f t="shared" si="152"/>
        <v>0</v>
      </c>
      <c r="H955" s="126" t="str">
        <f t="shared" si="153"/>
        <v>0</v>
      </c>
      <c r="I955" s="127">
        <v>29900000</v>
      </c>
      <c r="J955" s="126" t="s">
        <v>4728</v>
      </c>
      <c r="K955" s="126" t="s">
        <v>4729</v>
      </c>
      <c r="L955" s="122"/>
      <c r="M955" s="126" t="s">
        <v>2878</v>
      </c>
      <c r="N955" s="126" t="s">
        <v>5016</v>
      </c>
      <c r="O955" s="126" t="s">
        <v>2878</v>
      </c>
      <c r="P955" s="128" t="s">
        <v>2880</v>
      </c>
    </row>
    <row r="956" spans="2:16" ht="30" x14ac:dyDescent="0.25">
      <c r="B956" s="114" t="str">
        <f t="shared" si="147"/>
        <v>2</v>
      </c>
      <c r="C956" s="114" t="str">
        <f t="shared" si="148"/>
        <v>9</v>
      </c>
      <c r="D956" s="114" t="str">
        <f t="shared" si="149"/>
        <v>9</v>
      </c>
      <c r="E956" s="114" t="str">
        <f t="shared" si="150"/>
        <v>0</v>
      </c>
      <c r="F956" s="114" t="str">
        <f t="shared" si="151"/>
        <v>00</v>
      </c>
      <c r="G956" s="114" t="str">
        <f t="shared" si="152"/>
        <v>1</v>
      </c>
      <c r="H956" s="114" t="str">
        <f t="shared" si="153"/>
        <v>0</v>
      </c>
      <c r="I956" s="115">
        <v>29900010</v>
      </c>
      <c r="J956" s="114" t="s">
        <v>4728</v>
      </c>
      <c r="K956" s="114" t="s">
        <v>4729</v>
      </c>
      <c r="L956" s="116"/>
      <c r="M956" s="114" t="s">
        <v>2878</v>
      </c>
      <c r="N956" s="114" t="s">
        <v>2879</v>
      </c>
      <c r="O956" s="114" t="s">
        <v>2878</v>
      </c>
      <c r="P956" s="117" t="s">
        <v>2880</v>
      </c>
    </row>
    <row r="957" spans="2:16" ht="45" x14ac:dyDescent="0.25">
      <c r="B957" s="104" t="str">
        <f t="shared" si="147"/>
        <v>2</v>
      </c>
      <c r="C957" s="104" t="str">
        <f t="shared" si="148"/>
        <v>9</v>
      </c>
      <c r="D957" s="104" t="str">
        <f t="shared" si="149"/>
        <v>9</v>
      </c>
      <c r="E957" s="104" t="str">
        <f t="shared" si="150"/>
        <v>8</v>
      </c>
      <c r="F957" s="104" t="str">
        <f t="shared" si="151"/>
        <v>00</v>
      </c>
      <c r="G957" s="104" t="str">
        <f t="shared" si="152"/>
        <v>0</v>
      </c>
      <c r="H957" s="104" t="str">
        <f t="shared" si="153"/>
        <v>0</v>
      </c>
      <c r="I957" s="105">
        <v>29980000</v>
      </c>
      <c r="J957" s="104" t="s">
        <v>5030</v>
      </c>
      <c r="K957" s="104" t="s">
        <v>4989</v>
      </c>
      <c r="L957" s="106"/>
      <c r="M957" s="104" t="s">
        <v>2878</v>
      </c>
      <c r="N957" s="104"/>
      <c r="O957" s="104" t="s">
        <v>5018</v>
      </c>
      <c r="P957" s="107" t="s">
        <v>2880</v>
      </c>
    </row>
    <row r="958" spans="2:16" ht="45" x14ac:dyDescent="0.25">
      <c r="B958" s="108" t="str">
        <f t="shared" si="147"/>
        <v>2</v>
      </c>
      <c r="C958" s="108" t="str">
        <f t="shared" si="148"/>
        <v>9</v>
      </c>
      <c r="D958" s="108" t="str">
        <f t="shared" si="149"/>
        <v>9</v>
      </c>
      <c r="E958" s="108" t="str">
        <f t="shared" si="150"/>
        <v>8</v>
      </c>
      <c r="F958" s="108" t="str">
        <f t="shared" si="151"/>
        <v>01</v>
      </c>
      <c r="G958" s="108" t="str">
        <f t="shared" si="152"/>
        <v>0</v>
      </c>
      <c r="H958" s="108" t="str">
        <f t="shared" si="153"/>
        <v>0</v>
      </c>
      <c r="I958" s="109">
        <v>29980100</v>
      </c>
      <c r="J958" s="108" t="s">
        <v>4988</v>
      </c>
      <c r="K958" s="108" t="s">
        <v>4989</v>
      </c>
      <c r="L958" s="110"/>
      <c r="M958" s="108" t="s">
        <v>2878</v>
      </c>
      <c r="N958" s="108"/>
      <c r="O958" s="108" t="s">
        <v>2878</v>
      </c>
      <c r="P958" s="111" t="s">
        <v>2880</v>
      </c>
    </row>
    <row r="959" spans="2:16" ht="60" x14ac:dyDescent="0.25">
      <c r="B959" s="114" t="str">
        <f t="shared" si="147"/>
        <v>2</v>
      </c>
      <c r="C959" s="114" t="str">
        <f t="shared" si="148"/>
        <v>9</v>
      </c>
      <c r="D959" s="114" t="str">
        <f t="shared" si="149"/>
        <v>9</v>
      </c>
      <c r="E959" s="114" t="str">
        <f t="shared" si="150"/>
        <v>8</v>
      </c>
      <c r="F959" s="114" t="str">
        <f t="shared" si="151"/>
        <v>01</v>
      </c>
      <c r="G959" s="114" t="str">
        <f t="shared" si="152"/>
        <v>1</v>
      </c>
      <c r="H959" s="114" t="str">
        <f t="shared" si="153"/>
        <v>0</v>
      </c>
      <c r="I959" s="115">
        <v>29980110</v>
      </c>
      <c r="J959" s="114" t="s">
        <v>2861</v>
      </c>
      <c r="K959" s="114" t="s">
        <v>2862</v>
      </c>
      <c r="L959" s="116"/>
      <c r="M959" s="114"/>
      <c r="N959" s="114" t="s">
        <v>2863</v>
      </c>
      <c r="O959" s="114" t="s">
        <v>2878</v>
      </c>
      <c r="P959" s="117" t="s">
        <v>2880</v>
      </c>
    </row>
    <row r="960" spans="2:16" ht="60" x14ac:dyDescent="0.25">
      <c r="B960" s="126" t="str">
        <f t="shared" si="147"/>
        <v>9</v>
      </c>
      <c r="C960" s="126" t="str">
        <f t="shared" si="148"/>
        <v>9</v>
      </c>
      <c r="D960" s="126" t="str">
        <f t="shared" si="149"/>
        <v>9</v>
      </c>
      <c r="E960" s="126" t="str">
        <f t="shared" si="150"/>
        <v>0</v>
      </c>
      <c r="F960" s="126" t="str">
        <f t="shared" si="151"/>
        <v>00</v>
      </c>
      <c r="G960" s="126" t="str">
        <f t="shared" si="152"/>
        <v>0</v>
      </c>
      <c r="H960" s="126" t="str">
        <f t="shared" si="153"/>
        <v>0</v>
      </c>
      <c r="I960" s="127">
        <v>99900000</v>
      </c>
      <c r="J960" s="126" t="s">
        <v>2865</v>
      </c>
      <c r="K960" s="126" t="s">
        <v>2866</v>
      </c>
      <c r="L960" s="122"/>
      <c r="M960" s="126"/>
      <c r="N960" s="126" t="s">
        <v>5016</v>
      </c>
      <c r="O960" s="126"/>
      <c r="P960" s="128" t="s">
        <v>2880</v>
      </c>
    </row>
  </sheetData>
  <autoFilter ref="B2:P960" xr:uid="{00000000-0009-0000-0000-000000000000}"/>
  <pageMargins left="0.511811024" right="0.511811024" top="0.78740157499999996" bottom="0.78740157499999996" header="0.31496062000000002" footer="0.31496062000000002"/>
  <pageSetup paperSize="9" scale="66" orientation="portrait" verticalDpi="0" r:id="rId1"/>
  <colBreaks count="1" manualBreakCount="1">
    <brk id="10" max="156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35A5-C7BC-4E09-BC5A-67C751440340}">
  <sheetPr filterMode="1"/>
  <dimension ref="B1:P960"/>
  <sheetViews>
    <sheetView showGridLines="0" zoomScale="90" zoomScaleNormal="90" workbookViewId="0">
      <pane xSplit="10" ySplit="2" topLeftCell="K827" activePane="bottomRight" state="frozen"/>
      <selection pane="topRight" activeCell="K1" sqref="K1"/>
      <selection pane="bottomLeft" activeCell="A4" sqref="A4"/>
      <selection pane="bottomRight" activeCell="F827" sqref="F827"/>
    </sheetView>
  </sheetViews>
  <sheetFormatPr defaultRowHeight="15" x14ac:dyDescent="0.25"/>
  <cols>
    <col min="1" max="1" width="1.85546875" customWidth="1"/>
    <col min="2" max="2" width="7.42578125" style="47" customWidth="1"/>
    <col min="3" max="3" width="7" style="47" bestFit="1" customWidth="1"/>
    <col min="4" max="4" width="6.5703125" style="47" bestFit="1" customWidth="1"/>
    <col min="5" max="5" width="7.85546875" style="47" bestFit="1" customWidth="1"/>
    <col min="6" max="6" width="9.140625" style="47" bestFit="1" customWidth="1"/>
    <col min="7" max="7" width="7.85546875" style="47" bestFit="1" customWidth="1"/>
    <col min="8" max="8" width="6.7109375" style="47" bestFit="1" customWidth="1"/>
    <col min="9" max="9" width="14" style="70" customWidth="1"/>
    <col min="10" max="10" width="71" style="47" customWidth="1"/>
    <col min="11" max="11" width="76.28515625" style="47" customWidth="1"/>
    <col min="12" max="12" width="20.28515625" style="47" bestFit="1" customWidth="1"/>
    <col min="13" max="13" width="55.85546875" style="71" customWidth="1"/>
    <col min="14" max="14" width="38.5703125" style="71" bestFit="1" customWidth="1"/>
    <col min="15" max="15" width="57" style="71" customWidth="1"/>
    <col min="16" max="16" width="15.42578125" style="46" bestFit="1" customWidth="1"/>
  </cols>
  <sheetData>
    <row r="1" spans="2:16" ht="8.25" customHeight="1" thickBot="1" x14ac:dyDescent="0.3"/>
    <row r="2" spans="2:16" ht="15.75" thickBot="1" x14ac:dyDescent="0.3">
      <c r="B2" s="118" t="s">
        <v>2868</v>
      </c>
      <c r="C2" s="119" t="s">
        <v>2869</v>
      </c>
      <c r="D2" s="119" t="s">
        <v>494</v>
      </c>
      <c r="E2" s="119" t="s">
        <v>2870</v>
      </c>
      <c r="F2" s="119" t="s">
        <v>2871</v>
      </c>
      <c r="G2" s="119" t="s">
        <v>2872</v>
      </c>
      <c r="H2" s="119" t="s">
        <v>2873</v>
      </c>
      <c r="I2" s="120" t="s">
        <v>2874</v>
      </c>
      <c r="J2" s="119" t="s">
        <v>7</v>
      </c>
      <c r="K2" s="119" t="s">
        <v>8</v>
      </c>
      <c r="L2" s="119" t="s">
        <v>4734</v>
      </c>
      <c r="M2" s="119" t="s">
        <v>2875</v>
      </c>
      <c r="N2" s="119" t="s">
        <v>5015</v>
      </c>
      <c r="O2" s="119" t="s">
        <v>12</v>
      </c>
      <c r="P2" s="121" t="s">
        <v>2876</v>
      </c>
    </row>
    <row r="3" spans="2:16" ht="60" hidden="1" x14ac:dyDescent="0.25">
      <c r="B3" s="139" t="str">
        <f t="shared" ref="B3:B66" si="0">MID($I3,1,1)</f>
        <v>1</v>
      </c>
      <c r="C3" s="139" t="str">
        <f t="shared" ref="C3:C66" si="1">MID($I3,2,1)</f>
        <v>0</v>
      </c>
      <c r="D3" s="139" t="str">
        <f t="shared" ref="D3:D66" si="2">MID($I3,3,1)</f>
        <v>0</v>
      </c>
      <c r="E3" s="139" t="str">
        <f t="shared" ref="E3:E66" si="3">MID($I3,4,1)</f>
        <v>0</v>
      </c>
      <c r="F3" s="139" t="str">
        <f t="shared" ref="F3:F66" si="4">MID($I3,5,2)</f>
        <v>00</v>
      </c>
      <c r="G3" s="139" t="str">
        <f t="shared" ref="G3:G66" si="5">MID($I3,7,1)</f>
        <v>0</v>
      </c>
      <c r="H3" s="139" t="str">
        <f t="shared" ref="H3:H66" si="6">MID($I3,8,1)</f>
        <v>0</v>
      </c>
      <c r="I3" s="140">
        <v>10000000</v>
      </c>
      <c r="J3" s="139" t="s">
        <v>15</v>
      </c>
      <c r="K3" s="139" t="s">
        <v>2877</v>
      </c>
      <c r="L3" s="141"/>
      <c r="M3" s="139" t="s">
        <v>2878</v>
      </c>
      <c r="N3" s="139" t="s">
        <v>5016</v>
      </c>
      <c r="O3" s="139" t="s">
        <v>17</v>
      </c>
      <c r="P3" s="142" t="s">
        <v>2880</v>
      </c>
    </row>
    <row r="4" spans="2:16" ht="26.25" hidden="1" customHeight="1" x14ac:dyDescent="0.25">
      <c r="B4" s="123" t="str">
        <f t="shared" si="0"/>
        <v>1</v>
      </c>
      <c r="C4" s="123" t="str">
        <f t="shared" si="1"/>
        <v>1</v>
      </c>
      <c r="D4" s="123" t="str">
        <f t="shared" si="2"/>
        <v>0</v>
      </c>
      <c r="E4" s="123" t="str">
        <f t="shared" si="3"/>
        <v>0</v>
      </c>
      <c r="F4" s="123" t="str">
        <f t="shared" si="4"/>
        <v>00</v>
      </c>
      <c r="G4" s="123" t="str">
        <f t="shared" si="5"/>
        <v>0</v>
      </c>
      <c r="H4" s="123" t="str">
        <f t="shared" si="6"/>
        <v>0</v>
      </c>
      <c r="I4" s="124">
        <v>11000000</v>
      </c>
      <c r="J4" s="123" t="s">
        <v>2881</v>
      </c>
      <c r="K4" s="123" t="s">
        <v>2882</v>
      </c>
      <c r="L4" s="103"/>
      <c r="M4" s="123" t="s">
        <v>2878</v>
      </c>
      <c r="N4" s="123" t="s">
        <v>5016</v>
      </c>
      <c r="O4" s="123" t="s">
        <v>20</v>
      </c>
      <c r="P4" s="125" t="s">
        <v>2880</v>
      </c>
    </row>
    <row r="5" spans="2:16" ht="75" hidden="1" x14ac:dyDescent="0.25">
      <c r="B5" s="126" t="str">
        <f t="shared" si="0"/>
        <v>1</v>
      </c>
      <c r="C5" s="126" t="str">
        <f t="shared" si="1"/>
        <v>1</v>
      </c>
      <c r="D5" s="126" t="str">
        <f t="shared" si="2"/>
        <v>1</v>
      </c>
      <c r="E5" s="126" t="str">
        <f t="shared" si="3"/>
        <v>0</v>
      </c>
      <c r="F5" s="126" t="str">
        <f t="shared" si="4"/>
        <v>00</v>
      </c>
      <c r="G5" s="126" t="str">
        <f t="shared" si="5"/>
        <v>0</v>
      </c>
      <c r="H5" s="126" t="str">
        <f t="shared" si="6"/>
        <v>0</v>
      </c>
      <c r="I5" s="127">
        <v>11100000</v>
      </c>
      <c r="J5" s="126" t="s">
        <v>21</v>
      </c>
      <c r="K5" s="126" t="s">
        <v>2883</v>
      </c>
      <c r="L5" s="122"/>
      <c r="M5" s="126" t="s">
        <v>2878</v>
      </c>
      <c r="N5" s="126" t="s">
        <v>5016</v>
      </c>
      <c r="O5" s="126" t="s">
        <v>23</v>
      </c>
      <c r="P5" s="128" t="s">
        <v>2880</v>
      </c>
    </row>
    <row r="6" spans="2:16" ht="30" hidden="1" x14ac:dyDescent="0.25">
      <c r="B6" s="104" t="str">
        <f t="shared" si="0"/>
        <v>1</v>
      </c>
      <c r="C6" s="104" t="str">
        <f t="shared" si="1"/>
        <v>1</v>
      </c>
      <c r="D6" s="104" t="str">
        <f t="shared" si="2"/>
        <v>1</v>
      </c>
      <c r="E6" s="104" t="str">
        <f t="shared" si="3"/>
        <v>1</v>
      </c>
      <c r="F6" s="104" t="str">
        <f t="shared" si="4"/>
        <v>00</v>
      </c>
      <c r="G6" s="104" t="str">
        <f t="shared" si="5"/>
        <v>0</v>
      </c>
      <c r="H6" s="104" t="str">
        <f t="shared" si="6"/>
        <v>0</v>
      </c>
      <c r="I6" s="105">
        <v>11110000</v>
      </c>
      <c r="J6" s="104" t="s">
        <v>24</v>
      </c>
      <c r="K6" s="104" t="s">
        <v>2884</v>
      </c>
      <c r="L6" s="106"/>
      <c r="M6" s="104" t="s">
        <v>2878</v>
      </c>
      <c r="N6" s="104" t="s">
        <v>2879</v>
      </c>
      <c r="O6" s="104" t="s">
        <v>26</v>
      </c>
      <c r="P6" s="107" t="s">
        <v>2880</v>
      </c>
    </row>
    <row r="7" spans="2:16" ht="75" hidden="1" x14ac:dyDescent="0.25">
      <c r="B7" s="108" t="str">
        <f t="shared" si="0"/>
        <v>1</v>
      </c>
      <c r="C7" s="108" t="str">
        <f t="shared" si="1"/>
        <v>1</v>
      </c>
      <c r="D7" s="108" t="str">
        <f t="shared" si="2"/>
        <v>1</v>
      </c>
      <c r="E7" s="108" t="str">
        <f t="shared" si="3"/>
        <v>1</v>
      </c>
      <c r="F7" s="108" t="str">
        <f t="shared" si="4"/>
        <v>01</v>
      </c>
      <c r="G7" s="108" t="str">
        <f t="shared" si="5"/>
        <v>0</v>
      </c>
      <c r="H7" s="108" t="str">
        <f t="shared" si="6"/>
        <v>0</v>
      </c>
      <c r="I7" s="109">
        <v>11110100</v>
      </c>
      <c r="J7" s="108" t="s">
        <v>27</v>
      </c>
      <c r="K7" s="108" t="s">
        <v>2885</v>
      </c>
      <c r="L7" s="110"/>
      <c r="M7" s="108" t="s">
        <v>2878</v>
      </c>
      <c r="N7" s="108" t="s">
        <v>2879</v>
      </c>
      <c r="O7" s="108" t="s">
        <v>2878</v>
      </c>
      <c r="P7" s="111" t="s">
        <v>2880</v>
      </c>
    </row>
    <row r="8" spans="2:16" ht="144" hidden="1" customHeight="1" x14ac:dyDescent="0.25">
      <c r="B8" s="114" t="str">
        <f t="shared" si="0"/>
        <v>1</v>
      </c>
      <c r="C8" s="114" t="str">
        <f t="shared" si="1"/>
        <v>1</v>
      </c>
      <c r="D8" s="114" t="str">
        <f t="shared" si="2"/>
        <v>1</v>
      </c>
      <c r="E8" s="114" t="str">
        <f t="shared" si="3"/>
        <v>1</v>
      </c>
      <c r="F8" s="114" t="str">
        <f t="shared" si="4"/>
        <v>01</v>
      </c>
      <c r="G8" s="114" t="str">
        <f t="shared" si="5"/>
        <v>1</v>
      </c>
      <c r="H8" s="114" t="str">
        <f t="shared" si="6"/>
        <v>0</v>
      </c>
      <c r="I8" s="115">
        <v>11110110</v>
      </c>
      <c r="J8" s="114" t="s">
        <v>27</v>
      </c>
      <c r="K8" s="114" t="s">
        <v>2886</v>
      </c>
      <c r="L8" s="116"/>
      <c r="M8" s="114" t="s">
        <v>2878</v>
      </c>
      <c r="N8" s="114" t="s">
        <v>2879</v>
      </c>
      <c r="O8" s="114" t="s">
        <v>2878</v>
      </c>
      <c r="P8" s="117" t="s">
        <v>2880</v>
      </c>
    </row>
    <row r="9" spans="2:16" ht="163.5" hidden="1" customHeight="1" x14ac:dyDescent="0.25">
      <c r="B9" s="85" t="str">
        <f t="shared" si="0"/>
        <v>1</v>
      </c>
      <c r="C9" s="85" t="str">
        <f t="shared" si="1"/>
        <v>1</v>
      </c>
      <c r="D9" s="85" t="str">
        <f t="shared" si="2"/>
        <v>1</v>
      </c>
      <c r="E9" s="85" t="str">
        <f t="shared" si="3"/>
        <v>1</v>
      </c>
      <c r="F9" s="85" t="str">
        <f t="shared" si="4"/>
        <v>01</v>
      </c>
      <c r="G9" s="85" t="str">
        <f t="shared" si="5"/>
        <v>1</v>
      </c>
      <c r="H9" s="85" t="str">
        <f t="shared" si="6"/>
        <v>1</v>
      </c>
      <c r="I9" s="87">
        <v>11110111</v>
      </c>
      <c r="J9" s="85" t="s">
        <v>2887</v>
      </c>
      <c r="K9" s="85" t="s">
        <v>2888</v>
      </c>
      <c r="L9" s="84"/>
      <c r="M9" s="85" t="s">
        <v>2889</v>
      </c>
      <c r="N9" s="85" t="s">
        <v>2879</v>
      </c>
      <c r="O9" s="85" t="s">
        <v>29</v>
      </c>
      <c r="P9" s="86" t="s">
        <v>2890</v>
      </c>
    </row>
    <row r="10" spans="2:16" ht="15.75" hidden="1" x14ac:dyDescent="0.25">
      <c r="B10" s="85" t="str">
        <f t="shared" si="0"/>
        <v>1</v>
      </c>
      <c r="C10" s="85" t="str">
        <f t="shared" si="1"/>
        <v>1</v>
      </c>
      <c r="D10" s="85" t="str">
        <f t="shared" si="2"/>
        <v>1</v>
      </c>
      <c r="E10" s="85" t="str">
        <f t="shared" si="3"/>
        <v>1</v>
      </c>
      <c r="F10" s="85" t="str">
        <f t="shared" si="4"/>
        <v>01</v>
      </c>
      <c r="G10" s="85" t="str">
        <f t="shared" si="5"/>
        <v>1</v>
      </c>
      <c r="H10" s="85" t="str">
        <f t="shared" si="6"/>
        <v>2</v>
      </c>
      <c r="I10" s="87">
        <v>11110112</v>
      </c>
      <c r="J10" s="85" t="s">
        <v>5234</v>
      </c>
      <c r="K10" s="85" t="s">
        <v>2892</v>
      </c>
      <c r="L10" s="84"/>
      <c r="M10" s="85" t="s">
        <v>2892</v>
      </c>
      <c r="N10" s="85" t="s">
        <v>2879</v>
      </c>
      <c r="O10" s="85" t="s">
        <v>2892</v>
      </c>
      <c r="P10" s="86" t="s">
        <v>2890</v>
      </c>
    </row>
    <row r="11" spans="2:16" ht="15.75" hidden="1" x14ac:dyDescent="0.25">
      <c r="B11" s="85" t="str">
        <f t="shared" si="0"/>
        <v>1</v>
      </c>
      <c r="C11" s="85" t="str">
        <f t="shared" si="1"/>
        <v>1</v>
      </c>
      <c r="D11" s="85" t="str">
        <f t="shared" si="2"/>
        <v>1</v>
      </c>
      <c r="E11" s="85" t="str">
        <f t="shared" si="3"/>
        <v>1</v>
      </c>
      <c r="F11" s="85" t="str">
        <f t="shared" si="4"/>
        <v>01</v>
      </c>
      <c r="G11" s="85" t="str">
        <f t="shared" si="5"/>
        <v>1</v>
      </c>
      <c r="H11" s="85" t="str">
        <f t="shared" si="6"/>
        <v>3</v>
      </c>
      <c r="I11" s="87">
        <v>11110113</v>
      </c>
      <c r="J11" s="85" t="s">
        <v>2893</v>
      </c>
      <c r="K11" s="85" t="s">
        <v>2892</v>
      </c>
      <c r="L11" s="84"/>
      <c r="M11" s="85" t="s">
        <v>2892</v>
      </c>
      <c r="N11" s="85" t="s">
        <v>2879</v>
      </c>
      <c r="O11" s="85" t="s">
        <v>2892</v>
      </c>
      <c r="P11" s="86" t="s">
        <v>2890</v>
      </c>
    </row>
    <row r="12" spans="2:16" ht="30" hidden="1" x14ac:dyDescent="0.25">
      <c r="B12" s="85" t="str">
        <f t="shared" si="0"/>
        <v>1</v>
      </c>
      <c r="C12" s="85" t="str">
        <f t="shared" si="1"/>
        <v>1</v>
      </c>
      <c r="D12" s="85" t="str">
        <f t="shared" si="2"/>
        <v>1</v>
      </c>
      <c r="E12" s="85" t="str">
        <f t="shared" si="3"/>
        <v>1</v>
      </c>
      <c r="F12" s="85" t="str">
        <f t="shared" si="4"/>
        <v>01</v>
      </c>
      <c r="G12" s="85" t="str">
        <f t="shared" si="5"/>
        <v>1</v>
      </c>
      <c r="H12" s="85" t="str">
        <f t="shared" si="6"/>
        <v>4</v>
      </c>
      <c r="I12" s="87">
        <v>11110114</v>
      </c>
      <c r="J12" s="85" t="s">
        <v>5235</v>
      </c>
      <c r="K12" s="85" t="s">
        <v>2892</v>
      </c>
      <c r="L12" s="84"/>
      <c r="M12" s="85" t="s">
        <v>2892</v>
      </c>
      <c r="N12" s="85" t="s">
        <v>2879</v>
      </c>
      <c r="O12" s="85" t="s">
        <v>2892</v>
      </c>
      <c r="P12" s="86" t="s">
        <v>2890</v>
      </c>
    </row>
    <row r="13" spans="2:16" ht="15.75" hidden="1" x14ac:dyDescent="0.25">
      <c r="B13" s="85" t="str">
        <f t="shared" si="0"/>
        <v>1</v>
      </c>
      <c r="C13" s="85" t="str">
        <f t="shared" si="1"/>
        <v>1</v>
      </c>
      <c r="D13" s="85" t="str">
        <f t="shared" si="2"/>
        <v>1</v>
      </c>
      <c r="E13" s="85" t="str">
        <f t="shared" si="3"/>
        <v>1</v>
      </c>
      <c r="F13" s="85" t="str">
        <f t="shared" si="4"/>
        <v>01</v>
      </c>
      <c r="G13" s="85" t="str">
        <f t="shared" si="5"/>
        <v>1</v>
      </c>
      <c r="H13" s="85" t="str">
        <f t="shared" si="6"/>
        <v>5</v>
      </c>
      <c r="I13" s="87">
        <v>11110115</v>
      </c>
      <c r="J13" s="85" t="s">
        <v>5236</v>
      </c>
      <c r="K13" s="85" t="s">
        <v>2892</v>
      </c>
      <c r="L13" s="84"/>
      <c r="M13" s="85" t="s">
        <v>2892</v>
      </c>
      <c r="N13" s="85" t="s">
        <v>2879</v>
      </c>
      <c r="O13" s="85" t="s">
        <v>2892</v>
      </c>
      <c r="P13" s="86" t="s">
        <v>2890</v>
      </c>
    </row>
    <row r="14" spans="2:16" ht="15.75" hidden="1" x14ac:dyDescent="0.25">
      <c r="B14" s="85" t="str">
        <f t="shared" si="0"/>
        <v>1</v>
      </c>
      <c r="C14" s="85" t="str">
        <f t="shared" si="1"/>
        <v>1</v>
      </c>
      <c r="D14" s="85" t="str">
        <f t="shared" si="2"/>
        <v>1</v>
      </c>
      <c r="E14" s="85" t="str">
        <f t="shared" si="3"/>
        <v>1</v>
      </c>
      <c r="F14" s="85" t="str">
        <f t="shared" si="4"/>
        <v>01</v>
      </c>
      <c r="G14" s="85" t="str">
        <f t="shared" si="5"/>
        <v>1</v>
      </c>
      <c r="H14" s="85" t="str">
        <f t="shared" si="6"/>
        <v>6</v>
      </c>
      <c r="I14" s="87">
        <v>11110116</v>
      </c>
      <c r="J14" s="85" t="s">
        <v>5237</v>
      </c>
      <c r="K14" s="85" t="s">
        <v>2892</v>
      </c>
      <c r="L14" s="84"/>
      <c r="M14" s="85" t="s">
        <v>2892</v>
      </c>
      <c r="N14" s="85" t="s">
        <v>2879</v>
      </c>
      <c r="O14" s="85" t="s">
        <v>2892</v>
      </c>
      <c r="P14" s="86" t="s">
        <v>2890</v>
      </c>
    </row>
    <row r="15" spans="2:16" ht="15.75" hidden="1" x14ac:dyDescent="0.25">
      <c r="B15" s="85" t="str">
        <f t="shared" si="0"/>
        <v>1</v>
      </c>
      <c r="C15" s="85" t="str">
        <f t="shared" si="1"/>
        <v>1</v>
      </c>
      <c r="D15" s="85" t="str">
        <f t="shared" si="2"/>
        <v>1</v>
      </c>
      <c r="E15" s="85" t="str">
        <f t="shared" si="3"/>
        <v>1</v>
      </c>
      <c r="F15" s="85" t="str">
        <f t="shared" si="4"/>
        <v>01</v>
      </c>
      <c r="G15" s="85" t="str">
        <f t="shared" si="5"/>
        <v>1</v>
      </c>
      <c r="H15" s="85" t="str">
        <f t="shared" si="6"/>
        <v>7</v>
      </c>
      <c r="I15" s="87">
        <v>11110117</v>
      </c>
      <c r="J15" s="85" t="s">
        <v>5238</v>
      </c>
      <c r="K15" s="85" t="s">
        <v>2892</v>
      </c>
      <c r="L15" s="84"/>
      <c r="M15" s="85" t="s">
        <v>2892</v>
      </c>
      <c r="N15" s="85" t="s">
        <v>2879</v>
      </c>
      <c r="O15" s="85" t="s">
        <v>2892</v>
      </c>
      <c r="P15" s="86" t="s">
        <v>2890</v>
      </c>
    </row>
    <row r="16" spans="2:16" ht="15.75" hidden="1" x14ac:dyDescent="0.25">
      <c r="B16" s="85" t="str">
        <f t="shared" si="0"/>
        <v>1</v>
      </c>
      <c r="C16" s="85" t="str">
        <f t="shared" si="1"/>
        <v>1</v>
      </c>
      <c r="D16" s="85" t="str">
        <f t="shared" si="2"/>
        <v>1</v>
      </c>
      <c r="E16" s="85" t="str">
        <f t="shared" si="3"/>
        <v>1</v>
      </c>
      <c r="F16" s="85" t="str">
        <f t="shared" si="4"/>
        <v>01</v>
      </c>
      <c r="G16" s="85" t="str">
        <f t="shared" si="5"/>
        <v>1</v>
      </c>
      <c r="H16" s="85" t="str">
        <f t="shared" si="6"/>
        <v>8</v>
      </c>
      <c r="I16" s="87">
        <v>11110118</v>
      </c>
      <c r="J16" s="85" t="s">
        <v>5239</v>
      </c>
      <c r="K16" s="85" t="s">
        <v>2892</v>
      </c>
      <c r="L16" s="84"/>
      <c r="M16" s="85" t="s">
        <v>2892</v>
      </c>
      <c r="N16" s="85" t="s">
        <v>2879</v>
      </c>
      <c r="O16" s="85" t="s">
        <v>2892</v>
      </c>
      <c r="P16" s="86" t="s">
        <v>2890</v>
      </c>
    </row>
    <row r="17" spans="2:16" ht="45" hidden="1" x14ac:dyDescent="0.25">
      <c r="B17" s="108" t="str">
        <f t="shared" si="0"/>
        <v>1</v>
      </c>
      <c r="C17" s="108" t="str">
        <f t="shared" si="1"/>
        <v>1</v>
      </c>
      <c r="D17" s="108" t="str">
        <f t="shared" si="2"/>
        <v>1</v>
      </c>
      <c r="E17" s="108" t="str">
        <f t="shared" si="3"/>
        <v>1</v>
      </c>
      <c r="F17" s="108" t="str">
        <f t="shared" si="4"/>
        <v>02</v>
      </c>
      <c r="G17" s="108" t="str">
        <f t="shared" si="5"/>
        <v>0</v>
      </c>
      <c r="H17" s="108" t="str">
        <f t="shared" si="6"/>
        <v>0</v>
      </c>
      <c r="I17" s="109">
        <v>11110200</v>
      </c>
      <c r="J17" s="108" t="s">
        <v>36</v>
      </c>
      <c r="K17" s="108" t="s">
        <v>2895</v>
      </c>
      <c r="L17" s="110"/>
      <c r="M17" s="108" t="s">
        <v>2878</v>
      </c>
      <c r="N17" s="108" t="s">
        <v>2879</v>
      </c>
      <c r="O17" s="108" t="s">
        <v>2878</v>
      </c>
      <c r="P17" s="111" t="s">
        <v>2880</v>
      </c>
    </row>
    <row r="18" spans="2:16" ht="30" hidden="1" x14ac:dyDescent="0.25">
      <c r="B18" s="114" t="str">
        <f t="shared" si="0"/>
        <v>1</v>
      </c>
      <c r="C18" s="114" t="str">
        <f t="shared" si="1"/>
        <v>1</v>
      </c>
      <c r="D18" s="114" t="str">
        <f t="shared" si="2"/>
        <v>1</v>
      </c>
      <c r="E18" s="114" t="str">
        <f t="shared" si="3"/>
        <v>1</v>
      </c>
      <c r="F18" s="114" t="str">
        <f t="shared" si="4"/>
        <v>02</v>
      </c>
      <c r="G18" s="114" t="str">
        <f t="shared" si="5"/>
        <v>1</v>
      </c>
      <c r="H18" s="114" t="str">
        <f t="shared" si="6"/>
        <v>0</v>
      </c>
      <c r="I18" s="115">
        <v>11110210</v>
      </c>
      <c r="J18" s="114" t="s">
        <v>36</v>
      </c>
      <c r="K18" s="114" t="s">
        <v>2896</v>
      </c>
      <c r="L18" s="116"/>
      <c r="M18" s="114" t="s">
        <v>2878</v>
      </c>
      <c r="N18" s="114" t="s">
        <v>2879</v>
      </c>
      <c r="O18" s="114" t="s">
        <v>2878</v>
      </c>
      <c r="P18" s="117" t="s">
        <v>2880</v>
      </c>
    </row>
    <row r="19" spans="2:16" ht="30" hidden="1" x14ac:dyDescent="0.25">
      <c r="B19" s="104" t="str">
        <f t="shared" si="0"/>
        <v>1</v>
      </c>
      <c r="C19" s="104" t="str">
        <f t="shared" si="1"/>
        <v>1</v>
      </c>
      <c r="D19" s="104" t="str">
        <f t="shared" si="2"/>
        <v>1</v>
      </c>
      <c r="E19" s="104" t="str">
        <f t="shared" si="3"/>
        <v>2</v>
      </c>
      <c r="F19" s="104" t="str">
        <f t="shared" si="4"/>
        <v>00</v>
      </c>
      <c r="G19" s="104" t="str">
        <f t="shared" si="5"/>
        <v>0</v>
      </c>
      <c r="H19" s="104" t="str">
        <f t="shared" si="6"/>
        <v>0</v>
      </c>
      <c r="I19" s="105">
        <v>11120000</v>
      </c>
      <c r="J19" s="104" t="s">
        <v>2902</v>
      </c>
      <c r="K19" s="104" t="s">
        <v>2903</v>
      </c>
      <c r="L19" s="106"/>
      <c r="M19" s="104" t="s">
        <v>2878</v>
      </c>
      <c r="N19" s="104" t="s">
        <v>2879</v>
      </c>
      <c r="O19" s="104" t="s">
        <v>2878</v>
      </c>
      <c r="P19" s="107" t="s">
        <v>2880</v>
      </c>
    </row>
    <row r="20" spans="2:16" ht="75" hidden="1" x14ac:dyDescent="0.25">
      <c r="B20" s="108" t="str">
        <f t="shared" si="0"/>
        <v>1</v>
      </c>
      <c r="C20" s="108" t="str">
        <f t="shared" si="1"/>
        <v>1</v>
      </c>
      <c r="D20" s="108" t="str">
        <f t="shared" si="2"/>
        <v>1</v>
      </c>
      <c r="E20" s="108" t="str">
        <f t="shared" si="3"/>
        <v>2</v>
      </c>
      <c r="F20" s="108" t="str">
        <f t="shared" si="4"/>
        <v>01</v>
      </c>
      <c r="G20" s="108" t="str">
        <f t="shared" si="5"/>
        <v>0</v>
      </c>
      <c r="H20" s="108" t="str">
        <f t="shared" si="6"/>
        <v>0</v>
      </c>
      <c r="I20" s="109">
        <v>11120100</v>
      </c>
      <c r="J20" s="108" t="s">
        <v>45</v>
      </c>
      <c r="K20" s="108" t="s">
        <v>2904</v>
      </c>
      <c r="L20" s="110"/>
      <c r="M20" s="108" t="s">
        <v>2878</v>
      </c>
      <c r="N20" s="108" t="s">
        <v>2879</v>
      </c>
      <c r="O20" s="108" t="s">
        <v>47</v>
      </c>
      <c r="P20" s="111" t="s">
        <v>2880</v>
      </c>
    </row>
    <row r="21" spans="2:16" ht="45" hidden="1" x14ac:dyDescent="0.25">
      <c r="B21" s="114" t="str">
        <f t="shared" si="0"/>
        <v>1</v>
      </c>
      <c r="C21" s="114" t="str">
        <f t="shared" si="1"/>
        <v>1</v>
      </c>
      <c r="D21" s="114" t="str">
        <f t="shared" si="2"/>
        <v>1</v>
      </c>
      <c r="E21" s="114" t="str">
        <f t="shared" si="3"/>
        <v>2</v>
      </c>
      <c r="F21" s="114" t="str">
        <f t="shared" si="4"/>
        <v>01</v>
      </c>
      <c r="G21" s="114" t="str">
        <f t="shared" si="5"/>
        <v>1</v>
      </c>
      <c r="H21" s="114" t="str">
        <f t="shared" si="6"/>
        <v>0</v>
      </c>
      <c r="I21" s="115">
        <v>11120110</v>
      </c>
      <c r="J21" s="114" t="s">
        <v>48</v>
      </c>
      <c r="K21" s="114" t="s">
        <v>2905</v>
      </c>
      <c r="L21" s="116"/>
      <c r="M21" s="114" t="s">
        <v>2878</v>
      </c>
      <c r="N21" s="114" t="s">
        <v>2879</v>
      </c>
      <c r="O21" s="114" t="s">
        <v>2878</v>
      </c>
      <c r="P21" s="117" t="s">
        <v>2880</v>
      </c>
    </row>
    <row r="22" spans="2:16" ht="45" hidden="1" x14ac:dyDescent="0.25">
      <c r="B22" s="114" t="str">
        <f t="shared" si="0"/>
        <v>1</v>
      </c>
      <c r="C22" s="114" t="str">
        <f t="shared" si="1"/>
        <v>1</v>
      </c>
      <c r="D22" s="114" t="str">
        <f t="shared" si="2"/>
        <v>1</v>
      </c>
      <c r="E22" s="114" t="str">
        <f t="shared" si="3"/>
        <v>2</v>
      </c>
      <c r="F22" s="114" t="str">
        <f t="shared" si="4"/>
        <v>01</v>
      </c>
      <c r="G22" s="114" t="str">
        <f t="shared" si="5"/>
        <v>2</v>
      </c>
      <c r="H22" s="114" t="str">
        <f t="shared" si="6"/>
        <v>0</v>
      </c>
      <c r="I22" s="115">
        <v>11120120</v>
      </c>
      <c r="J22" s="114" t="s">
        <v>51</v>
      </c>
      <c r="K22" s="114" t="s">
        <v>2912</v>
      </c>
      <c r="L22" s="116"/>
      <c r="M22" s="114" t="s">
        <v>2878</v>
      </c>
      <c r="N22" s="114" t="s">
        <v>2879</v>
      </c>
      <c r="O22" s="114" t="s">
        <v>2878</v>
      </c>
      <c r="P22" s="117" t="s">
        <v>2880</v>
      </c>
    </row>
    <row r="23" spans="2:16" ht="30" hidden="1" x14ac:dyDescent="0.25">
      <c r="B23" s="104" t="str">
        <f t="shared" si="0"/>
        <v>1</v>
      </c>
      <c r="C23" s="104" t="str">
        <f t="shared" si="1"/>
        <v>1</v>
      </c>
      <c r="D23" s="104" t="str">
        <f t="shared" si="2"/>
        <v>1</v>
      </c>
      <c r="E23" s="104" t="str">
        <f t="shared" si="3"/>
        <v>3</v>
      </c>
      <c r="F23" s="104" t="str">
        <f t="shared" si="4"/>
        <v>00</v>
      </c>
      <c r="G23" s="104" t="str">
        <f t="shared" si="5"/>
        <v>0</v>
      </c>
      <c r="H23" s="104" t="str">
        <f t="shared" si="6"/>
        <v>0</v>
      </c>
      <c r="I23" s="105">
        <v>11130000</v>
      </c>
      <c r="J23" s="104" t="s">
        <v>2919</v>
      </c>
      <c r="K23" s="104" t="s">
        <v>2920</v>
      </c>
      <c r="L23" s="106"/>
      <c r="M23" s="104" t="s">
        <v>2878</v>
      </c>
      <c r="N23" s="104" t="s">
        <v>2879</v>
      </c>
      <c r="O23" s="104" t="s">
        <v>2878</v>
      </c>
      <c r="P23" s="107" t="s">
        <v>2880</v>
      </c>
    </row>
    <row r="24" spans="2:16" ht="45" hidden="1" x14ac:dyDescent="0.25">
      <c r="B24" s="108" t="str">
        <f t="shared" si="0"/>
        <v>1</v>
      </c>
      <c r="C24" s="108" t="str">
        <f t="shared" si="1"/>
        <v>1</v>
      </c>
      <c r="D24" s="108" t="str">
        <f t="shared" si="2"/>
        <v>1</v>
      </c>
      <c r="E24" s="108" t="str">
        <f t="shared" si="3"/>
        <v>3</v>
      </c>
      <c r="F24" s="108" t="str">
        <f t="shared" si="4"/>
        <v>01</v>
      </c>
      <c r="G24" s="108" t="str">
        <f t="shared" si="5"/>
        <v>0</v>
      </c>
      <c r="H24" s="108" t="str">
        <f t="shared" si="6"/>
        <v>0</v>
      </c>
      <c r="I24" s="109">
        <v>11130100</v>
      </c>
      <c r="J24" s="108" t="s">
        <v>2921</v>
      </c>
      <c r="K24" s="108" t="s">
        <v>2922</v>
      </c>
      <c r="L24" s="110"/>
      <c r="M24" s="108" t="s">
        <v>2878</v>
      </c>
      <c r="N24" s="108" t="s">
        <v>2879</v>
      </c>
      <c r="O24" s="108" t="s">
        <v>2878</v>
      </c>
      <c r="P24" s="111" t="s">
        <v>2880</v>
      </c>
    </row>
    <row r="25" spans="2:16" ht="45" hidden="1" x14ac:dyDescent="0.25">
      <c r="B25" s="114" t="str">
        <f t="shared" si="0"/>
        <v>1</v>
      </c>
      <c r="C25" s="114" t="str">
        <f t="shared" si="1"/>
        <v>1</v>
      </c>
      <c r="D25" s="114" t="str">
        <f t="shared" si="2"/>
        <v>1</v>
      </c>
      <c r="E25" s="114" t="str">
        <f t="shared" si="3"/>
        <v>3</v>
      </c>
      <c r="F25" s="114" t="str">
        <f t="shared" si="4"/>
        <v>01</v>
      </c>
      <c r="G25" s="114" t="str">
        <f t="shared" si="5"/>
        <v>1</v>
      </c>
      <c r="H25" s="114" t="str">
        <f t="shared" si="6"/>
        <v>0</v>
      </c>
      <c r="I25" s="115">
        <v>11130110</v>
      </c>
      <c r="J25" s="114" t="s">
        <v>2921</v>
      </c>
      <c r="K25" s="114" t="s">
        <v>2922</v>
      </c>
      <c r="L25" s="116"/>
      <c r="M25" s="114" t="s">
        <v>2878</v>
      </c>
      <c r="N25" s="114" t="s">
        <v>2879</v>
      </c>
      <c r="O25" s="114" t="s">
        <v>2878</v>
      </c>
      <c r="P25" s="117" t="s">
        <v>2880</v>
      </c>
    </row>
    <row r="26" spans="2:16" ht="135" hidden="1" x14ac:dyDescent="0.25">
      <c r="B26" s="108" t="str">
        <f t="shared" si="0"/>
        <v>1</v>
      </c>
      <c r="C26" s="108" t="str">
        <f t="shared" si="1"/>
        <v>1</v>
      </c>
      <c r="D26" s="108" t="str">
        <f t="shared" si="2"/>
        <v>1</v>
      </c>
      <c r="E26" s="108" t="str">
        <f t="shared" si="3"/>
        <v>3</v>
      </c>
      <c r="F26" s="108" t="str">
        <f t="shared" si="4"/>
        <v>02</v>
      </c>
      <c r="G26" s="108" t="str">
        <f t="shared" si="5"/>
        <v>0</v>
      </c>
      <c r="H26" s="108" t="str">
        <f t="shared" si="6"/>
        <v>0</v>
      </c>
      <c r="I26" s="109">
        <v>11130200</v>
      </c>
      <c r="J26" s="108" t="s">
        <v>2930</v>
      </c>
      <c r="K26" s="108" t="s">
        <v>2931</v>
      </c>
      <c r="L26" s="110"/>
      <c r="M26" s="108" t="s">
        <v>2878</v>
      </c>
      <c r="N26" s="108" t="s">
        <v>2879</v>
      </c>
      <c r="O26" s="108" t="s">
        <v>2878</v>
      </c>
      <c r="P26" s="111" t="s">
        <v>2880</v>
      </c>
    </row>
    <row r="27" spans="2:16" ht="135" hidden="1" x14ac:dyDescent="0.25">
      <c r="B27" s="114" t="str">
        <f t="shared" si="0"/>
        <v>1</v>
      </c>
      <c r="C27" s="114" t="str">
        <f t="shared" si="1"/>
        <v>1</v>
      </c>
      <c r="D27" s="114" t="str">
        <f t="shared" si="2"/>
        <v>1</v>
      </c>
      <c r="E27" s="114" t="str">
        <f t="shared" si="3"/>
        <v>3</v>
      </c>
      <c r="F27" s="114" t="str">
        <f t="shared" si="4"/>
        <v>02</v>
      </c>
      <c r="G27" s="114" t="str">
        <f t="shared" si="5"/>
        <v>1</v>
      </c>
      <c r="H27" s="114" t="str">
        <f t="shared" si="6"/>
        <v>0</v>
      </c>
      <c r="I27" s="115">
        <v>11130210</v>
      </c>
      <c r="J27" s="114" t="s">
        <v>2930</v>
      </c>
      <c r="K27" s="114" t="s">
        <v>2931</v>
      </c>
      <c r="L27" s="116"/>
      <c r="M27" s="114" t="s">
        <v>2878</v>
      </c>
      <c r="N27" s="114" t="s">
        <v>2879</v>
      </c>
      <c r="O27" s="114" t="s">
        <v>2878</v>
      </c>
      <c r="P27" s="117" t="s">
        <v>2880</v>
      </c>
    </row>
    <row r="28" spans="2:16" ht="30" hidden="1" x14ac:dyDescent="0.25">
      <c r="B28" s="108" t="str">
        <f t="shared" si="0"/>
        <v>1</v>
      </c>
      <c r="C28" s="108" t="str">
        <f t="shared" si="1"/>
        <v>1</v>
      </c>
      <c r="D28" s="108" t="str">
        <f t="shared" si="2"/>
        <v>1</v>
      </c>
      <c r="E28" s="108" t="str">
        <f t="shared" si="3"/>
        <v>3</v>
      </c>
      <c r="F28" s="108" t="str">
        <f t="shared" si="4"/>
        <v>03</v>
      </c>
      <c r="G28" s="108" t="str">
        <f t="shared" si="5"/>
        <v>0</v>
      </c>
      <c r="H28" s="108" t="str">
        <f t="shared" si="6"/>
        <v>0</v>
      </c>
      <c r="I28" s="109">
        <v>11130300</v>
      </c>
      <c r="J28" s="108" t="s">
        <v>2938</v>
      </c>
      <c r="K28" s="108" t="s">
        <v>2939</v>
      </c>
      <c r="L28" s="110"/>
      <c r="M28" s="108" t="s">
        <v>2878</v>
      </c>
      <c r="N28" s="108" t="s">
        <v>2879</v>
      </c>
      <c r="O28" s="108" t="s">
        <v>2878</v>
      </c>
      <c r="P28" s="111" t="s">
        <v>2880</v>
      </c>
    </row>
    <row r="29" spans="2:16" ht="30" hidden="1" x14ac:dyDescent="0.25">
      <c r="B29" s="114" t="str">
        <f t="shared" si="0"/>
        <v>1</v>
      </c>
      <c r="C29" s="114" t="str">
        <f t="shared" si="1"/>
        <v>1</v>
      </c>
      <c r="D29" s="114" t="str">
        <f t="shared" si="2"/>
        <v>1</v>
      </c>
      <c r="E29" s="114" t="str">
        <f t="shared" si="3"/>
        <v>3</v>
      </c>
      <c r="F29" s="114" t="str">
        <f t="shared" si="4"/>
        <v>03</v>
      </c>
      <c r="G29" s="114" t="str">
        <f t="shared" si="5"/>
        <v>1</v>
      </c>
      <c r="H29" s="114" t="str">
        <f t="shared" si="6"/>
        <v>0</v>
      </c>
      <c r="I29" s="115">
        <v>11130310</v>
      </c>
      <c r="J29" s="114" t="s">
        <v>2940</v>
      </c>
      <c r="K29" s="114" t="s">
        <v>2941</v>
      </c>
      <c r="L29" s="116"/>
      <c r="M29" s="114" t="s">
        <v>2878</v>
      </c>
      <c r="N29" s="114" t="s">
        <v>2879</v>
      </c>
      <c r="O29" s="114" t="s">
        <v>2878</v>
      </c>
      <c r="P29" s="117" t="s">
        <v>2880</v>
      </c>
    </row>
    <row r="30" spans="2:16" ht="75" hidden="1" x14ac:dyDescent="0.25">
      <c r="B30" s="114" t="str">
        <f t="shared" si="0"/>
        <v>1</v>
      </c>
      <c r="C30" s="114" t="str">
        <f t="shared" si="1"/>
        <v>1</v>
      </c>
      <c r="D30" s="114" t="str">
        <f t="shared" si="2"/>
        <v>1</v>
      </c>
      <c r="E30" s="114" t="str">
        <f t="shared" si="3"/>
        <v>3</v>
      </c>
      <c r="F30" s="114" t="str">
        <f t="shared" si="4"/>
        <v>03</v>
      </c>
      <c r="G30" s="114" t="str">
        <f t="shared" si="5"/>
        <v>2</v>
      </c>
      <c r="H30" s="114" t="str">
        <f t="shared" si="6"/>
        <v>0</v>
      </c>
      <c r="I30" s="115">
        <v>11130320</v>
      </c>
      <c r="J30" s="114" t="s">
        <v>2948</v>
      </c>
      <c r="K30" s="114" t="s">
        <v>2949</v>
      </c>
      <c r="L30" s="116"/>
      <c r="M30" s="114" t="s">
        <v>2878</v>
      </c>
      <c r="N30" s="114" t="s">
        <v>2879</v>
      </c>
      <c r="O30" s="114" t="s">
        <v>2878</v>
      </c>
      <c r="P30" s="117" t="s">
        <v>2880</v>
      </c>
    </row>
    <row r="31" spans="2:16" ht="75" hidden="1" customHeight="1" x14ac:dyDescent="0.25">
      <c r="B31" s="114" t="str">
        <f t="shared" si="0"/>
        <v>1</v>
      </c>
      <c r="C31" s="114" t="str">
        <f t="shared" si="1"/>
        <v>1</v>
      </c>
      <c r="D31" s="114" t="str">
        <f t="shared" si="2"/>
        <v>1</v>
      </c>
      <c r="E31" s="114" t="str">
        <f t="shared" si="3"/>
        <v>3</v>
      </c>
      <c r="F31" s="114" t="str">
        <f t="shared" si="4"/>
        <v>03</v>
      </c>
      <c r="G31" s="114" t="str">
        <f t="shared" si="5"/>
        <v>3</v>
      </c>
      <c r="H31" s="114" t="str">
        <f t="shared" si="6"/>
        <v>0</v>
      </c>
      <c r="I31" s="115">
        <v>11130330</v>
      </c>
      <c r="J31" s="114" t="s">
        <v>2956</v>
      </c>
      <c r="K31" s="114" t="s">
        <v>2957</v>
      </c>
      <c r="L31" s="116"/>
      <c r="M31" s="114" t="s">
        <v>2878</v>
      </c>
      <c r="N31" s="114" t="s">
        <v>2879</v>
      </c>
      <c r="O31" s="114" t="s">
        <v>2878</v>
      </c>
      <c r="P31" s="117" t="s">
        <v>2880</v>
      </c>
    </row>
    <row r="32" spans="2:16" ht="122.25" hidden="1" customHeight="1" x14ac:dyDescent="0.25">
      <c r="B32" s="114" t="str">
        <f t="shared" si="0"/>
        <v>1</v>
      </c>
      <c r="C32" s="114" t="str">
        <f t="shared" si="1"/>
        <v>1</v>
      </c>
      <c r="D32" s="114" t="str">
        <f t="shared" si="2"/>
        <v>1</v>
      </c>
      <c r="E32" s="114" t="str">
        <f t="shared" si="3"/>
        <v>3</v>
      </c>
      <c r="F32" s="114" t="str">
        <f t="shared" si="4"/>
        <v>03</v>
      </c>
      <c r="G32" s="114" t="str">
        <f t="shared" si="5"/>
        <v>4</v>
      </c>
      <c r="H32" s="114" t="str">
        <f t="shared" si="6"/>
        <v>0</v>
      </c>
      <c r="I32" s="115">
        <v>11130340</v>
      </c>
      <c r="J32" s="114" t="s">
        <v>2964</v>
      </c>
      <c r="K32" s="114" t="s">
        <v>2965</v>
      </c>
      <c r="L32" s="116"/>
      <c r="M32" s="114" t="s">
        <v>2878</v>
      </c>
      <c r="N32" s="114" t="s">
        <v>2879</v>
      </c>
      <c r="O32" s="114" t="s">
        <v>2878</v>
      </c>
      <c r="P32" s="117" t="s">
        <v>2880</v>
      </c>
    </row>
    <row r="33" spans="2:16" ht="120" hidden="1" x14ac:dyDescent="0.25">
      <c r="B33" s="104" t="str">
        <f t="shared" si="0"/>
        <v>1</v>
      </c>
      <c r="C33" s="104" t="str">
        <f t="shared" si="1"/>
        <v>1</v>
      </c>
      <c r="D33" s="104" t="str">
        <f t="shared" si="2"/>
        <v>1</v>
      </c>
      <c r="E33" s="104" t="str">
        <f t="shared" si="3"/>
        <v>4</v>
      </c>
      <c r="F33" s="104" t="str">
        <f t="shared" si="4"/>
        <v>00</v>
      </c>
      <c r="G33" s="104" t="str">
        <f t="shared" si="5"/>
        <v>0</v>
      </c>
      <c r="H33" s="104" t="str">
        <f t="shared" si="6"/>
        <v>0</v>
      </c>
      <c r="I33" s="105">
        <v>11140000</v>
      </c>
      <c r="J33" s="104" t="s">
        <v>5047</v>
      </c>
      <c r="K33" s="104" t="s">
        <v>2972</v>
      </c>
      <c r="L33" s="106"/>
      <c r="M33" s="104" t="s">
        <v>2878</v>
      </c>
      <c r="N33" s="104" t="s">
        <v>4980</v>
      </c>
      <c r="O33" s="104" t="s">
        <v>2878</v>
      </c>
      <c r="P33" s="107" t="s">
        <v>2880</v>
      </c>
    </row>
    <row r="34" spans="2:16" ht="72.75" hidden="1" customHeight="1" x14ac:dyDescent="0.25">
      <c r="B34" s="108" t="str">
        <f t="shared" si="0"/>
        <v>1</v>
      </c>
      <c r="C34" s="108" t="str">
        <f t="shared" si="1"/>
        <v>1</v>
      </c>
      <c r="D34" s="108" t="str">
        <f t="shared" si="2"/>
        <v>1</v>
      </c>
      <c r="E34" s="108" t="str">
        <f t="shared" si="3"/>
        <v>4</v>
      </c>
      <c r="F34" s="108" t="str">
        <f t="shared" si="4"/>
        <v>01</v>
      </c>
      <c r="G34" s="108" t="str">
        <f t="shared" si="5"/>
        <v>0</v>
      </c>
      <c r="H34" s="108" t="str">
        <f t="shared" si="6"/>
        <v>0</v>
      </c>
      <c r="I34" s="109">
        <v>11140100</v>
      </c>
      <c r="J34" s="108" t="s">
        <v>2973</v>
      </c>
      <c r="K34" s="108" t="s">
        <v>2974</v>
      </c>
      <c r="L34" s="110"/>
      <c r="M34" s="108" t="s">
        <v>2878</v>
      </c>
      <c r="N34" s="108" t="s">
        <v>2879</v>
      </c>
      <c r="O34" s="108" t="s">
        <v>2878</v>
      </c>
      <c r="P34" s="111" t="s">
        <v>2880</v>
      </c>
    </row>
    <row r="35" spans="2:16" ht="45" hidden="1" x14ac:dyDescent="0.25">
      <c r="B35" s="114" t="str">
        <f t="shared" si="0"/>
        <v>1</v>
      </c>
      <c r="C35" s="114" t="str">
        <f t="shared" si="1"/>
        <v>1</v>
      </c>
      <c r="D35" s="114" t="str">
        <f t="shared" si="2"/>
        <v>1</v>
      </c>
      <c r="E35" s="114" t="str">
        <f t="shared" si="3"/>
        <v>4</v>
      </c>
      <c r="F35" s="114" t="str">
        <f t="shared" si="4"/>
        <v>01</v>
      </c>
      <c r="G35" s="114" t="str">
        <f t="shared" si="5"/>
        <v>1</v>
      </c>
      <c r="H35" s="114" t="str">
        <f t="shared" si="6"/>
        <v>0</v>
      </c>
      <c r="I35" s="115">
        <v>11140110</v>
      </c>
      <c r="J35" s="114" t="s">
        <v>2975</v>
      </c>
      <c r="K35" s="114" t="s">
        <v>2976</v>
      </c>
      <c r="L35" s="116"/>
      <c r="M35" s="114" t="s">
        <v>2878</v>
      </c>
      <c r="N35" s="114" t="s">
        <v>2879</v>
      </c>
      <c r="O35" s="114" t="s">
        <v>2878</v>
      </c>
      <c r="P35" s="117" t="s">
        <v>2880</v>
      </c>
    </row>
    <row r="36" spans="2:16" ht="78.75" hidden="1" customHeight="1" x14ac:dyDescent="0.25">
      <c r="B36" s="114" t="str">
        <f t="shared" si="0"/>
        <v>1</v>
      </c>
      <c r="C36" s="114" t="str">
        <f t="shared" si="1"/>
        <v>1</v>
      </c>
      <c r="D36" s="114" t="str">
        <f t="shared" si="2"/>
        <v>1</v>
      </c>
      <c r="E36" s="114" t="str">
        <f t="shared" si="3"/>
        <v>4</v>
      </c>
      <c r="F36" s="114" t="str">
        <f t="shared" si="4"/>
        <v>01</v>
      </c>
      <c r="G36" s="114" t="str">
        <f t="shared" si="5"/>
        <v>2</v>
      </c>
      <c r="H36" s="114" t="str">
        <f t="shared" si="6"/>
        <v>0</v>
      </c>
      <c r="I36" s="115">
        <v>11140120</v>
      </c>
      <c r="J36" s="114" t="s">
        <v>2984</v>
      </c>
      <c r="K36" s="114" t="s">
        <v>2985</v>
      </c>
      <c r="L36" s="116"/>
      <c r="M36" s="114" t="s">
        <v>2878</v>
      </c>
      <c r="N36" s="114" t="s">
        <v>2879</v>
      </c>
      <c r="O36" s="114" t="s">
        <v>2878</v>
      </c>
      <c r="P36" s="117" t="s">
        <v>2880</v>
      </c>
    </row>
    <row r="37" spans="2:16" ht="90" hidden="1" x14ac:dyDescent="0.25">
      <c r="B37" s="114" t="str">
        <f t="shared" si="0"/>
        <v>1</v>
      </c>
      <c r="C37" s="114" t="str">
        <f t="shared" si="1"/>
        <v>1</v>
      </c>
      <c r="D37" s="114" t="str">
        <f t="shared" si="2"/>
        <v>1</v>
      </c>
      <c r="E37" s="114" t="str">
        <f t="shared" si="3"/>
        <v>4</v>
      </c>
      <c r="F37" s="114" t="str">
        <f t="shared" si="4"/>
        <v>01</v>
      </c>
      <c r="G37" s="114" t="str">
        <f t="shared" si="5"/>
        <v>3</v>
      </c>
      <c r="H37" s="114" t="str">
        <f t="shared" si="6"/>
        <v>0</v>
      </c>
      <c r="I37" s="115">
        <v>11140130</v>
      </c>
      <c r="J37" s="114" t="s">
        <v>2987</v>
      </c>
      <c r="K37" s="114" t="s">
        <v>2988</v>
      </c>
      <c r="L37" s="116"/>
      <c r="M37" s="114" t="s">
        <v>2878</v>
      </c>
      <c r="N37" s="114" t="s">
        <v>2879</v>
      </c>
      <c r="O37" s="114" t="s">
        <v>2878</v>
      </c>
      <c r="P37" s="117" t="s">
        <v>2880</v>
      </c>
    </row>
    <row r="38" spans="2:16" ht="45" hidden="1" x14ac:dyDescent="0.25">
      <c r="B38" s="114" t="str">
        <f t="shared" si="0"/>
        <v>1</v>
      </c>
      <c r="C38" s="114" t="str">
        <f t="shared" si="1"/>
        <v>1</v>
      </c>
      <c r="D38" s="114" t="str">
        <f t="shared" si="2"/>
        <v>1</v>
      </c>
      <c r="E38" s="114" t="str">
        <f t="shared" si="3"/>
        <v>4</v>
      </c>
      <c r="F38" s="114" t="str">
        <f t="shared" si="4"/>
        <v>01</v>
      </c>
      <c r="G38" s="114" t="str">
        <f t="shared" si="5"/>
        <v>4</v>
      </c>
      <c r="H38" s="114" t="str">
        <f t="shared" si="6"/>
        <v>0</v>
      </c>
      <c r="I38" s="115">
        <v>11140140</v>
      </c>
      <c r="J38" s="114" t="s">
        <v>2994</v>
      </c>
      <c r="K38" s="114" t="s">
        <v>2995</v>
      </c>
      <c r="L38" s="116"/>
      <c r="M38" s="114" t="s">
        <v>2878</v>
      </c>
      <c r="N38" s="114" t="s">
        <v>2879</v>
      </c>
      <c r="O38" s="114" t="s">
        <v>2878</v>
      </c>
      <c r="P38" s="117" t="s">
        <v>2880</v>
      </c>
    </row>
    <row r="39" spans="2:16" ht="45" hidden="1" x14ac:dyDescent="0.25">
      <c r="B39" s="114" t="str">
        <f t="shared" si="0"/>
        <v>1</v>
      </c>
      <c r="C39" s="114" t="str">
        <f t="shared" si="1"/>
        <v>1</v>
      </c>
      <c r="D39" s="114" t="str">
        <f t="shared" si="2"/>
        <v>1</v>
      </c>
      <c r="E39" s="114" t="str">
        <f t="shared" si="3"/>
        <v>4</v>
      </c>
      <c r="F39" s="114" t="str">
        <f t="shared" si="4"/>
        <v>01</v>
      </c>
      <c r="G39" s="114" t="str">
        <f t="shared" si="5"/>
        <v>5</v>
      </c>
      <c r="H39" s="114" t="str">
        <f t="shared" si="6"/>
        <v>0</v>
      </c>
      <c r="I39" s="115">
        <v>11140150</v>
      </c>
      <c r="J39" s="114" t="s">
        <v>3001</v>
      </c>
      <c r="K39" s="114" t="s">
        <v>3002</v>
      </c>
      <c r="L39" s="116"/>
      <c r="M39" s="114" t="s">
        <v>2878</v>
      </c>
      <c r="N39" s="114" t="s">
        <v>2879</v>
      </c>
      <c r="O39" s="114" t="s">
        <v>2878</v>
      </c>
      <c r="P39" s="117" t="s">
        <v>2880</v>
      </c>
    </row>
    <row r="40" spans="2:16" ht="30" hidden="1" x14ac:dyDescent="0.25">
      <c r="B40" s="104" t="str">
        <f t="shared" si="0"/>
        <v>1</v>
      </c>
      <c r="C40" s="104" t="str">
        <f t="shared" si="1"/>
        <v>1</v>
      </c>
      <c r="D40" s="104" t="str">
        <f t="shared" si="2"/>
        <v>1</v>
      </c>
      <c r="E40" s="104" t="str">
        <f t="shared" si="3"/>
        <v>5</v>
      </c>
      <c r="F40" s="104" t="str">
        <f t="shared" si="4"/>
        <v>00</v>
      </c>
      <c r="G40" s="104" t="str">
        <f t="shared" si="5"/>
        <v>0</v>
      </c>
      <c r="H40" s="104" t="str">
        <f t="shared" si="6"/>
        <v>0</v>
      </c>
      <c r="I40" s="105">
        <v>11150000</v>
      </c>
      <c r="J40" s="104" t="s">
        <v>3008</v>
      </c>
      <c r="K40" s="104" t="s">
        <v>3009</v>
      </c>
      <c r="L40" s="106"/>
      <c r="M40" s="104" t="s">
        <v>2878</v>
      </c>
      <c r="N40" s="104" t="s">
        <v>2879</v>
      </c>
      <c r="O40" s="104" t="s">
        <v>2878</v>
      </c>
      <c r="P40" s="107" t="s">
        <v>2880</v>
      </c>
    </row>
    <row r="41" spans="2:16" ht="30" hidden="1" x14ac:dyDescent="0.25">
      <c r="B41" s="108" t="str">
        <f t="shared" si="0"/>
        <v>1</v>
      </c>
      <c r="C41" s="108" t="str">
        <f t="shared" si="1"/>
        <v>1</v>
      </c>
      <c r="D41" s="108" t="str">
        <f t="shared" si="2"/>
        <v>1</v>
      </c>
      <c r="E41" s="108" t="str">
        <f t="shared" si="3"/>
        <v>5</v>
      </c>
      <c r="F41" s="108" t="str">
        <f t="shared" si="4"/>
        <v>01</v>
      </c>
      <c r="G41" s="108" t="str">
        <f t="shared" si="5"/>
        <v>0</v>
      </c>
      <c r="H41" s="108" t="str">
        <f t="shared" si="6"/>
        <v>0</v>
      </c>
      <c r="I41" s="109">
        <v>11150100</v>
      </c>
      <c r="J41" s="108" t="s">
        <v>3010</v>
      </c>
      <c r="K41" s="108" t="s">
        <v>3009</v>
      </c>
      <c r="L41" s="110"/>
      <c r="M41" s="108" t="s">
        <v>2878</v>
      </c>
      <c r="N41" s="108" t="s">
        <v>2879</v>
      </c>
      <c r="O41" s="108" t="s">
        <v>2878</v>
      </c>
      <c r="P41" s="111" t="s">
        <v>2880</v>
      </c>
    </row>
    <row r="42" spans="2:16" ht="75" hidden="1" x14ac:dyDescent="0.25">
      <c r="B42" s="114" t="str">
        <f t="shared" si="0"/>
        <v>1</v>
      </c>
      <c r="C42" s="114" t="str">
        <f t="shared" si="1"/>
        <v>1</v>
      </c>
      <c r="D42" s="114" t="str">
        <f t="shared" si="2"/>
        <v>1</v>
      </c>
      <c r="E42" s="114" t="str">
        <f t="shared" si="3"/>
        <v>5</v>
      </c>
      <c r="F42" s="114" t="str">
        <f t="shared" si="4"/>
        <v>01</v>
      </c>
      <c r="G42" s="114" t="str">
        <f t="shared" si="5"/>
        <v>1</v>
      </c>
      <c r="H42" s="114" t="str">
        <f t="shared" si="6"/>
        <v>0</v>
      </c>
      <c r="I42" s="115">
        <v>11150110</v>
      </c>
      <c r="J42" s="114" t="s">
        <v>3011</v>
      </c>
      <c r="K42" s="114" t="s">
        <v>3012</v>
      </c>
      <c r="L42" s="116"/>
      <c r="M42" s="114" t="s">
        <v>2878</v>
      </c>
      <c r="N42" s="114" t="s">
        <v>2879</v>
      </c>
      <c r="O42" s="114" t="s">
        <v>2878</v>
      </c>
      <c r="P42" s="117" t="s">
        <v>2880</v>
      </c>
    </row>
    <row r="43" spans="2:16" ht="231.75" hidden="1" customHeight="1" x14ac:dyDescent="0.25">
      <c r="B43" s="114" t="str">
        <f t="shared" si="0"/>
        <v>1</v>
      </c>
      <c r="C43" s="114" t="str">
        <f t="shared" si="1"/>
        <v>1</v>
      </c>
      <c r="D43" s="114" t="str">
        <f t="shared" si="2"/>
        <v>1</v>
      </c>
      <c r="E43" s="114" t="str">
        <f t="shared" si="3"/>
        <v>5</v>
      </c>
      <c r="F43" s="114" t="str">
        <f t="shared" si="4"/>
        <v>01</v>
      </c>
      <c r="G43" s="114" t="str">
        <f t="shared" si="5"/>
        <v>2</v>
      </c>
      <c r="H43" s="114" t="str">
        <f t="shared" si="6"/>
        <v>0</v>
      </c>
      <c r="I43" s="115">
        <v>11150120</v>
      </c>
      <c r="J43" s="114" t="s">
        <v>3020</v>
      </c>
      <c r="K43" s="114" t="s">
        <v>3021</v>
      </c>
      <c r="L43" s="116"/>
      <c r="M43" s="114" t="s">
        <v>2878</v>
      </c>
      <c r="N43" s="114" t="s">
        <v>2879</v>
      </c>
      <c r="O43" s="114" t="s">
        <v>2878</v>
      </c>
      <c r="P43" s="117" t="s">
        <v>2880</v>
      </c>
    </row>
    <row r="44" spans="2:16" s="153" customFormat="1" ht="30" x14ac:dyDescent="0.25">
      <c r="B44" s="155" t="str">
        <f t="shared" si="0"/>
        <v>1</v>
      </c>
      <c r="C44" s="155" t="str">
        <f t="shared" si="1"/>
        <v>1</v>
      </c>
      <c r="D44" s="155" t="str">
        <f t="shared" si="2"/>
        <v>1</v>
      </c>
      <c r="E44" s="155" t="str">
        <f t="shared" si="3"/>
        <v>8</v>
      </c>
      <c r="F44" s="155" t="str">
        <f t="shared" si="4"/>
        <v>00</v>
      </c>
      <c r="G44" s="155" t="str">
        <f t="shared" si="5"/>
        <v>0</v>
      </c>
      <c r="H44" s="155" t="str">
        <f t="shared" si="6"/>
        <v>0</v>
      </c>
      <c r="I44" s="161">
        <v>11180000</v>
      </c>
      <c r="J44" s="155" t="s">
        <v>5020</v>
      </c>
      <c r="K44" s="155" t="s">
        <v>4976</v>
      </c>
      <c r="L44" s="106"/>
      <c r="M44" s="155" t="s">
        <v>2878</v>
      </c>
      <c r="N44" s="155"/>
      <c r="O44" s="155" t="s">
        <v>5018</v>
      </c>
      <c r="P44" s="162" t="s">
        <v>2880</v>
      </c>
    </row>
    <row r="45" spans="2:16" s="153" customFormat="1" ht="30" x14ac:dyDescent="0.25">
      <c r="B45" s="113" t="str">
        <f t="shared" si="0"/>
        <v>1</v>
      </c>
      <c r="C45" s="113" t="str">
        <f t="shared" si="1"/>
        <v>1</v>
      </c>
      <c r="D45" s="113" t="str">
        <f t="shared" si="2"/>
        <v>1</v>
      </c>
      <c r="E45" s="113" t="str">
        <f t="shared" si="3"/>
        <v>8</v>
      </c>
      <c r="F45" s="113" t="str">
        <f t="shared" si="4"/>
        <v>01</v>
      </c>
      <c r="G45" s="113" t="str">
        <f t="shared" si="5"/>
        <v>0</v>
      </c>
      <c r="H45" s="113" t="str">
        <f t="shared" si="6"/>
        <v>0</v>
      </c>
      <c r="I45" s="112">
        <v>11180100</v>
      </c>
      <c r="J45" s="113" t="s">
        <v>4893</v>
      </c>
      <c r="K45" s="113" t="s">
        <v>4977</v>
      </c>
      <c r="L45" s="110"/>
      <c r="M45" s="113" t="s">
        <v>2878</v>
      </c>
      <c r="N45" s="113"/>
      <c r="O45" s="113"/>
      <c r="P45" s="163" t="s">
        <v>2880</v>
      </c>
    </row>
    <row r="46" spans="2:16" s="153" customFormat="1" ht="60" x14ac:dyDescent="0.25">
      <c r="B46" s="130" t="str">
        <f t="shared" si="0"/>
        <v>1</v>
      </c>
      <c r="C46" s="130" t="str">
        <f t="shared" si="1"/>
        <v>1</v>
      </c>
      <c r="D46" s="130" t="str">
        <f t="shared" si="2"/>
        <v>1</v>
      </c>
      <c r="E46" s="130" t="str">
        <f t="shared" si="3"/>
        <v>8</v>
      </c>
      <c r="F46" s="130" t="str">
        <f t="shared" si="4"/>
        <v>01</v>
      </c>
      <c r="G46" s="130" t="str">
        <f t="shared" si="5"/>
        <v>1</v>
      </c>
      <c r="H46" s="130" t="str">
        <f t="shared" si="6"/>
        <v>0</v>
      </c>
      <c r="I46" s="129">
        <v>11180110</v>
      </c>
      <c r="J46" s="130" t="s">
        <v>53</v>
      </c>
      <c r="K46" s="130" t="s">
        <v>54</v>
      </c>
      <c r="L46" s="116"/>
      <c r="M46" s="130"/>
      <c r="N46" s="130"/>
      <c r="O46" s="130"/>
      <c r="P46" s="152" t="s">
        <v>2880</v>
      </c>
    </row>
    <row r="47" spans="2:16" s="153" customFormat="1" ht="45" x14ac:dyDescent="0.25">
      <c r="B47" s="130" t="str">
        <f t="shared" si="0"/>
        <v>1</v>
      </c>
      <c r="C47" s="130" t="str">
        <f t="shared" si="1"/>
        <v>1</v>
      </c>
      <c r="D47" s="130" t="str">
        <f t="shared" si="2"/>
        <v>1</v>
      </c>
      <c r="E47" s="130" t="str">
        <f t="shared" si="3"/>
        <v>8</v>
      </c>
      <c r="F47" s="130" t="str">
        <f t="shared" si="4"/>
        <v>01</v>
      </c>
      <c r="G47" s="130" t="str">
        <f t="shared" si="5"/>
        <v>2</v>
      </c>
      <c r="H47" s="130" t="str">
        <f t="shared" si="6"/>
        <v>0</v>
      </c>
      <c r="I47" s="129">
        <v>11180120</v>
      </c>
      <c r="J47" s="130" t="s">
        <v>77</v>
      </c>
      <c r="K47" s="130" t="s">
        <v>78</v>
      </c>
      <c r="L47" s="116"/>
      <c r="M47" s="130"/>
      <c r="N47" s="130"/>
      <c r="O47" s="130"/>
      <c r="P47" s="152" t="s">
        <v>2880</v>
      </c>
    </row>
    <row r="48" spans="2:16" s="153" customFormat="1" ht="75" x14ac:dyDescent="0.25">
      <c r="B48" s="130" t="str">
        <f t="shared" si="0"/>
        <v>1</v>
      </c>
      <c r="C48" s="130" t="str">
        <f t="shared" si="1"/>
        <v>1</v>
      </c>
      <c r="D48" s="130" t="str">
        <f t="shared" si="2"/>
        <v>1</v>
      </c>
      <c r="E48" s="130" t="str">
        <f t="shared" si="3"/>
        <v>8</v>
      </c>
      <c r="F48" s="130" t="str">
        <f t="shared" si="4"/>
        <v>01</v>
      </c>
      <c r="G48" s="130" t="str">
        <f t="shared" si="5"/>
        <v>3</v>
      </c>
      <c r="H48" s="130" t="str">
        <f t="shared" si="6"/>
        <v>0</v>
      </c>
      <c r="I48" s="129">
        <v>11180130</v>
      </c>
      <c r="J48" s="130" t="s">
        <v>79</v>
      </c>
      <c r="K48" s="130" t="s">
        <v>80</v>
      </c>
      <c r="L48" s="116"/>
      <c r="M48" s="130"/>
      <c r="N48" s="130"/>
      <c r="O48" s="130"/>
      <c r="P48" s="152" t="s">
        <v>2880</v>
      </c>
    </row>
    <row r="49" spans="2:16" s="153" customFormat="1" ht="75" x14ac:dyDescent="0.25">
      <c r="B49" s="130" t="str">
        <f t="shared" si="0"/>
        <v>1</v>
      </c>
      <c r="C49" s="130" t="str">
        <f t="shared" si="1"/>
        <v>1</v>
      </c>
      <c r="D49" s="130" t="str">
        <f t="shared" si="2"/>
        <v>1</v>
      </c>
      <c r="E49" s="130" t="str">
        <f t="shared" si="3"/>
        <v>8</v>
      </c>
      <c r="F49" s="130" t="str">
        <f t="shared" si="4"/>
        <v>01</v>
      </c>
      <c r="G49" s="130" t="str">
        <f t="shared" si="5"/>
        <v>4</v>
      </c>
      <c r="H49" s="130" t="str">
        <f t="shared" si="6"/>
        <v>0</v>
      </c>
      <c r="I49" s="129">
        <v>11180140</v>
      </c>
      <c r="J49" s="130" t="s">
        <v>81</v>
      </c>
      <c r="K49" s="130" t="s">
        <v>82</v>
      </c>
      <c r="L49" s="116"/>
      <c r="M49" s="130"/>
      <c r="N49" s="130"/>
      <c r="O49" s="130"/>
      <c r="P49" s="152" t="s">
        <v>2880</v>
      </c>
    </row>
    <row r="50" spans="2:16" s="153" customFormat="1" ht="45" x14ac:dyDescent="0.25">
      <c r="B50" s="113" t="str">
        <f t="shared" si="0"/>
        <v>1</v>
      </c>
      <c r="C50" s="113" t="str">
        <f t="shared" si="1"/>
        <v>1</v>
      </c>
      <c r="D50" s="113" t="str">
        <f t="shared" si="2"/>
        <v>1</v>
      </c>
      <c r="E50" s="113" t="str">
        <f t="shared" si="3"/>
        <v>8</v>
      </c>
      <c r="F50" s="113" t="str">
        <f t="shared" si="4"/>
        <v>02</v>
      </c>
      <c r="G50" s="113" t="str">
        <f t="shared" si="5"/>
        <v>0</v>
      </c>
      <c r="H50" s="113" t="str">
        <f t="shared" si="6"/>
        <v>0</v>
      </c>
      <c r="I50" s="112">
        <v>11180200</v>
      </c>
      <c r="J50" s="113" t="s">
        <v>5047</v>
      </c>
      <c r="K50" s="113" t="s">
        <v>4978</v>
      </c>
      <c r="L50" s="110"/>
      <c r="M50" s="113" t="s">
        <v>2878</v>
      </c>
      <c r="N50" s="113"/>
      <c r="O50" s="113"/>
      <c r="P50" s="163" t="s">
        <v>2880</v>
      </c>
    </row>
    <row r="51" spans="2:16" s="153" customFormat="1" ht="90" x14ac:dyDescent="0.25">
      <c r="B51" s="130" t="str">
        <f t="shared" si="0"/>
        <v>1</v>
      </c>
      <c r="C51" s="130" t="str">
        <f t="shared" si="1"/>
        <v>1</v>
      </c>
      <c r="D51" s="130" t="str">
        <f t="shared" si="2"/>
        <v>1</v>
      </c>
      <c r="E51" s="130" t="str">
        <f t="shared" si="3"/>
        <v>8</v>
      </c>
      <c r="F51" s="130" t="str">
        <f t="shared" si="4"/>
        <v>02</v>
      </c>
      <c r="G51" s="130" t="str">
        <f t="shared" si="5"/>
        <v>1</v>
      </c>
      <c r="H51" s="130" t="str">
        <f t="shared" si="6"/>
        <v>0</v>
      </c>
      <c r="I51" s="129">
        <v>11180210</v>
      </c>
      <c r="J51" s="130" t="s">
        <v>101</v>
      </c>
      <c r="K51" s="130" t="s">
        <v>102</v>
      </c>
      <c r="L51" s="116"/>
      <c r="M51" s="130"/>
      <c r="N51" s="130"/>
      <c r="O51" s="130"/>
      <c r="P51" s="152" t="s">
        <v>2880</v>
      </c>
    </row>
    <row r="52" spans="2:16" s="153" customFormat="1" ht="90" x14ac:dyDescent="0.25">
      <c r="B52" s="130" t="str">
        <f t="shared" si="0"/>
        <v>1</v>
      </c>
      <c r="C52" s="130" t="str">
        <f t="shared" si="1"/>
        <v>1</v>
      </c>
      <c r="D52" s="130" t="str">
        <f t="shared" si="2"/>
        <v>1</v>
      </c>
      <c r="E52" s="130" t="str">
        <f t="shared" si="3"/>
        <v>8</v>
      </c>
      <c r="F52" s="130" t="str">
        <f t="shared" si="4"/>
        <v>02</v>
      </c>
      <c r="G52" s="130" t="str">
        <f t="shared" si="5"/>
        <v>2</v>
      </c>
      <c r="H52" s="130" t="str">
        <f t="shared" si="6"/>
        <v>0</v>
      </c>
      <c r="I52" s="129">
        <v>11180220</v>
      </c>
      <c r="J52" s="130" t="s">
        <v>104</v>
      </c>
      <c r="K52" s="130" t="s">
        <v>105</v>
      </c>
      <c r="L52" s="116"/>
      <c r="M52" s="130"/>
      <c r="N52" s="130"/>
      <c r="O52" s="130"/>
      <c r="P52" s="152" t="s">
        <v>2880</v>
      </c>
    </row>
    <row r="53" spans="2:16" s="153" customFormat="1" ht="60" x14ac:dyDescent="0.25">
      <c r="B53" s="130" t="str">
        <f t="shared" si="0"/>
        <v>1</v>
      </c>
      <c r="C53" s="130" t="str">
        <f t="shared" si="1"/>
        <v>1</v>
      </c>
      <c r="D53" s="130" t="str">
        <f t="shared" si="2"/>
        <v>1</v>
      </c>
      <c r="E53" s="130" t="str">
        <f t="shared" si="3"/>
        <v>8</v>
      </c>
      <c r="F53" s="130" t="str">
        <f t="shared" si="4"/>
        <v>02</v>
      </c>
      <c r="G53" s="130" t="str">
        <f t="shared" si="5"/>
        <v>3</v>
      </c>
      <c r="H53" s="130" t="str">
        <f t="shared" si="6"/>
        <v>0</v>
      </c>
      <c r="I53" s="129">
        <v>11180230</v>
      </c>
      <c r="J53" s="130" t="s">
        <v>116</v>
      </c>
      <c r="K53" s="130" t="s">
        <v>117</v>
      </c>
      <c r="L53" s="116"/>
      <c r="M53" s="130"/>
      <c r="N53" s="130"/>
      <c r="O53" s="130"/>
      <c r="P53" s="152" t="s">
        <v>2880</v>
      </c>
    </row>
    <row r="54" spans="2:16" s="153" customFormat="1" ht="60" x14ac:dyDescent="0.25">
      <c r="B54" s="130" t="str">
        <f t="shared" si="0"/>
        <v>1</v>
      </c>
      <c r="C54" s="130" t="str">
        <f t="shared" si="1"/>
        <v>1</v>
      </c>
      <c r="D54" s="130" t="str">
        <f t="shared" si="2"/>
        <v>1</v>
      </c>
      <c r="E54" s="130" t="str">
        <f t="shared" si="3"/>
        <v>8</v>
      </c>
      <c r="F54" s="130" t="str">
        <f t="shared" si="4"/>
        <v>02</v>
      </c>
      <c r="G54" s="130" t="str">
        <f t="shared" si="5"/>
        <v>4</v>
      </c>
      <c r="H54" s="130" t="str">
        <f t="shared" si="6"/>
        <v>0</v>
      </c>
      <c r="I54" s="129">
        <v>11180240</v>
      </c>
      <c r="J54" s="130" t="s">
        <v>119</v>
      </c>
      <c r="K54" s="130" t="s">
        <v>120</v>
      </c>
      <c r="L54" s="116"/>
      <c r="M54" s="130"/>
      <c r="N54" s="130"/>
      <c r="O54" s="130"/>
      <c r="P54" s="152" t="s">
        <v>2880</v>
      </c>
    </row>
    <row r="55" spans="2:16" s="153" customFormat="1" ht="75" x14ac:dyDescent="0.25">
      <c r="B55" s="130" t="str">
        <f t="shared" si="0"/>
        <v>1</v>
      </c>
      <c r="C55" s="130" t="str">
        <f t="shared" si="1"/>
        <v>1</v>
      </c>
      <c r="D55" s="130" t="str">
        <f t="shared" si="2"/>
        <v>1</v>
      </c>
      <c r="E55" s="130" t="str">
        <f t="shared" si="3"/>
        <v>8</v>
      </c>
      <c r="F55" s="130" t="str">
        <f t="shared" si="4"/>
        <v>02</v>
      </c>
      <c r="G55" s="130" t="str">
        <f t="shared" si="5"/>
        <v>5</v>
      </c>
      <c r="H55" s="130" t="str">
        <f t="shared" si="6"/>
        <v>0</v>
      </c>
      <c r="I55" s="129">
        <v>11180250</v>
      </c>
      <c r="J55" s="130" t="s">
        <v>5070</v>
      </c>
      <c r="K55" s="130" t="s">
        <v>5071</v>
      </c>
      <c r="L55" s="116"/>
      <c r="M55" s="130" t="s">
        <v>2878</v>
      </c>
      <c r="N55" s="130"/>
      <c r="O55" s="130"/>
      <c r="P55" s="152" t="s">
        <v>2880</v>
      </c>
    </row>
    <row r="56" spans="2:16" ht="30" hidden="1" x14ac:dyDescent="0.25">
      <c r="B56" s="104" t="str">
        <f t="shared" si="0"/>
        <v>1</v>
      </c>
      <c r="C56" s="104" t="str">
        <f t="shared" si="1"/>
        <v>1</v>
      </c>
      <c r="D56" s="104" t="str">
        <f t="shared" si="2"/>
        <v>1</v>
      </c>
      <c r="E56" s="104" t="str">
        <f t="shared" si="3"/>
        <v>9</v>
      </c>
      <c r="F56" s="104" t="str">
        <f t="shared" si="4"/>
        <v>00</v>
      </c>
      <c r="G56" s="104" t="str">
        <f t="shared" si="5"/>
        <v>0</v>
      </c>
      <c r="H56" s="104" t="str">
        <f t="shared" si="6"/>
        <v>0</v>
      </c>
      <c r="I56" s="105">
        <v>11190000</v>
      </c>
      <c r="J56" s="104" t="s">
        <v>3029</v>
      </c>
      <c r="K56" s="104" t="s">
        <v>3030</v>
      </c>
      <c r="L56" s="106"/>
      <c r="M56" s="104" t="s">
        <v>2878</v>
      </c>
      <c r="N56" s="104" t="s">
        <v>2879</v>
      </c>
      <c r="O56" s="104" t="s">
        <v>2878</v>
      </c>
      <c r="P56" s="107" t="s">
        <v>2880</v>
      </c>
    </row>
    <row r="57" spans="2:16" ht="30" hidden="1" x14ac:dyDescent="0.25">
      <c r="B57" s="108" t="str">
        <f t="shared" si="0"/>
        <v>1</v>
      </c>
      <c r="C57" s="108" t="str">
        <f t="shared" si="1"/>
        <v>1</v>
      </c>
      <c r="D57" s="108" t="str">
        <f t="shared" si="2"/>
        <v>1</v>
      </c>
      <c r="E57" s="108" t="str">
        <f t="shared" si="3"/>
        <v>9</v>
      </c>
      <c r="F57" s="108" t="str">
        <f t="shared" si="4"/>
        <v>01</v>
      </c>
      <c r="G57" s="108" t="str">
        <f t="shared" si="5"/>
        <v>0</v>
      </c>
      <c r="H57" s="108" t="str">
        <f t="shared" si="6"/>
        <v>0</v>
      </c>
      <c r="I57" s="109">
        <v>11190100</v>
      </c>
      <c r="J57" s="108" t="s">
        <v>3029</v>
      </c>
      <c r="K57" s="108" t="s">
        <v>3030</v>
      </c>
      <c r="L57" s="110"/>
      <c r="M57" s="108" t="s">
        <v>2878</v>
      </c>
      <c r="N57" s="108" t="s">
        <v>2879</v>
      </c>
      <c r="O57" s="108" t="s">
        <v>2878</v>
      </c>
      <c r="P57" s="111" t="s">
        <v>2880</v>
      </c>
    </row>
    <row r="58" spans="2:16" ht="30" hidden="1" x14ac:dyDescent="0.25">
      <c r="B58" s="114" t="str">
        <f t="shared" si="0"/>
        <v>1</v>
      </c>
      <c r="C58" s="114" t="str">
        <f t="shared" si="1"/>
        <v>1</v>
      </c>
      <c r="D58" s="114" t="str">
        <f t="shared" si="2"/>
        <v>1</v>
      </c>
      <c r="E58" s="114" t="str">
        <f t="shared" si="3"/>
        <v>9</v>
      </c>
      <c r="F58" s="114" t="str">
        <f t="shared" si="4"/>
        <v>01</v>
      </c>
      <c r="G58" s="114" t="str">
        <f t="shared" si="5"/>
        <v>1</v>
      </c>
      <c r="H58" s="114" t="str">
        <f t="shared" si="6"/>
        <v>0</v>
      </c>
      <c r="I58" s="115">
        <v>11190110</v>
      </c>
      <c r="J58" s="114" t="s">
        <v>3029</v>
      </c>
      <c r="K58" s="114" t="s">
        <v>3030</v>
      </c>
      <c r="L58" s="116"/>
      <c r="M58" s="114" t="s">
        <v>2878</v>
      </c>
      <c r="N58" s="114" t="s">
        <v>2879</v>
      </c>
      <c r="O58" s="114" t="s">
        <v>2878</v>
      </c>
      <c r="P58" s="117" t="s">
        <v>2880</v>
      </c>
    </row>
    <row r="59" spans="2:16" ht="45" hidden="1" x14ac:dyDescent="0.25">
      <c r="B59" s="126" t="str">
        <f t="shared" si="0"/>
        <v>1</v>
      </c>
      <c r="C59" s="126" t="str">
        <f t="shared" si="1"/>
        <v>1</v>
      </c>
      <c r="D59" s="126" t="str">
        <f t="shared" si="2"/>
        <v>2</v>
      </c>
      <c r="E59" s="126" t="str">
        <f t="shared" si="3"/>
        <v>0</v>
      </c>
      <c r="F59" s="126" t="str">
        <f t="shared" si="4"/>
        <v>00</v>
      </c>
      <c r="G59" s="126" t="str">
        <f t="shared" si="5"/>
        <v>0</v>
      </c>
      <c r="H59" s="126" t="str">
        <f t="shared" si="6"/>
        <v>0</v>
      </c>
      <c r="I59" s="127">
        <v>11200000</v>
      </c>
      <c r="J59" s="126" t="s">
        <v>123</v>
      </c>
      <c r="K59" s="126" t="s">
        <v>3038</v>
      </c>
      <c r="L59" s="122"/>
      <c r="M59" s="126" t="s">
        <v>2878</v>
      </c>
      <c r="N59" s="126" t="s">
        <v>5016</v>
      </c>
      <c r="O59" s="126" t="s">
        <v>2878</v>
      </c>
      <c r="P59" s="128" t="s">
        <v>2880</v>
      </c>
    </row>
    <row r="60" spans="2:16" ht="30" hidden="1" x14ac:dyDescent="0.25">
      <c r="B60" s="104" t="str">
        <f t="shared" si="0"/>
        <v>1</v>
      </c>
      <c r="C60" s="104" t="str">
        <f t="shared" si="1"/>
        <v>1</v>
      </c>
      <c r="D60" s="104" t="str">
        <f t="shared" si="2"/>
        <v>2</v>
      </c>
      <c r="E60" s="104" t="str">
        <f t="shared" si="3"/>
        <v>1</v>
      </c>
      <c r="F60" s="104" t="str">
        <f t="shared" si="4"/>
        <v>00</v>
      </c>
      <c r="G60" s="104" t="str">
        <f t="shared" si="5"/>
        <v>0</v>
      </c>
      <c r="H60" s="104" t="str">
        <f t="shared" si="6"/>
        <v>0</v>
      </c>
      <c r="I60" s="105">
        <v>11210000</v>
      </c>
      <c r="J60" s="104" t="s">
        <v>125</v>
      </c>
      <c r="K60" s="104" t="s">
        <v>3039</v>
      </c>
      <c r="L60" s="106"/>
      <c r="M60" s="104" t="s">
        <v>2878</v>
      </c>
      <c r="N60" s="104" t="s">
        <v>2879</v>
      </c>
      <c r="O60" s="104" t="s">
        <v>2878</v>
      </c>
      <c r="P60" s="107" t="s">
        <v>2880</v>
      </c>
    </row>
    <row r="61" spans="2:16" ht="30" hidden="1" x14ac:dyDescent="0.25">
      <c r="B61" s="108" t="str">
        <f t="shared" si="0"/>
        <v>1</v>
      </c>
      <c r="C61" s="108" t="str">
        <f t="shared" si="1"/>
        <v>1</v>
      </c>
      <c r="D61" s="108" t="str">
        <f t="shared" si="2"/>
        <v>2</v>
      </c>
      <c r="E61" s="108" t="str">
        <f t="shared" si="3"/>
        <v>1</v>
      </c>
      <c r="F61" s="108" t="str">
        <f t="shared" si="4"/>
        <v>01</v>
      </c>
      <c r="G61" s="108" t="str">
        <f t="shared" si="5"/>
        <v>0</v>
      </c>
      <c r="H61" s="108" t="str">
        <f t="shared" si="6"/>
        <v>0</v>
      </c>
      <c r="I61" s="109">
        <v>11210100</v>
      </c>
      <c r="J61" s="108" t="s">
        <v>3040</v>
      </c>
      <c r="K61" s="108" t="s">
        <v>3039</v>
      </c>
      <c r="L61" s="110"/>
      <c r="M61" s="108" t="s">
        <v>2878</v>
      </c>
      <c r="N61" s="108" t="s">
        <v>2879</v>
      </c>
      <c r="O61" s="108" t="s">
        <v>2878</v>
      </c>
      <c r="P61" s="111" t="s">
        <v>2880</v>
      </c>
    </row>
    <row r="62" spans="2:16" ht="30" hidden="1" x14ac:dyDescent="0.25">
      <c r="B62" s="114" t="str">
        <f t="shared" si="0"/>
        <v>1</v>
      </c>
      <c r="C62" s="114" t="str">
        <f t="shared" si="1"/>
        <v>1</v>
      </c>
      <c r="D62" s="114" t="str">
        <f t="shared" si="2"/>
        <v>2</v>
      </c>
      <c r="E62" s="114" t="str">
        <f t="shared" si="3"/>
        <v>1</v>
      </c>
      <c r="F62" s="114" t="str">
        <f t="shared" si="4"/>
        <v>01</v>
      </c>
      <c r="G62" s="114" t="str">
        <f t="shared" si="5"/>
        <v>1</v>
      </c>
      <c r="H62" s="114" t="str">
        <f t="shared" si="6"/>
        <v>0</v>
      </c>
      <c r="I62" s="115">
        <v>11210110</v>
      </c>
      <c r="J62" s="114" t="s">
        <v>3040</v>
      </c>
      <c r="K62" s="114" t="s">
        <v>3041</v>
      </c>
      <c r="L62" s="116"/>
      <c r="M62" s="114" t="s">
        <v>2878</v>
      </c>
      <c r="N62" s="114" t="s">
        <v>2879</v>
      </c>
      <c r="O62" s="114" t="s">
        <v>2878</v>
      </c>
      <c r="P62" s="117" t="s">
        <v>2880</v>
      </c>
    </row>
    <row r="63" spans="2:16" ht="30" hidden="1" x14ac:dyDescent="0.25">
      <c r="B63" s="108" t="str">
        <f t="shared" si="0"/>
        <v>1</v>
      </c>
      <c r="C63" s="108" t="str">
        <f t="shared" si="1"/>
        <v>1</v>
      </c>
      <c r="D63" s="108" t="str">
        <f t="shared" si="2"/>
        <v>2</v>
      </c>
      <c r="E63" s="108" t="str">
        <f t="shared" si="3"/>
        <v>1</v>
      </c>
      <c r="F63" s="108" t="str">
        <f t="shared" si="4"/>
        <v>02</v>
      </c>
      <c r="G63" s="108" t="str">
        <f t="shared" si="5"/>
        <v>0</v>
      </c>
      <c r="H63" s="108" t="str">
        <f t="shared" si="6"/>
        <v>0</v>
      </c>
      <c r="I63" s="109">
        <v>11210200</v>
      </c>
      <c r="J63" s="108" t="s">
        <v>3049</v>
      </c>
      <c r="K63" s="108" t="s">
        <v>3050</v>
      </c>
      <c r="L63" s="110"/>
      <c r="M63" s="108" t="s">
        <v>2878</v>
      </c>
      <c r="N63" s="108" t="s">
        <v>2879</v>
      </c>
      <c r="O63" s="108" t="s">
        <v>2878</v>
      </c>
      <c r="P63" s="111" t="s">
        <v>2880</v>
      </c>
    </row>
    <row r="64" spans="2:16" ht="60" hidden="1" x14ac:dyDescent="0.25">
      <c r="B64" s="114" t="str">
        <f t="shared" si="0"/>
        <v>1</v>
      </c>
      <c r="C64" s="114" t="str">
        <f t="shared" si="1"/>
        <v>1</v>
      </c>
      <c r="D64" s="114" t="str">
        <f t="shared" si="2"/>
        <v>2</v>
      </c>
      <c r="E64" s="114" t="str">
        <f t="shared" si="3"/>
        <v>1</v>
      </c>
      <c r="F64" s="114" t="str">
        <f t="shared" si="4"/>
        <v>02</v>
      </c>
      <c r="G64" s="114" t="str">
        <f t="shared" si="5"/>
        <v>1</v>
      </c>
      <c r="H64" s="114" t="str">
        <f t="shared" si="6"/>
        <v>0</v>
      </c>
      <c r="I64" s="115">
        <v>11210210</v>
      </c>
      <c r="J64" s="114" t="s">
        <v>3051</v>
      </c>
      <c r="K64" s="114" t="s">
        <v>3052</v>
      </c>
      <c r="L64" s="116"/>
      <c r="M64" s="114" t="s">
        <v>2878</v>
      </c>
      <c r="N64" s="114" t="s">
        <v>2879</v>
      </c>
      <c r="O64" s="114" t="s">
        <v>2878</v>
      </c>
      <c r="P64" s="117" t="s">
        <v>2880</v>
      </c>
    </row>
    <row r="65" spans="2:16" ht="60" hidden="1" x14ac:dyDescent="0.25">
      <c r="B65" s="114" t="str">
        <f t="shared" si="0"/>
        <v>1</v>
      </c>
      <c r="C65" s="114" t="str">
        <f t="shared" si="1"/>
        <v>1</v>
      </c>
      <c r="D65" s="114" t="str">
        <f t="shared" si="2"/>
        <v>2</v>
      </c>
      <c r="E65" s="114" t="str">
        <f t="shared" si="3"/>
        <v>1</v>
      </c>
      <c r="F65" s="114" t="str">
        <f t="shared" si="4"/>
        <v>02</v>
      </c>
      <c r="G65" s="114" t="str">
        <f t="shared" si="5"/>
        <v>2</v>
      </c>
      <c r="H65" s="114" t="str">
        <f t="shared" si="6"/>
        <v>0</v>
      </c>
      <c r="I65" s="115">
        <v>11210220</v>
      </c>
      <c r="J65" s="114" t="s">
        <v>3060</v>
      </c>
      <c r="K65" s="114" t="s">
        <v>3061</v>
      </c>
      <c r="L65" s="116"/>
      <c r="M65" s="114" t="s">
        <v>2878</v>
      </c>
      <c r="N65" s="114" t="s">
        <v>2879</v>
      </c>
      <c r="O65" s="114" t="s">
        <v>2878</v>
      </c>
      <c r="P65" s="117" t="s">
        <v>2880</v>
      </c>
    </row>
    <row r="66" spans="2:16" ht="30" hidden="1" x14ac:dyDescent="0.25">
      <c r="B66" s="108" t="str">
        <f t="shared" si="0"/>
        <v>1</v>
      </c>
      <c r="C66" s="108" t="str">
        <f t="shared" si="1"/>
        <v>1</v>
      </c>
      <c r="D66" s="108" t="str">
        <f t="shared" si="2"/>
        <v>2</v>
      </c>
      <c r="E66" s="108" t="str">
        <f t="shared" si="3"/>
        <v>1</v>
      </c>
      <c r="F66" s="108" t="str">
        <f t="shared" si="4"/>
        <v>03</v>
      </c>
      <c r="G66" s="108" t="str">
        <f t="shared" si="5"/>
        <v>0</v>
      </c>
      <c r="H66" s="108" t="str">
        <f t="shared" si="6"/>
        <v>0</v>
      </c>
      <c r="I66" s="109">
        <v>11210300</v>
      </c>
      <c r="J66" s="108" t="s">
        <v>135</v>
      </c>
      <c r="K66" s="108" t="s">
        <v>3067</v>
      </c>
      <c r="L66" s="110"/>
      <c r="M66" s="108" t="s">
        <v>2878</v>
      </c>
      <c r="N66" s="108" t="s">
        <v>2879</v>
      </c>
      <c r="O66" s="108" t="s">
        <v>2878</v>
      </c>
      <c r="P66" s="111" t="s">
        <v>2880</v>
      </c>
    </row>
    <row r="67" spans="2:16" ht="30" hidden="1" x14ac:dyDescent="0.25">
      <c r="B67" s="114" t="str">
        <f t="shared" ref="B67:B299" si="7">MID($I67,1,1)</f>
        <v>1</v>
      </c>
      <c r="C67" s="114" t="str">
        <f t="shared" ref="C67:C299" si="8">MID($I67,2,1)</f>
        <v>1</v>
      </c>
      <c r="D67" s="114" t="str">
        <f t="shared" ref="D67:D299" si="9">MID($I67,3,1)</f>
        <v>2</v>
      </c>
      <c r="E67" s="114" t="str">
        <f t="shared" ref="E67:E299" si="10">MID($I67,4,1)</f>
        <v>1</v>
      </c>
      <c r="F67" s="114" t="str">
        <f t="shared" ref="F67:F299" si="11">MID($I67,5,2)</f>
        <v>03</v>
      </c>
      <c r="G67" s="114" t="str">
        <f t="shared" ref="G67:G299" si="12">MID($I67,7,1)</f>
        <v>1</v>
      </c>
      <c r="H67" s="114" t="str">
        <f t="shared" ref="H67:H299" si="13">MID($I67,8,1)</f>
        <v>0</v>
      </c>
      <c r="I67" s="115">
        <v>11210310</v>
      </c>
      <c r="J67" s="114" t="s">
        <v>135</v>
      </c>
      <c r="K67" s="114" t="s">
        <v>3067</v>
      </c>
      <c r="L67" s="116"/>
      <c r="M67" s="114" t="s">
        <v>2878</v>
      </c>
      <c r="N67" s="114" t="s">
        <v>2879</v>
      </c>
      <c r="O67" s="114" t="s">
        <v>2878</v>
      </c>
      <c r="P67" s="117" t="s">
        <v>2880</v>
      </c>
    </row>
    <row r="68" spans="2:16" ht="30" hidden="1" x14ac:dyDescent="0.25">
      <c r="B68" s="108" t="str">
        <f t="shared" si="7"/>
        <v>1</v>
      </c>
      <c r="C68" s="108" t="str">
        <f t="shared" si="8"/>
        <v>1</v>
      </c>
      <c r="D68" s="108" t="str">
        <f t="shared" si="9"/>
        <v>2</v>
      </c>
      <c r="E68" s="108" t="str">
        <f t="shared" si="10"/>
        <v>1</v>
      </c>
      <c r="F68" s="108" t="str">
        <f t="shared" si="11"/>
        <v>04</v>
      </c>
      <c r="G68" s="108" t="str">
        <f t="shared" si="12"/>
        <v>0</v>
      </c>
      <c r="H68" s="108" t="str">
        <f t="shared" si="13"/>
        <v>0</v>
      </c>
      <c r="I68" s="109">
        <v>11210400</v>
      </c>
      <c r="J68" s="108" t="s">
        <v>177</v>
      </c>
      <c r="K68" s="108" t="s">
        <v>3075</v>
      </c>
      <c r="L68" s="110"/>
      <c r="M68" s="108" t="s">
        <v>2878</v>
      </c>
      <c r="N68" s="108" t="s">
        <v>2879</v>
      </c>
      <c r="O68" s="108" t="s">
        <v>2878</v>
      </c>
      <c r="P68" s="111" t="s">
        <v>2880</v>
      </c>
    </row>
    <row r="69" spans="2:16" ht="30" hidden="1" x14ac:dyDescent="0.25">
      <c r="B69" s="114" t="str">
        <f t="shared" si="7"/>
        <v>1</v>
      </c>
      <c r="C69" s="114" t="str">
        <f t="shared" si="8"/>
        <v>1</v>
      </c>
      <c r="D69" s="114" t="str">
        <f t="shared" si="9"/>
        <v>2</v>
      </c>
      <c r="E69" s="114" t="str">
        <f t="shared" si="10"/>
        <v>1</v>
      </c>
      <c r="F69" s="114" t="str">
        <f t="shared" si="11"/>
        <v>04</v>
      </c>
      <c r="G69" s="114" t="str">
        <f t="shared" si="12"/>
        <v>1</v>
      </c>
      <c r="H69" s="114" t="str">
        <f t="shared" si="13"/>
        <v>0</v>
      </c>
      <c r="I69" s="115">
        <v>11210410</v>
      </c>
      <c r="J69" s="114" t="s">
        <v>177</v>
      </c>
      <c r="K69" s="114" t="s">
        <v>3075</v>
      </c>
      <c r="L69" s="116"/>
      <c r="M69" s="114" t="s">
        <v>2878</v>
      </c>
      <c r="N69" s="114" t="s">
        <v>2879</v>
      </c>
      <c r="O69" s="114" t="s">
        <v>2878</v>
      </c>
      <c r="P69" s="117" t="s">
        <v>2880</v>
      </c>
    </row>
    <row r="70" spans="2:16" ht="30" hidden="1" x14ac:dyDescent="0.25">
      <c r="B70" s="108" t="str">
        <f t="shared" si="7"/>
        <v>1</v>
      </c>
      <c r="C70" s="108" t="str">
        <f t="shared" si="8"/>
        <v>1</v>
      </c>
      <c r="D70" s="108" t="str">
        <f t="shared" si="9"/>
        <v>2</v>
      </c>
      <c r="E70" s="108" t="str">
        <f t="shared" si="10"/>
        <v>1</v>
      </c>
      <c r="F70" s="108" t="str">
        <f t="shared" si="11"/>
        <v>05</v>
      </c>
      <c r="G70" s="108" t="str">
        <f t="shared" si="12"/>
        <v>0</v>
      </c>
      <c r="H70" s="108" t="str">
        <f t="shared" si="13"/>
        <v>0</v>
      </c>
      <c r="I70" s="109">
        <v>11210500</v>
      </c>
      <c r="J70" s="108" t="s">
        <v>3083</v>
      </c>
      <c r="K70" s="108" t="s">
        <v>3084</v>
      </c>
      <c r="L70" s="110"/>
      <c r="M70" s="108" t="s">
        <v>2878</v>
      </c>
      <c r="N70" s="108" t="s">
        <v>2879</v>
      </c>
      <c r="O70" s="108" t="s">
        <v>2878</v>
      </c>
      <c r="P70" s="111" t="s">
        <v>2880</v>
      </c>
    </row>
    <row r="71" spans="2:16" ht="30" hidden="1" x14ac:dyDescent="0.25">
      <c r="B71" s="114" t="str">
        <f t="shared" si="7"/>
        <v>1</v>
      </c>
      <c r="C71" s="114" t="str">
        <f t="shared" si="8"/>
        <v>1</v>
      </c>
      <c r="D71" s="114" t="str">
        <f t="shared" si="9"/>
        <v>2</v>
      </c>
      <c r="E71" s="114" t="str">
        <f t="shared" si="10"/>
        <v>1</v>
      </c>
      <c r="F71" s="114" t="str">
        <f t="shared" si="11"/>
        <v>05</v>
      </c>
      <c r="G71" s="114" t="str">
        <f t="shared" si="12"/>
        <v>1</v>
      </c>
      <c r="H71" s="114" t="str">
        <f t="shared" si="13"/>
        <v>0</v>
      </c>
      <c r="I71" s="115">
        <v>11210510</v>
      </c>
      <c r="J71" s="114" t="s">
        <v>3083</v>
      </c>
      <c r="K71" s="114" t="s">
        <v>3084</v>
      </c>
      <c r="L71" s="116"/>
      <c r="M71" s="114" t="s">
        <v>2878</v>
      </c>
      <c r="N71" s="114" t="s">
        <v>2879</v>
      </c>
      <c r="O71" s="114" t="s">
        <v>2878</v>
      </c>
      <c r="P71" s="117" t="s">
        <v>2880</v>
      </c>
    </row>
    <row r="72" spans="2:16" ht="45" hidden="1" x14ac:dyDescent="0.25">
      <c r="B72" s="104" t="str">
        <f t="shared" si="7"/>
        <v>1</v>
      </c>
      <c r="C72" s="104" t="str">
        <f t="shared" si="8"/>
        <v>1</v>
      </c>
      <c r="D72" s="104" t="str">
        <f t="shared" si="9"/>
        <v>2</v>
      </c>
      <c r="E72" s="104" t="str">
        <f t="shared" si="10"/>
        <v>2</v>
      </c>
      <c r="F72" s="104" t="str">
        <f t="shared" si="11"/>
        <v>00</v>
      </c>
      <c r="G72" s="104" t="str">
        <f t="shared" si="12"/>
        <v>0</v>
      </c>
      <c r="H72" s="104" t="str">
        <f t="shared" si="13"/>
        <v>0</v>
      </c>
      <c r="I72" s="105">
        <v>11220000</v>
      </c>
      <c r="J72" s="104" t="s">
        <v>222</v>
      </c>
      <c r="K72" s="104" t="s">
        <v>3092</v>
      </c>
      <c r="L72" s="106"/>
      <c r="M72" s="104" t="s">
        <v>2878</v>
      </c>
      <c r="N72" s="104" t="s">
        <v>2879</v>
      </c>
      <c r="O72" s="104" t="s">
        <v>2878</v>
      </c>
      <c r="P72" s="107" t="s">
        <v>2880</v>
      </c>
    </row>
    <row r="73" spans="2:16" ht="45" hidden="1" x14ac:dyDescent="0.25">
      <c r="B73" s="108" t="str">
        <f t="shared" si="7"/>
        <v>1</v>
      </c>
      <c r="C73" s="108" t="str">
        <f t="shared" si="8"/>
        <v>1</v>
      </c>
      <c r="D73" s="108" t="str">
        <f t="shared" si="9"/>
        <v>2</v>
      </c>
      <c r="E73" s="108" t="str">
        <f t="shared" si="10"/>
        <v>2</v>
      </c>
      <c r="F73" s="108" t="str">
        <f t="shared" si="11"/>
        <v>01</v>
      </c>
      <c r="G73" s="108" t="str">
        <f t="shared" si="12"/>
        <v>0</v>
      </c>
      <c r="H73" s="108" t="str">
        <f t="shared" si="13"/>
        <v>0</v>
      </c>
      <c r="I73" s="109">
        <v>11220100</v>
      </c>
      <c r="J73" s="108" t="s">
        <v>222</v>
      </c>
      <c r="K73" s="108" t="s">
        <v>3092</v>
      </c>
      <c r="L73" s="110"/>
      <c r="M73" s="108" t="s">
        <v>2878</v>
      </c>
      <c r="N73" s="108" t="s">
        <v>2879</v>
      </c>
      <c r="O73" s="108" t="s">
        <v>2878</v>
      </c>
      <c r="P73" s="111" t="s">
        <v>2880</v>
      </c>
    </row>
    <row r="74" spans="2:16" ht="45" hidden="1" x14ac:dyDescent="0.25">
      <c r="B74" s="114" t="str">
        <f t="shared" si="7"/>
        <v>1</v>
      </c>
      <c r="C74" s="114" t="str">
        <f t="shared" si="8"/>
        <v>1</v>
      </c>
      <c r="D74" s="114" t="str">
        <f t="shared" si="9"/>
        <v>2</v>
      </c>
      <c r="E74" s="114" t="str">
        <f t="shared" si="10"/>
        <v>2</v>
      </c>
      <c r="F74" s="114" t="str">
        <f t="shared" si="11"/>
        <v>01</v>
      </c>
      <c r="G74" s="114" t="str">
        <f t="shared" si="12"/>
        <v>1</v>
      </c>
      <c r="H74" s="114" t="str">
        <f t="shared" si="13"/>
        <v>0</v>
      </c>
      <c r="I74" s="115">
        <v>11220110</v>
      </c>
      <c r="J74" s="114" t="s">
        <v>222</v>
      </c>
      <c r="K74" s="114" t="s">
        <v>3092</v>
      </c>
      <c r="L74" s="116"/>
      <c r="M74" s="114" t="s">
        <v>2878</v>
      </c>
      <c r="N74" s="114" t="s">
        <v>2879</v>
      </c>
      <c r="O74" s="114" t="s">
        <v>2878</v>
      </c>
      <c r="P74" s="117" t="s">
        <v>2880</v>
      </c>
    </row>
    <row r="75" spans="2:16" ht="90" hidden="1" x14ac:dyDescent="0.25">
      <c r="B75" s="108" t="str">
        <f t="shared" si="7"/>
        <v>1</v>
      </c>
      <c r="C75" s="108" t="str">
        <f t="shared" si="8"/>
        <v>1</v>
      </c>
      <c r="D75" s="108" t="str">
        <f t="shared" si="9"/>
        <v>2</v>
      </c>
      <c r="E75" s="108" t="str">
        <f t="shared" si="10"/>
        <v>2</v>
      </c>
      <c r="F75" s="108" t="str">
        <f t="shared" si="11"/>
        <v>02</v>
      </c>
      <c r="G75" s="108" t="str">
        <f t="shared" si="12"/>
        <v>0</v>
      </c>
      <c r="H75" s="108" t="str">
        <f t="shared" si="13"/>
        <v>0</v>
      </c>
      <c r="I75" s="109">
        <v>11220200</v>
      </c>
      <c r="J75" s="108" t="s">
        <v>236</v>
      </c>
      <c r="K75" s="145" t="s">
        <v>5570</v>
      </c>
      <c r="L75" s="110"/>
      <c r="M75" s="108" t="s">
        <v>2878</v>
      </c>
      <c r="N75" s="108" t="s">
        <v>5145</v>
      </c>
      <c r="O75" s="108" t="s">
        <v>2878</v>
      </c>
      <c r="P75" s="111" t="s">
        <v>2880</v>
      </c>
    </row>
    <row r="76" spans="2:16" ht="90" hidden="1" x14ac:dyDescent="0.25">
      <c r="B76" s="114" t="str">
        <f t="shared" si="7"/>
        <v>1</v>
      </c>
      <c r="C76" s="114" t="str">
        <f t="shared" si="8"/>
        <v>1</v>
      </c>
      <c r="D76" s="114" t="str">
        <f t="shared" si="9"/>
        <v>2</v>
      </c>
      <c r="E76" s="114" t="str">
        <f t="shared" si="10"/>
        <v>2</v>
      </c>
      <c r="F76" s="114" t="str">
        <f t="shared" si="11"/>
        <v>02</v>
      </c>
      <c r="G76" s="114" t="str">
        <f t="shared" si="12"/>
        <v>1</v>
      </c>
      <c r="H76" s="114" t="str">
        <f t="shared" si="13"/>
        <v>0</v>
      </c>
      <c r="I76" s="115">
        <v>11220210</v>
      </c>
      <c r="J76" s="114" t="s">
        <v>236</v>
      </c>
      <c r="K76" s="149" t="s">
        <v>5570</v>
      </c>
      <c r="L76" s="116"/>
      <c r="M76" s="114" t="s">
        <v>2878</v>
      </c>
      <c r="N76" s="114" t="s">
        <v>5144</v>
      </c>
      <c r="O76" s="114" t="s">
        <v>2878</v>
      </c>
      <c r="P76" s="117" t="s">
        <v>2880</v>
      </c>
    </row>
    <row r="77" spans="2:16" s="148" customFormat="1" ht="30" x14ac:dyDescent="0.25">
      <c r="B77" s="164" t="str">
        <f t="shared" si="7"/>
        <v>1</v>
      </c>
      <c r="C77" s="164" t="str">
        <f t="shared" si="8"/>
        <v>1</v>
      </c>
      <c r="D77" s="164" t="str">
        <f t="shared" si="9"/>
        <v>2</v>
      </c>
      <c r="E77" s="164" t="str">
        <f t="shared" si="10"/>
        <v>8</v>
      </c>
      <c r="F77" s="164" t="str">
        <f t="shared" si="11"/>
        <v>00</v>
      </c>
      <c r="G77" s="164" t="str">
        <f t="shared" si="12"/>
        <v>0</v>
      </c>
      <c r="H77" s="164" t="str">
        <f t="shared" si="13"/>
        <v>0</v>
      </c>
      <c r="I77" s="165">
        <v>11280000</v>
      </c>
      <c r="J77" s="164" t="s">
        <v>5147</v>
      </c>
      <c r="K77" s="164" t="s">
        <v>5149</v>
      </c>
      <c r="L77" s="166"/>
      <c r="M77" s="164" t="s">
        <v>2878</v>
      </c>
      <c r="N77" s="164"/>
      <c r="O77" s="164"/>
      <c r="P77" s="167" t="s">
        <v>2880</v>
      </c>
    </row>
    <row r="78" spans="2:16" s="148" customFormat="1" ht="30" x14ac:dyDescent="0.25">
      <c r="B78" s="145" t="str">
        <f>MID($I78,1,1)</f>
        <v>1</v>
      </c>
      <c r="C78" s="145" t="str">
        <f>MID($I78,2,1)</f>
        <v>1</v>
      </c>
      <c r="D78" s="145" t="str">
        <f>MID($I78,3,1)</f>
        <v>2</v>
      </c>
      <c r="E78" s="145" t="str">
        <f>MID($I78,4,1)</f>
        <v>8</v>
      </c>
      <c r="F78" s="145" t="str">
        <f>MID($I78,5,2)</f>
        <v>01</v>
      </c>
      <c r="G78" s="145" t="str">
        <f>MID($I78,7,1)</f>
        <v>0</v>
      </c>
      <c r="H78" s="145" t="str">
        <f>MID($I78,8,1)</f>
        <v>0</v>
      </c>
      <c r="I78" s="143">
        <v>11280100</v>
      </c>
      <c r="J78" s="145" t="s">
        <v>3040</v>
      </c>
      <c r="K78" s="145" t="s">
        <v>5150</v>
      </c>
      <c r="L78" s="146"/>
      <c r="M78" s="145" t="s">
        <v>2878</v>
      </c>
      <c r="N78" s="145"/>
      <c r="O78" s="145"/>
      <c r="P78" s="147" t="s">
        <v>2880</v>
      </c>
    </row>
    <row r="79" spans="2:16" s="148" customFormat="1" ht="30" x14ac:dyDescent="0.25">
      <c r="B79" s="149" t="str">
        <f>MID($I79,1,1)</f>
        <v>1</v>
      </c>
      <c r="C79" s="149" t="str">
        <f>MID($I79,2,1)</f>
        <v>1</v>
      </c>
      <c r="D79" s="149" t="str">
        <f>MID($I79,3,1)</f>
        <v>2</v>
      </c>
      <c r="E79" s="149" t="str">
        <f>MID($I79,4,1)</f>
        <v>8</v>
      </c>
      <c r="F79" s="149" t="str">
        <f>MID($I79,5,2)</f>
        <v>01</v>
      </c>
      <c r="G79" s="149" t="str">
        <f>MID($I79,7,1)</f>
        <v>1</v>
      </c>
      <c r="H79" s="149" t="str">
        <f>MID($I79,8,1)</f>
        <v>0</v>
      </c>
      <c r="I79" s="144">
        <v>11280110</v>
      </c>
      <c r="J79" s="149" t="s">
        <v>159</v>
      </c>
      <c r="K79" s="149" t="s">
        <v>5151</v>
      </c>
      <c r="L79" s="150"/>
      <c r="M79" s="149" t="s">
        <v>2878</v>
      </c>
      <c r="N79" s="149"/>
      <c r="O79" s="149"/>
      <c r="P79" s="151" t="s">
        <v>2880</v>
      </c>
    </row>
    <row r="80" spans="2:16" s="148" customFormat="1" ht="45" x14ac:dyDescent="0.25">
      <c r="B80" s="149" t="str">
        <f>MID($I80,1,1)</f>
        <v>1</v>
      </c>
      <c r="C80" s="149" t="str">
        <f>MID($I80,2,1)</f>
        <v>1</v>
      </c>
      <c r="D80" s="149" t="str">
        <f>MID($I80,3,1)</f>
        <v>2</v>
      </c>
      <c r="E80" s="149" t="str">
        <f>MID($I80,4,1)</f>
        <v>8</v>
      </c>
      <c r="F80" s="149" t="str">
        <f>MID($I80,5,2)</f>
        <v>01</v>
      </c>
      <c r="G80" s="149" t="str">
        <f>MID($I80,7,1)</f>
        <v>2</v>
      </c>
      <c r="H80" s="149" t="str">
        <f>MID($I80,8,1)</f>
        <v>0</v>
      </c>
      <c r="I80" s="144">
        <v>11280120</v>
      </c>
      <c r="J80" s="149" t="s">
        <v>161</v>
      </c>
      <c r="K80" s="149" t="s">
        <v>5152</v>
      </c>
      <c r="L80" s="150"/>
      <c r="M80" s="149" t="s">
        <v>2878</v>
      </c>
      <c r="N80" s="149"/>
      <c r="O80" s="149"/>
      <c r="P80" s="151" t="s">
        <v>2880</v>
      </c>
    </row>
    <row r="81" spans="2:16" s="148" customFormat="1" ht="45" x14ac:dyDescent="0.25">
      <c r="B81" s="149" t="str">
        <f>MID($I81,1,1)</f>
        <v>1</v>
      </c>
      <c r="C81" s="149" t="str">
        <f>MID($I81,2,1)</f>
        <v>1</v>
      </c>
      <c r="D81" s="149" t="str">
        <f>MID($I81,3,1)</f>
        <v>2</v>
      </c>
      <c r="E81" s="149" t="str">
        <f>MID($I81,4,1)</f>
        <v>8</v>
      </c>
      <c r="F81" s="149" t="str">
        <f>MID($I81,5,2)</f>
        <v>01</v>
      </c>
      <c r="G81" s="149" t="str">
        <f>MID($I81,7,1)</f>
        <v>9</v>
      </c>
      <c r="H81" s="149" t="str">
        <f>MID($I81,8,1)</f>
        <v>0</v>
      </c>
      <c r="I81" s="144">
        <v>11280190</v>
      </c>
      <c r="J81" s="149" t="s">
        <v>5148</v>
      </c>
      <c r="K81" s="149" t="s">
        <v>5153</v>
      </c>
      <c r="L81" s="150"/>
      <c r="M81" s="149" t="s">
        <v>2878</v>
      </c>
      <c r="N81" s="149"/>
      <c r="O81" s="149"/>
      <c r="P81" s="151" t="s">
        <v>2880</v>
      </c>
    </row>
    <row r="82" spans="2:16" ht="30" hidden="1" x14ac:dyDescent="0.25">
      <c r="B82" s="126" t="str">
        <f t="shared" si="7"/>
        <v>1</v>
      </c>
      <c r="C82" s="126" t="str">
        <f t="shared" si="8"/>
        <v>1</v>
      </c>
      <c r="D82" s="126" t="str">
        <f t="shared" si="9"/>
        <v>3</v>
      </c>
      <c r="E82" s="126" t="str">
        <f t="shared" si="10"/>
        <v>0</v>
      </c>
      <c r="F82" s="126" t="str">
        <f t="shared" si="11"/>
        <v>00</v>
      </c>
      <c r="G82" s="126" t="str">
        <f t="shared" si="12"/>
        <v>0</v>
      </c>
      <c r="H82" s="126" t="str">
        <f t="shared" si="13"/>
        <v>0</v>
      </c>
      <c r="I82" s="127">
        <v>11300000</v>
      </c>
      <c r="J82" s="126" t="s">
        <v>262</v>
      </c>
      <c r="K82" s="126" t="s">
        <v>3099</v>
      </c>
      <c r="L82" s="122"/>
      <c r="M82" s="126" t="s">
        <v>2878</v>
      </c>
      <c r="N82" s="126" t="s">
        <v>5016</v>
      </c>
      <c r="O82" s="126" t="s">
        <v>2878</v>
      </c>
      <c r="P82" s="128" t="s">
        <v>2880</v>
      </c>
    </row>
    <row r="83" spans="2:16" ht="30" hidden="1" x14ac:dyDescent="0.25">
      <c r="B83" s="114" t="str">
        <f t="shared" si="7"/>
        <v>1</v>
      </c>
      <c r="C83" s="114" t="str">
        <f t="shared" si="8"/>
        <v>1</v>
      </c>
      <c r="D83" s="114" t="str">
        <f t="shared" si="9"/>
        <v>3</v>
      </c>
      <c r="E83" s="114" t="str">
        <f t="shared" si="10"/>
        <v>0</v>
      </c>
      <c r="F83" s="114" t="str">
        <f t="shared" si="11"/>
        <v>00</v>
      </c>
      <c r="G83" s="114" t="str">
        <f t="shared" si="12"/>
        <v>1</v>
      </c>
      <c r="H83" s="114" t="str">
        <f t="shared" si="13"/>
        <v>0</v>
      </c>
      <c r="I83" s="115">
        <v>11300010</v>
      </c>
      <c r="J83" s="114" t="s">
        <v>262</v>
      </c>
      <c r="K83" s="114" t="s">
        <v>3099</v>
      </c>
      <c r="L83" s="116"/>
      <c r="M83" s="114" t="s">
        <v>2878</v>
      </c>
      <c r="N83" s="114" t="s">
        <v>2879</v>
      </c>
      <c r="O83" s="114" t="s">
        <v>2878</v>
      </c>
      <c r="P83" s="117" t="s">
        <v>2880</v>
      </c>
    </row>
    <row r="84" spans="2:16" s="153" customFormat="1" ht="30" x14ac:dyDescent="0.25">
      <c r="B84" s="155" t="str">
        <f t="shared" si="7"/>
        <v>1</v>
      </c>
      <c r="C84" s="155" t="str">
        <f t="shared" si="8"/>
        <v>1</v>
      </c>
      <c r="D84" s="155" t="str">
        <f t="shared" si="9"/>
        <v>3</v>
      </c>
      <c r="E84" s="155" t="str">
        <f t="shared" si="10"/>
        <v>8</v>
      </c>
      <c r="F84" s="155" t="str">
        <f t="shared" si="11"/>
        <v>00</v>
      </c>
      <c r="G84" s="155" t="str">
        <f t="shared" si="12"/>
        <v>0</v>
      </c>
      <c r="H84" s="155" t="str">
        <f t="shared" si="13"/>
        <v>0</v>
      </c>
      <c r="I84" s="161">
        <v>11380000</v>
      </c>
      <c r="J84" s="155" t="s">
        <v>5019</v>
      </c>
      <c r="K84" s="155" t="s">
        <v>5031</v>
      </c>
      <c r="L84" s="106"/>
      <c r="M84" s="155" t="s">
        <v>2878</v>
      </c>
      <c r="N84" s="155" t="s">
        <v>2879</v>
      </c>
      <c r="O84" s="155" t="s">
        <v>5018</v>
      </c>
      <c r="P84" s="162" t="s">
        <v>2880</v>
      </c>
    </row>
    <row r="85" spans="2:16" s="153" customFormat="1" ht="45" x14ac:dyDescent="0.25">
      <c r="B85" s="113" t="str">
        <f t="shared" si="7"/>
        <v>1</v>
      </c>
      <c r="C85" s="113" t="str">
        <f t="shared" si="8"/>
        <v>1</v>
      </c>
      <c r="D85" s="113" t="str">
        <f t="shared" si="9"/>
        <v>3</v>
      </c>
      <c r="E85" s="113" t="str">
        <f t="shared" si="10"/>
        <v>8</v>
      </c>
      <c r="F85" s="113" t="str">
        <f t="shared" si="11"/>
        <v>01</v>
      </c>
      <c r="G85" s="113" t="str">
        <f t="shared" si="12"/>
        <v>0</v>
      </c>
      <c r="H85" s="113" t="str">
        <f t="shared" si="13"/>
        <v>0</v>
      </c>
      <c r="I85" s="112">
        <v>11380100</v>
      </c>
      <c r="J85" s="113" t="s">
        <v>264</v>
      </c>
      <c r="K85" s="113" t="s">
        <v>265</v>
      </c>
      <c r="L85" s="110"/>
      <c r="M85" s="113"/>
      <c r="N85" s="113"/>
      <c r="O85" s="113"/>
      <c r="P85" s="163" t="s">
        <v>2880</v>
      </c>
    </row>
    <row r="86" spans="2:16" s="153" customFormat="1" ht="45" x14ac:dyDescent="0.25">
      <c r="B86" s="130" t="str">
        <f t="shared" si="7"/>
        <v>1</v>
      </c>
      <c r="C86" s="130" t="str">
        <f t="shared" si="8"/>
        <v>1</v>
      </c>
      <c r="D86" s="130" t="str">
        <f t="shared" si="9"/>
        <v>3</v>
      </c>
      <c r="E86" s="130" t="str">
        <f t="shared" si="10"/>
        <v>8</v>
      </c>
      <c r="F86" s="130" t="str">
        <f t="shared" si="11"/>
        <v>01</v>
      </c>
      <c r="G86" s="130" t="str">
        <f t="shared" si="12"/>
        <v>1</v>
      </c>
      <c r="H86" s="130" t="str">
        <f t="shared" si="13"/>
        <v>0</v>
      </c>
      <c r="I86" s="129">
        <v>11380110</v>
      </c>
      <c r="J86" s="130" t="s">
        <v>264</v>
      </c>
      <c r="K86" s="130" t="s">
        <v>265</v>
      </c>
      <c r="L86" s="116"/>
      <c r="M86" s="130"/>
      <c r="N86" s="130"/>
      <c r="O86" s="130"/>
      <c r="P86" s="152" t="s">
        <v>2880</v>
      </c>
    </row>
    <row r="87" spans="2:16" s="153" customFormat="1" ht="45" x14ac:dyDescent="0.25">
      <c r="B87" s="113" t="str">
        <f t="shared" si="7"/>
        <v>1</v>
      </c>
      <c r="C87" s="113" t="str">
        <f t="shared" si="8"/>
        <v>1</v>
      </c>
      <c r="D87" s="113" t="str">
        <f t="shared" si="9"/>
        <v>3</v>
      </c>
      <c r="E87" s="113" t="str">
        <f t="shared" si="10"/>
        <v>8</v>
      </c>
      <c r="F87" s="113" t="str">
        <f t="shared" si="11"/>
        <v>02</v>
      </c>
      <c r="G87" s="113" t="str">
        <f t="shared" si="12"/>
        <v>0</v>
      </c>
      <c r="H87" s="113" t="str">
        <f t="shared" si="13"/>
        <v>0</v>
      </c>
      <c r="I87" s="112">
        <v>11380200</v>
      </c>
      <c r="J87" s="113" t="s">
        <v>266</v>
      </c>
      <c r="K87" s="113" t="s">
        <v>267</v>
      </c>
      <c r="L87" s="110"/>
      <c r="M87" s="113"/>
      <c r="N87" s="113"/>
      <c r="O87" s="113"/>
      <c r="P87" s="163" t="s">
        <v>2880</v>
      </c>
    </row>
    <row r="88" spans="2:16" s="153" customFormat="1" ht="45" x14ac:dyDescent="0.25">
      <c r="B88" s="130" t="str">
        <f t="shared" si="7"/>
        <v>1</v>
      </c>
      <c r="C88" s="130" t="str">
        <f t="shared" si="8"/>
        <v>1</v>
      </c>
      <c r="D88" s="130" t="str">
        <f t="shared" si="9"/>
        <v>3</v>
      </c>
      <c r="E88" s="130" t="str">
        <f t="shared" si="10"/>
        <v>8</v>
      </c>
      <c r="F88" s="130" t="str">
        <f t="shared" si="11"/>
        <v>02</v>
      </c>
      <c r="G88" s="130" t="str">
        <f t="shared" si="12"/>
        <v>1</v>
      </c>
      <c r="H88" s="130" t="str">
        <f t="shared" si="13"/>
        <v>0</v>
      </c>
      <c r="I88" s="129">
        <v>11380210</v>
      </c>
      <c r="J88" s="130" t="s">
        <v>266</v>
      </c>
      <c r="K88" s="130" t="s">
        <v>267</v>
      </c>
      <c r="L88" s="116"/>
      <c r="M88" s="130"/>
      <c r="N88" s="130"/>
      <c r="O88" s="130"/>
      <c r="P88" s="152" t="s">
        <v>2880</v>
      </c>
    </row>
    <row r="89" spans="2:16" s="153" customFormat="1" ht="45" x14ac:dyDescent="0.25">
      <c r="B89" s="113" t="str">
        <f t="shared" si="7"/>
        <v>1</v>
      </c>
      <c r="C89" s="113" t="str">
        <f t="shared" si="8"/>
        <v>1</v>
      </c>
      <c r="D89" s="113" t="str">
        <f t="shared" si="9"/>
        <v>3</v>
      </c>
      <c r="E89" s="113" t="str">
        <f t="shared" si="10"/>
        <v>8</v>
      </c>
      <c r="F89" s="113" t="str">
        <f t="shared" si="11"/>
        <v>03</v>
      </c>
      <c r="G89" s="113" t="str">
        <f t="shared" si="12"/>
        <v>0</v>
      </c>
      <c r="H89" s="113" t="str">
        <f t="shared" si="13"/>
        <v>0</v>
      </c>
      <c r="I89" s="112">
        <v>11380300</v>
      </c>
      <c r="J89" s="113" t="s">
        <v>268</v>
      </c>
      <c r="K89" s="113" t="s">
        <v>269</v>
      </c>
      <c r="L89" s="110"/>
      <c r="M89" s="113"/>
      <c r="N89" s="113"/>
      <c r="O89" s="113"/>
      <c r="P89" s="163" t="s">
        <v>2880</v>
      </c>
    </row>
    <row r="90" spans="2:16" s="153" customFormat="1" ht="45" x14ac:dyDescent="0.25">
      <c r="B90" s="130" t="str">
        <f t="shared" si="7"/>
        <v>1</v>
      </c>
      <c r="C90" s="130" t="str">
        <f t="shared" si="8"/>
        <v>1</v>
      </c>
      <c r="D90" s="130" t="str">
        <f t="shared" si="9"/>
        <v>3</v>
      </c>
      <c r="E90" s="130" t="str">
        <f t="shared" si="10"/>
        <v>8</v>
      </c>
      <c r="F90" s="130" t="str">
        <f t="shared" si="11"/>
        <v>03</v>
      </c>
      <c r="G90" s="130" t="str">
        <f t="shared" si="12"/>
        <v>1</v>
      </c>
      <c r="H90" s="130" t="str">
        <f t="shared" si="13"/>
        <v>0</v>
      </c>
      <c r="I90" s="129">
        <v>11380310</v>
      </c>
      <c r="J90" s="130" t="s">
        <v>268</v>
      </c>
      <c r="K90" s="130" t="s">
        <v>269</v>
      </c>
      <c r="L90" s="116"/>
      <c r="M90" s="130"/>
      <c r="N90" s="130"/>
      <c r="O90" s="130"/>
      <c r="P90" s="152" t="s">
        <v>2880</v>
      </c>
    </row>
    <row r="91" spans="2:16" s="153" customFormat="1" ht="45" x14ac:dyDescent="0.25">
      <c r="B91" s="113" t="str">
        <f t="shared" si="7"/>
        <v>1</v>
      </c>
      <c r="C91" s="113" t="str">
        <f t="shared" si="8"/>
        <v>1</v>
      </c>
      <c r="D91" s="113" t="str">
        <f t="shared" si="9"/>
        <v>3</v>
      </c>
      <c r="E91" s="113" t="str">
        <f t="shared" si="10"/>
        <v>8</v>
      </c>
      <c r="F91" s="113" t="str">
        <f t="shared" si="11"/>
        <v>04</v>
      </c>
      <c r="G91" s="113" t="str">
        <f t="shared" si="12"/>
        <v>0</v>
      </c>
      <c r="H91" s="113" t="str">
        <f t="shared" si="13"/>
        <v>0</v>
      </c>
      <c r="I91" s="112">
        <v>11380400</v>
      </c>
      <c r="J91" s="113" t="s">
        <v>270</v>
      </c>
      <c r="K91" s="113" t="s">
        <v>271</v>
      </c>
      <c r="L91" s="110"/>
      <c r="M91" s="113"/>
      <c r="N91" s="113"/>
      <c r="O91" s="113"/>
      <c r="P91" s="163" t="s">
        <v>2880</v>
      </c>
    </row>
    <row r="92" spans="2:16" s="153" customFormat="1" ht="45" x14ac:dyDescent="0.25">
      <c r="B92" s="130" t="str">
        <f t="shared" si="7"/>
        <v>1</v>
      </c>
      <c r="C92" s="130" t="str">
        <f t="shared" si="8"/>
        <v>1</v>
      </c>
      <c r="D92" s="130" t="str">
        <f t="shared" si="9"/>
        <v>3</v>
      </c>
      <c r="E92" s="130" t="str">
        <f t="shared" si="10"/>
        <v>8</v>
      </c>
      <c r="F92" s="130" t="str">
        <f t="shared" si="11"/>
        <v>04</v>
      </c>
      <c r="G92" s="130" t="str">
        <f t="shared" si="12"/>
        <v>1</v>
      </c>
      <c r="H92" s="130" t="str">
        <f t="shared" si="13"/>
        <v>0</v>
      </c>
      <c r="I92" s="129">
        <v>11380410</v>
      </c>
      <c r="J92" s="130" t="s">
        <v>270</v>
      </c>
      <c r="K92" s="130" t="s">
        <v>271</v>
      </c>
      <c r="L92" s="116"/>
      <c r="M92" s="130"/>
      <c r="N92" s="130"/>
      <c r="O92" s="130"/>
      <c r="P92" s="152" t="s">
        <v>2880</v>
      </c>
    </row>
    <row r="93" spans="2:16" s="153" customFormat="1" ht="30" x14ac:dyDescent="0.25">
      <c r="B93" s="113" t="str">
        <f t="shared" si="7"/>
        <v>1</v>
      </c>
      <c r="C93" s="113" t="str">
        <f t="shared" si="8"/>
        <v>1</v>
      </c>
      <c r="D93" s="113" t="str">
        <f t="shared" si="9"/>
        <v>3</v>
      </c>
      <c r="E93" s="113" t="str">
        <f t="shared" si="10"/>
        <v>8</v>
      </c>
      <c r="F93" s="113" t="str">
        <f t="shared" si="11"/>
        <v>99</v>
      </c>
      <c r="G93" s="113" t="str">
        <f t="shared" si="12"/>
        <v>0</v>
      </c>
      <c r="H93" s="113" t="str">
        <f t="shared" si="13"/>
        <v>0</v>
      </c>
      <c r="I93" s="112">
        <v>11389900</v>
      </c>
      <c r="J93" s="113" t="s">
        <v>272</v>
      </c>
      <c r="K93" s="113" t="s">
        <v>273</v>
      </c>
      <c r="L93" s="110"/>
      <c r="M93" s="113" t="s">
        <v>2878</v>
      </c>
      <c r="N93" s="113"/>
      <c r="O93" s="113"/>
      <c r="P93" s="163" t="s">
        <v>2880</v>
      </c>
    </row>
    <row r="94" spans="2:16" s="153" customFormat="1" ht="30" x14ac:dyDescent="0.25">
      <c r="B94" s="130" t="str">
        <f t="shared" si="7"/>
        <v>1</v>
      </c>
      <c r="C94" s="130" t="str">
        <f t="shared" si="8"/>
        <v>1</v>
      </c>
      <c r="D94" s="130" t="str">
        <f t="shared" si="9"/>
        <v>3</v>
      </c>
      <c r="E94" s="130" t="str">
        <f t="shared" si="10"/>
        <v>8</v>
      </c>
      <c r="F94" s="130" t="str">
        <f t="shared" si="11"/>
        <v>99</v>
      </c>
      <c r="G94" s="130" t="str">
        <f t="shared" si="12"/>
        <v>1</v>
      </c>
      <c r="H94" s="130" t="str">
        <f t="shared" si="13"/>
        <v>0</v>
      </c>
      <c r="I94" s="129">
        <v>11389910</v>
      </c>
      <c r="J94" s="130" t="s">
        <v>272</v>
      </c>
      <c r="K94" s="130" t="s">
        <v>273</v>
      </c>
      <c r="L94" s="116"/>
      <c r="M94" s="130"/>
      <c r="N94" s="130"/>
      <c r="O94" s="130"/>
      <c r="P94" s="152" t="s">
        <v>2880</v>
      </c>
    </row>
    <row r="95" spans="2:16" ht="60" hidden="1" x14ac:dyDescent="0.25">
      <c r="B95" s="123" t="str">
        <f t="shared" si="7"/>
        <v>1</v>
      </c>
      <c r="C95" s="123" t="str">
        <f t="shared" si="8"/>
        <v>2</v>
      </c>
      <c r="D95" s="123" t="str">
        <f t="shared" si="9"/>
        <v>0</v>
      </c>
      <c r="E95" s="123" t="str">
        <f t="shared" si="10"/>
        <v>0</v>
      </c>
      <c r="F95" s="123" t="str">
        <f t="shared" si="11"/>
        <v>00</v>
      </c>
      <c r="G95" s="123" t="str">
        <f t="shared" si="12"/>
        <v>0</v>
      </c>
      <c r="H95" s="123" t="str">
        <f t="shared" si="13"/>
        <v>0</v>
      </c>
      <c r="I95" s="124">
        <v>12000000</v>
      </c>
      <c r="J95" s="123" t="s">
        <v>3104</v>
      </c>
      <c r="K95" s="123" t="s">
        <v>3105</v>
      </c>
      <c r="L95" s="103"/>
      <c r="M95" s="123" t="s">
        <v>2878</v>
      </c>
      <c r="N95" s="123" t="s">
        <v>5016</v>
      </c>
      <c r="O95" s="123" t="s">
        <v>2878</v>
      </c>
      <c r="P95" s="125" t="s">
        <v>2880</v>
      </c>
    </row>
    <row r="96" spans="2:16" ht="30" hidden="1" x14ac:dyDescent="0.25">
      <c r="B96" s="126" t="str">
        <f t="shared" si="7"/>
        <v>1</v>
      </c>
      <c r="C96" s="126" t="str">
        <f t="shared" si="8"/>
        <v>2</v>
      </c>
      <c r="D96" s="126" t="str">
        <f t="shared" si="9"/>
        <v>1</v>
      </c>
      <c r="E96" s="126" t="str">
        <f t="shared" si="10"/>
        <v>0</v>
      </c>
      <c r="F96" s="126" t="str">
        <f t="shared" si="11"/>
        <v>00</v>
      </c>
      <c r="G96" s="126" t="str">
        <f t="shared" si="12"/>
        <v>0</v>
      </c>
      <c r="H96" s="126" t="str">
        <f t="shared" si="13"/>
        <v>0</v>
      </c>
      <c r="I96" s="127">
        <v>12100000</v>
      </c>
      <c r="J96" s="126" t="s">
        <v>278</v>
      </c>
      <c r="K96" s="126" t="s">
        <v>3106</v>
      </c>
      <c r="L96" s="122"/>
      <c r="M96" s="126" t="s">
        <v>2878</v>
      </c>
      <c r="N96" s="126" t="s">
        <v>5016</v>
      </c>
      <c r="O96" s="126" t="s">
        <v>2878</v>
      </c>
      <c r="P96" s="128" t="s">
        <v>2880</v>
      </c>
    </row>
    <row r="97" spans="2:16" s="148" customFormat="1" ht="45" hidden="1" x14ac:dyDescent="0.25">
      <c r="B97" s="164" t="str">
        <f t="shared" si="7"/>
        <v>1</v>
      </c>
      <c r="C97" s="164" t="str">
        <f t="shared" si="8"/>
        <v>2</v>
      </c>
      <c r="D97" s="164" t="str">
        <f t="shared" si="9"/>
        <v>1</v>
      </c>
      <c r="E97" s="164" t="str">
        <f t="shared" si="10"/>
        <v>1</v>
      </c>
      <c r="F97" s="164" t="str">
        <f t="shared" si="11"/>
        <v>00</v>
      </c>
      <c r="G97" s="164" t="str">
        <f t="shared" si="12"/>
        <v>0</v>
      </c>
      <c r="H97" s="164" t="str">
        <f t="shared" si="13"/>
        <v>0</v>
      </c>
      <c r="I97" s="165">
        <v>12110000</v>
      </c>
      <c r="J97" s="164" t="s">
        <v>5244</v>
      </c>
      <c r="K97" s="164" t="s">
        <v>5410</v>
      </c>
      <c r="L97" s="166"/>
      <c r="M97" s="164" t="s">
        <v>2878</v>
      </c>
      <c r="N97" s="164"/>
      <c r="O97" s="164" t="s">
        <v>2878</v>
      </c>
      <c r="P97" s="167" t="s">
        <v>2880</v>
      </c>
    </row>
    <row r="98" spans="2:16" s="148" customFormat="1" ht="60" hidden="1" x14ac:dyDescent="0.25">
      <c r="B98" s="145" t="str">
        <f t="shared" si="7"/>
        <v>1</v>
      </c>
      <c r="C98" s="145" t="str">
        <f t="shared" si="8"/>
        <v>2</v>
      </c>
      <c r="D98" s="145" t="str">
        <f t="shared" si="9"/>
        <v>1</v>
      </c>
      <c r="E98" s="145" t="str">
        <f t="shared" si="10"/>
        <v>1</v>
      </c>
      <c r="F98" s="145" t="str">
        <f t="shared" si="11"/>
        <v>01</v>
      </c>
      <c r="G98" s="145" t="str">
        <f t="shared" si="12"/>
        <v>0</v>
      </c>
      <c r="H98" s="145" t="str">
        <f t="shared" si="13"/>
        <v>0</v>
      </c>
      <c r="I98" s="143">
        <v>12110100</v>
      </c>
      <c r="J98" s="145" t="s">
        <v>5245</v>
      </c>
      <c r="K98" s="145" t="s">
        <v>5409</v>
      </c>
      <c r="L98" s="146"/>
      <c r="M98" s="145" t="s">
        <v>2878</v>
      </c>
      <c r="N98" s="145"/>
      <c r="O98" s="145" t="s">
        <v>2878</v>
      </c>
      <c r="P98" s="147" t="s">
        <v>2880</v>
      </c>
    </row>
    <row r="99" spans="2:16" s="148" customFormat="1" ht="60" hidden="1" x14ac:dyDescent="0.25">
      <c r="B99" s="149" t="str">
        <f t="shared" si="7"/>
        <v>1</v>
      </c>
      <c r="C99" s="149" t="str">
        <f t="shared" si="8"/>
        <v>2</v>
      </c>
      <c r="D99" s="149" t="str">
        <f t="shared" si="9"/>
        <v>1</v>
      </c>
      <c r="E99" s="149" t="str">
        <f t="shared" si="10"/>
        <v>1</v>
      </c>
      <c r="F99" s="149" t="str">
        <f t="shared" si="11"/>
        <v>01</v>
      </c>
      <c r="G99" s="149" t="str">
        <f t="shared" si="12"/>
        <v>1</v>
      </c>
      <c r="H99" s="149" t="str">
        <f t="shared" si="13"/>
        <v>0</v>
      </c>
      <c r="I99" s="144">
        <v>12110110</v>
      </c>
      <c r="J99" s="149" t="s">
        <v>5245</v>
      </c>
      <c r="K99" s="149" t="s">
        <v>5411</v>
      </c>
      <c r="L99" s="150"/>
      <c r="M99" s="149" t="s">
        <v>5412</v>
      </c>
      <c r="N99" s="149"/>
      <c r="O99" s="149" t="s">
        <v>5413</v>
      </c>
      <c r="P99" s="151" t="s">
        <v>2880</v>
      </c>
    </row>
    <row r="100" spans="2:16" s="148" customFormat="1" ht="30" hidden="1" x14ac:dyDescent="0.25">
      <c r="B100" s="145" t="str">
        <f t="shared" si="7"/>
        <v>1</v>
      </c>
      <c r="C100" s="145" t="str">
        <f t="shared" si="8"/>
        <v>2</v>
      </c>
      <c r="D100" s="145" t="str">
        <f t="shared" si="9"/>
        <v>1</v>
      </c>
      <c r="E100" s="145" t="str">
        <f t="shared" si="10"/>
        <v>1</v>
      </c>
      <c r="F100" s="145" t="str">
        <f t="shared" si="11"/>
        <v>02</v>
      </c>
      <c r="G100" s="145" t="str">
        <f t="shared" si="12"/>
        <v>0</v>
      </c>
      <c r="H100" s="145" t="str">
        <f t="shared" si="13"/>
        <v>0</v>
      </c>
      <c r="I100" s="143">
        <v>12110200</v>
      </c>
      <c r="J100" s="145" t="s">
        <v>5246</v>
      </c>
      <c r="K100" s="145" t="s">
        <v>5414</v>
      </c>
      <c r="L100" s="146"/>
      <c r="M100" s="145" t="s">
        <v>2878</v>
      </c>
      <c r="N100" s="145"/>
      <c r="O100" s="145" t="s">
        <v>2878</v>
      </c>
      <c r="P100" s="147" t="s">
        <v>2880</v>
      </c>
    </row>
    <row r="101" spans="2:16" s="148" customFormat="1" ht="60" hidden="1" x14ac:dyDescent="0.25">
      <c r="B101" s="149" t="str">
        <f t="shared" si="7"/>
        <v>1</v>
      </c>
      <c r="C101" s="149" t="str">
        <f t="shared" si="8"/>
        <v>2</v>
      </c>
      <c r="D101" s="149" t="str">
        <f t="shared" si="9"/>
        <v>1</v>
      </c>
      <c r="E101" s="149" t="str">
        <f t="shared" si="10"/>
        <v>1</v>
      </c>
      <c r="F101" s="149" t="str">
        <f t="shared" si="11"/>
        <v>02</v>
      </c>
      <c r="G101" s="149" t="str">
        <f t="shared" si="12"/>
        <v>1</v>
      </c>
      <c r="H101" s="149" t="str">
        <f t="shared" si="13"/>
        <v>0</v>
      </c>
      <c r="I101" s="144">
        <v>12110210</v>
      </c>
      <c r="J101" s="149" t="s">
        <v>5246</v>
      </c>
      <c r="K101" s="149" t="s">
        <v>5414</v>
      </c>
      <c r="L101" s="150"/>
      <c r="M101" s="149" t="s">
        <v>5412</v>
      </c>
      <c r="N101" s="149"/>
      <c r="O101" s="149" t="s">
        <v>5413</v>
      </c>
      <c r="P101" s="151" t="s">
        <v>2880</v>
      </c>
    </row>
    <row r="102" spans="2:16" s="148" customFormat="1" ht="45" hidden="1" x14ac:dyDescent="0.25">
      <c r="B102" s="145" t="str">
        <f t="shared" si="7"/>
        <v>1</v>
      </c>
      <c r="C102" s="145" t="str">
        <f t="shared" si="8"/>
        <v>2</v>
      </c>
      <c r="D102" s="145" t="str">
        <f t="shared" si="9"/>
        <v>1</v>
      </c>
      <c r="E102" s="145" t="str">
        <f t="shared" si="10"/>
        <v>1</v>
      </c>
      <c r="F102" s="145" t="str">
        <f t="shared" si="11"/>
        <v>49</v>
      </c>
      <c r="G102" s="145" t="str">
        <f t="shared" si="12"/>
        <v>0</v>
      </c>
      <c r="H102" s="145" t="str">
        <f t="shared" si="13"/>
        <v>0</v>
      </c>
      <c r="I102" s="143">
        <v>12114900</v>
      </c>
      <c r="J102" s="145" t="s">
        <v>5247</v>
      </c>
      <c r="K102" s="145" t="s">
        <v>5415</v>
      </c>
      <c r="L102" s="146"/>
      <c r="M102" s="145" t="s">
        <v>2878</v>
      </c>
      <c r="N102" s="145"/>
      <c r="O102" s="145" t="s">
        <v>2878</v>
      </c>
      <c r="P102" s="147" t="s">
        <v>2880</v>
      </c>
    </row>
    <row r="103" spans="2:16" s="148" customFormat="1" ht="45" hidden="1" x14ac:dyDescent="0.25">
      <c r="B103" s="149" t="str">
        <f t="shared" si="7"/>
        <v>1</v>
      </c>
      <c r="C103" s="149" t="str">
        <f t="shared" si="8"/>
        <v>2</v>
      </c>
      <c r="D103" s="149" t="str">
        <f t="shared" si="9"/>
        <v>1</v>
      </c>
      <c r="E103" s="149" t="str">
        <f t="shared" si="10"/>
        <v>1</v>
      </c>
      <c r="F103" s="149" t="str">
        <f t="shared" si="11"/>
        <v>49</v>
      </c>
      <c r="G103" s="149" t="str">
        <f t="shared" si="12"/>
        <v>1</v>
      </c>
      <c r="H103" s="149" t="str">
        <f t="shared" si="13"/>
        <v>0</v>
      </c>
      <c r="I103" s="144">
        <v>12114910</v>
      </c>
      <c r="J103" s="149" t="s">
        <v>5247</v>
      </c>
      <c r="K103" s="149" t="s">
        <v>5415</v>
      </c>
      <c r="L103" s="150"/>
      <c r="M103" s="149" t="s">
        <v>5412</v>
      </c>
      <c r="N103" s="186" t="s">
        <v>5416</v>
      </c>
      <c r="O103" s="149" t="s">
        <v>5417</v>
      </c>
      <c r="P103" s="151" t="s">
        <v>2880</v>
      </c>
    </row>
    <row r="104" spans="2:16" s="148" customFormat="1" ht="30" hidden="1" x14ac:dyDescent="0.25">
      <c r="B104" s="164" t="str">
        <f t="shared" si="7"/>
        <v>1</v>
      </c>
      <c r="C104" s="164" t="str">
        <f t="shared" si="8"/>
        <v>2</v>
      </c>
      <c r="D104" s="164" t="str">
        <f t="shared" si="9"/>
        <v>1</v>
      </c>
      <c r="E104" s="164" t="str">
        <f t="shared" si="10"/>
        <v>2</v>
      </c>
      <c r="F104" s="164" t="str">
        <f t="shared" si="11"/>
        <v>00</v>
      </c>
      <c r="G104" s="164" t="str">
        <f t="shared" si="12"/>
        <v>0</v>
      </c>
      <c r="H104" s="164" t="str">
        <f t="shared" si="13"/>
        <v>0</v>
      </c>
      <c r="I104" s="165">
        <v>12120000</v>
      </c>
      <c r="J104" s="164" t="s">
        <v>5248</v>
      </c>
      <c r="K104" s="164" t="s">
        <v>5418</v>
      </c>
      <c r="L104" s="166"/>
      <c r="M104" s="164" t="s">
        <v>2878</v>
      </c>
      <c r="N104" s="164"/>
      <c r="O104" s="164" t="s">
        <v>2878</v>
      </c>
      <c r="P104" s="167" t="s">
        <v>2880</v>
      </c>
    </row>
    <row r="105" spans="2:16" s="148" customFormat="1" ht="45" hidden="1" x14ac:dyDescent="0.25">
      <c r="B105" s="145" t="str">
        <f t="shared" si="7"/>
        <v>1</v>
      </c>
      <c r="C105" s="145" t="str">
        <f t="shared" si="8"/>
        <v>2</v>
      </c>
      <c r="D105" s="145" t="str">
        <f t="shared" si="9"/>
        <v>1</v>
      </c>
      <c r="E105" s="145" t="str">
        <f t="shared" si="10"/>
        <v>2</v>
      </c>
      <c r="F105" s="145" t="str">
        <f t="shared" si="11"/>
        <v>01</v>
      </c>
      <c r="G105" s="145" t="str">
        <f t="shared" si="12"/>
        <v>0</v>
      </c>
      <c r="H105" s="145" t="str">
        <f t="shared" si="13"/>
        <v>0</v>
      </c>
      <c r="I105" s="143">
        <v>12120100</v>
      </c>
      <c r="J105" s="145" t="s">
        <v>5249</v>
      </c>
      <c r="K105" s="145" t="s">
        <v>5419</v>
      </c>
      <c r="L105" s="146"/>
      <c r="M105" s="145" t="s">
        <v>2878</v>
      </c>
      <c r="N105" s="145"/>
      <c r="O105" s="145" t="s">
        <v>2878</v>
      </c>
      <c r="P105" s="147" t="s">
        <v>2880</v>
      </c>
    </row>
    <row r="106" spans="2:16" s="148" customFormat="1" ht="45" hidden="1" x14ac:dyDescent="0.25">
      <c r="B106" s="149" t="str">
        <f t="shared" si="7"/>
        <v>1</v>
      </c>
      <c r="C106" s="149" t="str">
        <f t="shared" si="8"/>
        <v>2</v>
      </c>
      <c r="D106" s="149" t="str">
        <f t="shared" si="9"/>
        <v>1</v>
      </c>
      <c r="E106" s="149" t="str">
        <f t="shared" si="10"/>
        <v>2</v>
      </c>
      <c r="F106" s="149" t="str">
        <f t="shared" si="11"/>
        <v>01</v>
      </c>
      <c r="G106" s="149" t="str">
        <f t="shared" si="12"/>
        <v>1</v>
      </c>
      <c r="H106" s="149" t="str">
        <f t="shared" si="13"/>
        <v>0</v>
      </c>
      <c r="I106" s="144">
        <v>12120110</v>
      </c>
      <c r="J106" s="149" t="s">
        <v>5249</v>
      </c>
      <c r="K106" s="149" t="s">
        <v>5419</v>
      </c>
      <c r="L106" s="150"/>
      <c r="M106" s="149" t="s">
        <v>2878</v>
      </c>
      <c r="N106" s="149"/>
      <c r="O106" s="149" t="s">
        <v>2878</v>
      </c>
      <c r="P106" s="151" t="s">
        <v>2880</v>
      </c>
    </row>
    <row r="107" spans="2:16" s="148" customFormat="1" ht="45" hidden="1" x14ac:dyDescent="0.25">
      <c r="B107" s="145" t="str">
        <f t="shared" si="7"/>
        <v>1</v>
      </c>
      <c r="C107" s="145" t="str">
        <f t="shared" si="8"/>
        <v>2</v>
      </c>
      <c r="D107" s="145" t="str">
        <f t="shared" si="9"/>
        <v>1</v>
      </c>
      <c r="E107" s="145" t="str">
        <f t="shared" si="10"/>
        <v>2</v>
      </c>
      <c r="F107" s="145" t="str">
        <f t="shared" si="11"/>
        <v>02</v>
      </c>
      <c r="G107" s="145" t="str">
        <f t="shared" si="12"/>
        <v>0</v>
      </c>
      <c r="H107" s="145" t="str">
        <f t="shared" si="13"/>
        <v>0</v>
      </c>
      <c r="I107" s="143">
        <v>12120200</v>
      </c>
      <c r="J107" s="145" t="s">
        <v>5250</v>
      </c>
      <c r="K107" s="145" t="s">
        <v>5420</v>
      </c>
      <c r="L107" s="146"/>
      <c r="M107" s="145" t="s">
        <v>2878</v>
      </c>
      <c r="N107" s="145"/>
      <c r="O107" s="145" t="s">
        <v>2878</v>
      </c>
      <c r="P107" s="147" t="s">
        <v>2880</v>
      </c>
    </row>
    <row r="108" spans="2:16" s="148" customFormat="1" ht="45" hidden="1" x14ac:dyDescent="0.25">
      <c r="B108" s="149" t="str">
        <f t="shared" si="7"/>
        <v>1</v>
      </c>
      <c r="C108" s="149" t="str">
        <f t="shared" si="8"/>
        <v>2</v>
      </c>
      <c r="D108" s="149" t="str">
        <f t="shared" si="9"/>
        <v>1</v>
      </c>
      <c r="E108" s="149" t="str">
        <f t="shared" si="10"/>
        <v>2</v>
      </c>
      <c r="F108" s="149" t="str">
        <f t="shared" si="11"/>
        <v>02</v>
      </c>
      <c r="G108" s="149" t="str">
        <f t="shared" si="12"/>
        <v>1</v>
      </c>
      <c r="H108" s="149" t="str">
        <f t="shared" si="13"/>
        <v>0</v>
      </c>
      <c r="I108" s="144">
        <v>12120210</v>
      </c>
      <c r="J108" s="149" t="s">
        <v>5250</v>
      </c>
      <c r="K108" s="149" t="s">
        <v>5420</v>
      </c>
      <c r="L108" s="150"/>
      <c r="M108" s="149" t="s">
        <v>5412</v>
      </c>
      <c r="N108" s="149"/>
      <c r="O108" s="149" t="s">
        <v>5421</v>
      </c>
      <c r="P108" s="151" t="s">
        <v>2880</v>
      </c>
    </row>
    <row r="109" spans="2:16" s="148" customFormat="1" ht="45" hidden="1" x14ac:dyDescent="0.25">
      <c r="B109" s="145" t="str">
        <f t="shared" si="7"/>
        <v>1</v>
      </c>
      <c r="C109" s="145" t="str">
        <f t="shared" si="8"/>
        <v>2</v>
      </c>
      <c r="D109" s="145" t="str">
        <f t="shared" si="9"/>
        <v>1</v>
      </c>
      <c r="E109" s="145" t="str">
        <f t="shared" si="10"/>
        <v>2</v>
      </c>
      <c r="F109" s="145" t="str">
        <f t="shared" si="11"/>
        <v>03</v>
      </c>
      <c r="G109" s="145" t="str">
        <f t="shared" si="12"/>
        <v>0</v>
      </c>
      <c r="H109" s="145" t="str">
        <f t="shared" si="13"/>
        <v>0</v>
      </c>
      <c r="I109" s="143">
        <v>12120300</v>
      </c>
      <c r="J109" s="145" t="s">
        <v>5251</v>
      </c>
      <c r="K109" s="145" t="s">
        <v>5422</v>
      </c>
      <c r="L109" s="146"/>
      <c r="M109" s="145" t="s">
        <v>2878</v>
      </c>
      <c r="N109" s="145"/>
      <c r="O109" s="145" t="s">
        <v>2878</v>
      </c>
      <c r="P109" s="147" t="s">
        <v>2880</v>
      </c>
    </row>
    <row r="110" spans="2:16" s="148" customFormat="1" ht="45" hidden="1" x14ac:dyDescent="0.25">
      <c r="B110" s="149" t="str">
        <f t="shared" si="7"/>
        <v>1</v>
      </c>
      <c r="C110" s="149" t="str">
        <f t="shared" si="8"/>
        <v>2</v>
      </c>
      <c r="D110" s="149" t="str">
        <f t="shared" si="9"/>
        <v>1</v>
      </c>
      <c r="E110" s="149" t="str">
        <f t="shared" si="10"/>
        <v>2</v>
      </c>
      <c r="F110" s="149" t="str">
        <f t="shared" si="11"/>
        <v>03</v>
      </c>
      <c r="G110" s="149" t="str">
        <f t="shared" si="12"/>
        <v>1</v>
      </c>
      <c r="H110" s="149" t="str">
        <f t="shared" si="13"/>
        <v>0</v>
      </c>
      <c r="I110" s="144">
        <v>12120310</v>
      </c>
      <c r="J110" s="149" t="s">
        <v>5251</v>
      </c>
      <c r="K110" s="149" t="s">
        <v>5422</v>
      </c>
      <c r="L110" s="150"/>
      <c r="M110" s="149" t="s">
        <v>5412</v>
      </c>
      <c r="N110" s="149"/>
      <c r="O110" s="149" t="s">
        <v>5432</v>
      </c>
      <c r="P110" s="151" t="s">
        <v>2880</v>
      </c>
    </row>
    <row r="111" spans="2:16" s="148" customFormat="1" ht="45" hidden="1" x14ac:dyDescent="0.25">
      <c r="B111" s="145" t="str">
        <f t="shared" si="7"/>
        <v>1</v>
      </c>
      <c r="C111" s="145" t="str">
        <f t="shared" si="8"/>
        <v>2</v>
      </c>
      <c r="D111" s="145" t="str">
        <f t="shared" si="9"/>
        <v>1</v>
      </c>
      <c r="E111" s="145" t="str">
        <f t="shared" si="10"/>
        <v>2</v>
      </c>
      <c r="F111" s="145" t="str">
        <f t="shared" si="11"/>
        <v>04</v>
      </c>
      <c r="G111" s="145" t="str">
        <f t="shared" si="12"/>
        <v>0</v>
      </c>
      <c r="H111" s="145" t="str">
        <f t="shared" si="13"/>
        <v>0</v>
      </c>
      <c r="I111" s="143">
        <v>12120400</v>
      </c>
      <c r="J111" s="145" t="s">
        <v>5252</v>
      </c>
      <c r="K111" s="145" t="s">
        <v>5423</v>
      </c>
      <c r="L111" s="146"/>
      <c r="M111" s="145" t="s">
        <v>2878</v>
      </c>
      <c r="N111" s="145"/>
      <c r="O111" s="145" t="s">
        <v>2878</v>
      </c>
      <c r="P111" s="147" t="s">
        <v>2880</v>
      </c>
    </row>
    <row r="112" spans="2:16" s="148" customFormat="1" ht="45" hidden="1" x14ac:dyDescent="0.25">
      <c r="B112" s="149" t="str">
        <f t="shared" si="7"/>
        <v>1</v>
      </c>
      <c r="C112" s="149" t="str">
        <f t="shared" si="8"/>
        <v>2</v>
      </c>
      <c r="D112" s="149" t="str">
        <f t="shared" si="9"/>
        <v>1</v>
      </c>
      <c r="E112" s="149" t="str">
        <f t="shared" si="10"/>
        <v>2</v>
      </c>
      <c r="F112" s="149" t="str">
        <f t="shared" si="11"/>
        <v>04</v>
      </c>
      <c r="G112" s="149" t="str">
        <f t="shared" si="12"/>
        <v>1</v>
      </c>
      <c r="H112" s="149" t="str">
        <f t="shared" si="13"/>
        <v>0</v>
      </c>
      <c r="I112" s="144">
        <v>12120410</v>
      </c>
      <c r="J112" s="149" t="s">
        <v>5252</v>
      </c>
      <c r="K112" s="149" t="s">
        <v>5423</v>
      </c>
      <c r="L112" s="150"/>
      <c r="M112" s="149" t="s">
        <v>5412</v>
      </c>
      <c r="N112" s="149"/>
      <c r="O112" s="149" t="s">
        <v>5432</v>
      </c>
      <c r="P112" s="151" t="s">
        <v>2880</v>
      </c>
    </row>
    <row r="113" spans="2:16" s="148" customFormat="1" ht="60" hidden="1" x14ac:dyDescent="0.25">
      <c r="B113" s="145" t="str">
        <f t="shared" si="7"/>
        <v>1</v>
      </c>
      <c r="C113" s="145" t="str">
        <f t="shared" si="8"/>
        <v>2</v>
      </c>
      <c r="D113" s="145" t="str">
        <f t="shared" si="9"/>
        <v>1</v>
      </c>
      <c r="E113" s="145" t="str">
        <f t="shared" si="10"/>
        <v>2</v>
      </c>
      <c r="F113" s="145" t="str">
        <f t="shared" si="11"/>
        <v>05</v>
      </c>
      <c r="G113" s="145" t="str">
        <f t="shared" si="12"/>
        <v>0</v>
      </c>
      <c r="H113" s="145" t="str">
        <f t="shared" si="13"/>
        <v>0</v>
      </c>
      <c r="I113" s="143">
        <v>12120500</v>
      </c>
      <c r="J113" s="145" t="s">
        <v>5253</v>
      </c>
      <c r="K113" s="145" t="s">
        <v>5424</v>
      </c>
      <c r="L113" s="146"/>
      <c r="M113" s="145" t="s">
        <v>2878</v>
      </c>
      <c r="N113" s="145"/>
      <c r="O113" s="145" t="s">
        <v>2878</v>
      </c>
      <c r="P113" s="147" t="s">
        <v>2880</v>
      </c>
    </row>
    <row r="114" spans="2:16" s="148" customFormat="1" ht="60" hidden="1" x14ac:dyDescent="0.25">
      <c r="B114" s="149" t="str">
        <f t="shared" si="7"/>
        <v>1</v>
      </c>
      <c r="C114" s="149" t="str">
        <f t="shared" si="8"/>
        <v>2</v>
      </c>
      <c r="D114" s="149" t="str">
        <f t="shared" si="9"/>
        <v>1</v>
      </c>
      <c r="E114" s="149" t="str">
        <f t="shared" si="10"/>
        <v>2</v>
      </c>
      <c r="F114" s="149" t="str">
        <f t="shared" si="11"/>
        <v>05</v>
      </c>
      <c r="G114" s="149" t="str">
        <f t="shared" si="12"/>
        <v>1</v>
      </c>
      <c r="H114" s="149" t="str">
        <f t="shared" si="13"/>
        <v>0</v>
      </c>
      <c r="I114" s="144">
        <v>12120510</v>
      </c>
      <c r="J114" s="149" t="s">
        <v>5253</v>
      </c>
      <c r="K114" s="149" t="s">
        <v>5424</v>
      </c>
      <c r="L114" s="150"/>
      <c r="M114" s="149" t="s">
        <v>5412</v>
      </c>
      <c r="N114" s="149"/>
      <c r="O114" s="149" t="s">
        <v>5432</v>
      </c>
      <c r="P114" s="151" t="s">
        <v>2880</v>
      </c>
    </row>
    <row r="115" spans="2:16" s="148" customFormat="1" ht="60" hidden="1" x14ac:dyDescent="0.25">
      <c r="B115" s="145" t="str">
        <f t="shared" si="7"/>
        <v>1</v>
      </c>
      <c r="C115" s="145" t="str">
        <f t="shared" si="8"/>
        <v>2</v>
      </c>
      <c r="D115" s="145" t="str">
        <f t="shared" si="9"/>
        <v>1</v>
      </c>
      <c r="E115" s="145" t="str">
        <f t="shared" si="10"/>
        <v>2</v>
      </c>
      <c r="F115" s="145" t="str">
        <f t="shared" si="11"/>
        <v>06</v>
      </c>
      <c r="G115" s="145" t="str">
        <f t="shared" si="12"/>
        <v>0</v>
      </c>
      <c r="H115" s="145" t="str">
        <f t="shared" si="13"/>
        <v>0</v>
      </c>
      <c r="I115" s="143">
        <v>12120600</v>
      </c>
      <c r="J115" s="145" t="s">
        <v>5254</v>
      </c>
      <c r="K115" s="145" t="s">
        <v>5425</v>
      </c>
      <c r="L115" s="146"/>
      <c r="M115" s="145" t="s">
        <v>2878</v>
      </c>
      <c r="N115" s="145"/>
      <c r="O115" s="145" t="s">
        <v>2878</v>
      </c>
      <c r="P115" s="147" t="s">
        <v>2880</v>
      </c>
    </row>
    <row r="116" spans="2:16" s="148" customFormat="1" ht="60" hidden="1" x14ac:dyDescent="0.25">
      <c r="B116" s="149" t="str">
        <f t="shared" si="7"/>
        <v>1</v>
      </c>
      <c r="C116" s="149" t="str">
        <f t="shared" si="8"/>
        <v>2</v>
      </c>
      <c r="D116" s="149" t="str">
        <f t="shared" si="9"/>
        <v>1</v>
      </c>
      <c r="E116" s="149" t="str">
        <f t="shared" si="10"/>
        <v>2</v>
      </c>
      <c r="F116" s="149" t="str">
        <f t="shared" si="11"/>
        <v>06</v>
      </c>
      <c r="G116" s="149" t="str">
        <f t="shared" si="12"/>
        <v>1</v>
      </c>
      <c r="H116" s="149" t="str">
        <f t="shared" si="13"/>
        <v>0</v>
      </c>
      <c r="I116" s="144">
        <v>12120610</v>
      </c>
      <c r="J116" s="149" t="s">
        <v>5254</v>
      </c>
      <c r="K116" s="149" t="s">
        <v>5425</v>
      </c>
      <c r="L116" s="150"/>
      <c r="M116" s="149" t="s">
        <v>5412</v>
      </c>
      <c r="N116" s="149"/>
      <c r="O116" s="149" t="s">
        <v>5432</v>
      </c>
      <c r="P116" s="151" t="s">
        <v>2880</v>
      </c>
    </row>
    <row r="117" spans="2:16" s="148" customFormat="1" ht="60" hidden="1" x14ac:dyDescent="0.25">
      <c r="B117" s="145" t="str">
        <f t="shared" si="7"/>
        <v>1</v>
      </c>
      <c r="C117" s="145" t="str">
        <f t="shared" si="8"/>
        <v>2</v>
      </c>
      <c r="D117" s="145" t="str">
        <f t="shared" si="9"/>
        <v>1</v>
      </c>
      <c r="E117" s="145" t="str">
        <f t="shared" si="10"/>
        <v>2</v>
      </c>
      <c r="F117" s="145" t="str">
        <f t="shared" si="11"/>
        <v>07</v>
      </c>
      <c r="G117" s="145" t="str">
        <f t="shared" si="12"/>
        <v>0</v>
      </c>
      <c r="H117" s="145" t="str">
        <f t="shared" si="13"/>
        <v>0</v>
      </c>
      <c r="I117" s="143">
        <v>12120700</v>
      </c>
      <c r="J117" s="145" t="s">
        <v>5255</v>
      </c>
      <c r="K117" s="145" t="s">
        <v>5426</v>
      </c>
      <c r="L117" s="146"/>
      <c r="M117" s="145" t="s">
        <v>2878</v>
      </c>
      <c r="N117" s="145"/>
      <c r="O117" s="145" t="s">
        <v>2878</v>
      </c>
      <c r="P117" s="147" t="s">
        <v>2880</v>
      </c>
    </row>
    <row r="118" spans="2:16" s="148" customFormat="1" ht="60" hidden="1" x14ac:dyDescent="0.25">
      <c r="B118" s="149" t="str">
        <f t="shared" si="7"/>
        <v>1</v>
      </c>
      <c r="C118" s="149" t="str">
        <f t="shared" si="8"/>
        <v>2</v>
      </c>
      <c r="D118" s="149" t="str">
        <f t="shared" si="9"/>
        <v>1</v>
      </c>
      <c r="E118" s="149" t="str">
        <f t="shared" si="10"/>
        <v>2</v>
      </c>
      <c r="F118" s="149" t="str">
        <f t="shared" si="11"/>
        <v>07</v>
      </c>
      <c r="G118" s="149" t="str">
        <f t="shared" si="12"/>
        <v>1</v>
      </c>
      <c r="H118" s="149" t="str">
        <f t="shared" si="13"/>
        <v>0</v>
      </c>
      <c r="I118" s="144">
        <v>12120710</v>
      </c>
      <c r="J118" s="149" t="s">
        <v>5255</v>
      </c>
      <c r="K118" s="149" t="s">
        <v>5426</v>
      </c>
      <c r="L118" s="150"/>
      <c r="M118" s="149" t="s">
        <v>5412</v>
      </c>
      <c r="N118" s="149"/>
      <c r="O118" s="149" t="s">
        <v>5432</v>
      </c>
      <c r="P118" s="151" t="s">
        <v>2880</v>
      </c>
    </row>
    <row r="119" spans="2:16" s="148" customFormat="1" ht="45" hidden="1" x14ac:dyDescent="0.25">
      <c r="B119" s="145" t="str">
        <f t="shared" si="7"/>
        <v>1</v>
      </c>
      <c r="C119" s="145" t="str">
        <f t="shared" si="8"/>
        <v>2</v>
      </c>
      <c r="D119" s="145" t="str">
        <f t="shared" si="9"/>
        <v>1</v>
      </c>
      <c r="E119" s="145" t="str">
        <f t="shared" si="10"/>
        <v>2</v>
      </c>
      <c r="F119" s="145" t="str">
        <f t="shared" si="11"/>
        <v>08</v>
      </c>
      <c r="G119" s="145" t="str">
        <f t="shared" si="12"/>
        <v>0</v>
      </c>
      <c r="H119" s="145" t="str">
        <f t="shared" si="13"/>
        <v>0</v>
      </c>
      <c r="I119" s="143">
        <v>12120800</v>
      </c>
      <c r="J119" s="145" t="s">
        <v>5256</v>
      </c>
      <c r="K119" s="145" t="s">
        <v>5427</v>
      </c>
      <c r="L119" s="146"/>
      <c r="M119" s="145" t="s">
        <v>2878</v>
      </c>
      <c r="N119" s="145"/>
      <c r="O119" s="145" t="s">
        <v>2878</v>
      </c>
      <c r="P119" s="147" t="s">
        <v>2880</v>
      </c>
    </row>
    <row r="120" spans="2:16" s="148" customFormat="1" ht="45" hidden="1" x14ac:dyDescent="0.25">
      <c r="B120" s="149" t="str">
        <f t="shared" si="7"/>
        <v>1</v>
      </c>
      <c r="C120" s="149" t="str">
        <f t="shared" si="8"/>
        <v>2</v>
      </c>
      <c r="D120" s="149" t="str">
        <f t="shared" si="9"/>
        <v>1</v>
      </c>
      <c r="E120" s="149" t="str">
        <f t="shared" si="10"/>
        <v>2</v>
      </c>
      <c r="F120" s="149" t="str">
        <f t="shared" si="11"/>
        <v>08</v>
      </c>
      <c r="G120" s="149" t="str">
        <f t="shared" si="12"/>
        <v>1</v>
      </c>
      <c r="H120" s="149" t="str">
        <f t="shared" si="13"/>
        <v>0</v>
      </c>
      <c r="I120" s="144">
        <v>12120810</v>
      </c>
      <c r="J120" s="149" t="s">
        <v>5256</v>
      </c>
      <c r="K120" s="149" t="s">
        <v>5427</v>
      </c>
      <c r="L120" s="150"/>
      <c r="M120" s="149" t="s">
        <v>5412</v>
      </c>
      <c r="N120" s="149"/>
      <c r="O120" s="149" t="s">
        <v>5432</v>
      </c>
      <c r="P120" s="151" t="s">
        <v>2880</v>
      </c>
    </row>
    <row r="121" spans="2:16" s="148" customFormat="1" ht="60" hidden="1" x14ac:dyDescent="0.25">
      <c r="B121" s="145" t="str">
        <f t="shared" si="7"/>
        <v>1</v>
      </c>
      <c r="C121" s="145" t="str">
        <f t="shared" si="8"/>
        <v>2</v>
      </c>
      <c r="D121" s="145" t="str">
        <f t="shared" si="9"/>
        <v>1</v>
      </c>
      <c r="E121" s="145" t="str">
        <f t="shared" si="10"/>
        <v>2</v>
      </c>
      <c r="F121" s="145" t="str">
        <f t="shared" si="11"/>
        <v>09</v>
      </c>
      <c r="G121" s="145" t="str">
        <f t="shared" si="12"/>
        <v>0</v>
      </c>
      <c r="H121" s="145" t="str">
        <f t="shared" si="13"/>
        <v>0</v>
      </c>
      <c r="I121" s="143">
        <v>12120900</v>
      </c>
      <c r="J121" s="145" t="s">
        <v>5257</v>
      </c>
      <c r="K121" s="145" t="s">
        <v>5428</v>
      </c>
      <c r="L121" s="146"/>
      <c r="M121" s="145" t="s">
        <v>2878</v>
      </c>
      <c r="N121" s="145"/>
      <c r="O121" s="145" t="s">
        <v>2878</v>
      </c>
      <c r="P121" s="147" t="s">
        <v>2880</v>
      </c>
    </row>
    <row r="122" spans="2:16" s="148" customFormat="1" ht="60" hidden="1" x14ac:dyDescent="0.25">
      <c r="B122" s="149" t="str">
        <f t="shared" si="7"/>
        <v>1</v>
      </c>
      <c r="C122" s="149" t="str">
        <f t="shared" si="8"/>
        <v>2</v>
      </c>
      <c r="D122" s="149" t="str">
        <f t="shared" si="9"/>
        <v>1</v>
      </c>
      <c r="E122" s="149" t="str">
        <f t="shared" si="10"/>
        <v>2</v>
      </c>
      <c r="F122" s="149" t="str">
        <f t="shared" si="11"/>
        <v>09</v>
      </c>
      <c r="G122" s="149" t="str">
        <f t="shared" si="12"/>
        <v>1</v>
      </c>
      <c r="H122" s="149" t="str">
        <f t="shared" si="13"/>
        <v>0</v>
      </c>
      <c r="I122" s="144">
        <v>12120910</v>
      </c>
      <c r="J122" s="149" t="s">
        <v>5257</v>
      </c>
      <c r="K122" s="149" t="s">
        <v>5428</v>
      </c>
      <c r="L122" s="150"/>
      <c r="M122" s="149" t="s">
        <v>5412</v>
      </c>
      <c r="N122" s="149"/>
      <c r="O122" s="149" t="s">
        <v>5432</v>
      </c>
      <c r="P122" s="151" t="s">
        <v>2880</v>
      </c>
    </row>
    <row r="123" spans="2:16" s="148" customFormat="1" ht="45" hidden="1" x14ac:dyDescent="0.25">
      <c r="B123" s="145" t="str">
        <f t="shared" si="7"/>
        <v>1</v>
      </c>
      <c r="C123" s="145" t="str">
        <f t="shared" si="8"/>
        <v>2</v>
      </c>
      <c r="D123" s="145" t="str">
        <f t="shared" si="9"/>
        <v>1</v>
      </c>
      <c r="E123" s="145" t="str">
        <f t="shared" si="10"/>
        <v>2</v>
      </c>
      <c r="F123" s="145" t="str">
        <f t="shared" si="11"/>
        <v>10</v>
      </c>
      <c r="G123" s="145" t="str">
        <f t="shared" si="12"/>
        <v>0</v>
      </c>
      <c r="H123" s="145" t="str">
        <f t="shared" si="13"/>
        <v>0</v>
      </c>
      <c r="I123" s="143">
        <v>12121000</v>
      </c>
      <c r="J123" s="145" t="s">
        <v>5258</v>
      </c>
      <c r="K123" s="145" t="s">
        <v>5429</v>
      </c>
      <c r="L123" s="146"/>
      <c r="M123" s="145" t="s">
        <v>2878</v>
      </c>
      <c r="N123" s="145"/>
      <c r="O123" s="145" t="s">
        <v>2878</v>
      </c>
      <c r="P123" s="147" t="s">
        <v>2880</v>
      </c>
    </row>
    <row r="124" spans="2:16" s="148" customFormat="1" ht="45" hidden="1" x14ac:dyDescent="0.25">
      <c r="B124" s="149" t="str">
        <f t="shared" si="7"/>
        <v>1</v>
      </c>
      <c r="C124" s="149" t="str">
        <f t="shared" si="8"/>
        <v>2</v>
      </c>
      <c r="D124" s="149" t="str">
        <f t="shared" si="9"/>
        <v>1</v>
      </c>
      <c r="E124" s="149" t="str">
        <f t="shared" si="10"/>
        <v>2</v>
      </c>
      <c r="F124" s="149" t="str">
        <f t="shared" si="11"/>
        <v>10</v>
      </c>
      <c r="G124" s="149" t="str">
        <f t="shared" si="12"/>
        <v>1</v>
      </c>
      <c r="H124" s="149" t="str">
        <f t="shared" si="13"/>
        <v>0</v>
      </c>
      <c r="I124" s="144">
        <v>12121010</v>
      </c>
      <c r="J124" s="149" t="s">
        <v>5258</v>
      </c>
      <c r="K124" s="149" t="s">
        <v>5429</v>
      </c>
      <c r="L124" s="150"/>
      <c r="M124" s="149" t="s">
        <v>5412</v>
      </c>
      <c r="N124" s="149"/>
      <c r="O124" s="149" t="s">
        <v>5432</v>
      </c>
      <c r="P124" s="151" t="s">
        <v>2880</v>
      </c>
    </row>
    <row r="125" spans="2:16" s="148" customFormat="1" ht="60" hidden="1" x14ac:dyDescent="0.25">
      <c r="B125" s="145" t="str">
        <f t="shared" si="7"/>
        <v>1</v>
      </c>
      <c r="C125" s="145" t="str">
        <f t="shared" si="8"/>
        <v>2</v>
      </c>
      <c r="D125" s="145" t="str">
        <f t="shared" si="9"/>
        <v>1</v>
      </c>
      <c r="E125" s="145" t="str">
        <f t="shared" si="10"/>
        <v>2</v>
      </c>
      <c r="F125" s="145" t="str">
        <f t="shared" si="11"/>
        <v>11</v>
      </c>
      <c r="G125" s="145" t="str">
        <f t="shared" si="12"/>
        <v>0</v>
      </c>
      <c r="H125" s="145" t="str">
        <f t="shared" si="13"/>
        <v>0</v>
      </c>
      <c r="I125" s="143">
        <v>12121100</v>
      </c>
      <c r="J125" s="145" t="s">
        <v>5259</v>
      </c>
      <c r="K125" s="145" t="s">
        <v>5430</v>
      </c>
      <c r="L125" s="146"/>
      <c r="M125" s="145" t="s">
        <v>2878</v>
      </c>
      <c r="N125" s="145"/>
      <c r="O125" s="145" t="s">
        <v>2878</v>
      </c>
      <c r="P125" s="147" t="s">
        <v>2880</v>
      </c>
    </row>
    <row r="126" spans="2:16" s="148" customFormat="1" ht="60" hidden="1" x14ac:dyDescent="0.25">
      <c r="B126" s="149" t="str">
        <f t="shared" si="7"/>
        <v>1</v>
      </c>
      <c r="C126" s="149" t="str">
        <f t="shared" si="8"/>
        <v>2</v>
      </c>
      <c r="D126" s="149" t="str">
        <f t="shared" si="9"/>
        <v>1</v>
      </c>
      <c r="E126" s="149" t="str">
        <f t="shared" si="10"/>
        <v>2</v>
      </c>
      <c r="F126" s="149" t="str">
        <f t="shared" si="11"/>
        <v>11</v>
      </c>
      <c r="G126" s="149" t="str">
        <f t="shared" si="12"/>
        <v>1</v>
      </c>
      <c r="H126" s="149" t="str">
        <f t="shared" si="13"/>
        <v>0</v>
      </c>
      <c r="I126" s="144">
        <v>12121110</v>
      </c>
      <c r="J126" s="149" t="s">
        <v>5259</v>
      </c>
      <c r="K126" s="149" t="s">
        <v>5430</v>
      </c>
      <c r="L126" s="150"/>
      <c r="M126" s="149" t="s">
        <v>5412</v>
      </c>
      <c r="N126" s="149"/>
      <c r="O126" s="149" t="s">
        <v>5432</v>
      </c>
      <c r="P126" s="151" t="s">
        <v>2880</v>
      </c>
    </row>
    <row r="127" spans="2:16" s="148" customFormat="1" ht="60" hidden="1" x14ac:dyDescent="0.25">
      <c r="B127" s="145" t="str">
        <f t="shared" si="7"/>
        <v>1</v>
      </c>
      <c r="C127" s="145" t="str">
        <f t="shared" si="8"/>
        <v>2</v>
      </c>
      <c r="D127" s="145" t="str">
        <f t="shared" si="9"/>
        <v>1</v>
      </c>
      <c r="E127" s="145" t="str">
        <f t="shared" si="10"/>
        <v>2</v>
      </c>
      <c r="F127" s="145" t="str">
        <f t="shared" si="11"/>
        <v>12</v>
      </c>
      <c r="G127" s="145" t="str">
        <f t="shared" si="12"/>
        <v>0</v>
      </c>
      <c r="H127" s="145" t="str">
        <f t="shared" si="13"/>
        <v>0</v>
      </c>
      <c r="I127" s="143">
        <v>12121200</v>
      </c>
      <c r="J127" s="145" t="s">
        <v>5260</v>
      </c>
      <c r="K127" s="145" t="s">
        <v>5431</v>
      </c>
      <c r="L127" s="146"/>
      <c r="M127" s="145" t="s">
        <v>2878</v>
      </c>
      <c r="N127" s="145"/>
      <c r="O127" s="145" t="s">
        <v>2878</v>
      </c>
      <c r="P127" s="147" t="s">
        <v>2880</v>
      </c>
    </row>
    <row r="128" spans="2:16" s="148" customFormat="1" ht="60" hidden="1" x14ac:dyDescent="0.25">
      <c r="B128" s="149" t="str">
        <f t="shared" si="7"/>
        <v>1</v>
      </c>
      <c r="C128" s="149" t="str">
        <f t="shared" si="8"/>
        <v>2</v>
      </c>
      <c r="D128" s="149" t="str">
        <f t="shared" si="9"/>
        <v>1</v>
      </c>
      <c r="E128" s="149" t="str">
        <f t="shared" si="10"/>
        <v>2</v>
      </c>
      <c r="F128" s="149" t="str">
        <f t="shared" si="11"/>
        <v>12</v>
      </c>
      <c r="G128" s="149" t="str">
        <f t="shared" si="12"/>
        <v>1</v>
      </c>
      <c r="H128" s="149" t="str">
        <f t="shared" si="13"/>
        <v>0</v>
      </c>
      <c r="I128" s="144">
        <v>12121210</v>
      </c>
      <c r="J128" s="149" t="s">
        <v>5260</v>
      </c>
      <c r="K128" s="149" t="s">
        <v>5431</v>
      </c>
      <c r="L128" s="150"/>
      <c r="M128" s="149" t="s">
        <v>5412</v>
      </c>
      <c r="N128" s="149"/>
      <c r="O128" s="149" t="s">
        <v>5432</v>
      </c>
      <c r="P128" s="151" t="s">
        <v>2880</v>
      </c>
    </row>
    <row r="129" spans="2:16" s="148" customFormat="1" ht="30" hidden="1" x14ac:dyDescent="0.25">
      <c r="B129" s="145" t="str">
        <f t="shared" si="7"/>
        <v>1</v>
      </c>
      <c r="C129" s="145" t="str">
        <f t="shared" si="8"/>
        <v>2</v>
      </c>
      <c r="D129" s="145" t="str">
        <f t="shared" si="9"/>
        <v>1</v>
      </c>
      <c r="E129" s="145" t="str">
        <f t="shared" si="10"/>
        <v>2</v>
      </c>
      <c r="F129" s="145" t="str">
        <f t="shared" si="11"/>
        <v>49</v>
      </c>
      <c r="G129" s="145" t="str">
        <f t="shared" si="12"/>
        <v>0</v>
      </c>
      <c r="H129" s="145" t="str">
        <f t="shared" si="13"/>
        <v>0</v>
      </c>
      <c r="I129" s="143">
        <v>12124900</v>
      </c>
      <c r="J129" s="145" t="s">
        <v>5261</v>
      </c>
      <c r="K129" s="145" t="s">
        <v>5433</v>
      </c>
      <c r="L129" s="146"/>
      <c r="M129" s="145" t="s">
        <v>2878</v>
      </c>
      <c r="N129" s="145"/>
      <c r="O129" s="145" t="s">
        <v>2878</v>
      </c>
      <c r="P129" s="147" t="s">
        <v>2880</v>
      </c>
    </row>
    <row r="130" spans="2:16" s="148" customFormat="1" ht="30" hidden="1" x14ac:dyDescent="0.25">
      <c r="B130" s="149" t="str">
        <f t="shared" si="7"/>
        <v>1</v>
      </c>
      <c r="C130" s="149" t="str">
        <f t="shared" si="8"/>
        <v>2</v>
      </c>
      <c r="D130" s="149" t="str">
        <f t="shared" si="9"/>
        <v>1</v>
      </c>
      <c r="E130" s="149" t="str">
        <f t="shared" si="10"/>
        <v>2</v>
      </c>
      <c r="F130" s="149" t="str">
        <f t="shared" si="11"/>
        <v>49</v>
      </c>
      <c r="G130" s="149" t="str">
        <f t="shared" si="12"/>
        <v>1</v>
      </c>
      <c r="H130" s="149" t="str">
        <f t="shared" si="13"/>
        <v>0</v>
      </c>
      <c r="I130" s="144">
        <v>12124910</v>
      </c>
      <c r="J130" s="149" t="s">
        <v>5261</v>
      </c>
      <c r="K130" s="149" t="s">
        <v>5433</v>
      </c>
      <c r="L130" s="150"/>
      <c r="M130" s="149" t="s">
        <v>5412</v>
      </c>
      <c r="N130" s="149"/>
      <c r="O130" s="149" t="s">
        <v>5417</v>
      </c>
      <c r="P130" s="151" t="s">
        <v>2880</v>
      </c>
    </row>
    <row r="131" spans="2:16" s="148" customFormat="1" ht="30" hidden="1" x14ac:dyDescent="0.25">
      <c r="B131" s="164" t="str">
        <f t="shared" si="7"/>
        <v>1</v>
      </c>
      <c r="C131" s="164" t="str">
        <f t="shared" si="8"/>
        <v>2</v>
      </c>
      <c r="D131" s="164" t="str">
        <f t="shared" si="9"/>
        <v>1</v>
      </c>
      <c r="E131" s="164" t="str">
        <f t="shared" si="10"/>
        <v>3</v>
      </c>
      <c r="F131" s="164" t="str">
        <f t="shared" si="11"/>
        <v>00</v>
      </c>
      <c r="G131" s="164" t="str">
        <f t="shared" si="12"/>
        <v>0</v>
      </c>
      <c r="H131" s="164" t="str">
        <f t="shared" si="13"/>
        <v>0</v>
      </c>
      <c r="I131" s="165">
        <v>12130000</v>
      </c>
      <c r="J131" s="164" t="s">
        <v>3116</v>
      </c>
      <c r="K131" s="164" t="s">
        <v>5434</v>
      </c>
      <c r="L131" s="166"/>
      <c r="M131" s="164" t="s">
        <v>2878</v>
      </c>
      <c r="N131" s="164"/>
      <c r="O131" s="164" t="s">
        <v>2878</v>
      </c>
      <c r="P131" s="167" t="s">
        <v>2880</v>
      </c>
    </row>
    <row r="132" spans="2:16" s="148" customFormat="1" ht="30" hidden="1" x14ac:dyDescent="0.25">
      <c r="B132" s="145" t="str">
        <f t="shared" si="7"/>
        <v>1</v>
      </c>
      <c r="C132" s="145" t="str">
        <f t="shared" si="8"/>
        <v>2</v>
      </c>
      <c r="D132" s="145" t="str">
        <f t="shared" si="9"/>
        <v>1</v>
      </c>
      <c r="E132" s="145" t="str">
        <f t="shared" si="10"/>
        <v>3</v>
      </c>
      <c r="F132" s="145" t="str">
        <f t="shared" si="11"/>
        <v>01</v>
      </c>
      <c r="G132" s="145" t="str">
        <f t="shared" si="12"/>
        <v>0</v>
      </c>
      <c r="H132" s="145" t="str">
        <f t="shared" si="13"/>
        <v>0</v>
      </c>
      <c r="I132" s="143">
        <v>12130100</v>
      </c>
      <c r="J132" s="145" t="s">
        <v>5262</v>
      </c>
      <c r="K132" s="145" t="s">
        <v>5435</v>
      </c>
      <c r="L132" s="146"/>
      <c r="M132" s="145" t="s">
        <v>2878</v>
      </c>
      <c r="N132" s="145"/>
      <c r="O132" s="145" t="s">
        <v>2878</v>
      </c>
      <c r="P132" s="147" t="s">
        <v>2880</v>
      </c>
    </row>
    <row r="133" spans="2:16" s="148" customFormat="1" ht="45" hidden="1" x14ac:dyDescent="0.25">
      <c r="B133" s="149" t="str">
        <f t="shared" si="7"/>
        <v>1</v>
      </c>
      <c r="C133" s="149" t="str">
        <f t="shared" si="8"/>
        <v>2</v>
      </c>
      <c r="D133" s="149" t="str">
        <f t="shared" si="9"/>
        <v>1</v>
      </c>
      <c r="E133" s="149" t="str">
        <f t="shared" si="10"/>
        <v>3</v>
      </c>
      <c r="F133" s="149" t="str">
        <f t="shared" si="11"/>
        <v>01</v>
      </c>
      <c r="G133" s="149" t="str">
        <f t="shared" si="12"/>
        <v>1</v>
      </c>
      <c r="H133" s="149" t="str">
        <f t="shared" si="13"/>
        <v>0</v>
      </c>
      <c r="I133" s="144">
        <v>12130110</v>
      </c>
      <c r="J133" s="149" t="s">
        <v>5262</v>
      </c>
      <c r="K133" s="149" t="s">
        <v>5436</v>
      </c>
      <c r="L133" s="150"/>
      <c r="M133" s="149" t="s">
        <v>5412</v>
      </c>
      <c r="N133" s="149"/>
      <c r="O133" s="149" t="s">
        <v>5437</v>
      </c>
      <c r="P133" s="151" t="s">
        <v>2880</v>
      </c>
    </row>
    <row r="134" spans="2:16" s="148" customFormat="1" ht="30" hidden="1" x14ac:dyDescent="0.25">
      <c r="B134" s="145" t="str">
        <f t="shared" si="7"/>
        <v>1</v>
      </c>
      <c r="C134" s="145" t="str">
        <f t="shared" si="8"/>
        <v>2</v>
      </c>
      <c r="D134" s="145" t="str">
        <f t="shared" si="9"/>
        <v>1</v>
      </c>
      <c r="E134" s="145" t="str">
        <f t="shared" si="10"/>
        <v>3</v>
      </c>
      <c r="F134" s="145" t="str">
        <f t="shared" si="11"/>
        <v>02</v>
      </c>
      <c r="G134" s="145" t="str">
        <f t="shared" si="12"/>
        <v>0</v>
      </c>
      <c r="H134" s="145" t="str">
        <f t="shared" si="13"/>
        <v>0</v>
      </c>
      <c r="I134" s="143">
        <v>12130200</v>
      </c>
      <c r="J134" s="145" t="s">
        <v>5263</v>
      </c>
      <c r="K134" s="145" t="s">
        <v>5438</v>
      </c>
      <c r="L134" s="146"/>
      <c r="M134" s="145" t="s">
        <v>2878</v>
      </c>
      <c r="N134" s="145"/>
      <c r="O134" s="145" t="s">
        <v>2878</v>
      </c>
      <c r="P134" s="147" t="s">
        <v>2880</v>
      </c>
    </row>
    <row r="135" spans="2:16" s="148" customFormat="1" ht="45" hidden="1" x14ac:dyDescent="0.25">
      <c r="B135" s="149" t="str">
        <f t="shared" si="7"/>
        <v>1</v>
      </c>
      <c r="C135" s="149" t="str">
        <f t="shared" si="8"/>
        <v>2</v>
      </c>
      <c r="D135" s="149" t="str">
        <f t="shared" si="9"/>
        <v>1</v>
      </c>
      <c r="E135" s="149" t="str">
        <f t="shared" si="10"/>
        <v>3</v>
      </c>
      <c r="F135" s="149" t="str">
        <f t="shared" si="11"/>
        <v>02</v>
      </c>
      <c r="G135" s="149" t="str">
        <f t="shared" si="12"/>
        <v>1</v>
      </c>
      <c r="H135" s="149" t="str">
        <f t="shared" si="13"/>
        <v>0</v>
      </c>
      <c r="I135" s="144">
        <v>12130210</v>
      </c>
      <c r="J135" s="149" t="s">
        <v>5263</v>
      </c>
      <c r="K135" s="149" t="s">
        <v>5438</v>
      </c>
      <c r="L135" s="150"/>
      <c r="M135" s="149" t="s">
        <v>5412</v>
      </c>
      <c r="N135" s="149"/>
      <c r="O135" s="149" t="s">
        <v>5437</v>
      </c>
      <c r="P135" s="151" t="s">
        <v>2880</v>
      </c>
    </row>
    <row r="136" spans="2:16" s="148" customFormat="1" ht="30" hidden="1" x14ac:dyDescent="0.25">
      <c r="B136" s="145" t="str">
        <f t="shared" si="7"/>
        <v>1</v>
      </c>
      <c r="C136" s="145" t="str">
        <f t="shared" si="8"/>
        <v>2</v>
      </c>
      <c r="D136" s="145" t="str">
        <f t="shared" si="9"/>
        <v>1</v>
      </c>
      <c r="E136" s="145" t="str">
        <f t="shared" si="10"/>
        <v>3</v>
      </c>
      <c r="F136" s="145" t="str">
        <f t="shared" si="11"/>
        <v>03</v>
      </c>
      <c r="G136" s="145" t="str">
        <f t="shared" si="12"/>
        <v>0</v>
      </c>
      <c r="H136" s="145" t="str">
        <f t="shared" si="13"/>
        <v>0</v>
      </c>
      <c r="I136" s="143">
        <v>12130300</v>
      </c>
      <c r="J136" s="145" t="s">
        <v>5264</v>
      </c>
      <c r="K136" s="145" t="s">
        <v>5439</v>
      </c>
      <c r="L136" s="146"/>
      <c r="M136" s="145" t="s">
        <v>2878</v>
      </c>
      <c r="N136" s="145"/>
      <c r="O136" s="145" t="s">
        <v>2878</v>
      </c>
      <c r="P136" s="147" t="s">
        <v>2880</v>
      </c>
    </row>
    <row r="137" spans="2:16" s="148" customFormat="1" ht="45" hidden="1" x14ac:dyDescent="0.25">
      <c r="B137" s="149" t="str">
        <f t="shared" si="7"/>
        <v>1</v>
      </c>
      <c r="C137" s="149" t="str">
        <f t="shared" si="8"/>
        <v>2</v>
      </c>
      <c r="D137" s="149" t="str">
        <f t="shared" si="9"/>
        <v>1</v>
      </c>
      <c r="E137" s="149" t="str">
        <f t="shared" si="10"/>
        <v>3</v>
      </c>
      <c r="F137" s="149" t="str">
        <f t="shared" si="11"/>
        <v>03</v>
      </c>
      <c r="G137" s="149" t="str">
        <f t="shared" si="12"/>
        <v>1</v>
      </c>
      <c r="H137" s="149" t="str">
        <f t="shared" si="13"/>
        <v>0</v>
      </c>
      <c r="I137" s="144">
        <v>12130310</v>
      </c>
      <c r="J137" s="149" t="s">
        <v>5264</v>
      </c>
      <c r="K137" s="149" t="s">
        <v>5439</v>
      </c>
      <c r="L137" s="150"/>
      <c r="M137" s="149" t="s">
        <v>5412</v>
      </c>
      <c r="N137" s="149"/>
      <c r="O137" s="149" t="s">
        <v>5440</v>
      </c>
      <c r="P137" s="151" t="s">
        <v>2880</v>
      </c>
    </row>
    <row r="138" spans="2:16" s="148" customFormat="1" ht="30" hidden="1" x14ac:dyDescent="0.25">
      <c r="B138" s="145" t="str">
        <f t="shared" si="7"/>
        <v>1</v>
      </c>
      <c r="C138" s="145" t="str">
        <f t="shared" si="8"/>
        <v>2</v>
      </c>
      <c r="D138" s="145" t="str">
        <f t="shared" si="9"/>
        <v>1</v>
      </c>
      <c r="E138" s="145" t="str">
        <f t="shared" si="10"/>
        <v>3</v>
      </c>
      <c r="F138" s="145" t="str">
        <f t="shared" si="11"/>
        <v>49</v>
      </c>
      <c r="G138" s="145" t="str">
        <f t="shared" si="12"/>
        <v>0</v>
      </c>
      <c r="H138" s="145" t="str">
        <f t="shared" si="13"/>
        <v>0</v>
      </c>
      <c r="I138" s="143">
        <v>12134900</v>
      </c>
      <c r="J138" s="145" t="s">
        <v>5265</v>
      </c>
      <c r="K138" s="145" t="s">
        <v>5441</v>
      </c>
      <c r="L138" s="146"/>
      <c r="M138" s="145" t="s">
        <v>2878</v>
      </c>
      <c r="N138" s="145"/>
      <c r="O138" s="145" t="s">
        <v>2878</v>
      </c>
      <c r="P138" s="147" t="s">
        <v>2880</v>
      </c>
    </row>
    <row r="139" spans="2:16" s="148" customFormat="1" ht="45" hidden="1" x14ac:dyDescent="0.25">
      <c r="B139" s="149" t="str">
        <f t="shared" si="7"/>
        <v>1</v>
      </c>
      <c r="C139" s="149" t="str">
        <f t="shared" si="8"/>
        <v>2</v>
      </c>
      <c r="D139" s="149" t="str">
        <f t="shared" si="9"/>
        <v>1</v>
      </c>
      <c r="E139" s="149" t="str">
        <f t="shared" si="10"/>
        <v>3</v>
      </c>
      <c r="F139" s="149" t="str">
        <f t="shared" si="11"/>
        <v>49</v>
      </c>
      <c r="G139" s="149" t="str">
        <f t="shared" si="12"/>
        <v>1</v>
      </c>
      <c r="H139" s="149" t="str">
        <f t="shared" si="13"/>
        <v>0</v>
      </c>
      <c r="I139" s="144">
        <v>12134910</v>
      </c>
      <c r="J139" s="149" t="s">
        <v>5265</v>
      </c>
      <c r="K139" s="149" t="s">
        <v>5442</v>
      </c>
      <c r="L139" s="150"/>
      <c r="M139" s="149" t="s">
        <v>5412</v>
      </c>
      <c r="N139" s="149"/>
      <c r="O139" s="149" t="s">
        <v>5417</v>
      </c>
      <c r="P139" s="151" t="s">
        <v>2880</v>
      </c>
    </row>
    <row r="140" spans="2:16" s="148" customFormat="1" ht="45" hidden="1" x14ac:dyDescent="0.25">
      <c r="B140" s="145" t="str">
        <f t="shared" si="7"/>
        <v>1</v>
      </c>
      <c r="C140" s="145" t="str">
        <f t="shared" si="8"/>
        <v>2</v>
      </c>
      <c r="D140" s="145" t="str">
        <f t="shared" si="9"/>
        <v>1</v>
      </c>
      <c r="E140" s="145" t="str">
        <f t="shared" si="10"/>
        <v>3</v>
      </c>
      <c r="F140" s="145" t="str">
        <f t="shared" si="11"/>
        <v>99</v>
      </c>
      <c r="G140" s="145" t="str">
        <f t="shared" si="12"/>
        <v>0</v>
      </c>
      <c r="H140" s="145" t="str">
        <f t="shared" si="13"/>
        <v>0</v>
      </c>
      <c r="I140" s="143">
        <v>12139900</v>
      </c>
      <c r="J140" s="145" t="s">
        <v>5266</v>
      </c>
      <c r="K140" s="145" t="s">
        <v>5443</v>
      </c>
      <c r="L140" s="146"/>
      <c r="M140" s="145" t="s">
        <v>2878</v>
      </c>
      <c r="N140" s="145"/>
      <c r="O140" s="145" t="s">
        <v>2878</v>
      </c>
      <c r="P140" s="147" t="s">
        <v>2880</v>
      </c>
    </row>
    <row r="141" spans="2:16" s="148" customFormat="1" ht="45" hidden="1" x14ac:dyDescent="0.25">
      <c r="B141" s="149" t="str">
        <f t="shared" si="7"/>
        <v>1</v>
      </c>
      <c r="C141" s="149" t="str">
        <f t="shared" si="8"/>
        <v>2</v>
      </c>
      <c r="D141" s="149" t="str">
        <f t="shared" si="9"/>
        <v>1</v>
      </c>
      <c r="E141" s="149" t="str">
        <f t="shared" si="10"/>
        <v>3</v>
      </c>
      <c r="F141" s="149" t="str">
        <f t="shared" si="11"/>
        <v>99</v>
      </c>
      <c r="G141" s="149" t="str">
        <f t="shared" si="12"/>
        <v>1</v>
      </c>
      <c r="H141" s="149" t="str">
        <f t="shared" si="13"/>
        <v>0</v>
      </c>
      <c r="I141" s="144">
        <v>12139910</v>
      </c>
      <c r="J141" s="149" t="s">
        <v>5266</v>
      </c>
      <c r="K141" s="149" t="s">
        <v>5443</v>
      </c>
      <c r="L141" s="150"/>
      <c r="M141" s="149" t="s">
        <v>5412</v>
      </c>
      <c r="N141" s="149"/>
      <c r="O141" s="149" t="s">
        <v>5440</v>
      </c>
      <c r="P141" s="151" t="s">
        <v>2880</v>
      </c>
    </row>
    <row r="142" spans="2:16" s="148" customFormat="1" ht="30" hidden="1" x14ac:dyDescent="0.25">
      <c r="B142" s="164" t="str">
        <f t="shared" si="7"/>
        <v>1</v>
      </c>
      <c r="C142" s="164" t="str">
        <f t="shared" si="8"/>
        <v>2</v>
      </c>
      <c r="D142" s="164" t="str">
        <f t="shared" si="9"/>
        <v>1</v>
      </c>
      <c r="E142" s="164" t="str">
        <f t="shared" si="10"/>
        <v>4</v>
      </c>
      <c r="F142" s="164" t="str">
        <f t="shared" si="11"/>
        <v>00</v>
      </c>
      <c r="G142" s="164" t="str">
        <f t="shared" si="12"/>
        <v>0</v>
      </c>
      <c r="H142" s="164" t="str">
        <f t="shared" si="13"/>
        <v>0</v>
      </c>
      <c r="I142" s="165">
        <v>12140000</v>
      </c>
      <c r="J142" s="164" t="s">
        <v>3125</v>
      </c>
      <c r="K142" s="164" t="s">
        <v>5444</v>
      </c>
      <c r="L142" s="166"/>
      <c r="M142" s="164" t="s">
        <v>2878</v>
      </c>
      <c r="N142" s="164"/>
      <c r="O142" s="164" t="s">
        <v>2878</v>
      </c>
      <c r="P142" s="167" t="s">
        <v>2880</v>
      </c>
    </row>
    <row r="143" spans="2:16" s="148" customFormat="1" ht="150" hidden="1" x14ac:dyDescent="0.25">
      <c r="B143" s="145" t="str">
        <f t="shared" si="7"/>
        <v>1</v>
      </c>
      <c r="C143" s="145" t="str">
        <f t="shared" si="8"/>
        <v>2</v>
      </c>
      <c r="D143" s="145" t="str">
        <f t="shared" si="9"/>
        <v>1</v>
      </c>
      <c r="E143" s="145" t="str">
        <f t="shared" si="10"/>
        <v>4</v>
      </c>
      <c r="F143" s="145" t="str">
        <f t="shared" si="11"/>
        <v>01</v>
      </c>
      <c r="G143" s="145" t="str">
        <f t="shared" si="12"/>
        <v>0</v>
      </c>
      <c r="H143" s="145" t="str">
        <f t="shared" si="13"/>
        <v>0</v>
      </c>
      <c r="I143" s="143">
        <v>12140100</v>
      </c>
      <c r="J143" s="145" t="s">
        <v>5267</v>
      </c>
      <c r="K143" s="145" t="s">
        <v>5446</v>
      </c>
      <c r="L143" s="146"/>
      <c r="M143" s="145" t="s">
        <v>2878</v>
      </c>
      <c r="N143" s="145"/>
      <c r="O143" s="145" t="s">
        <v>2878</v>
      </c>
      <c r="P143" s="147" t="s">
        <v>2880</v>
      </c>
    </row>
    <row r="144" spans="2:16" s="148" customFormat="1" ht="150" hidden="1" x14ac:dyDescent="0.25">
      <c r="B144" s="149" t="str">
        <f t="shared" si="7"/>
        <v>1</v>
      </c>
      <c r="C144" s="149" t="str">
        <f t="shared" si="8"/>
        <v>2</v>
      </c>
      <c r="D144" s="149" t="str">
        <f t="shared" si="9"/>
        <v>1</v>
      </c>
      <c r="E144" s="149" t="str">
        <f t="shared" si="10"/>
        <v>4</v>
      </c>
      <c r="F144" s="149" t="str">
        <f t="shared" si="11"/>
        <v>01</v>
      </c>
      <c r="G144" s="149" t="str">
        <f t="shared" si="12"/>
        <v>1</v>
      </c>
      <c r="H144" s="149" t="str">
        <f t="shared" si="13"/>
        <v>0</v>
      </c>
      <c r="I144" s="144">
        <v>12140110</v>
      </c>
      <c r="J144" s="149" t="s">
        <v>5267</v>
      </c>
      <c r="K144" s="149" t="s">
        <v>5445</v>
      </c>
      <c r="L144" s="150"/>
      <c r="M144" s="149" t="s">
        <v>5412</v>
      </c>
      <c r="N144" s="149"/>
      <c r="O144" s="149" t="s">
        <v>5447</v>
      </c>
      <c r="P144" s="151" t="s">
        <v>2880</v>
      </c>
    </row>
    <row r="145" spans="2:16" s="148" customFormat="1" ht="30" hidden="1" x14ac:dyDescent="0.25">
      <c r="B145" s="145" t="str">
        <f t="shared" si="7"/>
        <v>1</v>
      </c>
      <c r="C145" s="145" t="str">
        <f t="shared" si="8"/>
        <v>2</v>
      </c>
      <c r="D145" s="145" t="str">
        <f t="shared" si="9"/>
        <v>1</v>
      </c>
      <c r="E145" s="145" t="str">
        <f t="shared" si="10"/>
        <v>4</v>
      </c>
      <c r="F145" s="145" t="str">
        <f t="shared" si="11"/>
        <v>02</v>
      </c>
      <c r="G145" s="145" t="str">
        <f t="shared" si="12"/>
        <v>0</v>
      </c>
      <c r="H145" s="145" t="str">
        <f t="shared" si="13"/>
        <v>0</v>
      </c>
      <c r="I145" s="143">
        <v>12140200</v>
      </c>
      <c r="J145" s="145" t="s">
        <v>5268</v>
      </c>
      <c r="K145" s="145" t="s">
        <v>5448</v>
      </c>
      <c r="L145" s="146"/>
      <c r="M145" s="145" t="s">
        <v>2878</v>
      </c>
      <c r="N145" s="145"/>
      <c r="O145" s="145" t="s">
        <v>2878</v>
      </c>
      <c r="P145" s="147" t="s">
        <v>2880</v>
      </c>
    </row>
    <row r="146" spans="2:16" s="148" customFormat="1" ht="30" hidden="1" x14ac:dyDescent="0.25">
      <c r="B146" s="149" t="str">
        <f t="shared" si="7"/>
        <v>1</v>
      </c>
      <c r="C146" s="149" t="str">
        <f t="shared" si="8"/>
        <v>2</v>
      </c>
      <c r="D146" s="149" t="str">
        <f t="shared" si="9"/>
        <v>1</v>
      </c>
      <c r="E146" s="149" t="str">
        <f t="shared" si="10"/>
        <v>4</v>
      </c>
      <c r="F146" s="149" t="str">
        <f t="shared" si="11"/>
        <v>02</v>
      </c>
      <c r="G146" s="149" t="str">
        <f t="shared" si="12"/>
        <v>1</v>
      </c>
      <c r="H146" s="149" t="str">
        <f t="shared" si="13"/>
        <v>0</v>
      </c>
      <c r="I146" s="144">
        <v>12140210</v>
      </c>
      <c r="J146" s="149" t="s">
        <v>5268</v>
      </c>
      <c r="K146" s="149" t="s">
        <v>5448</v>
      </c>
      <c r="L146" s="150"/>
      <c r="M146" s="149" t="s">
        <v>5412</v>
      </c>
      <c r="N146" s="149"/>
      <c r="O146" s="149" t="s">
        <v>5447</v>
      </c>
      <c r="P146" s="151" t="s">
        <v>2880</v>
      </c>
    </row>
    <row r="147" spans="2:16" s="148" customFormat="1" ht="30" hidden="1" x14ac:dyDescent="0.25">
      <c r="B147" s="145" t="str">
        <f t="shared" si="7"/>
        <v>1</v>
      </c>
      <c r="C147" s="145" t="str">
        <f t="shared" si="8"/>
        <v>2</v>
      </c>
      <c r="D147" s="145" t="str">
        <f t="shared" si="9"/>
        <v>1</v>
      </c>
      <c r="E147" s="145" t="str">
        <f t="shared" si="10"/>
        <v>4</v>
      </c>
      <c r="F147" s="145" t="str">
        <f t="shared" si="11"/>
        <v>03</v>
      </c>
      <c r="G147" s="145" t="str">
        <f t="shared" si="12"/>
        <v>0</v>
      </c>
      <c r="H147" s="145" t="str">
        <f t="shared" si="13"/>
        <v>0</v>
      </c>
      <c r="I147" s="143">
        <v>12140300</v>
      </c>
      <c r="J147" s="145" t="s">
        <v>5269</v>
      </c>
      <c r="K147" s="145" t="s">
        <v>5449</v>
      </c>
      <c r="L147" s="146"/>
      <c r="M147" s="145" t="s">
        <v>2878</v>
      </c>
      <c r="N147" s="145"/>
      <c r="O147" s="145" t="s">
        <v>2878</v>
      </c>
      <c r="P147" s="147" t="s">
        <v>2880</v>
      </c>
    </row>
    <row r="148" spans="2:16" s="148" customFormat="1" ht="30" hidden="1" x14ac:dyDescent="0.25">
      <c r="B148" s="149" t="str">
        <f t="shared" si="7"/>
        <v>1</v>
      </c>
      <c r="C148" s="149" t="str">
        <f t="shared" si="8"/>
        <v>2</v>
      </c>
      <c r="D148" s="149" t="str">
        <f t="shared" si="9"/>
        <v>1</v>
      </c>
      <c r="E148" s="149" t="str">
        <f t="shared" si="10"/>
        <v>4</v>
      </c>
      <c r="F148" s="149" t="str">
        <f t="shared" si="11"/>
        <v>03</v>
      </c>
      <c r="G148" s="149" t="str">
        <f t="shared" si="12"/>
        <v>1</v>
      </c>
      <c r="H148" s="149" t="str">
        <f t="shared" si="13"/>
        <v>0</v>
      </c>
      <c r="I148" s="144">
        <v>12140310</v>
      </c>
      <c r="J148" s="149" t="s">
        <v>5270</v>
      </c>
      <c r="K148" s="149" t="s">
        <v>5450</v>
      </c>
      <c r="L148" s="150"/>
      <c r="M148" s="149" t="s">
        <v>5412</v>
      </c>
      <c r="N148" s="149"/>
      <c r="O148" s="149" t="s">
        <v>5447</v>
      </c>
      <c r="P148" s="151" t="s">
        <v>2880</v>
      </c>
    </row>
    <row r="149" spans="2:16" s="148" customFormat="1" ht="30" hidden="1" x14ac:dyDescent="0.25">
      <c r="B149" s="149" t="str">
        <f t="shared" si="7"/>
        <v>1</v>
      </c>
      <c r="C149" s="149" t="str">
        <f t="shared" si="8"/>
        <v>2</v>
      </c>
      <c r="D149" s="149" t="str">
        <f t="shared" si="9"/>
        <v>1</v>
      </c>
      <c r="E149" s="149" t="str">
        <f t="shared" si="10"/>
        <v>4</v>
      </c>
      <c r="F149" s="149" t="str">
        <f t="shared" si="11"/>
        <v>03</v>
      </c>
      <c r="G149" s="149" t="str">
        <f t="shared" si="12"/>
        <v>2</v>
      </c>
      <c r="H149" s="149" t="str">
        <f t="shared" si="13"/>
        <v>0</v>
      </c>
      <c r="I149" s="144">
        <v>12140320</v>
      </c>
      <c r="J149" s="149" t="s">
        <v>5271</v>
      </c>
      <c r="K149" s="149" t="s">
        <v>5451</v>
      </c>
      <c r="L149" s="150"/>
      <c r="M149" s="149" t="s">
        <v>5412</v>
      </c>
      <c r="N149" s="149"/>
      <c r="O149" s="149" t="s">
        <v>5447</v>
      </c>
      <c r="P149" s="151" t="s">
        <v>2880</v>
      </c>
    </row>
    <row r="150" spans="2:16" s="148" customFormat="1" ht="30" hidden="1" x14ac:dyDescent="0.25">
      <c r="B150" s="149" t="str">
        <f t="shared" si="7"/>
        <v>1</v>
      </c>
      <c r="C150" s="149" t="str">
        <f t="shared" si="8"/>
        <v>2</v>
      </c>
      <c r="D150" s="149" t="str">
        <f t="shared" si="9"/>
        <v>1</v>
      </c>
      <c r="E150" s="149" t="str">
        <f t="shared" si="10"/>
        <v>4</v>
      </c>
      <c r="F150" s="149" t="str">
        <f t="shared" si="11"/>
        <v>03</v>
      </c>
      <c r="G150" s="149" t="str">
        <f t="shared" si="12"/>
        <v>3</v>
      </c>
      <c r="H150" s="149" t="str">
        <f t="shared" si="13"/>
        <v>0</v>
      </c>
      <c r="I150" s="144">
        <v>12140330</v>
      </c>
      <c r="J150" s="149" t="s">
        <v>5272</v>
      </c>
      <c r="K150" s="149" t="s">
        <v>5452</v>
      </c>
      <c r="L150" s="150"/>
      <c r="M150" s="149" t="s">
        <v>5412</v>
      </c>
      <c r="N150" s="149"/>
      <c r="O150" s="149" t="s">
        <v>5447</v>
      </c>
      <c r="P150" s="151" t="s">
        <v>2880</v>
      </c>
    </row>
    <row r="151" spans="2:16" s="148" customFormat="1" ht="30" hidden="1" x14ac:dyDescent="0.25">
      <c r="B151" s="149" t="str">
        <f t="shared" si="7"/>
        <v>1</v>
      </c>
      <c r="C151" s="149" t="str">
        <f t="shared" si="8"/>
        <v>2</v>
      </c>
      <c r="D151" s="149" t="str">
        <f t="shared" si="9"/>
        <v>1</v>
      </c>
      <c r="E151" s="149" t="str">
        <f t="shared" si="10"/>
        <v>4</v>
      </c>
      <c r="F151" s="149" t="str">
        <f t="shared" si="11"/>
        <v>03</v>
      </c>
      <c r="G151" s="149" t="str">
        <f t="shared" si="12"/>
        <v>4</v>
      </c>
      <c r="H151" s="149" t="str">
        <f t="shared" si="13"/>
        <v>0</v>
      </c>
      <c r="I151" s="144">
        <v>12140340</v>
      </c>
      <c r="J151" s="149" t="s">
        <v>5273</v>
      </c>
      <c r="K151" s="149" t="s">
        <v>5453</v>
      </c>
      <c r="L151" s="150"/>
      <c r="M151" s="149" t="s">
        <v>5412</v>
      </c>
      <c r="N151" s="149"/>
      <c r="O151" s="149" t="s">
        <v>5447</v>
      </c>
      <c r="P151" s="151" t="s">
        <v>2880</v>
      </c>
    </row>
    <row r="152" spans="2:16" s="148" customFormat="1" ht="30" hidden="1" x14ac:dyDescent="0.25">
      <c r="B152" s="149" t="str">
        <f t="shared" si="7"/>
        <v>1</v>
      </c>
      <c r="C152" s="149" t="str">
        <f t="shared" si="8"/>
        <v>2</v>
      </c>
      <c r="D152" s="149" t="str">
        <f t="shared" si="9"/>
        <v>1</v>
      </c>
      <c r="E152" s="149" t="str">
        <f t="shared" si="10"/>
        <v>4</v>
      </c>
      <c r="F152" s="149" t="str">
        <f t="shared" si="11"/>
        <v>03</v>
      </c>
      <c r="G152" s="149" t="str">
        <f t="shared" si="12"/>
        <v>5</v>
      </c>
      <c r="H152" s="149" t="str">
        <f t="shared" si="13"/>
        <v>0</v>
      </c>
      <c r="I152" s="144">
        <v>12140350</v>
      </c>
      <c r="J152" s="149" t="s">
        <v>5274</v>
      </c>
      <c r="K152" s="149" t="s">
        <v>5454</v>
      </c>
      <c r="L152" s="150"/>
      <c r="M152" s="149" t="s">
        <v>5412</v>
      </c>
      <c r="N152" s="149"/>
      <c r="O152" s="149" t="s">
        <v>5447</v>
      </c>
      <c r="P152" s="151" t="s">
        <v>2880</v>
      </c>
    </row>
    <row r="153" spans="2:16" s="148" customFormat="1" ht="30" hidden="1" x14ac:dyDescent="0.25">
      <c r="B153" s="145" t="str">
        <f t="shared" si="7"/>
        <v>1</v>
      </c>
      <c r="C153" s="145" t="str">
        <f t="shared" si="8"/>
        <v>2</v>
      </c>
      <c r="D153" s="145" t="str">
        <f t="shared" si="9"/>
        <v>1</v>
      </c>
      <c r="E153" s="145" t="str">
        <f t="shared" si="10"/>
        <v>4</v>
      </c>
      <c r="F153" s="145" t="str">
        <f t="shared" si="11"/>
        <v>04</v>
      </c>
      <c r="G153" s="145" t="str">
        <f t="shared" si="12"/>
        <v>0</v>
      </c>
      <c r="H153" s="145" t="str">
        <f t="shared" si="13"/>
        <v>0</v>
      </c>
      <c r="I153" s="143">
        <v>12140400</v>
      </c>
      <c r="J153" s="145" t="s">
        <v>5275</v>
      </c>
      <c r="K153" s="145" t="s">
        <v>5455</v>
      </c>
      <c r="L153" s="146"/>
      <c r="M153" s="145" t="s">
        <v>2878</v>
      </c>
      <c r="N153" s="145"/>
      <c r="O153" s="145" t="s">
        <v>2878</v>
      </c>
      <c r="P153" s="147" t="s">
        <v>2880</v>
      </c>
    </row>
    <row r="154" spans="2:16" s="148" customFormat="1" ht="30" hidden="1" x14ac:dyDescent="0.25">
      <c r="B154" s="149" t="str">
        <f t="shared" si="7"/>
        <v>1</v>
      </c>
      <c r="C154" s="149" t="str">
        <f t="shared" si="8"/>
        <v>2</v>
      </c>
      <c r="D154" s="149" t="str">
        <f t="shared" si="9"/>
        <v>1</v>
      </c>
      <c r="E154" s="149" t="str">
        <f t="shared" si="10"/>
        <v>4</v>
      </c>
      <c r="F154" s="149" t="str">
        <f t="shared" si="11"/>
        <v>04</v>
      </c>
      <c r="G154" s="149" t="str">
        <f t="shared" si="12"/>
        <v>1</v>
      </c>
      <c r="H154" s="149" t="str">
        <f t="shared" si="13"/>
        <v>0</v>
      </c>
      <c r="I154" s="144">
        <v>12140410</v>
      </c>
      <c r="J154" s="149" t="s">
        <v>5275</v>
      </c>
      <c r="K154" s="149" t="s">
        <v>5455</v>
      </c>
      <c r="L154" s="150"/>
      <c r="M154" s="149" t="s">
        <v>5412</v>
      </c>
      <c r="N154" s="149"/>
      <c r="O154" s="149" t="s">
        <v>5447</v>
      </c>
      <c r="P154" s="151" t="s">
        <v>2880</v>
      </c>
    </row>
    <row r="155" spans="2:16" s="148" customFormat="1" ht="30" hidden="1" x14ac:dyDescent="0.25">
      <c r="B155" s="145" t="str">
        <f t="shared" si="7"/>
        <v>1</v>
      </c>
      <c r="C155" s="145" t="str">
        <f t="shared" si="8"/>
        <v>2</v>
      </c>
      <c r="D155" s="145" t="str">
        <f t="shared" si="9"/>
        <v>1</v>
      </c>
      <c r="E155" s="145" t="str">
        <f t="shared" si="10"/>
        <v>4</v>
      </c>
      <c r="F155" s="145" t="str">
        <f t="shared" si="11"/>
        <v>49</v>
      </c>
      <c r="G155" s="145" t="str">
        <f t="shared" si="12"/>
        <v>0</v>
      </c>
      <c r="H155" s="145" t="str">
        <f t="shared" si="13"/>
        <v>0</v>
      </c>
      <c r="I155" s="143">
        <v>12144900</v>
      </c>
      <c r="J155" s="145" t="s">
        <v>5276</v>
      </c>
      <c r="K155" s="145" t="s">
        <v>5456</v>
      </c>
      <c r="L155" s="146"/>
      <c r="M155" s="145" t="s">
        <v>2878</v>
      </c>
      <c r="N155" s="145"/>
      <c r="O155" s="145" t="s">
        <v>2878</v>
      </c>
      <c r="P155" s="147" t="s">
        <v>2880</v>
      </c>
    </row>
    <row r="156" spans="2:16" s="148" customFormat="1" ht="30" hidden="1" x14ac:dyDescent="0.25">
      <c r="B156" s="149" t="str">
        <f t="shared" si="7"/>
        <v>1</v>
      </c>
      <c r="C156" s="149" t="str">
        <f t="shared" si="8"/>
        <v>2</v>
      </c>
      <c r="D156" s="149" t="str">
        <f t="shared" si="9"/>
        <v>1</v>
      </c>
      <c r="E156" s="149" t="str">
        <f t="shared" si="10"/>
        <v>4</v>
      </c>
      <c r="F156" s="149" t="str">
        <f t="shared" si="11"/>
        <v>49</v>
      </c>
      <c r="G156" s="149" t="str">
        <f t="shared" si="12"/>
        <v>1</v>
      </c>
      <c r="H156" s="149" t="str">
        <f t="shared" si="13"/>
        <v>0</v>
      </c>
      <c r="I156" s="144">
        <v>12144910</v>
      </c>
      <c r="J156" s="149" t="s">
        <v>5276</v>
      </c>
      <c r="K156" s="149" t="s">
        <v>5456</v>
      </c>
      <c r="L156" s="150"/>
      <c r="M156" s="149" t="s">
        <v>5412</v>
      </c>
      <c r="N156" s="149"/>
      <c r="O156" s="149" t="s">
        <v>5417</v>
      </c>
      <c r="P156" s="151" t="s">
        <v>2880</v>
      </c>
    </row>
    <row r="157" spans="2:16" s="148" customFormat="1" ht="45" hidden="1" x14ac:dyDescent="0.25">
      <c r="B157" s="164" t="str">
        <f t="shared" si="7"/>
        <v>1</v>
      </c>
      <c r="C157" s="164" t="str">
        <f t="shared" si="8"/>
        <v>2</v>
      </c>
      <c r="D157" s="164" t="str">
        <f t="shared" si="9"/>
        <v>1</v>
      </c>
      <c r="E157" s="164" t="str">
        <f t="shared" si="10"/>
        <v>5</v>
      </c>
      <c r="F157" s="164" t="str">
        <f t="shared" si="11"/>
        <v>00</v>
      </c>
      <c r="G157" s="164" t="str">
        <f t="shared" si="12"/>
        <v>0</v>
      </c>
      <c r="H157" s="164" t="str">
        <f t="shared" si="13"/>
        <v>0</v>
      </c>
      <c r="I157" s="165">
        <v>12150000</v>
      </c>
      <c r="J157" s="164" t="s">
        <v>5277</v>
      </c>
      <c r="K157" s="164" t="s">
        <v>5457</v>
      </c>
      <c r="L157" s="166"/>
      <c r="M157" s="164" t="s">
        <v>2878</v>
      </c>
      <c r="N157" s="164"/>
      <c r="O157" s="164" t="s">
        <v>2878</v>
      </c>
      <c r="P157" s="167" t="s">
        <v>2880</v>
      </c>
    </row>
    <row r="158" spans="2:16" s="148" customFormat="1" ht="30" hidden="1" x14ac:dyDescent="0.25">
      <c r="B158" s="145" t="str">
        <f t="shared" si="7"/>
        <v>1</v>
      </c>
      <c r="C158" s="145" t="str">
        <f t="shared" si="8"/>
        <v>2</v>
      </c>
      <c r="D158" s="145" t="str">
        <f t="shared" si="9"/>
        <v>1</v>
      </c>
      <c r="E158" s="145" t="str">
        <f t="shared" si="10"/>
        <v>5</v>
      </c>
      <c r="F158" s="145" t="str">
        <f t="shared" si="11"/>
        <v>01</v>
      </c>
      <c r="G158" s="145" t="str">
        <f t="shared" si="12"/>
        <v>0</v>
      </c>
      <c r="H158" s="145" t="str">
        <f t="shared" si="13"/>
        <v>0</v>
      </c>
      <c r="I158" s="143">
        <v>12150100</v>
      </c>
      <c r="J158" s="145" t="s">
        <v>5280</v>
      </c>
      <c r="K158" s="145" t="s">
        <v>5458</v>
      </c>
      <c r="L158" s="146"/>
      <c r="M158" s="145" t="s">
        <v>2878</v>
      </c>
      <c r="N158" s="145"/>
      <c r="O158" s="145" t="s">
        <v>2878</v>
      </c>
      <c r="P158" s="147" t="s">
        <v>2880</v>
      </c>
    </row>
    <row r="159" spans="2:16" s="148" customFormat="1" ht="30" hidden="1" x14ac:dyDescent="0.25">
      <c r="B159" s="149" t="str">
        <f t="shared" si="7"/>
        <v>1</v>
      </c>
      <c r="C159" s="149" t="str">
        <f t="shared" si="8"/>
        <v>2</v>
      </c>
      <c r="D159" s="149" t="str">
        <f t="shared" si="9"/>
        <v>1</v>
      </c>
      <c r="E159" s="149" t="str">
        <f t="shared" si="10"/>
        <v>5</v>
      </c>
      <c r="F159" s="149" t="str">
        <f t="shared" si="11"/>
        <v>01</v>
      </c>
      <c r="G159" s="149" t="str">
        <f t="shared" si="12"/>
        <v>1</v>
      </c>
      <c r="H159" s="149" t="str">
        <f t="shared" si="13"/>
        <v>0</v>
      </c>
      <c r="I159" s="144">
        <v>12150110</v>
      </c>
      <c r="J159" s="149" t="s">
        <v>5281</v>
      </c>
      <c r="K159" s="149" t="s">
        <v>5459</v>
      </c>
      <c r="L159" s="150"/>
      <c r="M159" s="149" t="s">
        <v>5412</v>
      </c>
      <c r="N159" s="149"/>
      <c r="O159" s="149" t="s">
        <v>5462</v>
      </c>
      <c r="P159" s="151" t="s">
        <v>2880</v>
      </c>
    </row>
    <row r="160" spans="2:16" s="148" customFormat="1" ht="30" hidden="1" x14ac:dyDescent="0.25">
      <c r="B160" s="149" t="str">
        <f t="shared" si="7"/>
        <v>1</v>
      </c>
      <c r="C160" s="149" t="str">
        <f t="shared" si="8"/>
        <v>2</v>
      </c>
      <c r="D160" s="149" t="str">
        <f t="shared" si="9"/>
        <v>1</v>
      </c>
      <c r="E160" s="149" t="str">
        <f t="shared" si="10"/>
        <v>5</v>
      </c>
      <c r="F160" s="149" t="str">
        <f t="shared" si="11"/>
        <v>01</v>
      </c>
      <c r="G160" s="149" t="str">
        <f t="shared" si="12"/>
        <v>2</v>
      </c>
      <c r="H160" s="149" t="str">
        <f t="shared" si="13"/>
        <v>0</v>
      </c>
      <c r="I160" s="144">
        <v>12150120</v>
      </c>
      <c r="J160" s="149" t="s">
        <v>5282</v>
      </c>
      <c r="K160" s="149" t="s">
        <v>5460</v>
      </c>
      <c r="L160" s="150"/>
      <c r="M160" s="149" t="s">
        <v>5412</v>
      </c>
      <c r="N160" s="149"/>
      <c r="O160" s="149" t="s">
        <v>5462</v>
      </c>
      <c r="P160" s="151" t="s">
        <v>2880</v>
      </c>
    </row>
    <row r="161" spans="2:16" s="148" customFormat="1" ht="30" hidden="1" x14ac:dyDescent="0.25">
      <c r="B161" s="149" t="str">
        <f t="shared" si="7"/>
        <v>1</v>
      </c>
      <c r="C161" s="149" t="str">
        <f t="shared" si="8"/>
        <v>2</v>
      </c>
      <c r="D161" s="149" t="str">
        <f t="shared" si="9"/>
        <v>1</v>
      </c>
      <c r="E161" s="149" t="str">
        <f t="shared" si="10"/>
        <v>5</v>
      </c>
      <c r="F161" s="149" t="str">
        <f t="shared" si="11"/>
        <v>01</v>
      </c>
      <c r="G161" s="149" t="str">
        <f t="shared" si="12"/>
        <v>3</v>
      </c>
      <c r="H161" s="149" t="str">
        <f t="shared" si="13"/>
        <v>0</v>
      </c>
      <c r="I161" s="144">
        <v>12150130</v>
      </c>
      <c r="J161" s="149" t="s">
        <v>5283</v>
      </c>
      <c r="K161" s="149" t="s">
        <v>5461</v>
      </c>
      <c r="L161" s="150"/>
      <c r="M161" s="149" t="s">
        <v>5412</v>
      </c>
      <c r="N161" s="149"/>
      <c r="O161" s="149" t="s">
        <v>5462</v>
      </c>
      <c r="P161" s="151" t="s">
        <v>2880</v>
      </c>
    </row>
    <row r="162" spans="2:16" s="148" customFormat="1" ht="45" hidden="1" x14ac:dyDescent="0.25">
      <c r="B162" s="149" t="str">
        <f t="shared" si="7"/>
        <v>1</v>
      </c>
      <c r="C162" s="149" t="str">
        <f t="shared" si="8"/>
        <v>2</v>
      </c>
      <c r="D162" s="149" t="str">
        <f t="shared" si="9"/>
        <v>1</v>
      </c>
      <c r="E162" s="149" t="str">
        <f t="shared" si="10"/>
        <v>5</v>
      </c>
      <c r="F162" s="149" t="str">
        <f t="shared" si="11"/>
        <v>01</v>
      </c>
      <c r="G162" s="149" t="str">
        <f t="shared" si="12"/>
        <v>4</v>
      </c>
      <c r="H162" s="149" t="str">
        <f t="shared" si="13"/>
        <v>0</v>
      </c>
      <c r="I162" s="144">
        <v>12150140</v>
      </c>
      <c r="J162" s="149" t="s">
        <v>5284</v>
      </c>
      <c r="K162" s="149" t="s">
        <v>5463</v>
      </c>
      <c r="L162" s="150"/>
      <c r="M162" s="149" t="s">
        <v>5412</v>
      </c>
      <c r="N162" s="149"/>
      <c r="O162" s="149" t="s">
        <v>5462</v>
      </c>
      <c r="P162" s="151" t="s">
        <v>2880</v>
      </c>
    </row>
    <row r="163" spans="2:16" s="148" customFormat="1" ht="45" hidden="1" x14ac:dyDescent="0.25">
      <c r="B163" s="149" t="str">
        <f t="shared" si="7"/>
        <v>1</v>
      </c>
      <c r="C163" s="149" t="str">
        <f t="shared" si="8"/>
        <v>2</v>
      </c>
      <c r="D163" s="149" t="str">
        <f t="shared" si="9"/>
        <v>1</v>
      </c>
      <c r="E163" s="149" t="str">
        <f t="shared" si="10"/>
        <v>5</v>
      </c>
      <c r="F163" s="149" t="str">
        <f t="shared" si="11"/>
        <v>01</v>
      </c>
      <c r="G163" s="149" t="str">
        <f t="shared" si="12"/>
        <v>5</v>
      </c>
      <c r="H163" s="149" t="str">
        <f t="shared" si="13"/>
        <v>0</v>
      </c>
      <c r="I163" s="144">
        <v>12150150</v>
      </c>
      <c r="J163" s="149" t="s">
        <v>5285</v>
      </c>
      <c r="K163" s="149" t="s">
        <v>5464</v>
      </c>
      <c r="L163" s="150"/>
      <c r="M163" s="149" t="s">
        <v>5412</v>
      </c>
      <c r="N163" s="149"/>
      <c r="O163" s="149" t="s">
        <v>5462</v>
      </c>
      <c r="P163" s="151" t="s">
        <v>2880</v>
      </c>
    </row>
    <row r="164" spans="2:16" s="148" customFormat="1" ht="45" hidden="1" x14ac:dyDescent="0.25">
      <c r="B164" s="149" t="str">
        <f t="shared" si="7"/>
        <v>1</v>
      </c>
      <c r="C164" s="149" t="str">
        <f t="shared" si="8"/>
        <v>2</v>
      </c>
      <c r="D164" s="149" t="str">
        <f t="shared" si="9"/>
        <v>1</v>
      </c>
      <c r="E164" s="149" t="str">
        <f t="shared" si="10"/>
        <v>5</v>
      </c>
      <c r="F164" s="149" t="str">
        <f t="shared" si="11"/>
        <v>01</v>
      </c>
      <c r="G164" s="149" t="str">
        <f t="shared" si="12"/>
        <v>6</v>
      </c>
      <c r="H164" s="149" t="str">
        <f t="shared" si="13"/>
        <v>0</v>
      </c>
      <c r="I164" s="144">
        <v>12150160</v>
      </c>
      <c r="J164" s="149" t="s">
        <v>5286</v>
      </c>
      <c r="K164" s="149" t="s">
        <v>5465</v>
      </c>
      <c r="L164" s="150"/>
      <c r="M164" s="149" t="s">
        <v>5412</v>
      </c>
      <c r="N164" s="149"/>
      <c r="O164" s="149" t="s">
        <v>5462</v>
      </c>
      <c r="P164" s="151" t="s">
        <v>2880</v>
      </c>
    </row>
    <row r="165" spans="2:16" s="148" customFormat="1" ht="30" hidden="1" x14ac:dyDescent="0.25">
      <c r="B165" s="145" t="str">
        <f t="shared" si="7"/>
        <v>1</v>
      </c>
      <c r="C165" s="145" t="str">
        <f t="shared" si="8"/>
        <v>2</v>
      </c>
      <c r="D165" s="145" t="str">
        <f t="shared" si="9"/>
        <v>1</v>
      </c>
      <c r="E165" s="145" t="str">
        <f t="shared" si="10"/>
        <v>5</v>
      </c>
      <c r="F165" s="145" t="str">
        <f t="shared" si="11"/>
        <v>02</v>
      </c>
      <c r="G165" s="145" t="str">
        <f t="shared" si="12"/>
        <v>0</v>
      </c>
      <c r="H165" s="145" t="str">
        <f t="shared" si="13"/>
        <v>0</v>
      </c>
      <c r="I165" s="143">
        <v>12150200</v>
      </c>
      <c r="J165" s="145" t="s">
        <v>5287</v>
      </c>
      <c r="K165" s="145" t="s">
        <v>5466</v>
      </c>
      <c r="L165" s="146"/>
      <c r="M165" s="145" t="s">
        <v>2878</v>
      </c>
      <c r="N165" s="145"/>
      <c r="O165" s="145" t="s">
        <v>2878</v>
      </c>
      <c r="P165" s="147" t="s">
        <v>2880</v>
      </c>
    </row>
    <row r="166" spans="2:16" s="148" customFormat="1" ht="45" hidden="1" x14ac:dyDescent="0.25">
      <c r="B166" s="149" t="str">
        <f t="shared" si="7"/>
        <v>1</v>
      </c>
      <c r="C166" s="149" t="str">
        <f t="shared" si="8"/>
        <v>2</v>
      </c>
      <c r="D166" s="149" t="str">
        <f t="shared" si="9"/>
        <v>1</v>
      </c>
      <c r="E166" s="149" t="str">
        <f t="shared" si="10"/>
        <v>5</v>
      </c>
      <c r="F166" s="149" t="str">
        <f t="shared" si="11"/>
        <v>02</v>
      </c>
      <c r="G166" s="149" t="str">
        <f t="shared" si="12"/>
        <v>1</v>
      </c>
      <c r="H166" s="149" t="str">
        <f t="shared" si="13"/>
        <v>0</v>
      </c>
      <c r="I166" s="144">
        <v>12150210</v>
      </c>
      <c r="J166" s="149" t="s">
        <v>5288</v>
      </c>
      <c r="K166" s="149" t="s">
        <v>5467</v>
      </c>
      <c r="L166" s="150"/>
      <c r="M166" s="149" t="s">
        <v>5412</v>
      </c>
      <c r="N166" s="149"/>
      <c r="O166" s="149" t="s">
        <v>5462</v>
      </c>
      <c r="P166" s="151" t="s">
        <v>2880</v>
      </c>
    </row>
    <row r="167" spans="2:16" s="148" customFormat="1" ht="60" hidden="1" x14ac:dyDescent="0.25">
      <c r="B167" s="149" t="str">
        <f t="shared" si="7"/>
        <v>1</v>
      </c>
      <c r="C167" s="149" t="str">
        <f t="shared" si="8"/>
        <v>2</v>
      </c>
      <c r="D167" s="149" t="str">
        <f t="shared" si="9"/>
        <v>1</v>
      </c>
      <c r="E167" s="149" t="str">
        <f t="shared" si="10"/>
        <v>5</v>
      </c>
      <c r="F167" s="149" t="str">
        <f t="shared" si="11"/>
        <v>02</v>
      </c>
      <c r="G167" s="149" t="str">
        <f t="shared" si="12"/>
        <v>2</v>
      </c>
      <c r="H167" s="149" t="str">
        <f t="shared" si="13"/>
        <v>0</v>
      </c>
      <c r="I167" s="144">
        <v>12150220</v>
      </c>
      <c r="J167" s="149" t="s">
        <v>5289</v>
      </c>
      <c r="K167" s="149" t="s">
        <v>5468</v>
      </c>
      <c r="L167" s="150"/>
      <c r="M167" s="149" t="s">
        <v>5412</v>
      </c>
      <c r="N167" s="149"/>
      <c r="O167" s="149" t="s">
        <v>5462</v>
      </c>
      <c r="P167" s="151" t="s">
        <v>2880</v>
      </c>
    </row>
    <row r="168" spans="2:16" s="148" customFormat="1" ht="45" hidden="1" x14ac:dyDescent="0.25">
      <c r="B168" s="145" t="str">
        <f t="shared" si="7"/>
        <v>1</v>
      </c>
      <c r="C168" s="145" t="str">
        <f t="shared" si="8"/>
        <v>2</v>
      </c>
      <c r="D168" s="145" t="str">
        <f t="shared" si="9"/>
        <v>1</v>
      </c>
      <c r="E168" s="145" t="str">
        <f t="shared" si="10"/>
        <v>5</v>
      </c>
      <c r="F168" s="145" t="str">
        <f t="shared" si="11"/>
        <v>03</v>
      </c>
      <c r="G168" s="145" t="str">
        <f t="shared" si="12"/>
        <v>0</v>
      </c>
      <c r="H168" s="145" t="str">
        <f t="shared" si="13"/>
        <v>0</v>
      </c>
      <c r="I168" s="143">
        <v>12150300</v>
      </c>
      <c r="J168" s="145" t="s">
        <v>5290</v>
      </c>
      <c r="K168" s="145" t="s">
        <v>5469</v>
      </c>
      <c r="L168" s="146"/>
      <c r="M168" s="145" t="s">
        <v>2878</v>
      </c>
      <c r="N168" s="145"/>
      <c r="O168" s="145" t="s">
        <v>2878</v>
      </c>
      <c r="P168" s="147" t="s">
        <v>2880</v>
      </c>
    </row>
    <row r="169" spans="2:16" s="148" customFormat="1" ht="45" hidden="1" x14ac:dyDescent="0.25">
      <c r="B169" s="149" t="str">
        <f t="shared" si="7"/>
        <v>1</v>
      </c>
      <c r="C169" s="149" t="str">
        <f t="shared" si="8"/>
        <v>2</v>
      </c>
      <c r="D169" s="149" t="str">
        <f t="shared" si="9"/>
        <v>1</v>
      </c>
      <c r="E169" s="149" t="str">
        <f t="shared" si="10"/>
        <v>5</v>
      </c>
      <c r="F169" s="149" t="str">
        <f t="shared" si="11"/>
        <v>03</v>
      </c>
      <c r="G169" s="149" t="str">
        <f t="shared" si="12"/>
        <v>1</v>
      </c>
      <c r="H169" s="149" t="str">
        <f t="shared" si="13"/>
        <v>0</v>
      </c>
      <c r="I169" s="144">
        <v>12150310</v>
      </c>
      <c r="J169" s="149" t="s">
        <v>5290</v>
      </c>
      <c r="K169" s="149" t="s">
        <v>5469</v>
      </c>
      <c r="L169" s="150"/>
      <c r="M169" s="149" t="s">
        <v>5412</v>
      </c>
      <c r="N169" s="149"/>
      <c r="O169" s="149" t="s">
        <v>5470</v>
      </c>
      <c r="P169" s="151" t="s">
        <v>2880</v>
      </c>
    </row>
    <row r="170" spans="2:16" s="148" customFormat="1" ht="45" hidden="1" x14ac:dyDescent="0.25">
      <c r="B170" s="164" t="str">
        <f t="shared" si="7"/>
        <v>1</v>
      </c>
      <c r="C170" s="164" t="str">
        <f t="shared" si="8"/>
        <v>2</v>
      </c>
      <c r="D170" s="164" t="str">
        <f t="shared" si="9"/>
        <v>1</v>
      </c>
      <c r="E170" s="164" t="str">
        <f t="shared" si="10"/>
        <v>6</v>
      </c>
      <c r="F170" s="164" t="str">
        <f t="shared" si="11"/>
        <v>00</v>
      </c>
      <c r="G170" s="164" t="str">
        <f t="shared" si="12"/>
        <v>0</v>
      </c>
      <c r="H170" s="164" t="str">
        <f t="shared" si="13"/>
        <v>0</v>
      </c>
      <c r="I170" s="165">
        <v>12160000</v>
      </c>
      <c r="J170" s="164" t="s">
        <v>5291</v>
      </c>
      <c r="K170" s="164" t="s">
        <v>5471</v>
      </c>
      <c r="L170" s="166"/>
      <c r="M170" s="164" t="s">
        <v>2878</v>
      </c>
      <c r="N170" s="164"/>
      <c r="O170" s="164" t="s">
        <v>2878</v>
      </c>
      <c r="P170" s="167" t="s">
        <v>2880</v>
      </c>
    </row>
    <row r="171" spans="2:16" s="148" customFormat="1" ht="90" hidden="1" x14ac:dyDescent="0.25">
      <c r="B171" s="145" t="str">
        <f t="shared" si="7"/>
        <v>1</v>
      </c>
      <c r="C171" s="145" t="str">
        <f t="shared" si="8"/>
        <v>2</v>
      </c>
      <c r="D171" s="145" t="str">
        <f t="shared" si="9"/>
        <v>1</v>
      </c>
      <c r="E171" s="145" t="str">
        <f t="shared" si="10"/>
        <v>6</v>
      </c>
      <c r="F171" s="145" t="str">
        <f t="shared" si="11"/>
        <v>01</v>
      </c>
      <c r="G171" s="145" t="str">
        <f t="shared" si="12"/>
        <v>0</v>
      </c>
      <c r="H171" s="145" t="str">
        <f t="shared" si="13"/>
        <v>0</v>
      </c>
      <c r="I171" s="143">
        <v>12160100</v>
      </c>
      <c r="J171" s="145" t="s">
        <v>5292</v>
      </c>
      <c r="K171" s="145" t="s">
        <v>5472</v>
      </c>
      <c r="L171" s="146"/>
      <c r="M171" s="145" t="s">
        <v>2878</v>
      </c>
      <c r="N171" s="145"/>
      <c r="O171" s="145" t="s">
        <v>2878</v>
      </c>
      <c r="P171" s="147" t="s">
        <v>2880</v>
      </c>
    </row>
    <row r="172" spans="2:16" s="148" customFormat="1" ht="90" hidden="1" x14ac:dyDescent="0.25">
      <c r="B172" s="149" t="str">
        <f t="shared" si="7"/>
        <v>1</v>
      </c>
      <c r="C172" s="149" t="str">
        <f t="shared" si="8"/>
        <v>2</v>
      </c>
      <c r="D172" s="149" t="str">
        <f t="shared" si="9"/>
        <v>1</v>
      </c>
      <c r="E172" s="149" t="str">
        <f t="shared" si="10"/>
        <v>6</v>
      </c>
      <c r="F172" s="149" t="str">
        <f t="shared" si="11"/>
        <v>01</v>
      </c>
      <c r="G172" s="149" t="str">
        <f t="shared" si="12"/>
        <v>1</v>
      </c>
      <c r="H172" s="149" t="str">
        <f t="shared" si="13"/>
        <v>0</v>
      </c>
      <c r="I172" s="144">
        <v>12160110</v>
      </c>
      <c r="J172" s="149" t="s">
        <v>5292</v>
      </c>
      <c r="K172" s="149" t="s">
        <v>5472</v>
      </c>
      <c r="L172" s="150"/>
      <c r="M172" s="149" t="s">
        <v>5473</v>
      </c>
      <c r="N172" s="149"/>
      <c r="O172" s="149" t="s">
        <v>5474</v>
      </c>
      <c r="P172" s="151" t="s">
        <v>2880</v>
      </c>
    </row>
    <row r="173" spans="2:16" s="148" customFormat="1" ht="75" hidden="1" x14ac:dyDescent="0.25">
      <c r="B173" s="149" t="str">
        <f t="shared" si="7"/>
        <v>1</v>
      </c>
      <c r="C173" s="149" t="str">
        <f t="shared" si="8"/>
        <v>2</v>
      </c>
      <c r="D173" s="149" t="str">
        <f t="shared" si="9"/>
        <v>1</v>
      </c>
      <c r="E173" s="149" t="str">
        <f t="shared" si="10"/>
        <v>6</v>
      </c>
      <c r="F173" s="149" t="str">
        <f t="shared" si="11"/>
        <v>01</v>
      </c>
      <c r="G173" s="149" t="str">
        <f t="shared" si="12"/>
        <v>2</v>
      </c>
      <c r="H173" s="149" t="str">
        <f t="shared" si="13"/>
        <v>0</v>
      </c>
      <c r="I173" s="144">
        <v>12160120</v>
      </c>
      <c r="J173" s="149" t="s">
        <v>5293</v>
      </c>
      <c r="K173" s="149" t="s">
        <v>5475</v>
      </c>
      <c r="L173" s="150"/>
      <c r="M173" s="149" t="s">
        <v>5473</v>
      </c>
      <c r="N173" s="149"/>
      <c r="O173" s="149" t="s">
        <v>5476</v>
      </c>
      <c r="P173" s="151" t="s">
        <v>2880</v>
      </c>
    </row>
    <row r="174" spans="2:16" s="148" customFormat="1" ht="30" hidden="1" x14ac:dyDescent="0.25">
      <c r="B174" s="145" t="str">
        <f t="shared" si="7"/>
        <v>1</v>
      </c>
      <c r="C174" s="145" t="str">
        <f t="shared" si="8"/>
        <v>2</v>
      </c>
      <c r="D174" s="145" t="str">
        <f t="shared" si="9"/>
        <v>1</v>
      </c>
      <c r="E174" s="145" t="str">
        <f t="shared" si="10"/>
        <v>6</v>
      </c>
      <c r="F174" s="145" t="str">
        <f t="shared" si="11"/>
        <v>02</v>
      </c>
      <c r="G174" s="145" t="str">
        <f t="shared" si="12"/>
        <v>0</v>
      </c>
      <c r="H174" s="145" t="str">
        <f t="shared" si="13"/>
        <v>0</v>
      </c>
      <c r="I174" s="143">
        <v>12160200</v>
      </c>
      <c r="J174" s="145" t="s">
        <v>5294</v>
      </c>
      <c r="K174" s="145" t="s">
        <v>5477</v>
      </c>
      <c r="L174" s="146"/>
      <c r="M174" s="145" t="s">
        <v>2878</v>
      </c>
      <c r="N174" s="145"/>
      <c r="O174" s="145" t="s">
        <v>2878</v>
      </c>
      <c r="P174" s="147" t="s">
        <v>2880</v>
      </c>
    </row>
    <row r="175" spans="2:16" s="148" customFormat="1" ht="60" hidden="1" x14ac:dyDescent="0.25">
      <c r="B175" s="149" t="str">
        <f t="shared" si="7"/>
        <v>1</v>
      </c>
      <c r="C175" s="149" t="str">
        <f t="shared" si="8"/>
        <v>2</v>
      </c>
      <c r="D175" s="149" t="str">
        <f t="shared" si="9"/>
        <v>1</v>
      </c>
      <c r="E175" s="149" t="str">
        <f t="shared" si="10"/>
        <v>6</v>
      </c>
      <c r="F175" s="149" t="str">
        <f t="shared" si="11"/>
        <v>02</v>
      </c>
      <c r="G175" s="149" t="str">
        <f t="shared" si="12"/>
        <v>1</v>
      </c>
      <c r="H175" s="149" t="str">
        <f t="shared" si="13"/>
        <v>0</v>
      </c>
      <c r="I175" s="144">
        <v>12160210</v>
      </c>
      <c r="J175" s="149" t="s">
        <v>5294</v>
      </c>
      <c r="K175" s="149" t="s">
        <v>5477</v>
      </c>
      <c r="L175" s="150"/>
      <c r="M175" s="149" t="s">
        <v>5473</v>
      </c>
      <c r="N175" s="149"/>
      <c r="O175" s="149" t="s">
        <v>5474</v>
      </c>
      <c r="P175" s="151" t="s">
        <v>2880</v>
      </c>
    </row>
    <row r="176" spans="2:16" s="148" customFormat="1" ht="60" hidden="1" x14ac:dyDescent="0.25">
      <c r="B176" s="149" t="str">
        <f t="shared" si="7"/>
        <v>1</v>
      </c>
      <c r="C176" s="149" t="str">
        <f t="shared" si="8"/>
        <v>2</v>
      </c>
      <c r="D176" s="149" t="str">
        <f t="shared" si="9"/>
        <v>1</v>
      </c>
      <c r="E176" s="149" t="str">
        <f t="shared" si="10"/>
        <v>6</v>
      </c>
      <c r="F176" s="149" t="str">
        <f t="shared" si="11"/>
        <v>02</v>
      </c>
      <c r="G176" s="149" t="str">
        <f t="shared" si="12"/>
        <v>2</v>
      </c>
      <c r="H176" s="149" t="str">
        <f t="shared" si="13"/>
        <v>0</v>
      </c>
      <c r="I176" s="144">
        <v>12160220</v>
      </c>
      <c r="J176" s="149" t="s">
        <v>5295</v>
      </c>
      <c r="K176" s="149" t="s">
        <v>5478</v>
      </c>
      <c r="L176" s="150"/>
      <c r="M176" s="149" t="s">
        <v>5473</v>
      </c>
      <c r="N176" s="149"/>
      <c r="O176" s="149" t="s">
        <v>5476</v>
      </c>
      <c r="P176" s="151" t="s">
        <v>2880</v>
      </c>
    </row>
    <row r="177" spans="2:16" s="148" customFormat="1" ht="60" hidden="1" x14ac:dyDescent="0.25">
      <c r="B177" s="145" t="str">
        <f t="shared" si="7"/>
        <v>1</v>
      </c>
      <c r="C177" s="145" t="str">
        <f t="shared" si="8"/>
        <v>2</v>
      </c>
      <c r="D177" s="145" t="str">
        <f t="shared" si="9"/>
        <v>1</v>
      </c>
      <c r="E177" s="145" t="str">
        <f t="shared" si="10"/>
        <v>6</v>
      </c>
      <c r="F177" s="145" t="str">
        <f t="shared" si="11"/>
        <v>03</v>
      </c>
      <c r="G177" s="145" t="str">
        <f t="shared" si="12"/>
        <v>0</v>
      </c>
      <c r="H177" s="145" t="str">
        <f t="shared" si="13"/>
        <v>0</v>
      </c>
      <c r="I177" s="143">
        <v>12160300</v>
      </c>
      <c r="J177" s="145" t="s">
        <v>5296</v>
      </c>
      <c r="K177" s="145" t="s">
        <v>5479</v>
      </c>
      <c r="L177" s="146"/>
      <c r="M177" s="145" t="s">
        <v>2878</v>
      </c>
      <c r="N177" s="145"/>
      <c r="O177" s="145" t="s">
        <v>2878</v>
      </c>
      <c r="P177" s="147" t="s">
        <v>2880</v>
      </c>
    </row>
    <row r="178" spans="2:16" s="148" customFormat="1" ht="60" hidden="1" x14ac:dyDescent="0.25">
      <c r="B178" s="149" t="str">
        <f t="shared" si="7"/>
        <v>1</v>
      </c>
      <c r="C178" s="149" t="str">
        <f t="shared" si="8"/>
        <v>2</v>
      </c>
      <c r="D178" s="149" t="str">
        <f t="shared" si="9"/>
        <v>1</v>
      </c>
      <c r="E178" s="149" t="str">
        <f t="shared" si="10"/>
        <v>6</v>
      </c>
      <c r="F178" s="149" t="str">
        <f t="shared" si="11"/>
        <v>03</v>
      </c>
      <c r="G178" s="149" t="str">
        <f t="shared" si="12"/>
        <v>1</v>
      </c>
      <c r="H178" s="149" t="str">
        <f t="shared" si="13"/>
        <v>0</v>
      </c>
      <c r="I178" s="144">
        <v>12160310</v>
      </c>
      <c r="J178" s="149" t="s">
        <v>5296</v>
      </c>
      <c r="K178" s="149" t="s">
        <v>5479</v>
      </c>
      <c r="L178" s="150"/>
      <c r="M178" s="149" t="s">
        <v>5480</v>
      </c>
      <c r="N178" s="149"/>
      <c r="O178" s="149" t="s">
        <v>5481</v>
      </c>
      <c r="P178" s="151" t="s">
        <v>2880</v>
      </c>
    </row>
    <row r="179" spans="2:16" s="148" customFormat="1" ht="60" hidden="1" x14ac:dyDescent="0.25">
      <c r="B179" s="149" t="str">
        <f t="shared" si="7"/>
        <v>1</v>
      </c>
      <c r="C179" s="149" t="str">
        <f t="shared" si="8"/>
        <v>2</v>
      </c>
      <c r="D179" s="149" t="str">
        <f t="shared" si="9"/>
        <v>1</v>
      </c>
      <c r="E179" s="149" t="str">
        <f t="shared" si="10"/>
        <v>6</v>
      </c>
      <c r="F179" s="149" t="str">
        <f t="shared" si="11"/>
        <v>03</v>
      </c>
      <c r="G179" s="149" t="str">
        <f t="shared" si="12"/>
        <v>2</v>
      </c>
      <c r="H179" s="149" t="str">
        <f t="shared" si="13"/>
        <v>0</v>
      </c>
      <c r="I179" s="144">
        <v>12160320</v>
      </c>
      <c r="J179" s="149" t="s">
        <v>5297</v>
      </c>
      <c r="K179" s="149" t="s">
        <v>5482</v>
      </c>
      <c r="L179" s="150"/>
      <c r="M179" s="149" t="s">
        <v>5480</v>
      </c>
      <c r="N179" s="149"/>
      <c r="O179" s="149" t="s">
        <v>5476</v>
      </c>
      <c r="P179" s="151" t="s">
        <v>2880</v>
      </c>
    </row>
    <row r="180" spans="2:16" s="148" customFormat="1" ht="90" hidden="1" x14ac:dyDescent="0.25">
      <c r="B180" s="145" t="str">
        <f t="shared" si="7"/>
        <v>1</v>
      </c>
      <c r="C180" s="145" t="str">
        <f t="shared" si="8"/>
        <v>2</v>
      </c>
      <c r="D180" s="145" t="str">
        <f t="shared" si="9"/>
        <v>1</v>
      </c>
      <c r="E180" s="145" t="str">
        <f t="shared" si="10"/>
        <v>6</v>
      </c>
      <c r="F180" s="145" t="str">
        <f t="shared" si="11"/>
        <v>04</v>
      </c>
      <c r="G180" s="145" t="str">
        <f t="shared" si="12"/>
        <v>0</v>
      </c>
      <c r="H180" s="145" t="str">
        <f t="shared" si="13"/>
        <v>0</v>
      </c>
      <c r="I180" s="143">
        <v>12160400</v>
      </c>
      <c r="J180" s="145" t="s">
        <v>5298</v>
      </c>
      <c r="K180" s="145" t="s">
        <v>5483</v>
      </c>
      <c r="L180" s="146"/>
      <c r="M180" s="145" t="s">
        <v>2878</v>
      </c>
      <c r="N180" s="145"/>
      <c r="O180" s="145" t="s">
        <v>2878</v>
      </c>
      <c r="P180" s="147" t="s">
        <v>2880</v>
      </c>
    </row>
    <row r="181" spans="2:16" s="148" customFormat="1" ht="90" hidden="1" x14ac:dyDescent="0.25">
      <c r="B181" s="149" t="str">
        <f t="shared" si="7"/>
        <v>1</v>
      </c>
      <c r="C181" s="149" t="str">
        <f t="shared" si="8"/>
        <v>2</v>
      </c>
      <c r="D181" s="149" t="str">
        <f t="shared" si="9"/>
        <v>1</v>
      </c>
      <c r="E181" s="149" t="str">
        <f t="shared" si="10"/>
        <v>6</v>
      </c>
      <c r="F181" s="149" t="str">
        <f t="shared" si="11"/>
        <v>04</v>
      </c>
      <c r="G181" s="149" t="str">
        <f t="shared" si="12"/>
        <v>1</v>
      </c>
      <c r="H181" s="149" t="str">
        <f t="shared" si="13"/>
        <v>0</v>
      </c>
      <c r="I181" s="144">
        <v>12160410</v>
      </c>
      <c r="J181" s="149" t="s">
        <v>5298</v>
      </c>
      <c r="K181" s="149" t="s">
        <v>5483</v>
      </c>
      <c r="L181" s="150"/>
      <c r="M181" s="149" t="s">
        <v>5484</v>
      </c>
      <c r="N181" s="149"/>
      <c r="O181" s="149" t="s">
        <v>5481</v>
      </c>
      <c r="P181" s="151" t="s">
        <v>2880</v>
      </c>
    </row>
    <row r="182" spans="2:16" s="148" customFormat="1" ht="75" hidden="1" x14ac:dyDescent="0.25">
      <c r="B182" s="149" t="str">
        <f t="shared" si="7"/>
        <v>1</v>
      </c>
      <c r="C182" s="149" t="str">
        <f t="shared" si="8"/>
        <v>2</v>
      </c>
      <c r="D182" s="149" t="str">
        <f t="shared" si="9"/>
        <v>1</v>
      </c>
      <c r="E182" s="149" t="str">
        <f t="shared" si="10"/>
        <v>6</v>
      </c>
      <c r="F182" s="149" t="str">
        <f t="shared" si="11"/>
        <v>04</v>
      </c>
      <c r="G182" s="149" t="str">
        <f t="shared" si="12"/>
        <v>2</v>
      </c>
      <c r="H182" s="149" t="str">
        <f t="shared" si="13"/>
        <v>0</v>
      </c>
      <c r="I182" s="144">
        <v>12160420</v>
      </c>
      <c r="J182" s="149" t="s">
        <v>5299</v>
      </c>
      <c r="K182" s="149" t="s">
        <v>5485</v>
      </c>
      <c r="L182" s="150"/>
      <c r="M182" s="149" t="s">
        <v>5484</v>
      </c>
      <c r="N182" s="149"/>
      <c r="O182" s="149" t="s">
        <v>5476</v>
      </c>
      <c r="P182" s="151" t="s">
        <v>2880</v>
      </c>
    </row>
    <row r="183" spans="2:16" s="148" customFormat="1" ht="45" hidden="1" x14ac:dyDescent="0.25">
      <c r="B183" s="164" t="str">
        <f t="shared" si="7"/>
        <v>1</v>
      </c>
      <c r="C183" s="164" t="str">
        <f t="shared" si="8"/>
        <v>2</v>
      </c>
      <c r="D183" s="164" t="str">
        <f t="shared" si="9"/>
        <v>1</v>
      </c>
      <c r="E183" s="164" t="str">
        <f t="shared" si="10"/>
        <v>7</v>
      </c>
      <c r="F183" s="164" t="str">
        <f t="shared" si="11"/>
        <v>00</v>
      </c>
      <c r="G183" s="164" t="str">
        <f t="shared" si="12"/>
        <v>0</v>
      </c>
      <c r="H183" s="164" t="str">
        <f t="shared" si="13"/>
        <v>0</v>
      </c>
      <c r="I183" s="165">
        <v>12170000</v>
      </c>
      <c r="J183" s="164" t="s">
        <v>3179</v>
      </c>
      <c r="K183" s="164" t="s">
        <v>5486</v>
      </c>
      <c r="L183" s="166"/>
      <c r="M183" s="164" t="s">
        <v>2878</v>
      </c>
      <c r="N183" s="164"/>
      <c r="O183" s="164" t="s">
        <v>2878</v>
      </c>
      <c r="P183" s="167" t="s">
        <v>2880</v>
      </c>
    </row>
    <row r="184" spans="2:16" s="148" customFormat="1" ht="30" hidden="1" x14ac:dyDescent="0.25">
      <c r="B184" s="145" t="str">
        <f t="shared" si="7"/>
        <v>1</v>
      </c>
      <c r="C184" s="145" t="str">
        <f t="shared" si="8"/>
        <v>2</v>
      </c>
      <c r="D184" s="145" t="str">
        <f t="shared" si="9"/>
        <v>1</v>
      </c>
      <c r="E184" s="145" t="str">
        <f t="shared" si="10"/>
        <v>7</v>
      </c>
      <c r="F184" s="145" t="str">
        <f t="shared" si="11"/>
        <v>01</v>
      </c>
      <c r="G184" s="145" t="str">
        <f t="shared" si="12"/>
        <v>0</v>
      </c>
      <c r="H184" s="145" t="str">
        <f t="shared" si="13"/>
        <v>0</v>
      </c>
      <c r="I184" s="143">
        <v>12170100</v>
      </c>
      <c r="J184" s="145" t="s">
        <v>3181</v>
      </c>
      <c r="K184" s="145" t="s">
        <v>5487</v>
      </c>
      <c r="L184" s="146"/>
      <c r="M184" s="145" t="s">
        <v>2878</v>
      </c>
      <c r="N184" s="145"/>
      <c r="O184" s="145" t="s">
        <v>2878</v>
      </c>
      <c r="P184" s="147" t="s">
        <v>2880</v>
      </c>
    </row>
    <row r="185" spans="2:16" s="148" customFormat="1" ht="150" hidden="1" x14ac:dyDescent="0.25">
      <c r="B185" s="149" t="str">
        <f t="shared" si="7"/>
        <v>1</v>
      </c>
      <c r="C185" s="149" t="str">
        <f t="shared" si="8"/>
        <v>2</v>
      </c>
      <c r="D185" s="149" t="str">
        <f t="shared" si="9"/>
        <v>1</v>
      </c>
      <c r="E185" s="149" t="str">
        <f t="shared" si="10"/>
        <v>7</v>
      </c>
      <c r="F185" s="149" t="str">
        <f t="shared" si="11"/>
        <v>01</v>
      </c>
      <c r="G185" s="149" t="str">
        <f t="shared" si="12"/>
        <v>1</v>
      </c>
      <c r="H185" s="149" t="str">
        <f t="shared" si="13"/>
        <v>0</v>
      </c>
      <c r="I185" s="144">
        <v>12170110</v>
      </c>
      <c r="J185" s="149" t="s">
        <v>3181</v>
      </c>
      <c r="K185" s="149" t="s">
        <v>5487</v>
      </c>
      <c r="L185" s="150"/>
      <c r="M185" s="149" t="s">
        <v>5488</v>
      </c>
      <c r="N185" s="149"/>
      <c r="O185" s="149" t="s">
        <v>5489</v>
      </c>
      <c r="P185" s="151" t="s">
        <v>2880</v>
      </c>
    </row>
    <row r="186" spans="2:16" s="148" customFormat="1" ht="45" hidden="1" x14ac:dyDescent="0.25">
      <c r="B186" s="149" t="str">
        <f t="shared" si="7"/>
        <v>1</v>
      </c>
      <c r="C186" s="149" t="str">
        <f t="shared" si="8"/>
        <v>2</v>
      </c>
      <c r="D186" s="149" t="str">
        <f t="shared" si="9"/>
        <v>1</v>
      </c>
      <c r="E186" s="149" t="str">
        <f t="shared" si="10"/>
        <v>7</v>
      </c>
      <c r="F186" s="149" t="str">
        <f t="shared" si="11"/>
        <v>01</v>
      </c>
      <c r="G186" s="149" t="str">
        <f t="shared" si="12"/>
        <v>2</v>
      </c>
      <c r="H186" s="149" t="str">
        <f t="shared" si="13"/>
        <v>0</v>
      </c>
      <c r="I186" s="144">
        <v>12170120</v>
      </c>
      <c r="J186" s="149" t="s">
        <v>5300</v>
      </c>
      <c r="K186" s="149" t="s">
        <v>5490</v>
      </c>
      <c r="L186" s="150"/>
      <c r="M186" s="149" t="s">
        <v>5488</v>
      </c>
      <c r="N186" s="149"/>
      <c r="O186" s="149" t="s">
        <v>5476</v>
      </c>
      <c r="P186" s="151" t="s">
        <v>2880</v>
      </c>
    </row>
    <row r="187" spans="2:16" s="148" customFormat="1" ht="30" hidden="1" x14ac:dyDescent="0.25">
      <c r="B187" s="145" t="str">
        <f t="shared" si="7"/>
        <v>1</v>
      </c>
      <c r="C187" s="145" t="str">
        <f t="shared" si="8"/>
        <v>2</v>
      </c>
      <c r="D187" s="145" t="str">
        <f t="shared" si="9"/>
        <v>1</v>
      </c>
      <c r="E187" s="145" t="str">
        <f t="shared" si="10"/>
        <v>7</v>
      </c>
      <c r="F187" s="145" t="str">
        <f t="shared" si="11"/>
        <v>02</v>
      </c>
      <c r="G187" s="145" t="str">
        <f t="shared" si="12"/>
        <v>0</v>
      </c>
      <c r="H187" s="145" t="str">
        <f t="shared" si="13"/>
        <v>0</v>
      </c>
      <c r="I187" s="143">
        <v>12170200</v>
      </c>
      <c r="J187" s="145" t="s">
        <v>3190</v>
      </c>
      <c r="K187" s="145" t="s">
        <v>5491</v>
      </c>
      <c r="L187" s="146"/>
      <c r="M187" s="145" t="s">
        <v>2878</v>
      </c>
      <c r="N187" s="145"/>
      <c r="O187" s="145" t="s">
        <v>2878</v>
      </c>
      <c r="P187" s="147" t="s">
        <v>2880</v>
      </c>
    </row>
    <row r="188" spans="2:16" s="148" customFormat="1" ht="135" hidden="1" x14ac:dyDescent="0.25">
      <c r="B188" s="149" t="str">
        <f t="shared" si="7"/>
        <v>1</v>
      </c>
      <c r="C188" s="149" t="str">
        <f t="shared" si="8"/>
        <v>2</v>
      </c>
      <c r="D188" s="149" t="str">
        <f t="shared" si="9"/>
        <v>1</v>
      </c>
      <c r="E188" s="149" t="str">
        <f t="shared" si="10"/>
        <v>7</v>
      </c>
      <c r="F188" s="149" t="str">
        <f t="shared" si="11"/>
        <v>02</v>
      </c>
      <c r="G188" s="149" t="str">
        <f t="shared" si="12"/>
        <v>1</v>
      </c>
      <c r="H188" s="149" t="str">
        <f t="shared" si="13"/>
        <v>0</v>
      </c>
      <c r="I188" s="144">
        <v>12170210</v>
      </c>
      <c r="J188" s="149" t="s">
        <v>3190</v>
      </c>
      <c r="K188" s="149" t="s">
        <v>5491</v>
      </c>
      <c r="L188" s="150"/>
      <c r="M188" s="149" t="s">
        <v>5492</v>
      </c>
      <c r="N188" s="149"/>
      <c r="O188" s="149" t="s">
        <v>5493</v>
      </c>
      <c r="P188" s="151" t="s">
        <v>2880</v>
      </c>
    </row>
    <row r="189" spans="2:16" s="148" customFormat="1" ht="45" hidden="1" x14ac:dyDescent="0.25">
      <c r="B189" s="149" t="str">
        <f t="shared" si="7"/>
        <v>1</v>
      </c>
      <c r="C189" s="149" t="str">
        <f t="shared" si="8"/>
        <v>2</v>
      </c>
      <c r="D189" s="149" t="str">
        <f t="shared" si="9"/>
        <v>1</v>
      </c>
      <c r="E189" s="149" t="str">
        <f t="shared" si="10"/>
        <v>7</v>
      </c>
      <c r="F189" s="149" t="str">
        <f t="shared" si="11"/>
        <v>02</v>
      </c>
      <c r="G189" s="149" t="str">
        <f t="shared" si="12"/>
        <v>2</v>
      </c>
      <c r="H189" s="149" t="str">
        <f t="shared" si="13"/>
        <v>0</v>
      </c>
      <c r="I189" s="144">
        <v>12170220</v>
      </c>
      <c r="J189" s="149" t="s">
        <v>5301</v>
      </c>
      <c r="K189" s="149" t="s">
        <v>5494</v>
      </c>
      <c r="L189" s="150"/>
      <c r="M189" s="149" t="s">
        <v>5492</v>
      </c>
      <c r="N189" s="149"/>
      <c r="O189" s="149" t="s">
        <v>5476</v>
      </c>
      <c r="P189" s="151" t="s">
        <v>2880</v>
      </c>
    </row>
    <row r="190" spans="2:16" s="148" customFormat="1" ht="105" hidden="1" x14ac:dyDescent="0.25">
      <c r="B190" s="145" t="str">
        <f t="shared" si="7"/>
        <v>1</v>
      </c>
      <c r="C190" s="145" t="str">
        <f t="shared" si="8"/>
        <v>2</v>
      </c>
      <c r="D190" s="145" t="str">
        <f t="shared" si="9"/>
        <v>1</v>
      </c>
      <c r="E190" s="145" t="str">
        <f t="shared" si="10"/>
        <v>7</v>
      </c>
      <c r="F190" s="145" t="str">
        <f t="shared" si="11"/>
        <v>03</v>
      </c>
      <c r="G190" s="145" t="str">
        <f t="shared" si="12"/>
        <v>0</v>
      </c>
      <c r="H190" s="145" t="str">
        <f t="shared" si="13"/>
        <v>0</v>
      </c>
      <c r="I190" s="143">
        <v>12170300</v>
      </c>
      <c r="J190" s="145" t="s">
        <v>3199</v>
      </c>
      <c r="K190" s="145" t="s">
        <v>5495</v>
      </c>
      <c r="L190" s="146"/>
      <c r="M190" s="145" t="s">
        <v>2878</v>
      </c>
      <c r="N190" s="145"/>
      <c r="O190" s="145" t="s">
        <v>2878</v>
      </c>
      <c r="P190" s="147" t="s">
        <v>2880</v>
      </c>
    </row>
    <row r="191" spans="2:16" s="148" customFormat="1" ht="165" hidden="1" x14ac:dyDescent="0.25">
      <c r="B191" s="149" t="str">
        <f t="shared" si="7"/>
        <v>1</v>
      </c>
      <c r="C191" s="149" t="str">
        <f t="shared" si="8"/>
        <v>2</v>
      </c>
      <c r="D191" s="149" t="str">
        <f t="shared" si="9"/>
        <v>1</v>
      </c>
      <c r="E191" s="149" t="str">
        <f t="shared" si="10"/>
        <v>7</v>
      </c>
      <c r="F191" s="149" t="str">
        <f t="shared" si="11"/>
        <v>03</v>
      </c>
      <c r="G191" s="149" t="str">
        <f t="shared" si="12"/>
        <v>1</v>
      </c>
      <c r="H191" s="149" t="str">
        <f t="shared" si="13"/>
        <v>0</v>
      </c>
      <c r="I191" s="144">
        <v>12170310</v>
      </c>
      <c r="J191" s="149" t="s">
        <v>3199</v>
      </c>
      <c r="K191" s="149" t="s">
        <v>5496</v>
      </c>
      <c r="L191" s="150"/>
      <c r="M191" s="149" t="s">
        <v>3194</v>
      </c>
      <c r="N191" s="149"/>
      <c r="O191" s="149" t="s">
        <v>5497</v>
      </c>
      <c r="P191" s="151" t="s">
        <v>2880</v>
      </c>
    </row>
    <row r="192" spans="2:16" s="148" customFormat="1" ht="75" hidden="1" x14ac:dyDescent="0.25">
      <c r="B192" s="149" t="str">
        <f t="shared" si="7"/>
        <v>1</v>
      </c>
      <c r="C192" s="149" t="str">
        <f t="shared" si="8"/>
        <v>2</v>
      </c>
      <c r="D192" s="149" t="str">
        <f t="shared" si="9"/>
        <v>1</v>
      </c>
      <c r="E192" s="149" t="str">
        <f t="shared" si="10"/>
        <v>7</v>
      </c>
      <c r="F192" s="149" t="str">
        <f t="shared" si="11"/>
        <v>03</v>
      </c>
      <c r="G192" s="149" t="str">
        <f t="shared" si="12"/>
        <v>2</v>
      </c>
      <c r="H192" s="149" t="str">
        <f t="shared" si="13"/>
        <v>0</v>
      </c>
      <c r="I192" s="144">
        <v>12170320</v>
      </c>
      <c r="J192" s="149" t="s">
        <v>5302</v>
      </c>
      <c r="K192" s="149" t="s">
        <v>5498</v>
      </c>
      <c r="L192" s="150"/>
      <c r="M192" s="149" t="s">
        <v>3194</v>
      </c>
      <c r="N192" s="149"/>
      <c r="O192" s="149" t="s">
        <v>5476</v>
      </c>
      <c r="P192" s="151" t="s">
        <v>2880</v>
      </c>
    </row>
    <row r="193" spans="2:16" s="148" customFormat="1" ht="30" hidden="1" x14ac:dyDescent="0.25">
      <c r="B193" s="145" t="str">
        <f t="shared" si="7"/>
        <v>1</v>
      </c>
      <c r="C193" s="145" t="str">
        <f t="shared" si="8"/>
        <v>2</v>
      </c>
      <c r="D193" s="145" t="str">
        <f t="shared" si="9"/>
        <v>1</v>
      </c>
      <c r="E193" s="145" t="str">
        <f t="shared" si="10"/>
        <v>7</v>
      </c>
      <c r="F193" s="145" t="str">
        <f t="shared" si="11"/>
        <v>04</v>
      </c>
      <c r="G193" s="145" t="str">
        <f t="shared" si="12"/>
        <v>0</v>
      </c>
      <c r="H193" s="145" t="str">
        <f t="shared" si="13"/>
        <v>0</v>
      </c>
      <c r="I193" s="143">
        <v>12170400</v>
      </c>
      <c r="J193" s="145" t="s">
        <v>3207</v>
      </c>
      <c r="K193" s="145" t="s">
        <v>5499</v>
      </c>
      <c r="L193" s="146"/>
      <c r="M193" s="145" t="s">
        <v>2878</v>
      </c>
      <c r="N193" s="145"/>
      <c r="O193" s="145" t="s">
        <v>2878</v>
      </c>
      <c r="P193" s="147" t="s">
        <v>2880</v>
      </c>
    </row>
    <row r="194" spans="2:16" s="148" customFormat="1" ht="150" hidden="1" x14ac:dyDescent="0.25">
      <c r="B194" s="149" t="str">
        <f t="shared" si="7"/>
        <v>1</v>
      </c>
      <c r="C194" s="149" t="str">
        <f t="shared" si="8"/>
        <v>2</v>
      </c>
      <c r="D194" s="149" t="str">
        <f t="shared" si="9"/>
        <v>1</v>
      </c>
      <c r="E194" s="149" t="str">
        <f t="shared" si="10"/>
        <v>7</v>
      </c>
      <c r="F194" s="149" t="str">
        <f t="shared" si="11"/>
        <v>04</v>
      </c>
      <c r="G194" s="149" t="str">
        <f t="shared" si="12"/>
        <v>1</v>
      </c>
      <c r="H194" s="149" t="str">
        <f t="shared" si="13"/>
        <v>0</v>
      </c>
      <c r="I194" s="144">
        <v>12170410</v>
      </c>
      <c r="J194" s="149" t="s">
        <v>3207</v>
      </c>
      <c r="K194" s="149" t="s">
        <v>5499</v>
      </c>
      <c r="L194" s="150"/>
      <c r="M194" s="149" t="s">
        <v>3194</v>
      </c>
      <c r="N194" s="149"/>
      <c r="O194" s="149" t="s">
        <v>5501</v>
      </c>
      <c r="P194" s="151" t="s">
        <v>2880</v>
      </c>
    </row>
    <row r="195" spans="2:16" s="148" customFormat="1" ht="45" hidden="1" x14ac:dyDescent="0.25">
      <c r="B195" s="149" t="str">
        <f t="shared" si="7"/>
        <v>1</v>
      </c>
      <c r="C195" s="149" t="str">
        <f t="shared" si="8"/>
        <v>2</v>
      </c>
      <c r="D195" s="149" t="str">
        <f t="shared" si="9"/>
        <v>1</v>
      </c>
      <c r="E195" s="149" t="str">
        <f t="shared" si="10"/>
        <v>7</v>
      </c>
      <c r="F195" s="149" t="str">
        <f t="shared" si="11"/>
        <v>04</v>
      </c>
      <c r="G195" s="149" t="str">
        <f t="shared" si="12"/>
        <v>2</v>
      </c>
      <c r="H195" s="149" t="str">
        <f t="shared" si="13"/>
        <v>0</v>
      </c>
      <c r="I195" s="144">
        <v>12170420</v>
      </c>
      <c r="J195" s="149" t="s">
        <v>5303</v>
      </c>
      <c r="K195" s="149" t="s">
        <v>5500</v>
      </c>
      <c r="L195" s="150"/>
      <c r="M195" s="149" t="s">
        <v>3194</v>
      </c>
      <c r="N195" s="149"/>
      <c r="O195" s="149" t="s">
        <v>5476</v>
      </c>
      <c r="P195" s="151" t="s">
        <v>2880</v>
      </c>
    </row>
    <row r="196" spans="2:16" s="148" customFormat="1" ht="30" hidden="1" x14ac:dyDescent="0.25">
      <c r="B196" s="145" t="str">
        <f t="shared" si="7"/>
        <v>1</v>
      </c>
      <c r="C196" s="145" t="str">
        <f t="shared" si="8"/>
        <v>2</v>
      </c>
      <c r="D196" s="145" t="str">
        <f t="shared" si="9"/>
        <v>1</v>
      </c>
      <c r="E196" s="145" t="str">
        <f t="shared" si="10"/>
        <v>7</v>
      </c>
      <c r="F196" s="145" t="str">
        <f t="shared" si="11"/>
        <v>05</v>
      </c>
      <c r="G196" s="145" t="str">
        <f t="shared" si="12"/>
        <v>0</v>
      </c>
      <c r="H196" s="145" t="str">
        <f t="shared" si="13"/>
        <v>0</v>
      </c>
      <c r="I196" s="143">
        <v>12170500</v>
      </c>
      <c r="J196" s="145" t="s">
        <v>5304</v>
      </c>
      <c r="K196" s="145" t="s">
        <v>5502</v>
      </c>
      <c r="L196" s="146"/>
      <c r="M196" s="145" t="s">
        <v>2878</v>
      </c>
      <c r="N196" s="145"/>
      <c r="O196" s="145" t="s">
        <v>2878</v>
      </c>
      <c r="P196" s="147" t="s">
        <v>2880</v>
      </c>
    </row>
    <row r="197" spans="2:16" s="148" customFormat="1" ht="135" hidden="1" x14ac:dyDescent="0.25">
      <c r="B197" s="149" t="str">
        <f t="shared" si="7"/>
        <v>1</v>
      </c>
      <c r="C197" s="149" t="str">
        <f t="shared" si="8"/>
        <v>2</v>
      </c>
      <c r="D197" s="149" t="str">
        <f t="shared" si="9"/>
        <v>1</v>
      </c>
      <c r="E197" s="149" t="str">
        <f t="shared" si="10"/>
        <v>7</v>
      </c>
      <c r="F197" s="149" t="str">
        <f t="shared" si="11"/>
        <v>05</v>
      </c>
      <c r="G197" s="149" t="str">
        <f t="shared" si="12"/>
        <v>1</v>
      </c>
      <c r="H197" s="149" t="str">
        <f t="shared" si="13"/>
        <v>0</v>
      </c>
      <c r="I197" s="144">
        <v>12170510</v>
      </c>
      <c r="J197" s="149" t="s">
        <v>5304</v>
      </c>
      <c r="K197" s="149" t="s">
        <v>5502</v>
      </c>
      <c r="L197" s="150"/>
      <c r="M197" s="149" t="s">
        <v>5503</v>
      </c>
      <c r="N197" s="149"/>
      <c r="O197" s="149" t="s">
        <v>5504</v>
      </c>
      <c r="P197" s="151" t="s">
        <v>2880</v>
      </c>
    </row>
    <row r="198" spans="2:16" s="148" customFormat="1" ht="30" hidden="1" x14ac:dyDescent="0.25">
      <c r="B198" s="149" t="str">
        <f t="shared" si="7"/>
        <v>1</v>
      </c>
      <c r="C198" s="149" t="str">
        <f t="shared" si="8"/>
        <v>2</v>
      </c>
      <c r="D198" s="149" t="str">
        <f t="shared" si="9"/>
        <v>1</v>
      </c>
      <c r="E198" s="149" t="str">
        <f t="shared" si="10"/>
        <v>7</v>
      </c>
      <c r="F198" s="149" t="str">
        <f t="shared" si="11"/>
        <v>05</v>
      </c>
      <c r="G198" s="149" t="str">
        <f t="shared" si="12"/>
        <v>2</v>
      </c>
      <c r="H198" s="149" t="str">
        <f t="shared" si="13"/>
        <v>0</v>
      </c>
      <c r="I198" s="144">
        <v>12170520</v>
      </c>
      <c r="J198" s="149" t="s">
        <v>5305</v>
      </c>
      <c r="K198" s="149" t="s">
        <v>5502</v>
      </c>
      <c r="L198" s="150"/>
      <c r="M198" s="149" t="s">
        <v>5503</v>
      </c>
      <c r="N198" s="149"/>
      <c r="O198" s="149" t="s">
        <v>5476</v>
      </c>
      <c r="P198" s="151" t="s">
        <v>2880</v>
      </c>
    </row>
    <row r="199" spans="2:16" s="148" customFormat="1" ht="30" hidden="1" x14ac:dyDescent="0.25">
      <c r="B199" s="145" t="str">
        <f t="shared" si="7"/>
        <v>1</v>
      </c>
      <c r="C199" s="145" t="str">
        <f t="shared" si="8"/>
        <v>2</v>
      </c>
      <c r="D199" s="145" t="str">
        <f t="shared" si="9"/>
        <v>1</v>
      </c>
      <c r="E199" s="145" t="str">
        <f t="shared" si="10"/>
        <v>7</v>
      </c>
      <c r="F199" s="145" t="str">
        <f t="shared" si="11"/>
        <v>06</v>
      </c>
      <c r="G199" s="145" t="str">
        <f t="shared" si="12"/>
        <v>0</v>
      </c>
      <c r="H199" s="145" t="str">
        <f t="shared" si="13"/>
        <v>0</v>
      </c>
      <c r="I199" s="143">
        <v>12170600</v>
      </c>
      <c r="J199" s="145" t="s">
        <v>5306</v>
      </c>
      <c r="K199" s="145" t="s">
        <v>5505</v>
      </c>
      <c r="L199" s="146"/>
      <c r="M199" s="145" t="s">
        <v>2878</v>
      </c>
      <c r="N199" s="145"/>
      <c r="O199" s="145" t="s">
        <v>2878</v>
      </c>
      <c r="P199" s="147" t="s">
        <v>2880</v>
      </c>
    </row>
    <row r="200" spans="2:16" s="148" customFormat="1" ht="165" hidden="1" x14ac:dyDescent="0.25">
      <c r="B200" s="149" t="str">
        <f t="shared" si="7"/>
        <v>1</v>
      </c>
      <c r="C200" s="149" t="str">
        <f t="shared" si="8"/>
        <v>2</v>
      </c>
      <c r="D200" s="149" t="str">
        <f t="shared" si="9"/>
        <v>1</v>
      </c>
      <c r="E200" s="149" t="str">
        <f t="shared" si="10"/>
        <v>7</v>
      </c>
      <c r="F200" s="149" t="str">
        <f t="shared" si="11"/>
        <v>06</v>
      </c>
      <c r="G200" s="149" t="str">
        <f t="shared" si="12"/>
        <v>1</v>
      </c>
      <c r="H200" s="149" t="str">
        <f t="shared" si="13"/>
        <v>0</v>
      </c>
      <c r="I200" s="144">
        <v>12170610</v>
      </c>
      <c r="J200" s="149" t="s">
        <v>5306</v>
      </c>
      <c r="K200" s="149" t="s">
        <v>5505</v>
      </c>
      <c r="L200" s="150"/>
      <c r="M200" s="149" t="s">
        <v>5506</v>
      </c>
      <c r="N200" s="149"/>
      <c r="O200" s="149" t="s">
        <v>5507</v>
      </c>
      <c r="P200" s="151" t="s">
        <v>2880</v>
      </c>
    </row>
    <row r="201" spans="2:16" s="148" customFormat="1" ht="45" hidden="1" x14ac:dyDescent="0.25">
      <c r="B201" s="149" t="str">
        <f t="shared" si="7"/>
        <v>1</v>
      </c>
      <c r="C201" s="149" t="str">
        <f t="shared" si="8"/>
        <v>2</v>
      </c>
      <c r="D201" s="149" t="str">
        <f t="shared" si="9"/>
        <v>1</v>
      </c>
      <c r="E201" s="149" t="str">
        <f t="shared" si="10"/>
        <v>7</v>
      </c>
      <c r="F201" s="149" t="str">
        <f t="shared" si="11"/>
        <v>06</v>
      </c>
      <c r="G201" s="149" t="str">
        <f t="shared" si="12"/>
        <v>2</v>
      </c>
      <c r="H201" s="149" t="str">
        <f t="shared" si="13"/>
        <v>0</v>
      </c>
      <c r="I201" s="144">
        <v>12170620</v>
      </c>
      <c r="J201" s="149" t="s">
        <v>5307</v>
      </c>
      <c r="K201" s="149" t="s">
        <v>5505</v>
      </c>
      <c r="L201" s="150"/>
      <c r="M201" s="149" t="s">
        <v>5506</v>
      </c>
      <c r="N201" s="149"/>
      <c r="O201" s="149" t="s">
        <v>5508</v>
      </c>
      <c r="P201" s="151" t="s">
        <v>2880</v>
      </c>
    </row>
    <row r="202" spans="2:16" s="148" customFormat="1" ht="30" x14ac:dyDescent="0.25">
      <c r="B202" s="164" t="str">
        <f>MID($I202,1,1)</f>
        <v>1</v>
      </c>
      <c r="C202" s="164" t="str">
        <f>MID($I202,2,1)</f>
        <v>2</v>
      </c>
      <c r="D202" s="164" t="str">
        <f>MID($I202,3,1)</f>
        <v>1</v>
      </c>
      <c r="E202" s="164" t="str">
        <f>MID($I202,4,1)</f>
        <v>8</v>
      </c>
      <c r="F202" s="164" t="str">
        <f>MID($I202,5,2)</f>
        <v>00</v>
      </c>
      <c r="G202" s="164" t="str">
        <f>MID($I202,7,1)</f>
        <v>0</v>
      </c>
      <c r="H202" s="164" t="str">
        <f>MID($I202,8,1)</f>
        <v>0</v>
      </c>
      <c r="I202" s="165">
        <v>12180000</v>
      </c>
      <c r="J202" s="164" t="s">
        <v>5021</v>
      </c>
      <c r="K202" s="164" t="s">
        <v>5340</v>
      </c>
      <c r="L202" s="166"/>
      <c r="M202" s="164" t="s">
        <v>2878</v>
      </c>
      <c r="N202" s="164"/>
      <c r="O202" s="164" t="s">
        <v>2878</v>
      </c>
      <c r="P202" s="167" t="s">
        <v>2880</v>
      </c>
    </row>
    <row r="203" spans="2:16" s="148" customFormat="1" ht="45" x14ac:dyDescent="0.25">
      <c r="B203" s="145" t="str">
        <f t="shared" si="7"/>
        <v>1</v>
      </c>
      <c r="C203" s="145" t="str">
        <f t="shared" si="8"/>
        <v>2</v>
      </c>
      <c r="D203" s="145" t="str">
        <f t="shared" si="9"/>
        <v>1</v>
      </c>
      <c r="E203" s="145" t="str">
        <f t="shared" si="10"/>
        <v>8</v>
      </c>
      <c r="F203" s="145" t="str">
        <f t="shared" si="11"/>
        <v>01</v>
      </c>
      <c r="G203" s="145" t="str">
        <f t="shared" si="12"/>
        <v>0</v>
      </c>
      <c r="H203" s="145" t="str">
        <f t="shared" si="13"/>
        <v>0</v>
      </c>
      <c r="I203" s="143">
        <v>12180100</v>
      </c>
      <c r="J203" s="145" t="s">
        <v>5335</v>
      </c>
      <c r="K203" s="145" t="s">
        <v>5338</v>
      </c>
      <c r="L203" s="146"/>
      <c r="M203" s="145" t="s">
        <v>2878</v>
      </c>
      <c r="N203" s="145"/>
      <c r="O203" s="145" t="s">
        <v>2878</v>
      </c>
      <c r="P203" s="147" t="s">
        <v>2880</v>
      </c>
    </row>
    <row r="204" spans="2:16" s="153" customFormat="1" ht="30" x14ac:dyDescent="0.25">
      <c r="B204" s="149" t="str">
        <f t="shared" si="7"/>
        <v>1</v>
      </c>
      <c r="C204" s="149" t="str">
        <f t="shared" si="8"/>
        <v>2</v>
      </c>
      <c r="D204" s="149" t="str">
        <f t="shared" si="9"/>
        <v>1</v>
      </c>
      <c r="E204" s="149" t="str">
        <f t="shared" si="10"/>
        <v>8</v>
      </c>
      <c r="F204" s="149" t="str">
        <f t="shared" si="11"/>
        <v>01</v>
      </c>
      <c r="G204" s="149" t="str">
        <f t="shared" si="12"/>
        <v>1</v>
      </c>
      <c r="H204" s="149" t="str">
        <f t="shared" si="13"/>
        <v>0</v>
      </c>
      <c r="I204" s="144">
        <v>12180110</v>
      </c>
      <c r="J204" s="149" t="s">
        <v>5278</v>
      </c>
      <c r="K204" s="149" t="s">
        <v>5367</v>
      </c>
      <c r="L204" s="149"/>
      <c r="M204" s="149" t="s">
        <v>2878</v>
      </c>
      <c r="N204" s="149"/>
      <c r="O204" s="149" t="s">
        <v>2878</v>
      </c>
      <c r="P204" s="187" t="s">
        <v>2880</v>
      </c>
    </row>
    <row r="205" spans="2:16" s="153" customFormat="1" ht="30" x14ac:dyDescent="0.25">
      <c r="B205" s="149" t="str">
        <f t="shared" si="7"/>
        <v>1</v>
      </c>
      <c r="C205" s="149" t="str">
        <f t="shared" si="8"/>
        <v>2</v>
      </c>
      <c r="D205" s="149" t="str">
        <f t="shared" si="9"/>
        <v>1</v>
      </c>
      <c r="E205" s="149" t="str">
        <f t="shared" si="10"/>
        <v>8</v>
      </c>
      <c r="F205" s="149" t="str">
        <f t="shared" si="11"/>
        <v>01</v>
      </c>
      <c r="G205" s="149" t="str">
        <f t="shared" si="12"/>
        <v>2</v>
      </c>
      <c r="H205" s="149" t="str">
        <f t="shared" si="13"/>
        <v>0</v>
      </c>
      <c r="I205" s="144">
        <v>12180120</v>
      </c>
      <c r="J205" s="149" t="s">
        <v>5279</v>
      </c>
      <c r="K205" s="149" t="s">
        <v>5368</v>
      </c>
      <c r="L205" s="149"/>
      <c r="M205" s="149" t="s">
        <v>2878</v>
      </c>
      <c r="N205" s="149"/>
      <c r="O205" s="149" t="s">
        <v>2878</v>
      </c>
      <c r="P205" s="187" t="s">
        <v>2880</v>
      </c>
    </row>
    <row r="206" spans="2:16" s="153" customFormat="1" ht="30" x14ac:dyDescent="0.25">
      <c r="B206" s="149" t="str">
        <f t="shared" si="7"/>
        <v>1</v>
      </c>
      <c r="C206" s="149" t="str">
        <f t="shared" si="8"/>
        <v>2</v>
      </c>
      <c r="D206" s="149" t="str">
        <f t="shared" si="9"/>
        <v>1</v>
      </c>
      <c r="E206" s="149" t="str">
        <f t="shared" si="10"/>
        <v>8</v>
      </c>
      <c r="F206" s="149" t="str">
        <f t="shared" si="11"/>
        <v>01</v>
      </c>
      <c r="G206" s="149" t="str">
        <f t="shared" si="12"/>
        <v>3</v>
      </c>
      <c r="H206" s="149" t="str">
        <f t="shared" si="13"/>
        <v>0</v>
      </c>
      <c r="I206" s="144">
        <v>12180130</v>
      </c>
      <c r="J206" s="149" t="s">
        <v>5336</v>
      </c>
      <c r="K206" s="149" t="s">
        <v>5369</v>
      </c>
      <c r="L206" s="149"/>
      <c r="M206" s="149" t="s">
        <v>2878</v>
      </c>
      <c r="N206" s="149"/>
      <c r="O206" s="149" t="s">
        <v>2878</v>
      </c>
      <c r="P206" s="187" t="s">
        <v>2880</v>
      </c>
    </row>
    <row r="207" spans="2:16" s="153" customFormat="1" ht="45" x14ac:dyDescent="0.25">
      <c r="B207" s="149" t="str">
        <f t="shared" si="7"/>
        <v>1</v>
      </c>
      <c r="C207" s="149" t="str">
        <f t="shared" si="8"/>
        <v>2</v>
      </c>
      <c r="D207" s="149" t="str">
        <f t="shared" si="9"/>
        <v>1</v>
      </c>
      <c r="E207" s="149" t="str">
        <f t="shared" si="10"/>
        <v>8</v>
      </c>
      <c r="F207" s="149" t="str">
        <f t="shared" si="11"/>
        <v>01</v>
      </c>
      <c r="G207" s="149" t="str">
        <f t="shared" si="12"/>
        <v>4</v>
      </c>
      <c r="H207" s="149" t="str">
        <f t="shared" si="13"/>
        <v>0</v>
      </c>
      <c r="I207" s="144">
        <v>12180140</v>
      </c>
      <c r="J207" s="149" t="s">
        <v>5284</v>
      </c>
      <c r="K207" s="149" t="s">
        <v>5370</v>
      </c>
      <c r="L207" s="149"/>
      <c r="M207" s="149" t="s">
        <v>2878</v>
      </c>
      <c r="N207" s="149"/>
      <c r="O207" s="149" t="s">
        <v>2878</v>
      </c>
      <c r="P207" s="187" t="s">
        <v>2880</v>
      </c>
    </row>
    <row r="208" spans="2:16" s="153" customFormat="1" ht="45" x14ac:dyDescent="0.25">
      <c r="B208" s="149" t="str">
        <f t="shared" si="7"/>
        <v>1</v>
      </c>
      <c r="C208" s="149" t="str">
        <f t="shared" si="8"/>
        <v>2</v>
      </c>
      <c r="D208" s="149" t="str">
        <f t="shared" si="9"/>
        <v>1</v>
      </c>
      <c r="E208" s="149" t="str">
        <f t="shared" si="10"/>
        <v>8</v>
      </c>
      <c r="F208" s="149" t="str">
        <f t="shared" si="11"/>
        <v>01</v>
      </c>
      <c r="G208" s="149" t="str">
        <f t="shared" si="12"/>
        <v>5</v>
      </c>
      <c r="H208" s="149" t="str">
        <f t="shared" si="13"/>
        <v>0</v>
      </c>
      <c r="I208" s="144">
        <v>12180150</v>
      </c>
      <c r="J208" s="149" t="s">
        <v>5285</v>
      </c>
      <c r="K208" s="149" t="s">
        <v>5371</v>
      </c>
      <c r="L208" s="149"/>
      <c r="M208" s="149" t="s">
        <v>2878</v>
      </c>
      <c r="N208" s="149"/>
      <c r="O208" s="149" t="s">
        <v>2878</v>
      </c>
      <c r="P208" s="187" t="s">
        <v>2880</v>
      </c>
    </row>
    <row r="209" spans="2:16" s="153" customFormat="1" ht="45" x14ac:dyDescent="0.25">
      <c r="B209" s="149" t="str">
        <f t="shared" si="7"/>
        <v>1</v>
      </c>
      <c r="C209" s="149" t="str">
        <f t="shared" si="8"/>
        <v>2</v>
      </c>
      <c r="D209" s="149" t="str">
        <f t="shared" si="9"/>
        <v>1</v>
      </c>
      <c r="E209" s="149" t="str">
        <f t="shared" si="10"/>
        <v>8</v>
      </c>
      <c r="F209" s="149" t="str">
        <f t="shared" si="11"/>
        <v>01</v>
      </c>
      <c r="G209" s="149" t="str">
        <f t="shared" si="12"/>
        <v>6</v>
      </c>
      <c r="H209" s="149" t="str">
        <f t="shared" si="13"/>
        <v>0</v>
      </c>
      <c r="I209" s="144">
        <v>12180160</v>
      </c>
      <c r="J209" s="149" t="s">
        <v>5286</v>
      </c>
      <c r="K209" s="149" t="s">
        <v>5372</v>
      </c>
      <c r="L209" s="149"/>
      <c r="M209" s="149" t="s">
        <v>2878</v>
      </c>
      <c r="N209" s="149"/>
      <c r="O209" s="149" t="s">
        <v>2878</v>
      </c>
      <c r="P209" s="187" t="s">
        <v>2880</v>
      </c>
    </row>
    <row r="210" spans="2:16" s="153" customFormat="1" ht="45" x14ac:dyDescent="0.25">
      <c r="B210" s="145" t="str">
        <f t="shared" si="7"/>
        <v>1</v>
      </c>
      <c r="C210" s="145" t="str">
        <f t="shared" si="8"/>
        <v>2</v>
      </c>
      <c r="D210" s="145" t="str">
        <f t="shared" si="9"/>
        <v>1</v>
      </c>
      <c r="E210" s="145" t="str">
        <f t="shared" si="10"/>
        <v>8</v>
      </c>
      <c r="F210" s="145" t="str">
        <f t="shared" si="11"/>
        <v>02</v>
      </c>
      <c r="G210" s="145" t="str">
        <f t="shared" si="12"/>
        <v>0</v>
      </c>
      <c r="H210" s="145" t="str">
        <f t="shared" si="13"/>
        <v>0</v>
      </c>
      <c r="I210" s="143">
        <v>12180200</v>
      </c>
      <c r="J210" s="145" t="s">
        <v>5358</v>
      </c>
      <c r="K210" s="145" t="s">
        <v>5373</v>
      </c>
      <c r="L210" s="145"/>
      <c r="M210" s="145" t="s">
        <v>2878</v>
      </c>
      <c r="N210" s="145"/>
      <c r="O210" s="145" t="s">
        <v>2878</v>
      </c>
      <c r="P210" s="188" t="s">
        <v>2880</v>
      </c>
    </row>
    <row r="211" spans="2:16" s="153" customFormat="1" ht="45" x14ac:dyDescent="0.25">
      <c r="B211" s="149" t="str">
        <f t="shared" si="7"/>
        <v>1</v>
      </c>
      <c r="C211" s="149" t="str">
        <f t="shared" si="8"/>
        <v>2</v>
      </c>
      <c r="D211" s="149" t="str">
        <f t="shared" si="9"/>
        <v>1</v>
      </c>
      <c r="E211" s="149" t="str">
        <f t="shared" si="10"/>
        <v>8</v>
      </c>
      <c r="F211" s="149" t="str">
        <f t="shared" si="11"/>
        <v>02</v>
      </c>
      <c r="G211" s="149" t="str">
        <f t="shared" si="12"/>
        <v>1</v>
      </c>
      <c r="H211" s="149" t="str">
        <f t="shared" si="13"/>
        <v>0</v>
      </c>
      <c r="I211" s="144">
        <v>12180210</v>
      </c>
      <c r="J211" s="149" t="s">
        <v>5346</v>
      </c>
      <c r="K211" s="149" t="s">
        <v>5374</v>
      </c>
      <c r="L211" s="149"/>
      <c r="M211" s="149" t="s">
        <v>2878</v>
      </c>
      <c r="N211" s="149"/>
      <c r="O211" s="149" t="s">
        <v>2878</v>
      </c>
      <c r="P211" s="187" t="s">
        <v>2880</v>
      </c>
    </row>
    <row r="212" spans="2:16" s="153" customFormat="1" ht="45" x14ac:dyDescent="0.25">
      <c r="B212" s="149" t="str">
        <f t="shared" si="7"/>
        <v>1</v>
      </c>
      <c r="C212" s="149" t="str">
        <f t="shared" si="8"/>
        <v>2</v>
      </c>
      <c r="D212" s="149" t="str">
        <f t="shared" si="9"/>
        <v>1</v>
      </c>
      <c r="E212" s="149" t="str">
        <f t="shared" si="10"/>
        <v>8</v>
      </c>
      <c r="F212" s="149" t="str">
        <f t="shared" si="11"/>
        <v>02</v>
      </c>
      <c r="G212" s="149" t="str">
        <f t="shared" si="12"/>
        <v>2</v>
      </c>
      <c r="H212" s="149" t="str">
        <f t="shared" si="13"/>
        <v>0</v>
      </c>
      <c r="I212" s="144">
        <v>12180220</v>
      </c>
      <c r="J212" s="149" t="s">
        <v>5347</v>
      </c>
      <c r="K212" s="149" t="s">
        <v>5375</v>
      </c>
      <c r="L212" s="149"/>
      <c r="M212" s="149" t="s">
        <v>2878</v>
      </c>
      <c r="N212" s="149"/>
      <c r="O212" s="149" t="s">
        <v>2878</v>
      </c>
      <c r="P212" s="187" t="s">
        <v>2880</v>
      </c>
    </row>
    <row r="213" spans="2:16" s="153" customFormat="1" ht="45" x14ac:dyDescent="0.25">
      <c r="B213" s="149" t="str">
        <f t="shared" si="7"/>
        <v>1</v>
      </c>
      <c r="C213" s="149" t="str">
        <f t="shared" si="8"/>
        <v>2</v>
      </c>
      <c r="D213" s="149" t="str">
        <f t="shared" si="9"/>
        <v>1</v>
      </c>
      <c r="E213" s="149" t="str">
        <f t="shared" si="10"/>
        <v>8</v>
      </c>
      <c r="F213" s="149" t="str">
        <f t="shared" si="11"/>
        <v>02</v>
      </c>
      <c r="G213" s="149" t="str">
        <f t="shared" si="12"/>
        <v>3</v>
      </c>
      <c r="H213" s="149" t="str">
        <f t="shared" si="13"/>
        <v>0</v>
      </c>
      <c r="I213" s="144">
        <v>12180230</v>
      </c>
      <c r="J213" s="149" t="s">
        <v>5348</v>
      </c>
      <c r="K213" s="149" t="s">
        <v>5376</v>
      </c>
      <c r="L213" s="149"/>
      <c r="M213" s="149" t="s">
        <v>2878</v>
      </c>
      <c r="N213" s="149"/>
      <c r="O213" s="149" t="s">
        <v>2878</v>
      </c>
      <c r="P213" s="187" t="s">
        <v>2880</v>
      </c>
    </row>
    <row r="214" spans="2:16" s="153" customFormat="1" ht="45" x14ac:dyDescent="0.25">
      <c r="B214" s="149" t="str">
        <f t="shared" si="7"/>
        <v>1</v>
      </c>
      <c r="C214" s="149" t="str">
        <f t="shared" si="8"/>
        <v>2</v>
      </c>
      <c r="D214" s="149" t="str">
        <f t="shared" si="9"/>
        <v>1</v>
      </c>
      <c r="E214" s="149" t="str">
        <f t="shared" si="10"/>
        <v>8</v>
      </c>
      <c r="F214" s="149" t="str">
        <f t="shared" si="11"/>
        <v>02</v>
      </c>
      <c r="G214" s="149" t="str">
        <f t="shared" si="12"/>
        <v>4</v>
      </c>
      <c r="H214" s="149" t="str">
        <f t="shared" si="13"/>
        <v>0</v>
      </c>
      <c r="I214" s="144">
        <v>12180240</v>
      </c>
      <c r="J214" s="149" t="s">
        <v>5349</v>
      </c>
      <c r="K214" s="149" t="s">
        <v>5377</v>
      </c>
      <c r="L214" s="149"/>
      <c r="M214" s="149" t="s">
        <v>2878</v>
      </c>
      <c r="N214" s="149"/>
      <c r="O214" s="149" t="s">
        <v>2878</v>
      </c>
      <c r="P214" s="187" t="s">
        <v>2880</v>
      </c>
    </row>
    <row r="215" spans="2:16" s="153" customFormat="1" ht="45" x14ac:dyDescent="0.25">
      <c r="B215" s="149" t="str">
        <f t="shared" si="7"/>
        <v>1</v>
      </c>
      <c r="C215" s="149" t="str">
        <f t="shared" si="8"/>
        <v>2</v>
      </c>
      <c r="D215" s="149" t="str">
        <f t="shared" si="9"/>
        <v>1</v>
      </c>
      <c r="E215" s="149" t="str">
        <f t="shared" si="10"/>
        <v>8</v>
      </c>
      <c r="F215" s="149" t="str">
        <f t="shared" si="11"/>
        <v>02</v>
      </c>
      <c r="G215" s="149" t="str">
        <f t="shared" si="12"/>
        <v>5</v>
      </c>
      <c r="H215" s="149" t="str">
        <f t="shared" si="13"/>
        <v>0</v>
      </c>
      <c r="I215" s="144">
        <v>12180250</v>
      </c>
      <c r="J215" s="149" t="s">
        <v>5350</v>
      </c>
      <c r="K215" s="149" t="s">
        <v>5378</v>
      </c>
      <c r="L215" s="149"/>
      <c r="M215" s="149" t="s">
        <v>2878</v>
      </c>
      <c r="N215" s="149"/>
      <c r="O215" s="149" t="s">
        <v>2878</v>
      </c>
      <c r="P215" s="187" t="s">
        <v>2880</v>
      </c>
    </row>
    <row r="216" spans="2:16" s="153" customFormat="1" ht="45" x14ac:dyDescent="0.25">
      <c r="B216" s="149" t="str">
        <f t="shared" si="7"/>
        <v>1</v>
      </c>
      <c r="C216" s="149" t="str">
        <f t="shared" si="8"/>
        <v>2</v>
      </c>
      <c r="D216" s="149" t="str">
        <f t="shared" si="9"/>
        <v>1</v>
      </c>
      <c r="E216" s="149" t="str">
        <f t="shared" si="10"/>
        <v>8</v>
      </c>
      <c r="F216" s="149" t="str">
        <f t="shared" si="11"/>
        <v>02</v>
      </c>
      <c r="G216" s="149" t="str">
        <f t="shared" si="12"/>
        <v>6</v>
      </c>
      <c r="H216" s="149" t="str">
        <f t="shared" si="13"/>
        <v>0</v>
      </c>
      <c r="I216" s="144">
        <v>12180260</v>
      </c>
      <c r="J216" s="149" t="s">
        <v>5351</v>
      </c>
      <c r="K216" s="149" t="s">
        <v>5379</v>
      </c>
      <c r="L216" s="149"/>
      <c r="M216" s="149" t="s">
        <v>2878</v>
      </c>
      <c r="N216" s="149"/>
      <c r="O216" s="149" t="s">
        <v>2878</v>
      </c>
      <c r="P216" s="187" t="s">
        <v>2880</v>
      </c>
    </row>
    <row r="217" spans="2:16" s="153" customFormat="1" ht="45" x14ac:dyDescent="0.25">
      <c r="B217" s="145" t="str">
        <f t="shared" si="7"/>
        <v>1</v>
      </c>
      <c r="C217" s="145" t="str">
        <f t="shared" si="8"/>
        <v>2</v>
      </c>
      <c r="D217" s="145" t="str">
        <f t="shared" si="9"/>
        <v>1</v>
      </c>
      <c r="E217" s="145" t="str">
        <f t="shared" si="10"/>
        <v>8</v>
      </c>
      <c r="F217" s="145" t="str">
        <f t="shared" si="11"/>
        <v>03</v>
      </c>
      <c r="G217" s="145" t="str">
        <f t="shared" si="12"/>
        <v>0</v>
      </c>
      <c r="H217" s="145" t="str">
        <f t="shared" si="13"/>
        <v>0</v>
      </c>
      <c r="I217" s="143">
        <v>12180300</v>
      </c>
      <c r="J217" s="145" t="s">
        <v>5333</v>
      </c>
      <c r="K217" s="145" t="s">
        <v>5339</v>
      </c>
      <c r="L217" s="145"/>
      <c r="M217" s="145" t="s">
        <v>2878</v>
      </c>
      <c r="N217" s="145"/>
      <c r="O217" s="145" t="s">
        <v>2878</v>
      </c>
      <c r="P217" s="188" t="s">
        <v>2880</v>
      </c>
    </row>
    <row r="218" spans="2:16" s="153" customFormat="1" ht="30" x14ac:dyDescent="0.25">
      <c r="B218" s="149" t="str">
        <f t="shared" si="7"/>
        <v>1</v>
      </c>
      <c r="C218" s="149" t="str">
        <f t="shared" si="8"/>
        <v>2</v>
      </c>
      <c r="D218" s="149" t="str">
        <f t="shared" si="9"/>
        <v>1</v>
      </c>
      <c r="E218" s="149" t="str">
        <f t="shared" si="10"/>
        <v>8</v>
      </c>
      <c r="F218" s="149" t="str">
        <f t="shared" si="11"/>
        <v>03</v>
      </c>
      <c r="G218" s="149" t="str">
        <f t="shared" si="12"/>
        <v>1</v>
      </c>
      <c r="H218" s="149" t="str">
        <f t="shared" si="13"/>
        <v>0</v>
      </c>
      <c r="I218" s="144">
        <v>12180310</v>
      </c>
      <c r="J218" s="149" t="s">
        <v>5334</v>
      </c>
      <c r="K218" s="149" t="s">
        <v>5380</v>
      </c>
      <c r="L218" s="149"/>
      <c r="M218" s="149" t="s">
        <v>2878</v>
      </c>
      <c r="N218" s="149"/>
      <c r="O218" s="149" t="s">
        <v>2878</v>
      </c>
      <c r="P218" s="187" t="s">
        <v>2880</v>
      </c>
    </row>
    <row r="219" spans="2:16" s="153" customFormat="1" ht="30" x14ac:dyDescent="0.25">
      <c r="B219" s="149" t="str">
        <f t="shared" si="7"/>
        <v>1</v>
      </c>
      <c r="C219" s="149" t="str">
        <f t="shared" si="8"/>
        <v>2</v>
      </c>
      <c r="D219" s="149" t="str">
        <f t="shared" si="9"/>
        <v>1</v>
      </c>
      <c r="E219" s="149" t="str">
        <f t="shared" si="10"/>
        <v>8</v>
      </c>
      <c r="F219" s="149" t="str">
        <f t="shared" si="11"/>
        <v>03</v>
      </c>
      <c r="G219" s="149" t="str">
        <f t="shared" si="12"/>
        <v>2</v>
      </c>
      <c r="H219" s="149" t="str">
        <f t="shared" si="13"/>
        <v>0</v>
      </c>
      <c r="I219" s="144">
        <v>12180320</v>
      </c>
      <c r="J219" s="149" t="s">
        <v>5328</v>
      </c>
      <c r="K219" s="149" t="s">
        <v>5381</v>
      </c>
      <c r="L219" s="149"/>
      <c r="M219" s="149" t="s">
        <v>2878</v>
      </c>
      <c r="N219" s="149"/>
      <c r="O219" s="149" t="s">
        <v>2878</v>
      </c>
      <c r="P219" s="187" t="s">
        <v>2880</v>
      </c>
    </row>
    <row r="220" spans="2:16" s="153" customFormat="1" ht="30" x14ac:dyDescent="0.25">
      <c r="B220" s="149" t="str">
        <f t="shared" si="7"/>
        <v>1</v>
      </c>
      <c r="C220" s="149" t="str">
        <f t="shared" si="8"/>
        <v>2</v>
      </c>
      <c r="D220" s="149" t="str">
        <f t="shared" si="9"/>
        <v>1</v>
      </c>
      <c r="E220" s="149" t="str">
        <f t="shared" si="10"/>
        <v>8</v>
      </c>
      <c r="F220" s="149" t="str">
        <f t="shared" si="11"/>
        <v>03</v>
      </c>
      <c r="G220" s="149" t="str">
        <f t="shared" si="12"/>
        <v>3</v>
      </c>
      <c r="H220" s="149" t="str">
        <f t="shared" si="13"/>
        <v>0</v>
      </c>
      <c r="I220" s="144">
        <v>12180330</v>
      </c>
      <c r="J220" s="149" t="s">
        <v>5329</v>
      </c>
      <c r="K220" s="149" t="s">
        <v>5382</v>
      </c>
      <c r="L220" s="149"/>
      <c r="M220" s="149" t="s">
        <v>2878</v>
      </c>
      <c r="N220" s="149"/>
      <c r="O220" s="149" t="s">
        <v>2878</v>
      </c>
      <c r="P220" s="187" t="s">
        <v>2880</v>
      </c>
    </row>
    <row r="221" spans="2:16" s="153" customFormat="1" ht="45" x14ac:dyDescent="0.25">
      <c r="B221" s="149" t="str">
        <f t="shared" si="7"/>
        <v>1</v>
      </c>
      <c r="C221" s="149" t="str">
        <f t="shared" si="8"/>
        <v>2</v>
      </c>
      <c r="D221" s="149" t="str">
        <f t="shared" si="9"/>
        <v>1</v>
      </c>
      <c r="E221" s="149" t="str">
        <f t="shared" si="10"/>
        <v>8</v>
      </c>
      <c r="F221" s="149" t="str">
        <f t="shared" si="11"/>
        <v>03</v>
      </c>
      <c r="G221" s="149" t="str">
        <f t="shared" si="12"/>
        <v>4</v>
      </c>
      <c r="H221" s="149" t="str">
        <f t="shared" si="13"/>
        <v>0</v>
      </c>
      <c r="I221" s="144">
        <v>12180340</v>
      </c>
      <c r="J221" s="149" t="s">
        <v>5330</v>
      </c>
      <c r="K221" s="149" t="s">
        <v>5383</v>
      </c>
      <c r="L221" s="149"/>
      <c r="M221" s="149" t="s">
        <v>2878</v>
      </c>
      <c r="N221" s="149"/>
      <c r="O221" s="149" t="s">
        <v>2878</v>
      </c>
      <c r="P221" s="187" t="s">
        <v>2880</v>
      </c>
    </row>
    <row r="222" spans="2:16" s="153" customFormat="1" ht="45" x14ac:dyDescent="0.25">
      <c r="B222" s="149" t="str">
        <f t="shared" si="7"/>
        <v>1</v>
      </c>
      <c r="C222" s="149" t="str">
        <f t="shared" si="8"/>
        <v>2</v>
      </c>
      <c r="D222" s="149" t="str">
        <f t="shared" si="9"/>
        <v>1</v>
      </c>
      <c r="E222" s="149" t="str">
        <f t="shared" si="10"/>
        <v>8</v>
      </c>
      <c r="F222" s="149" t="str">
        <f t="shared" si="11"/>
        <v>03</v>
      </c>
      <c r="G222" s="149" t="str">
        <f t="shared" si="12"/>
        <v>5</v>
      </c>
      <c r="H222" s="149" t="str">
        <f t="shared" si="13"/>
        <v>0</v>
      </c>
      <c r="I222" s="144">
        <v>12180350</v>
      </c>
      <c r="J222" s="149" t="s">
        <v>5331</v>
      </c>
      <c r="K222" s="149" t="s">
        <v>5384</v>
      </c>
      <c r="L222" s="149"/>
      <c r="M222" s="149" t="s">
        <v>2878</v>
      </c>
      <c r="N222" s="149"/>
      <c r="O222" s="149" t="s">
        <v>2878</v>
      </c>
      <c r="P222" s="187" t="s">
        <v>2880</v>
      </c>
    </row>
    <row r="223" spans="2:16" s="153" customFormat="1" ht="45" x14ac:dyDescent="0.25">
      <c r="B223" s="149" t="str">
        <f t="shared" si="7"/>
        <v>1</v>
      </c>
      <c r="C223" s="149" t="str">
        <f t="shared" si="8"/>
        <v>2</v>
      </c>
      <c r="D223" s="149" t="str">
        <f t="shared" si="9"/>
        <v>1</v>
      </c>
      <c r="E223" s="149" t="str">
        <f t="shared" si="10"/>
        <v>8</v>
      </c>
      <c r="F223" s="149" t="str">
        <f t="shared" si="11"/>
        <v>03</v>
      </c>
      <c r="G223" s="149" t="str">
        <f t="shared" si="12"/>
        <v>6</v>
      </c>
      <c r="H223" s="149" t="str">
        <f t="shared" si="13"/>
        <v>0</v>
      </c>
      <c r="I223" s="144">
        <v>12180360</v>
      </c>
      <c r="J223" s="149" t="s">
        <v>5332</v>
      </c>
      <c r="K223" s="149" t="s">
        <v>5385</v>
      </c>
      <c r="L223" s="149"/>
      <c r="M223" s="149" t="s">
        <v>2878</v>
      </c>
      <c r="N223" s="149"/>
      <c r="O223" s="149" t="s">
        <v>2878</v>
      </c>
      <c r="P223" s="187" t="s">
        <v>2880</v>
      </c>
    </row>
    <row r="224" spans="2:16" s="153" customFormat="1" ht="45" x14ac:dyDescent="0.25">
      <c r="B224" s="145" t="str">
        <f t="shared" si="7"/>
        <v>1</v>
      </c>
      <c r="C224" s="145" t="str">
        <f t="shared" si="8"/>
        <v>2</v>
      </c>
      <c r="D224" s="145" t="str">
        <f t="shared" si="9"/>
        <v>1</v>
      </c>
      <c r="E224" s="145" t="str">
        <f t="shared" si="10"/>
        <v>8</v>
      </c>
      <c r="F224" s="145" t="str">
        <f t="shared" si="11"/>
        <v>04</v>
      </c>
      <c r="G224" s="145" t="str">
        <f t="shared" si="12"/>
        <v>0</v>
      </c>
      <c r="H224" s="145" t="str">
        <f t="shared" si="13"/>
        <v>0</v>
      </c>
      <c r="I224" s="143">
        <v>12180400</v>
      </c>
      <c r="J224" s="145" t="s">
        <v>5359</v>
      </c>
      <c r="K224" s="145" t="s">
        <v>5386</v>
      </c>
      <c r="L224" s="145"/>
      <c r="M224" s="145" t="s">
        <v>2878</v>
      </c>
      <c r="N224" s="145"/>
      <c r="O224" s="145" t="s">
        <v>2878</v>
      </c>
      <c r="P224" s="188" t="s">
        <v>2880</v>
      </c>
    </row>
    <row r="225" spans="2:16" s="153" customFormat="1" ht="45" x14ac:dyDescent="0.25">
      <c r="B225" s="149" t="str">
        <f t="shared" si="7"/>
        <v>1</v>
      </c>
      <c r="C225" s="149" t="str">
        <f t="shared" si="8"/>
        <v>2</v>
      </c>
      <c r="D225" s="149" t="str">
        <f t="shared" si="9"/>
        <v>1</v>
      </c>
      <c r="E225" s="149" t="str">
        <f t="shared" si="10"/>
        <v>8</v>
      </c>
      <c r="F225" s="149" t="str">
        <f t="shared" si="11"/>
        <v>04</v>
      </c>
      <c r="G225" s="149" t="str">
        <f t="shared" si="12"/>
        <v>1</v>
      </c>
      <c r="H225" s="149" t="str">
        <f t="shared" si="13"/>
        <v>0</v>
      </c>
      <c r="I225" s="144">
        <v>12180410</v>
      </c>
      <c r="J225" s="149" t="s">
        <v>5352</v>
      </c>
      <c r="K225" s="149" t="s">
        <v>5387</v>
      </c>
      <c r="L225" s="149"/>
      <c r="M225" s="149" t="s">
        <v>2878</v>
      </c>
      <c r="N225" s="149"/>
      <c r="O225" s="149" t="s">
        <v>2878</v>
      </c>
      <c r="P225" s="187" t="s">
        <v>2880</v>
      </c>
    </row>
    <row r="226" spans="2:16" s="153" customFormat="1" ht="45" x14ac:dyDescent="0.25">
      <c r="B226" s="149" t="str">
        <f t="shared" si="7"/>
        <v>1</v>
      </c>
      <c r="C226" s="149" t="str">
        <f t="shared" si="8"/>
        <v>2</v>
      </c>
      <c r="D226" s="149" t="str">
        <f t="shared" si="9"/>
        <v>1</v>
      </c>
      <c r="E226" s="149" t="str">
        <f t="shared" si="10"/>
        <v>8</v>
      </c>
      <c r="F226" s="149" t="str">
        <f t="shared" si="11"/>
        <v>04</v>
      </c>
      <c r="G226" s="149" t="str">
        <f t="shared" si="12"/>
        <v>2</v>
      </c>
      <c r="H226" s="149" t="str">
        <f t="shared" si="13"/>
        <v>0</v>
      </c>
      <c r="I226" s="144">
        <v>12180420</v>
      </c>
      <c r="J226" s="149" t="s">
        <v>5353</v>
      </c>
      <c r="K226" s="149" t="s">
        <v>5388</v>
      </c>
      <c r="L226" s="149"/>
      <c r="M226" s="149" t="s">
        <v>2878</v>
      </c>
      <c r="N226" s="149"/>
      <c r="O226" s="149" t="s">
        <v>2878</v>
      </c>
      <c r="P226" s="187" t="s">
        <v>2880</v>
      </c>
    </row>
    <row r="227" spans="2:16" s="153" customFormat="1" ht="45" x14ac:dyDescent="0.25">
      <c r="B227" s="149" t="str">
        <f t="shared" si="7"/>
        <v>1</v>
      </c>
      <c r="C227" s="149" t="str">
        <f t="shared" si="8"/>
        <v>2</v>
      </c>
      <c r="D227" s="149" t="str">
        <f t="shared" si="9"/>
        <v>1</v>
      </c>
      <c r="E227" s="149" t="str">
        <f t="shared" si="10"/>
        <v>8</v>
      </c>
      <c r="F227" s="149" t="str">
        <f t="shared" si="11"/>
        <v>04</v>
      </c>
      <c r="G227" s="149" t="str">
        <f t="shared" si="12"/>
        <v>3</v>
      </c>
      <c r="H227" s="149" t="str">
        <f t="shared" si="13"/>
        <v>0</v>
      </c>
      <c r="I227" s="144">
        <v>12180430</v>
      </c>
      <c r="J227" s="149" t="s">
        <v>5354</v>
      </c>
      <c r="K227" s="149" t="s">
        <v>5389</v>
      </c>
      <c r="L227" s="149"/>
      <c r="M227" s="149" t="s">
        <v>2878</v>
      </c>
      <c r="N227" s="149"/>
      <c r="O227" s="149" t="s">
        <v>2878</v>
      </c>
      <c r="P227" s="187" t="s">
        <v>2880</v>
      </c>
    </row>
    <row r="228" spans="2:16" s="153" customFormat="1" ht="45" x14ac:dyDescent="0.25">
      <c r="B228" s="149" t="str">
        <f t="shared" si="7"/>
        <v>1</v>
      </c>
      <c r="C228" s="149" t="str">
        <f t="shared" si="8"/>
        <v>2</v>
      </c>
      <c r="D228" s="149" t="str">
        <f t="shared" si="9"/>
        <v>1</v>
      </c>
      <c r="E228" s="149" t="str">
        <f t="shared" si="10"/>
        <v>8</v>
      </c>
      <c r="F228" s="149" t="str">
        <f t="shared" si="11"/>
        <v>04</v>
      </c>
      <c r="G228" s="149" t="str">
        <f t="shared" si="12"/>
        <v>4</v>
      </c>
      <c r="H228" s="149" t="str">
        <f t="shared" si="13"/>
        <v>0</v>
      </c>
      <c r="I228" s="144">
        <v>12180440</v>
      </c>
      <c r="J228" s="149" t="s">
        <v>5355</v>
      </c>
      <c r="K228" s="149" t="s">
        <v>5390</v>
      </c>
      <c r="L228" s="149"/>
      <c r="M228" s="149" t="s">
        <v>2878</v>
      </c>
      <c r="N228" s="149"/>
      <c r="O228" s="149" t="s">
        <v>2878</v>
      </c>
      <c r="P228" s="187" t="s">
        <v>2880</v>
      </c>
    </row>
    <row r="229" spans="2:16" s="153" customFormat="1" ht="45" x14ac:dyDescent="0.25">
      <c r="B229" s="149" t="str">
        <f t="shared" si="7"/>
        <v>1</v>
      </c>
      <c r="C229" s="149" t="str">
        <f t="shared" si="8"/>
        <v>2</v>
      </c>
      <c r="D229" s="149" t="str">
        <f t="shared" si="9"/>
        <v>1</v>
      </c>
      <c r="E229" s="149" t="str">
        <f t="shared" si="10"/>
        <v>8</v>
      </c>
      <c r="F229" s="149" t="str">
        <f t="shared" si="11"/>
        <v>04</v>
      </c>
      <c r="G229" s="149" t="str">
        <f t="shared" si="12"/>
        <v>5</v>
      </c>
      <c r="H229" s="149" t="str">
        <f t="shared" si="13"/>
        <v>0</v>
      </c>
      <c r="I229" s="144">
        <v>12180450</v>
      </c>
      <c r="J229" s="149" t="s">
        <v>5356</v>
      </c>
      <c r="K229" s="149" t="s">
        <v>5391</v>
      </c>
      <c r="L229" s="149"/>
      <c r="M229" s="149" t="s">
        <v>2878</v>
      </c>
      <c r="N229" s="149"/>
      <c r="O229" s="149" t="s">
        <v>2878</v>
      </c>
      <c r="P229" s="187" t="s">
        <v>2880</v>
      </c>
    </row>
    <row r="230" spans="2:16" s="153" customFormat="1" ht="45" x14ac:dyDescent="0.25">
      <c r="B230" s="149" t="str">
        <f t="shared" si="7"/>
        <v>1</v>
      </c>
      <c r="C230" s="149" t="str">
        <f t="shared" si="8"/>
        <v>2</v>
      </c>
      <c r="D230" s="149" t="str">
        <f t="shared" si="9"/>
        <v>1</v>
      </c>
      <c r="E230" s="149" t="str">
        <f t="shared" si="10"/>
        <v>8</v>
      </c>
      <c r="F230" s="149" t="str">
        <f t="shared" si="11"/>
        <v>04</v>
      </c>
      <c r="G230" s="149" t="str">
        <f t="shared" si="12"/>
        <v>6</v>
      </c>
      <c r="H230" s="149" t="str">
        <f t="shared" si="13"/>
        <v>0</v>
      </c>
      <c r="I230" s="144">
        <v>12180460</v>
      </c>
      <c r="J230" s="149" t="s">
        <v>5357</v>
      </c>
      <c r="K230" s="149" t="s">
        <v>5392</v>
      </c>
      <c r="L230" s="149"/>
      <c r="M230" s="149" t="s">
        <v>2878</v>
      </c>
      <c r="N230" s="149"/>
      <c r="O230" s="149" t="s">
        <v>2878</v>
      </c>
      <c r="P230" s="187" t="s">
        <v>2880</v>
      </c>
    </row>
    <row r="231" spans="2:16" s="153" customFormat="1" ht="30" x14ac:dyDescent="0.25">
      <c r="B231" s="145" t="str">
        <f t="shared" si="7"/>
        <v>1</v>
      </c>
      <c r="C231" s="145" t="str">
        <f t="shared" si="8"/>
        <v>2</v>
      </c>
      <c r="D231" s="145" t="str">
        <f t="shared" si="9"/>
        <v>1</v>
      </c>
      <c r="E231" s="145" t="str">
        <f t="shared" si="10"/>
        <v>8</v>
      </c>
      <c r="F231" s="145" t="str">
        <f t="shared" si="11"/>
        <v>05</v>
      </c>
      <c r="G231" s="145" t="str">
        <f t="shared" si="12"/>
        <v>0</v>
      </c>
      <c r="H231" s="145" t="str">
        <f t="shared" si="13"/>
        <v>0</v>
      </c>
      <c r="I231" s="143">
        <v>12180500</v>
      </c>
      <c r="J231" s="145" t="s">
        <v>5341</v>
      </c>
      <c r="K231" s="145" t="s">
        <v>5337</v>
      </c>
      <c r="L231" s="145"/>
      <c r="M231" s="145" t="s">
        <v>2878</v>
      </c>
      <c r="N231" s="145"/>
      <c r="O231" s="145" t="s">
        <v>2878</v>
      </c>
      <c r="P231" s="188" t="s">
        <v>2880</v>
      </c>
    </row>
    <row r="232" spans="2:16" s="148" customFormat="1" ht="30" x14ac:dyDescent="0.25">
      <c r="B232" s="149" t="str">
        <f t="shared" si="7"/>
        <v>1</v>
      </c>
      <c r="C232" s="149" t="str">
        <f t="shared" si="8"/>
        <v>2</v>
      </c>
      <c r="D232" s="149" t="str">
        <f t="shared" si="9"/>
        <v>1</v>
      </c>
      <c r="E232" s="149" t="str">
        <f t="shared" si="10"/>
        <v>8</v>
      </c>
      <c r="F232" s="149" t="str">
        <f t="shared" si="11"/>
        <v>05</v>
      </c>
      <c r="G232" s="149" t="str">
        <f t="shared" si="12"/>
        <v>1</v>
      </c>
      <c r="H232" s="149" t="str">
        <f t="shared" si="13"/>
        <v>0</v>
      </c>
      <c r="I232" s="144">
        <v>12180510</v>
      </c>
      <c r="J232" s="149" t="s">
        <v>4909</v>
      </c>
      <c r="K232" s="149" t="s">
        <v>5393</v>
      </c>
      <c r="L232" s="149"/>
      <c r="M232" s="149" t="s">
        <v>2878</v>
      </c>
      <c r="N232" s="149"/>
      <c r="O232" s="149" t="s">
        <v>2878</v>
      </c>
      <c r="P232" s="187" t="s">
        <v>2880</v>
      </c>
    </row>
    <row r="233" spans="2:16" s="148" customFormat="1" ht="30" x14ac:dyDescent="0.25">
      <c r="B233" s="149" t="str">
        <f t="shared" si="7"/>
        <v>1</v>
      </c>
      <c r="C233" s="149" t="str">
        <f t="shared" si="8"/>
        <v>2</v>
      </c>
      <c r="D233" s="149" t="str">
        <f t="shared" si="9"/>
        <v>1</v>
      </c>
      <c r="E233" s="149" t="str">
        <f t="shared" si="10"/>
        <v>8</v>
      </c>
      <c r="F233" s="149" t="str">
        <f t="shared" si="11"/>
        <v>05</v>
      </c>
      <c r="G233" s="149" t="str">
        <f t="shared" si="12"/>
        <v>2</v>
      </c>
      <c r="H233" s="149" t="str">
        <f t="shared" si="13"/>
        <v>0</v>
      </c>
      <c r="I233" s="144">
        <v>12180520</v>
      </c>
      <c r="J233" s="149" t="s">
        <v>4910</v>
      </c>
      <c r="K233" s="149" t="s">
        <v>5394</v>
      </c>
      <c r="L233" s="149"/>
      <c r="M233" s="149" t="s">
        <v>2878</v>
      </c>
      <c r="N233" s="149"/>
      <c r="O233" s="149" t="s">
        <v>2878</v>
      </c>
      <c r="P233" s="187" t="s">
        <v>2880</v>
      </c>
    </row>
    <row r="234" spans="2:16" s="148" customFormat="1" ht="30" x14ac:dyDescent="0.25">
      <c r="B234" s="149" t="str">
        <f t="shared" si="7"/>
        <v>1</v>
      </c>
      <c r="C234" s="149" t="str">
        <f t="shared" si="8"/>
        <v>2</v>
      </c>
      <c r="D234" s="149" t="str">
        <f t="shared" si="9"/>
        <v>1</v>
      </c>
      <c r="E234" s="149" t="str">
        <f t="shared" si="10"/>
        <v>8</v>
      </c>
      <c r="F234" s="149" t="str">
        <f t="shared" si="11"/>
        <v>05</v>
      </c>
      <c r="G234" s="149" t="str">
        <f t="shared" si="12"/>
        <v>3</v>
      </c>
      <c r="H234" s="149" t="str">
        <f t="shared" si="13"/>
        <v>0</v>
      </c>
      <c r="I234" s="144">
        <v>12180530</v>
      </c>
      <c r="J234" s="149" t="s">
        <v>4946</v>
      </c>
      <c r="K234" s="149" t="s">
        <v>5395</v>
      </c>
      <c r="L234" s="149"/>
      <c r="M234" s="149" t="s">
        <v>2878</v>
      </c>
      <c r="N234" s="149"/>
      <c r="O234" s="149" t="s">
        <v>2878</v>
      </c>
      <c r="P234" s="187" t="s">
        <v>2880</v>
      </c>
    </row>
    <row r="235" spans="2:16" s="153" customFormat="1" ht="30" x14ac:dyDescent="0.25">
      <c r="B235" s="145" t="str">
        <f t="shared" si="7"/>
        <v>1</v>
      </c>
      <c r="C235" s="145" t="str">
        <f t="shared" si="8"/>
        <v>2</v>
      </c>
      <c r="D235" s="145" t="str">
        <f t="shared" si="9"/>
        <v>1</v>
      </c>
      <c r="E235" s="145" t="str">
        <f t="shared" si="10"/>
        <v>8</v>
      </c>
      <c r="F235" s="145" t="str">
        <f t="shared" si="11"/>
        <v>06</v>
      </c>
      <c r="G235" s="145" t="str">
        <f t="shared" si="12"/>
        <v>0</v>
      </c>
      <c r="H235" s="145" t="str">
        <f t="shared" si="13"/>
        <v>0</v>
      </c>
      <c r="I235" s="143">
        <v>12180600</v>
      </c>
      <c r="J235" s="145" t="s">
        <v>5360</v>
      </c>
      <c r="K235" s="145" t="s">
        <v>5400</v>
      </c>
      <c r="L235" s="145"/>
      <c r="M235" s="145" t="s">
        <v>2878</v>
      </c>
      <c r="N235" s="145"/>
      <c r="O235" s="145" t="s">
        <v>2878</v>
      </c>
      <c r="P235" s="188" t="s">
        <v>2880</v>
      </c>
    </row>
    <row r="236" spans="2:16" s="153" customFormat="1" ht="30" x14ac:dyDescent="0.25">
      <c r="B236" s="149" t="str">
        <f t="shared" si="7"/>
        <v>1</v>
      </c>
      <c r="C236" s="149" t="str">
        <f t="shared" si="8"/>
        <v>2</v>
      </c>
      <c r="D236" s="149" t="str">
        <f t="shared" si="9"/>
        <v>1</v>
      </c>
      <c r="E236" s="149" t="str">
        <f t="shared" si="10"/>
        <v>8</v>
      </c>
      <c r="F236" s="149" t="str">
        <f t="shared" si="11"/>
        <v>06</v>
      </c>
      <c r="G236" s="149" t="str">
        <f t="shared" si="12"/>
        <v>1</v>
      </c>
      <c r="H236" s="149" t="str">
        <f t="shared" si="13"/>
        <v>0</v>
      </c>
      <c r="I236" s="144">
        <v>12180610</v>
      </c>
      <c r="J236" s="149" t="s">
        <v>5361</v>
      </c>
      <c r="K236" s="149" t="s">
        <v>5403</v>
      </c>
      <c r="L236" s="149"/>
      <c r="M236" s="149" t="s">
        <v>2878</v>
      </c>
      <c r="N236" s="149"/>
      <c r="O236" s="149" t="s">
        <v>2878</v>
      </c>
      <c r="P236" s="187" t="s">
        <v>2880</v>
      </c>
    </row>
    <row r="237" spans="2:16" s="153" customFormat="1" ht="30" x14ac:dyDescent="0.25">
      <c r="B237" s="149" t="str">
        <f t="shared" si="7"/>
        <v>1</v>
      </c>
      <c r="C237" s="149" t="str">
        <f t="shared" si="8"/>
        <v>2</v>
      </c>
      <c r="D237" s="149" t="str">
        <f t="shared" si="9"/>
        <v>1</v>
      </c>
      <c r="E237" s="149" t="str">
        <f t="shared" si="10"/>
        <v>8</v>
      </c>
      <c r="F237" s="149" t="str">
        <f t="shared" si="11"/>
        <v>06</v>
      </c>
      <c r="G237" s="149" t="str">
        <f t="shared" si="12"/>
        <v>2</v>
      </c>
      <c r="H237" s="149" t="str">
        <f t="shared" si="13"/>
        <v>0</v>
      </c>
      <c r="I237" s="144">
        <v>12180620</v>
      </c>
      <c r="J237" s="149" t="s">
        <v>5362</v>
      </c>
      <c r="K237" s="149" t="s">
        <v>5404</v>
      </c>
      <c r="L237" s="149"/>
      <c r="M237" s="149" t="s">
        <v>2878</v>
      </c>
      <c r="N237" s="149"/>
      <c r="O237" s="149" t="s">
        <v>2878</v>
      </c>
      <c r="P237" s="187" t="s">
        <v>2880</v>
      </c>
    </row>
    <row r="238" spans="2:16" s="153" customFormat="1" ht="30" x14ac:dyDescent="0.25">
      <c r="B238" s="149" t="str">
        <f t="shared" si="7"/>
        <v>1</v>
      </c>
      <c r="C238" s="149" t="str">
        <f t="shared" si="8"/>
        <v>2</v>
      </c>
      <c r="D238" s="149" t="str">
        <f t="shared" si="9"/>
        <v>1</v>
      </c>
      <c r="E238" s="149" t="str">
        <f t="shared" si="10"/>
        <v>8</v>
      </c>
      <c r="F238" s="149" t="str">
        <f t="shared" si="11"/>
        <v>06</v>
      </c>
      <c r="G238" s="149" t="str">
        <f t="shared" si="12"/>
        <v>3</v>
      </c>
      <c r="H238" s="149" t="str">
        <f t="shared" si="13"/>
        <v>0</v>
      </c>
      <c r="I238" s="144">
        <v>12180630</v>
      </c>
      <c r="J238" s="149" t="s">
        <v>5363</v>
      </c>
      <c r="K238" s="149" t="s">
        <v>5405</v>
      </c>
      <c r="L238" s="149"/>
      <c r="M238" s="149" t="s">
        <v>2878</v>
      </c>
      <c r="N238" s="149"/>
      <c r="O238" s="149" t="s">
        <v>2878</v>
      </c>
      <c r="P238" s="187" t="s">
        <v>2880</v>
      </c>
    </row>
    <row r="239" spans="2:16" s="148" customFormat="1" ht="30" x14ac:dyDescent="0.25">
      <c r="B239" s="145" t="str">
        <f t="shared" si="7"/>
        <v>1</v>
      </c>
      <c r="C239" s="145" t="str">
        <f t="shared" si="8"/>
        <v>2</v>
      </c>
      <c r="D239" s="145" t="str">
        <f t="shared" si="9"/>
        <v>1</v>
      </c>
      <c r="E239" s="145" t="str">
        <f t="shared" si="10"/>
        <v>8</v>
      </c>
      <c r="F239" s="145" t="str">
        <f t="shared" si="11"/>
        <v>07</v>
      </c>
      <c r="G239" s="145" t="str">
        <f t="shared" si="12"/>
        <v>0</v>
      </c>
      <c r="H239" s="145" t="str">
        <f t="shared" si="13"/>
        <v>0</v>
      </c>
      <c r="I239" s="143">
        <v>12180700</v>
      </c>
      <c r="J239" s="145" t="s">
        <v>5342</v>
      </c>
      <c r="K239" s="145" t="s">
        <v>5396</v>
      </c>
      <c r="L239" s="145"/>
      <c r="M239" s="145" t="s">
        <v>2878</v>
      </c>
      <c r="N239" s="145"/>
      <c r="O239" s="145" t="s">
        <v>2878</v>
      </c>
      <c r="P239" s="188" t="s">
        <v>2880</v>
      </c>
    </row>
    <row r="240" spans="2:16" s="148" customFormat="1" ht="30" x14ac:dyDescent="0.25">
      <c r="B240" s="149" t="str">
        <f t="shared" si="7"/>
        <v>1</v>
      </c>
      <c r="C240" s="149" t="str">
        <f t="shared" si="8"/>
        <v>2</v>
      </c>
      <c r="D240" s="149" t="str">
        <f t="shared" si="9"/>
        <v>1</v>
      </c>
      <c r="E240" s="149" t="str">
        <f t="shared" si="10"/>
        <v>8</v>
      </c>
      <c r="F240" s="149" t="str">
        <f t="shared" si="11"/>
        <v>07</v>
      </c>
      <c r="G240" s="149" t="str">
        <f t="shared" si="12"/>
        <v>1</v>
      </c>
      <c r="H240" s="149" t="str">
        <f t="shared" si="13"/>
        <v>0</v>
      </c>
      <c r="I240" s="144">
        <v>12180710</v>
      </c>
      <c r="J240" s="149" t="s">
        <v>5343</v>
      </c>
      <c r="K240" s="149" t="s">
        <v>5397</v>
      </c>
      <c r="L240" s="149"/>
      <c r="M240" s="149" t="s">
        <v>2878</v>
      </c>
      <c r="N240" s="149"/>
      <c r="O240" s="149" t="s">
        <v>2878</v>
      </c>
      <c r="P240" s="187" t="s">
        <v>2880</v>
      </c>
    </row>
    <row r="241" spans="2:16" s="148" customFormat="1" ht="30" x14ac:dyDescent="0.25">
      <c r="B241" s="149" t="str">
        <f t="shared" si="7"/>
        <v>1</v>
      </c>
      <c r="C241" s="149" t="str">
        <f t="shared" si="8"/>
        <v>2</v>
      </c>
      <c r="D241" s="149" t="str">
        <f t="shared" si="9"/>
        <v>1</v>
      </c>
      <c r="E241" s="149" t="str">
        <f t="shared" si="10"/>
        <v>8</v>
      </c>
      <c r="F241" s="149" t="str">
        <f t="shared" si="11"/>
        <v>07</v>
      </c>
      <c r="G241" s="149" t="str">
        <f t="shared" si="12"/>
        <v>2</v>
      </c>
      <c r="H241" s="149" t="str">
        <f t="shared" si="13"/>
        <v>0</v>
      </c>
      <c r="I241" s="144">
        <v>12180720</v>
      </c>
      <c r="J241" s="149" t="s">
        <v>5344</v>
      </c>
      <c r="K241" s="149" t="s">
        <v>5398</v>
      </c>
      <c r="L241" s="149"/>
      <c r="M241" s="149" t="s">
        <v>2878</v>
      </c>
      <c r="N241" s="149"/>
      <c r="O241" s="149" t="s">
        <v>2878</v>
      </c>
      <c r="P241" s="187" t="s">
        <v>2880</v>
      </c>
    </row>
    <row r="242" spans="2:16" s="148" customFormat="1" ht="30" x14ac:dyDescent="0.25">
      <c r="B242" s="149" t="str">
        <f t="shared" si="7"/>
        <v>1</v>
      </c>
      <c r="C242" s="149" t="str">
        <f t="shared" si="8"/>
        <v>2</v>
      </c>
      <c r="D242" s="149" t="str">
        <f t="shared" si="9"/>
        <v>1</v>
      </c>
      <c r="E242" s="149" t="str">
        <f t="shared" si="10"/>
        <v>8</v>
      </c>
      <c r="F242" s="149" t="str">
        <f t="shared" si="11"/>
        <v>07</v>
      </c>
      <c r="G242" s="149" t="str">
        <f t="shared" si="12"/>
        <v>3</v>
      </c>
      <c r="H242" s="149" t="str">
        <f t="shared" si="13"/>
        <v>0</v>
      </c>
      <c r="I242" s="144">
        <v>12180730</v>
      </c>
      <c r="J242" s="149" t="s">
        <v>5345</v>
      </c>
      <c r="K242" s="149" t="s">
        <v>5399</v>
      </c>
      <c r="L242" s="149"/>
      <c r="M242" s="149" t="s">
        <v>2878</v>
      </c>
      <c r="N242" s="149"/>
      <c r="O242" s="149" t="s">
        <v>2878</v>
      </c>
      <c r="P242" s="187" t="s">
        <v>2880</v>
      </c>
    </row>
    <row r="243" spans="2:16" s="153" customFormat="1" ht="30" x14ac:dyDescent="0.25">
      <c r="B243" s="145" t="str">
        <f t="shared" si="7"/>
        <v>1</v>
      </c>
      <c r="C243" s="145" t="str">
        <f t="shared" si="8"/>
        <v>2</v>
      </c>
      <c r="D243" s="145" t="str">
        <f t="shared" si="9"/>
        <v>1</v>
      </c>
      <c r="E243" s="145" t="str">
        <f t="shared" si="10"/>
        <v>8</v>
      </c>
      <c r="F243" s="145" t="str">
        <f t="shared" si="11"/>
        <v>08</v>
      </c>
      <c r="G243" s="145" t="str">
        <f t="shared" si="12"/>
        <v>0</v>
      </c>
      <c r="H243" s="145" t="str">
        <f t="shared" si="13"/>
        <v>0</v>
      </c>
      <c r="I243" s="143">
        <v>12180800</v>
      </c>
      <c r="J243" s="145" t="s">
        <v>5401</v>
      </c>
      <c r="K243" s="145" t="s">
        <v>5402</v>
      </c>
      <c r="L243" s="145"/>
      <c r="M243" s="145" t="s">
        <v>2878</v>
      </c>
      <c r="N243" s="145"/>
      <c r="O243" s="145" t="s">
        <v>2878</v>
      </c>
      <c r="P243" s="188" t="s">
        <v>2880</v>
      </c>
    </row>
    <row r="244" spans="2:16" s="153" customFormat="1" ht="30" x14ac:dyDescent="0.25">
      <c r="B244" s="149" t="str">
        <f t="shared" si="7"/>
        <v>1</v>
      </c>
      <c r="C244" s="149" t="str">
        <f t="shared" si="8"/>
        <v>2</v>
      </c>
      <c r="D244" s="149" t="str">
        <f t="shared" si="9"/>
        <v>1</v>
      </c>
      <c r="E244" s="149" t="str">
        <f t="shared" si="10"/>
        <v>8</v>
      </c>
      <c r="F244" s="149" t="str">
        <f t="shared" si="11"/>
        <v>08</v>
      </c>
      <c r="G244" s="149" t="str">
        <f t="shared" si="12"/>
        <v>1</v>
      </c>
      <c r="H244" s="149" t="str">
        <f t="shared" si="13"/>
        <v>0</v>
      </c>
      <c r="I244" s="144">
        <v>12180810</v>
      </c>
      <c r="J244" s="149" t="s">
        <v>5364</v>
      </c>
      <c r="K244" s="149" t="s">
        <v>5406</v>
      </c>
      <c r="L244" s="149"/>
      <c r="M244" s="149" t="s">
        <v>2878</v>
      </c>
      <c r="N244" s="149"/>
      <c r="O244" s="149" t="s">
        <v>2878</v>
      </c>
      <c r="P244" s="187" t="s">
        <v>2880</v>
      </c>
    </row>
    <row r="245" spans="2:16" s="153" customFormat="1" ht="30" x14ac:dyDescent="0.25">
      <c r="B245" s="149" t="str">
        <f t="shared" si="7"/>
        <v>1</v>
      </c>
      <c r="C245" s="149" t="str">
        <f t="shared" si="8"/>
        <v>2</v>
      </c>
      <c r="D245" s="149" t="str">
        <f t="shared" si="9"/>
        <v>1</v>
      </c>
      <c r="E245" s="149" t="str">
        <f t="shared" si="10"/>
        <v>8</v>
      </c>
      <c r="F245" s="149" t="str">
        <f t="shared" si="11"/>
        <v>08</v>
      </c>
      <c r="G245" s="149" t="str">
        <f t="shared" si="12"/>
        <v>2</v>
      </c>
      <c r="H245" s="149" t="str">
        <f t="shared" si="13"/>
        <v>0</v>
      </c>
      <c r="I245" s="144">
        <v>12180820</v>
      </c>
      <c r="J245" s="149" t="s">
        <v>5365</v>
      </c>
      <c r="K245" s="149" t="s">
        <v>5407</v>
      </c>
      <c r="L245" s="149"/>
      <c r="M245" s="149" t="s">
        <v>2878</v>
      </c>
      <c r="N245" s="149"/>
      <c r="O245" s="149" t="s">
        <v>2878</v>
      </c>
      <c r="P245" s="187" t="s">
        <v>2880</v>
      </c>
    </row>
    <row r="246" spans="2:16" s="153" customFormat="1" ht="45" x14ac:dyDescent="0.25">
      <c r="B246" s="149" t="str">
        <f t="shared" si="7"/>
        <v>1</v>
      </c>
      <c r="C246" s="149" t="str">
        <f t="shared" si="8"/>
        <v>2</v>
      </c>
      <c r="D246" s="149" t="str">
        <f t="shared" si="9"/>
        <v>1</v>
      </c>
      <c r="E246" s="149" t="str">
        <f t="shared" si="10"/>
        <v>8</v>
      </c>
      <c r="F246" s="149" t="str">
        <f t="shared" si="11"/>
        <v>08</v>
      </c>
      <c r="G246" s="149" t="str">
        <f t="shared" si="12"/>
        <v>3</v>
      </c>
      <c r="H246" s="149" t="str">
        <f t="shared" si="13"/>
        <v>0</v>
      </c>
      <c r="I246" s="144">
        <v>12180830</v>
      </c>
      <c r="J246" s="149" t="s">
        <v>5366</v>
      </c>
      <c r="K246" s="149" t="s">
        <v>5408</v>
      </c>
      <c r="L246" s="149"/>
      <c r="M246" s="149" t="s">
        <v>2878</v>
      </c>
      <c r="N246" s="149"/>
      <c r="O246" s="149" t="s">
        <v>2878</v>
      </c>
      <c r="P246" s="187" t="s">
        <v>2880</v>
      </c>
    </row>
    <row r="247" spans="2:16" s="148" customFormat="1" ht="30" hidden="1" x14ac:dyDescent="0.25">
      <c r="B247" s="164" t="str">
        <f t="shared" si="7"/>
        <v>1</v>
      </c>
      <c r="C247" s="164" t="str">
        <f t="shared" si="8"/>
        <v>2</v>
      </c>
      <c r="D247" s="164" t="str">
        <f t="shared" si="9"/>
        <v>1</v>
      </c>
      <c r="E247" s="164" t="str">
        <f t="shared" si="10"/>
        <v>9</v>
      </c>
      <c r="F247" s="164" t="str">
        <f t="shared" si="11"/>
        <v>00</v>
      </c>
      <c r="G247" s="164" t="str">
        <f t="shared" si="12"/>
        <v>0</v>
      </c>
      <c r="H247" s="164" t="str">
        <f t="shared" si="13"/>
        <v>0</v>
      </c>
      <c r="I247" s="165">
        <v>12190000</v>
      </c>
      <c r="J247" s="164" t="s">
        <v>482</v>
      </c>
      <c r="K247" s="164" t="s">
        <v>5509</v>
      </c>
      <c r="L247" s="166"/>
      <c r="M247" s="164" t="s">
        <v>2878</v>
      </c>
      <c r="N247" s="164"/>
      <c r="O247" s="164" t="s">
        <v>2878</v>
      </c>
      <c r="P247" s="167" t="s">
        <v>2880</v>
      </c>
    </row>
    <row r="248" spans="2:16" s="148" customFormat="1" ht="30" hidden="1" x14ac:dyDescent="0.25">
      <c r="B248" s="145" t="str">
        <f t="shared" si="7"/>
        <v>1</v>
      </c>
      <c r="C248" s="145" t="str">
        <f t="shared" si="8"/>
        <v>2</v>
      </c>
      <c r="D248" s="145" t="str">
        <f t="shared" si="9"/>
        <v>1</v>
      </c>
      <c r="E248" s="145" t="str">
        <f t="shared" si="10"/>
        <v>9</v>
      </c>
      <c r="F248" s="145" t="str">
        <f t="shared" si="11"/>
        <v>01</v>
      </c>
      <c r="G248" s="145" t="str">
        <f t="shared" si="12"/>
        <v>0</v>
      </c>
      <c r="H248" s="145" t="str">
        <f t="shared" si="13"/>
        <v>0</v>
      </c>
      <c r="I248" s="143">
        <v>12190100</v>
      </c>
      <c r="J248" s="145" t="s">
        <v>3233</v>
      </c>
      <c r="K248" s="145" t="s">
        <v>5510</v>
      </c>
      <c r="L248" s="146"/>
      <c r="M248" s="145" t="s">
        <v>2878</v>
      </c>
      <c r="N248" s="145"/>
      <c r="O248" s="145" t="s">
        <v>2878</v>
      </c>
      <c r="P248" s="188" t="s">
        <v>2880</v>
      </c>
    </row>
    <row r="249" spans="2:16" s="148" customFormat="1" ht="90" hidden="1" x14ac:dyDescent="0.25">
      <c r="B249" s="149" t="str">
        <f t="shared" si="7"/>
        <v>1</v>
      </c>
      <c r="C249" s="149" t="str">
        <f t="shared" si="8"/>
        <v>2</v>
      </c>
      <c r="D249" s="149" t="str">
        <f t="shared" si="9"/>
        <v>1</v>
      </c>
      <c r="E249" s="149" t="str">
        <f t="shared" si="10"/>
        <v>9</v>
      </c>
      <c r="F249" s="149" t="str">
        <f t="shared" si="11"/>
        <v>01</v>
      </c>
      <c r="G249" s="149" t="str">
        <f t="shared" si="12"/>
        <v>1</v>
      </c>
      <c r="H249" s="149" t="str">
        <f t="shared" si="13"/>
        <v>0</v>
      </c>
      <c r="I249" s="144">
        <v>12190110</v>
      </c>
      <c r="J249" s="149" t="s">
        <v>3233</v>
      </c>
      <c r="K249" s="149" t="s">
        <v>5510</v>
      </c>
      <c r="L249" s="150"/>
      <c r="M249" s="149" t="s">
        <v>5512</v>
      </c>
      <c r="N249" s="149"/>
      <c r="O249" s="149" t="s">
        <v>5511</v>
      </c>
      <c r="P249" s="187" t="s">
        <v>2880</v>
      </c>
    </row>
    <row r="250" spans="2:16" s="148" customFormat="1" ht="30" hidden="1" x14ac:dyDescent="0.25">
      <c r="B250" s="149" t="str">
        <f t="shared" si="7"/>
        <v>1</v>
      </c>
      <c r="C250" s="149" t="str">
        <f t="shared" si="8"/>
        <v>2</v>
      </c>
      <c r="D250" s="149" t="str">
        <f t="shared" si="9"/>
        <v>1</v>
      </c>
      <c r="E250" s="149" t="str">
        <f t="shared" si="10"/>
        <v>9</v>
      </c>
      <c r="F250" s="149" t="str">
        <f t="shared" si="11"/>
        <v>01</v>
      </c>
      <c r="G250" s="149" t="str">
        <f t="shared" si="12"/>
        <v>2</v>
      </c>
      <c r="H250" s="149" t="str">
        <f t="shared" si="13"/>
        <v>0</v>
      </c>
      <c r="I250" s="144">
        <v>12190120</v>
      </c>
      <c r="J250" s="149" t="s">
        <v>5308</v>
      </c>
      <c r="K250" s="149" t="s">
        <v>5513</v>
      </c>
      <c r="L250" s="150"/>
      <c r="M250" s="149" t="s">
        <v>5512</v>
      </c>
      <c r="N250" s="149"/>
      <c r="O250" s="149" t="s">
        <v>5514</v>
      </c>
      <c r="P250" s="187" t="s">
        <v>2880</v>
      </c>
    </row>
    <row r="251" spans="2:16" s="148" customFormat="1" ht="60" hidden="1" x14ac:dyDescent="0.25">
      <c r="B251" s="145" t="str">
        <f t="shared" si="7"/>
        <v>1</v>
      </c>
      <c r="C251" s="145" t="str">
        <f t="shared" si="8"/>
        <v>2</v>
      </c>
      <c r="D251" s="145" t="str">
        <f t="shared" si="9"/>
        <v>1</v>
      </c>
      <c r="E251" s="145" t="str">
        <f t="shared" si="10"/>
        <v>9</v>
      </c>
      <c r="F251" s="145" t="str">
        <f t="shared" si="11"/>
        <v>02</v>
      </c>
      <c r="G251" s="145" t="str">
        <f t="shared" si="12"/>
        <v>0</v>
      </c>
      <c r="H251" s="145" t="str">
        <f t="shared" si="13"/>
        <v>0</v>
      </c>
      <c r="I251" s="143">
        <v>12190200</v>
      </c>
      <c r="J251" s="145" t="s">
        <v>288</v>
      </c>
      <c r="K251" s="145" t="s">
        <v>3253</v>
      </c>
      <c r="L251" s="146"/>
      <c r="M251" s="145" t="s">
        <v>2878</v>
      </c>
      <c r="N251" s="145"/>
      <c r="O251" s="145" t="s">
        <v>2878</v>
      </c>
      <c r="P251" s="188" t="s">
        <v>2880</v>
      </c>
    </row>
    <row r="252" spans="2:16" s="148" customFormat="1" ht="75" hidden="1" x14ac:dyDescent="0.25">
      <c r="B252" s="149" t="str">
        <f t="shared" si="7"/>
        <v>1</v>
      </c>
      <c r="C252" s="149" t="str">
        <f t="shared" si="8"/>
        <v>2</v>
      </c>
      <c r="D252" s="149" t="str">
        <f t="shared" si="9"/>
        <v>1</v>
      </c>
      <c r="E252" s="149" t="str">
        <f t="shared" si="10"/>
        <v>9</v>
      </c>
      <c r="F252" s="149" t="str">
        <f t="shared" si="11"/>
        <v>02</v>
      </c>
      <c r="G252" s="149" t="str">
        <f t="shared" si="12"/>
        <v>1</v>
      </c>
      <c r="H252" s="149" t="str">
        <f t="shared" si="13"/>
        <v>0</v>
      </c>
      <c r="I252" s="144">
        <v>12190210</v>
      </c>
      <c r="J252" s="149" t="s">
        <v>288</v>
      </c>
      <c r="K252" s="149" t="s">
        <v>3253</v>
      </c>
      <c r="L252" s="150"/>
      <c r="M252" s="149" t="s">
        <v>5515</v>
      </c>
      <c r="N252" s="149"/>
      <c r="O252" s="149" t="s">
        <v>5516</v>
      </c>
      <c r="P252" s="187" t="s">
        <v>2880</v>
      </c>
    </row>
    <row r="253" spans="2:16" s="148" customFormat="1" ht="75" hidden="1" x14ac:dyDescent="0.25">
      <c r="B253" s="149" t="str">
        <f t="shared" si="7"/>
        <v>1</v>
      </c>
      <c r="C253" s="149" t="str">
        <f t="shared" si="8"/>
        <v>2</v>
      </c>
      <c r="D253" s="149" t="str">
        <f t="shared" si="9"/>
        <v>1</v>
      </c>
      <c r="E253" s="149" t="str">
        <f t="shared" si="10"/>
        <v>9</v>
      </c>
      <c r="F253" s="149" t="str">
        <f t="shared" si="11"/>
        <v>02</v>
      </c>
      <c r="G253" s="149" t="str">
        <f t="shared" si="12"/>
        <v>2</v>
      </c>
      <c r="H253" s="149" t="str">
        <f t="shared" si="13"/>
        <v>0</v>
      </c>
      <c r="I253" s="144">
        <v>12190220</v>
      </c>
      <c r="J253" s="149" t="s">
        <v>5309</v>
      </c>
      <c r="K253" s="149" t="s">
        <v>5517</v>
      </c>
      <c r="L253" s="150"/>
      <c r="M253" s="149" t="s">
        <v>5515</v>
      </c>
      <c r="N253" s="149"/>
      <c r="O253" s="149" t="s">
        <v>5417</v>
      </c>
      <c r="P253" s="187" t="s">
        <v>2880</v>
      </c>
    </row>
    <row r="254" spans="2:16" s="148" customFormat="1" ht="60" hidden="1" x14ac:dyDescent="0.25">
      <c r="B254" s="145" t="str">
        <f t="shared" si="7"/>
        <v>1</v>
      </c>
      <c r="C254" s="145" t="str">
        <f t="shared" si="8"/>
        <v>2</v>
      </c>
      <c r="D254" s="145" t="str">
        <f t="shared" si="9"/>
        <v>1</v>
      </c>
      <c r="E254" s="145" t="str">
        <f t="shared" si="10"/>
        <v>9</v>
      </c>
      <c r="F254" s="145" t="str">
        <f t="shared" si="11"/>
        <v>03</v>
      </c>
      <c r="G254" s="145" t="str">
        <f t="shared" si="12"/>
        <v>0</v>
      </c>
      <c r="H254" s="145" t="str">
        <f t="shared" si="13"/>
        <v>0</v>
      </c>
      <c r="I254" s="143">
        <v>12190300</v>
      </c>
      <c r="J254" s="145" t="s">
        <v>3257</v>
      </c>
      <c r="K254" s="145" t="s">
        <v>5518</v>
      </c>
      <c r="L254" s="146"/>
      <c r="M254" s="145" t="s">
        <v>2878</v>
      </c>
      <c r="N254" s="145"/>
      <c r="O254" s="145" t="s">
        <v>2878</v>
      </c>
      <c r="P254" s="188" t="s">
        <v>2880</v>
      </c>
    </row>
    <row r="255" spans="2:16" s="148" customFormat="1" ht="45" hidden="1" x14ac:dyDescent="0.25">
      <c r="B255" s="149" t="str">
        <f t="shared" si="7"/>
        <v>1</v>
      </c>
      <c r="C255" s="149" t="str">
        <f t="shared" si="8"/>
        <v>2</v>
      </c>
      <c r="D255" s="149" t="str">
        <f t="shared" si="9"/>
        <v>1</v>
      </c>
      <c r="E255" s="149" t="str">
        <f t="shared" si="10"/>
        <v>9</v>
      </c>
      <c r="F255" s="149" t="str">
        <f t="shared" si="11"/>
        <v>03</v>
      </c>
      <c r="G255" s="149" t="str">
        <f t="shared" si="12"/>
        <v>1</v>
      </c>
      <c r="H255" s="149" t="str">
        <f t="shared" si="13"/>
        <v>0</v>
      </c>
      <c r="I255" s="144">
        <v>12190310</v>
      </c>
      <c r="J255" s="149" t="s">
        <v>478</v>
      </c>
      <c r="K255" s="149" t="s">
        <v>3261</v>
      </c>
      <c r="L255" s="150"/>
      <c r="M255" s="149" t="s">
        <v>3262</v>
      </c>
      <c r="N255" s="149"/>
      <c r="O255" s="149" t="s">
        <v>5519</v>
      </c>
      <c r="P255" s="187" t="s">
        <v>2880</v>
      </c>
    </row>
    <row r="256" spans="2:16" s="148" customFormat="1" ht="120" hidden="1" x14ac:dyDescent="0.25">
      <c r="B256" s="149" t="str">
        <f t="shared" si="7"/>
        <v>1</v>
      </c>
      <c r="C256" s="149" t="str">
        <f t="shared" si="8"/>
        <v>2</v>
      </c>
      <c r="D256" s="149" t="str">
        <f t="shared" si="9"/>
        <v>1</v>
      </c>
      <c r="E256" s="149" t="str">
        <f t="shared" si="10"/>
        <v>9</v>
      </c>
      <c r="F256" s="149" t="str">
        <f t="shared" si="11"/>
        <v>03</v>
      </c>
      <c r="G256" s="149" t="str">
        <f t="shared" si="12"/>
        <v>2</v>
      </c>
      <c r="H256" s="149" t="str">
        <f t="shared" si="13"/>
        <v>0</v>
      </c>
      <c r="I256" s="144">
        <v>12190320</v>
      </c>
      <c r="J256" s="149" t="s">
        <v>480</v>
      </c>
      <c r="K256" s="149" t="s">
        <v>5520</v>
      </c>
      <c r="L256" s="150"/>
      <c r="M256" s="149" t="s">
        <v>3270</v>
      </c>
      <c r="N256" s="149"/>
      <c r="O256" s="149" t="s">
        <v>5519</v>
      </c>
      <c r="P256" s="187" t="s">
        <v>2880</v>
      </c>
    </row>
    <row r="257" spans="2:16" s="148" customFormat="1" ht="60" hidden="1" x14ac:dyDescent="0.25">
      <c r="B257" s="149" t="str">
        <f t="shared" si="7"/>
        <v>1</v>
      </c>
      <c r="C257" s="149" t="str">
        <f t="shared" si="8"/>
        <v>2</v>
      </c>
      <c r="D257" s="149" t="str">
        <f t="shared" si="9"/>
        <v>1</v>
      </c>
      <c r="E257" s="149" t="str">
        <f t="shared" si="10"/>
        <v>9</v>
      </c>
      <c r="F257" s="149" t="str">
        <f t="shared" si="11"/>
        <v>03</v>
      </c>
      <c r="G257" s="149" t="str">
        <f t="shared" si="12"/>
        <v>3</v>
      </c>
      <c r="H257" s="149" t="str">
        <f t="shared" si="13"/>
        <v>0</v>
      </c>
      <c r="I257" s="144">
        <v>12190330</v>
      </c>
      <c r="J257" s="149" t="s">
        <v>5310</v>
      </c>
      <c r="K257" s="149" t="s">
        <v>5521</v>
      </c>
      <c r="L257" s="150"/>
      <c r="M257" s="149" t="s">
        <v>3262</v>
      </c>
      <c r="N257" s="149"/>
      <c r="O257" s="149" t="s">
        <v>5417</v>
      </c>
      <c r="P257" s="187" t="s">
        <v>2880</v>
      </c>
    </row>
    <row r="258" spans="2:16" s="148" customFormat="1" ht="45" hidden="1" x14ac:dyDescent="0.25">
      <c r="B258" s="145" t="str">
        <f t="shared" si="7"/>
        <v>1</v>
      </c>
      <c r="C258" s="145" t="str">
        <f t="shared" si="8"/>
        <v>2</v>
      </c>
      <c r="D258" s="145" t="str">
        <f t="shared" si="9"/>
        <v>1</v>
      </c>
      <c r="E258" s="145" t="str">
        <f t="shared" si="10"/>
        <v>9</v>
      </c>
      <c r="F258" s="145" t="str">
        <f t="shared" si="11"/>
        <v>04</v>
      </c>
      <c r="G258" s="145" t="str">
        <f t="shared" si="12"/>
        <v>0</v>
      </c>
      <c r="H258" s="145" t="str">
        <f t="shared" si="13"/>
        <v>0</v>
      </c>
      <c r="I258" s="143">
        <v>12190400</v>
      </c>
      <c r="J258" s="145" t="s">
        <v>286</v>
      </c>
      <c r="K258" s="145" t="s">
        <v>5522</v>
      </c>
      <c r="L258" s="146"/>
      <c r="M258" s="145" t="s">
        <v>2878</v>
      </c>
      <c r="N258" s="145"/>
      <c r="O258" s="145" t="s">
        <v>2878</v>
      </c>
      <c r="P258" s="188" t="s">
        <v>2880</v>
      </c>
    </row>
    <row r="259" spans="2:16" s="148" customFormat="1" ht="135" hidden="1" x14ac:dyDescent="0.25">
      <c r="B259" s="149" t="str">
        <f t="shared" si="7"/>
        <v>1</v>
      </c>
      <c r="C259" s="149" t="str">
        <f t="shared" si="8"/>
        <v>2</v>
      </c>
      <c r="D259" s="149" t="str">
        <f t="shared" si="9"/>
        <v>1</v>
      </c>
      <c r="E259" s="149" t="str">
        <f t="shared" si="10"/>
        <v>9</v>
      </c>
      <c r="F259" s="149" t="str">
        <f t="shared" si="11"/>
        <v>04</v>
      </c>
      <c r="G259" s="149" t="str">
        <f t="shared" si="12"/>
        <v>1</v>
      </c>
      <c r="H259" s="149" t="str">
        <f t="shared" si="13"/>
        <v>0</v>
      </c>
      <c r="I259" s="144">
        <v>12190410</v>
      </c>
      <c r="J259" s="149" t="s">
        <v>286</v>
      </c>
      <c r="K259" s="149" t="s">
        <v>5522</v>
      </c>
      <c r="L259" s="150"/>
      <c r="M259" s="149" t="s">
        <v>5523</v>
      </c>
      <c r="N259" s="149"/>
      <c r="O259" s="149" t="s">
        <v>5524</v>
      </c>
      <c r="P259" s="187" t="s">
        <v>2880</v>
      </c>
    </row>
    <row r="260" spans="2:16" s="148" customFormat="1" ht="135" hidden="1" x14ac:dyDescent="0.25">
      <c r="B260" s="149" t="str">
        <f t="shared" si="7"/>
        <v>1</v>
      </c>
      <c r="C260" s="149" t="str">
        <f t="shared" si="8"/>
        <v>2</v>
      </c>
      <c r="D260" s="149" t="str">
        <f t="shared" si="9"/>
        <v>1</v>
      </c>
      <c r="E260" s="149" t="str">
        <f t="shared" si="10"/>
        <v>9</v>
      </c>
      <c r="F260" s="149" t="str">
        <f t="shared" si="11"/>
        <v>04</v>
      </c>
      <c r="G260" s="149" t="str">
        <f t="shared" si="12"/>
        <v>2</v>
      </c>
      <c r="H260" s="149" t="str">
        <f t="shared" si="13"/>
        <v>0</v>
      </c>
      <c r="I260" s="144">
        <v>12190420</v>
      </c>
      <c r="J260" s="149" t="s">
        <v>5311</v>
      </c>
      <c r="K260" s="149" t="s">
        <v>5525</v>
      </c>
      <c r="L260" s="150"/>
      <c r="M260" s="149" t="s">
        <v>5523</v>
      </c>
      <c r="N260" s="149"/>
      <c r="O260" s="149" t="s">
        <v>5417</v>
      </c>
      <c r="P260" s="187" t="s">
        <v>2880</v>
      </c>
    </row>
    <row r="261" spans="2:16" s="148" customFormat="1" ht="105" hidden="1" x14ac:dyDescent="0.25">
      <c r="B261" s="145" t="str">
        <f t="shared" si="7"/>
        <v>1</v>
      </c>
      <c r="C261" s="145" t="str">
        <f t="shared" si="8"/>
        <v>2</v>
      </c>
      <c r="D261" s="145" t="str">
        <f t="shared" si="9"/>
        <v>1</v>
      </c>
      <c r="E261" s="145" t="str">
        <f t="shared" si="10"/>
        <v>9</v>
      </c>
      <c r="F261" s="145" t="str">
        <f t="shared" si="11"/>
        <v>05</v>
      </c>
      <c r="G261" s="145" t="str">
        <f t="shared" si="12"/>
        <v>0</v>
      </c>
      <c r="H261" s="145" t="str">
        <f t="shared" si="13"/>
        <v>0</v>
      </c>
      <c r="I261" s="143">
        <v>12190500</v>
      </c>
      <c r="J261" s="145" t="s">
        <v>290</v>
      </c>
      <c r="K261" s="145" t="s">
        <v>5526</v>
      </c>
      <c r="L261" s="146"/>
      <c r="M261" s="145" t="s">
        <v>2878</v>
      </c>
      <c r="N261" s="145"/>
      <c r="O261" s="145" t="s">
        <v>2878</v>
      </c>
      <c r="P261" s="147" t="s">
        <v>2880</v>
      </c>
    </row>
    <row r="262" spans="2:16" s="148" customFormat="1" ht="105" hidden="1" x14ac:dyDescent="0.25">
      <c r="B262" s="149" t="str">
        <f t="shared" si="7"/>
        <v>1</v>
      </c>
      <c r="C262" s="149" t="str">
        <f t="shared" si="8"/>
        <v>2</v>
      </c>
      <c r="D262" s="149" t="str">
        <f t="shared" si="9"/>
        <v>1</v>
      </c>
      <c r="E262" s="149" t="str">
        <f t="shared" si="10"/>
        <v>9</v>
      </c>
      <c r="F262" s="149" t="str">
        <f t="shared" si="11"/>
        <v>05</v>
      </c>
      <c r="G262" s="149" t="str">
        <f t="shared" si="12"/>
        <v>1</v>
      </c>
      <c r="H262" s="149" t="str">
        <f t="shared" si="13"/>
        <v>0</v>
      </c>
      <c r="I262" s="144">
        <v>12190510</v>
      </c>
      <c r="J262" s="149" t="s">
        <v>290</v>
      </c>
      <c r="K262" s="149" t="s">
        <v>5527</v>
      </c>
      <c r="L262" s="150"/>
      <c r="M262" s="149" t="s">
        <v>5528</v>
      </c>
      <c r="N262" s="149"/>
      <c r="O262" s="149" t="s">
        <v>5529</v>
      </c>
      <c r="P262" s="187" t="s">
        <v>2880</v>
      </c>
    </row>
    <row r="263" spans="2:16" s="148" customFormat="1" ht="105" hidden="1" x14ac:dyDescent="0.25">
      <c r="B263" s="149" t="str">
        <f t="shared" si="7"/>
        <v>1</v>
      </c>
      <c r="C263" s="149" t="str">
        <f t="shared" si="8"/>
        <v>2</v>
      </c>
      <c r="D263" s="149" t="str">
        <f t="shared" si="9"/>
        <v>1</v>
      </c>
      <c r="E263" s="149" t="str">
        <f t="shared" si="10"/>
        <v>9</v>
      </c>
      <c r="F263" s="149" t="str">
        <f t="shared" si="11"/>
        <v>05</v>
      </c>
      <c r="G263" s="149" t="str">
        <f t="shared" si="12"/>
        <v>2</v>
      </c>
      <c r="H263" s="149" t="str">
        <f t="shared" si="13"/>
        <v>0</v>
      </c>
      <c r="I263" s="144">
        <v>12190520</v>
      </c>
      <c r="J263" s="149" t="s">
        <v>5312</v>
      </c>
      <c r="K263" s="149" t="s">
        <v>5530</v>
      </c>
      <c r="L263" s="150"/>
      <c r="M263" s="149" t="s">
        <v>5528</v>
      </c>
      <c r="N263" s="149"/>
      <c r="O263" s="149" t="s">
        <v>5417</v>
      </c>
      <c r="P263" s="187" t="s">
        <v>2880</v>
      </c>
    </row>
    <row r="264" spans="2:16" s="148" customFormat="1" ht="105" hidden="1" x14ac:dyDescent="0.25">
      <c r="B264" s="145" t="str">
        <f t="shared" si="7"/>
        <v>1</v>
      </c>
      <c r="C264" s="145" t="str">
        <f t="shared" si="8"/>
        <v>2</v>
      </c>
      <c r="D264" s="145" t="str">
        <f t="shared" si="9"/>
        <v>1</v>
      </c>
      <c r="E264" s="145" t="str">
        <f t="shared" si="10"/>
        <v>9</v>
      </c>
      <c r="F264" s="145" t="str">
        <f t="shared" si="11"/>
        <v>06</v>
      </c>
      <c r="G264" s="145" t="str">
        <f t="shared" si="12"/>
        <v>0</v>
      </c>
      <c r="H264" s="145" t="str">
        <f t="shared" si="13"/>
        <v>0</v>
      </c>
      <c r="I264" s="143">
        <v>12190600</v>
      </c>
      <c r="J264" s="145" t="s">
        <v>292</v>
      </c>
      <c r="K264" s="145" t="s">
        <v>5531</v>
      </c>
      <c r="L264" s="146"/>
      <c r="M264" s="145" t="s">
        <v>2878</v>
      </c>
      <c r="N264" s="145"/>
      <c r="O264" s="145" t="s">
        <v>2878</v>
      </c>
      <c r="P264" s="147" t="s">
        <v>2880</v>
      </c>
    </row>
    <row r="265" spans="2:16" s="148" customFormat="1" ht="105" hidden="1" x14ac:dyDescent="0.25">
      <c r="B265" s="149" t="str">
        <f t="shared" si="7"/>
        <v>1</v>
      </c>
      <c r="C265" s="149" t="str">
        <f t="shared" si="8"/>
        <v>2</v>
      </c>
      <c r="D265" s="149" t="str">
        <f t="shared" si="9"/>
        <v>1</v>
      </c>
      <c r="E265" s="149" t="str">
        <f t="shared" si="10"/>
        <v>9</v>
      </c>
      <c r="F265" s="149" t="str">
        <f t="shared" si="11"/>
        <v>06</v>
      </c>
      <c r="G265" s="149" t="str">
        <f t="shared" si="12"/>
        <v>1</v>
      </c>
      <c r="H265" s="149" t="str">
        <f t="shared" si="13"/>
        <v>0</v>
      </c>
      <c r="I265" s="144">
        <v>12190610</v>
      </c>
      <c r="J265" s="149" t="s">
        <v>292</v>
      </c>
      <c r="K265" s="149" t="s">
        <v>5531</v>
      </c>
      <c r="L265" s="150"/>
      <c r="M265" s="149" t="s">
        <v>5532</v>
      </c>
      <c r="N265" s="149"/>
      <c r="O265" s="149" t="s">
        <v>5533</v>
      </c>
      <c r="P265" s="187" t="s">
        <v>2880</v>
      </c>
    </row>
    <row r="266" spans="2:16" s="148" customFormat="1" ht="105" hidden="1" x14ac:dyDescent="0.25">
      <c r="B266" s="149" t="str">
        <f t="shared" si="7"/>
        <v>1</v>
      </c>
      <c r="C266" s="149" t="str">
        <f t="shared" si="8"/>
        <v>2</v>
      </c>
      <c r="D266" s="149" t="str">
        <f t="shared" si="9"/>
        <v>1</v>
      </c>
      <c r="E266" s="149" t="str">
        <f t="shared" si="10"/>
        <v>9</v>
      </c>
      <c r="F266" s="149" t="str">
        <f t="shared" si="11"/>
        <v>06</v>
      </c>
      <c r="G266" s="149" t="str">
        <f t="shared" si="12"/>
        <v>2</v>
      </c>
      <c r="H266" s="149" t="str">
        <f t="shared" si="13"/>
        <v>0</v>
      </c>
      <c r="I266" s="144">
        <v>12190620</v>
      </c>
      <c r="J266" s="149" t="s">
        <v>5313</v>
      </c>
      <c r="K266" s="149" t="s">
        <v>5534</v>
      </c>
      <c r="L266" s="150"/>
      <c r="M266" s="149" t="s">
        <v>5532</v>
      </c>
      <c r="N266" s="149"/>
      <c r="O266" s="149" t="s">
        <v>5417</v>
      </c>
      <c r="P266" s="187" t="s">
        <v>2880</v>
      </c>
    </row>
    <row r="267" spans="2:16" s="148" customFormat="1" ht="60" hidden="1" x14ac:dyDescent="0.25">
      <c r="B267" s="145" t="str">
        <f t="shared" si="7"/>
        <v>1</v>
      </c>
      <c r="C267" s="145" t="str">
        <f t="shared" si="8"/>
        <v>2</v>
      </c>
      <c r="D267" s="145" t="str">
        <f t="shared" si="9"/>
        <v>1</v>
      </c>
      <c r="E267" s="145" t="str">
        <f t="shared" si="10"/>
        <v>9</v>
      </c>
      <c r="F267" s="145" t="str">
        <f t="shared" si="11"/>
        <v>07</v>
      </c>
      <c r="G267" s="145" t="str">
        <f t="shared" si="12"/>
        <v>0</v>
      </c>
      <c r="H267" s="145" t="str">
        <f t="shared" si="13"/>
        <v>0</v>
      </c>
      <c r="I267" s="143">
        <v>12190700</v>
      </c>
      <c r="J267" s="145" t="s">
        <v>296</v>
      </c>
      <c r="K267" s="145" t="s">
        <v>5535</v>
      </c>
      <c r="L267" s="146"/>
      <c r="M267" s="145" t="s">
        <v>2878</v>
      </c>
      <c r="N267" s="145"/>
      <c r="O267" s="145" t="s">
        <v>2878</v>
      </c>
      <c r="P267" s="188" t="s">
        <v>2880</v>
      </c>
    </row>
    <row r="268" spans="2:16" s="148" customFormat="1" ht="105" hidden="1" x14ac:dyDescent="0.25">
      <c r="B268" s="149" t="str">
        <f t="shared" si="7"/>
        <v>1</v>
      </c>
      <c r="C268" s="149" t="str">
        <f t="shared" si="8"/>
        <v>2</v>
      </c>
      <c r="D268" s="149" t="str">
        <f t="shared" si="9"/>
        <v>1</v>
      </c>
      <c r="E268" s="149" t="str">
        <f t="shared" si="10"/>
        <v>9</v>
      </c>
      <c r="F268" s="149" t="str">
        <f t="shared" si="11"/>
        <v>07</v>
      </c>
      <c r="G268" s="149" t="str">
        <f t="shared" si="12"/>
        <v>1</v>
      </c>
      <c r="H268" s="149" t="str">
        <f t="shared" si="13"/>
        <v>0</v>
      </c>
      <c r="I268" s="144">
        <v>12190710</v>
      </c>
      <c r="J268" s="149" t="s">
        <v>296</v>
      </c>
      <c r="K268" s="149" t="s">
        <v>5535</v>
      </c>
      <c r="L268" s="150"/>
      <c r="M268" s="149" t="s">
        <v>5536</v>
      </c>
      <c r="N268" s="149"/>
      <c r="O268" s="149" t="s">
        <v>5537</v>
      </c>
      <c r="P268" s="187" t="s">
        <v>2880</v>
      </c>
    </row>
    <row r="269" spans="2:16" s="148" customFormat="1" ht="105" hidden="1" x14ac:dyDescent="0.25">
      <c r="B269" s="149" t="str">
        <f t="shared" si="7"/>
        <v>1</v>
      </c>
      <c r="C269" s="149" t="str">
        <f t="shared" si="8"/>
        <v>2</v>
      </c>
      <c r="D269" s="149" t="str">
        <f t="shared" si="9"/>
        <v>1</v>
      </c>
      <c r="E269" s="149" t="str">
        <f t="shared" si="10"/>
        <v>9</v>
      </c>
      <c r="F269" s="149" t="str">
        <f t="shared" si="11"/>
        <v>07</v>
      </c>
      <c r="G269" s="149" t="str">
        <f t="shared" si="12"/>
        <v>2</v>
      </c>
      <c r="H269" s="149" t="str">
        <f t="shared" si="13"/>
        <v>0</v>
      </c>
      <c r="I269" s="144">
        <v>12190720</v>
      </c>
      <c r="J269" s="149" t="s">
        <v>5314</v>
      </c>
      <c r="K269" s="149" t="s">
        <v>5538</v>
      </c>
      <c r="L269" s="150"/>
      <c r="M269" s="149" t="s">
        <v>5536</v>
      </c>
      <c r="N269" s="149"/>
      <c r="O269" s="149" t="s">
        <v>5417</v>
      </c>
      <c r="P269" s="187" t="s">
        <v>2880</v>
      </c>
    </row>
    <row r="270" spans="2:16" s="148" customFormat="1" ht="30" hidden="1" x14ac:dyDescent="0.25">
      <c r="B270" s="145" t="str">
        <f t="shared" si="7"/>
        <v>1</v>
      </c>
      <c r="C270" s="145" t="str">
        <f t="shared" si="8"/>
        <v>2</v>
      </c>
      <c r="D270" s="145" t="str">
        <f t="shared" si="9"/>
        <v>1</v>
      </c>
      <c r="E270" s="145" t="str">
        <f t="shared" si="10"/>
        <v>9</v>
      </c>
      <c r="F270" s="145" t="str">
        <f t="shared" si="11"/>
        <v>08</v>
      </c>
      <c r="G270" s="145" t="str">
        <f t="shared" si="12"/>
        <v>0</v>
      </c>
      <c r="H270" s="145" t="str">
        <f t="shared" si="13"/>
        <v>0</v>
      </c>
      <c r="I270" s="143">
        <v>12190800</v>
      </c>
      <c r="J270" s="145" t="s">
        <v>428</v>
      </c>
      <c r="K270" s="145" t="s">
        <v>3303</v>
      </c>
      <c r="L270" s="146"/>
      <c r="M270" s="145" t="s">
        <v>2878</v>
      </c>
      <c r="N270" s="145"/>
      <c r="O270" s="145" t="s">
        <v>2878</v>
      </c>
      <c r="P270" s="188" t="s">
        <v>2880</v>
      </c>
    </row>
    <row r="271" spans="2:16" s="148" customFormat="1" ht="75" hidden="1" x14ac:dyDescent="0.25">
      <c r="B271" s="149" t="str">
        <f t="shared" si="7"/>
        <v>1</v>
      </c>
      <c r="C271" s="149" t="str">
        <f t="shared" si="8"/>
        <v>2</v>
      </c>
      <c r="D271" s="149" t="str">
        <f t="shared" si="9"/>
        <v>1</v>
      </c>
      <c r="E271" s="149" t="str">
        <f t="shared" si="10"/>
        <v>9</v>
      </c>
      <c r="F271" s="149" t="str">
        <f t="shared" si="11"/>
        <v>08</v>
      </c>
      <c r="G271" s="149" t="str">
        <f t="shared" si="12"/>
        <v>1</v>
      </c>
      <c r="H271" s="149" t="str">
        <f t="shared" si="13"/>
        <v>0</v>
      </c>
      <c r="I271" s="144">
        <v>12190810</v>
      </c>
      <c r="J271" s="149" t="s">
        <v>428</v>
      </c>
      <c r="K271" s="149" t="s">
        <v>3303</v>
      </c>
      <c r="L271" s="150"/>
      <c r="M271" s="149" t="s">
        <v>5539</v>
      </c>
      <c r="N271" s="149"/>
      <c r="O271" s="149" t="s">
        <v>5537</v>
      </c>
      <c r="P271" s="187" t="s">
        <v>2880</v>
      </c>
    </row>
    <row r="272" spans="2:16" s="148" customFormat="1" ht="75" hidden="1" x14ac:dyDescent="0.25">
      <c r="B272" s="149" t="str">
        <f t="shared" si="7"/>
        <v>1</v>
      </c>
      <c r="C272" s="149" t="str">
        <f t="shared" si="8"/>
        <v>2</v>
      </c>
      <c r="D272" s="149" t="str">
        <f t="shared" si="9"/>
        <v>1</v>
      </c>
      <c r="E272" s="149" t="str">
        <f t="shared" si="10"/>
        <v>9</v>
      </c>
      <c r="F272" s="149" t="str">
        <f t="shared" si="11"/>
        <v>08</v>
      </c>
      <c r="G272" s="149" t="str">
        <f t="shared" si="12"/>
        <v>2</v>
      </c>
      <c r="H272" s="149" t="str">
        <f t="shared" si="13"/>
        <v>0</v>
      </c>
      <c r="I272" s="144">
        <v>12190820</v>
      </c>
      <c r="J272" s="149" t="s">
        <v>5315</v>
      </c>
      <c r="K272" s="149" t="s">
        <v>5540</v>
      </c>
      <c r="L272" s="150"/>
      <c r="M272" s="149" t="s">
        <v>5539</v>
      </c>
      <c r="N272" s="149"/>
      <c r="O272" s="149" t="s">
        <v>5417</v>
      </c>
      <c r="P272" s="187" t="s">
        <v>2880</v>
      </c>
    </row>
    <row r="273" spans="2:16" s="148" customFormat="1" ht="30" hidden="1" x14ac:dyDescent="0.25">
      <c r="B273" s="145" t="str">
        <f t="shared" si="7"/>
        <v>1</v>
      </c>
      <c r="C273" s="145" t="str">
        <f t="shared" si="8"/>
        <v>2</v>
      </c>
      <c r="D273" s="145" t="str">
        <f t="shared" si="9"/>
        <v>1</v>
      </c>
      <c r="E273" s="145" t="str">
        <f t="shared" si="10"/>
        <v>9</v>
      </c>
      <c r="F273" s="145" t="str">
        <f t="shared" si="11"/>
        <v>09</v>
      </c>
      <c r="G273" s="145" t="str">
        <f t="shared" si="12"/>
        <v>0</v>
      </c>
      <c r="H273" s="145" t="str">
        <f t="shared" si="13"/>
        <v>0</v>
      </c>
      <c r="I273" s="143">
        <v>12190900</v>
      </c>
      <c r="J273" s="145" t="s">
        <v>3309</v>
      </c>
      <c r="K273" s="145" t="s">
        <v>5541</v>
      </c>
      <c r="L273" s="146"/>
      <c r="M273" s="145" t="s">
        <v>2878</v>
      </c>
      <c r="N273" s="145"/>
      <c r="O273" s="145" t="s">
        <v>2878</v>
      </c>
      <c r="P273" s="188" t="s">
        <v>2880</v>
      </c>
    </row>
    <row r="274" spans="2:16" s="148" customFormat="1" ht="60" hidden="1" x14ac:dyDescent="0.25">
      <c r="B274" s="149" t="str">
        <f t="shared" si="7"/>
        <v>1</v>
      </c>
      <c r="C274" s="149" t="str">
        <f t="shared" si="8"/>
        <v>2</v>
      </c>
      <c r="D274" s="149" t="str">
        <f t="shared" si="9"/>
        <v>1</v>
      </c>
      <c r="E274" s="149" t="str">
        <f t="shared" si="10"/>
        <v>9</v>
      </c>
      <c r="F274" s="149" t="str">
        <f t="shared" si="11"/>
        <v>09</v>
      </c>
      <c r="G274" s="149" t="str">
        <f t="shared" si="12"/>
        <v>1</v>
      </c>
      <c r="H274" s="149" t="str">
        <f t="shared" si="13"/>
        <v>0</v>
      </c>
      <c r="I274" s="144">
        <v>12190910</v>
      </c>
      <c r="J274" s="149" t="s">
        <v>3309</v>
      </c>
      <c r="K274" s="149" t="s">
        <v>5541</v>
      </c>
      <c r="L274" s="150"/>
      <c r="M274" s="149" t="s">
        <v>3313</v>
      </c>
      <c r="N274" s="149"/>
      <c r="O274" s="149" t="s">
        <v>5542</v>
      </c>
      <c r="P274" s="187" t="s">
        <v>2880</v>
      </c>
    </row>
    <row r="275" spans="2:16" s="148" customFormat="1" ht="60" hidden="1" x14ac:dyDescent="0.25">
      <c r="B275" s="149" t="str">
        <f t="shared" si="7"/>
        <v>1</v>
      </c>
      <c r="C275" s="149" t="str">
        <f t="shared" si="8"/>
        <v>2</v>
      </c>
      <c r="D275" s="149" t="str">
        <f t="shared" si="9"/>
        <v>1</v>
      </c>
      <c r="E275" s="149" t="str">
        <f t="shared" si="10"/>
        <v>9</v>
      </c>
      <c r="F275" s="149" t="str">
        <f t="shared" si="11"/>
        <v>09</v>
      </c>
      <c r="G275" s="149" t="str">
        <f t="shared" si="12"/>
        <v>2</v>
      </c>
      <c r="H275" s="149" t="str">
        <f t="shared" si="13"/>
        <v>0</v>
      </c>
      <c r="I275" s="144">
        <v>12190920</v>
      </c>
      <c r="J275" s="149" t="s">
        <v>5316</v>
      </c>
      <c r="K275" s="149" t="s">
        <v>5543</v>
      </c>
      <c r="L275" s="150"/>
      <c r="M275" s="149" t="s">
        <v>3313</v>
      </c>
      <c r="N275" s="149"/>
      <c r="O275" s="149" t="s">
        <v>5417</v>
      </c>
      <c r="P275" s="187" t="s">
        <v>2880</v>
      </c>
    </row>
    <row r="276" spans="2:16" s="148" customFormat="1" ht="60" hidden="1" x14ac:dyDescent="0.25">
      <c r="B276" s="145" t="str">
        <f t="shared" si="7"/>
        <v>1</v>
      </c>
      <c r="C276" s="145" t="str">
        <f t="shared" si="8"/>
        <v>2</v>
      </c>
      <c r="D276" s="145" t="str">
        <f t="shared" si="9"/>
        <v>1</v>
      </c>
      <c r="E276" s="145" t="str">
        <f t="shared" si="10"/>
        <v>9</v>
      </c>
      <c r="F276" s="145" t="str">
        <f t="shared" si="11"/>
        <v>10</v>
      </c>
      <c r="G276" s="145" t="str">
        <f t="shared" si="12"/>
        <v>0</v>
      </c>
      <c r="H276" s="145" t="str">
        <f t="shared" si="13"/>
        <v>0</v>
      </c>
      <c r="I276" s="143">
        <v>12191000</v>
      </c>
      <c r="J276" s="145" t="s">
        <v>298</v>
      </c>
      <c r="K276" s="145" t="s">
        <v>5544</v>
      </c>
      <c r="L276" s="146"/>
      <c r="M276" s="145" t="s">
        <v>2878</v>
      </c>
      <c r="N276" s="145"/>
      <c r="O276" s="145" t="s">
        <v>2878</v>
      </c>
      <c r="P276" s="188" t="s">
        <v>2880</v>
      </c>
    </row>
    <row r="277" spans="2:16" s="148" customFormat="1" ht="105" hidden="1" x14ac:dyDescent="0.25">
      <c r="B277" s="149" t="str">
        <f t="shared" si="7"/>
        <v>1</v>
      </c>
      <c r="C277" s="149" t="str">
        <f t="shared" si="8"/>
        <v>2</v>
      </c>
      <c r="D277" s="149" t="str">
        <f t="shared" si="9"/>
        <v>1</v>
      </c>
      <c r="E277" s="149" t="str">
        <f t="shared" si="10"/>
        <v>9</v>
      </c>
      <c r="F277" s="149" t="str">
        <f t="shared" si="11"/>
        <v>10</v>
      </c>
      <c r="G277" s="149" t="str">
        <f t="shared" si="12"/>
        <v>1</v>
      </c>
      <c r="H277" s="149" t="str">
        <f t="shared" si="13"/>
        <v>0</v>
      </c>
      <c r="I277" s="144">
        <v>12191010</v>
      </c>
      <c r="J277" s="149" t="s">
        <v>298</v>
      </c>
      <c r="K277" s="149" t="s">
        <v>3320</v>
      </c>
      <c r="L277" s="150"/>
      <c r="M277" s="149" t="s">
        <v>3321</v>
      </c>
      <c r="N277" s="149"/>
      <c r="O277" s="149" t="s">
        <v>5545</v>
      </c>
      <c r="P277" s="187" t="s">
        <v>2880</v>
      </c>
    </row>
    <row r="278" spans="2:16" s="148" customFormat="1" ht="75" hidden="1" x14ac:dyDescent="0.25">
      <c r="B278" s="149" t="str">
        <f t="shared" si="7"/>
        <v>1</v>
      </c>
      <c r="C278" s="149" t="str">
        <f t="shared" si="8"/>
        <v>2</v>
      </c>
      <c r="D278" s="149" t="str">
        <f t="shared" si="9"/>
        <v>1</v>
      </c>
      <c r="E278" s="149" t="str">
        <f t="shared" si="10"/>
        <v>9</v>
      </c>
      <c r="F278" s="149" t="str">
        <f t="shared" si="11"/>
        <v>10</v>
      </c>
      <c r="G278" s="149" t="str">
        <f t="shared" si="12"/>
        <v>2</v>
      </c>
      <c r="H278" s="149" t="str">
        <f t="shared" si="13"/>
        <v>0</v>
      </c>
      <c r="I278" s="144">
        <v>12191020</v>
      </c>
      <c r="J278" s="149" t="s">
        <v>5317</v>
      </c>
      <c r="K278" s="149" t="s">
        <v>5546</v>
      </c>
      <c r="L278" s="150"/>
      <c r="M278" s="149" t="s">
        <v>3321</v>
      </c>
      <c r="N278" s="149"/>
      <c r="O278" s="149" t="s">
        <v>5476</v>
      </c>
      <c r="P278" s="187" t="s">
        <v>2880</v>
      </c>
    </row>
    <row r="279" spans="2:16" s="148" customFormat="1" ht="30" hidden="1" x14ac:dyDescent="0.25">
      <c r="B279" s="145" t="str">
        <f t="shared" si="7"/>
        <v>1</v>
      </c>
      <c r="C279" s="145" t="str">
        <f t="shared" si="8"/>
        <v>2</v>
      </c>
      <c r="D279" s="145" t="str">
        <f t="shared" si="9"/>
        <v>1</v>
      </c>
      <c r="E279" s="145" t="str">
        <f t="shared" si="10"/>
        <v>9</v>
      </c>
      <c r="F279" s="145" t="str">
        <f t="shared" si="11"/>
        <v>11</v>
      </c>
      <c r="G279" s="145" t="str">
        <f t="shared" si="12"/>
        <v>0</v>
      </c>
      <c r="H279" s="145" t="str">
        <f t="shared" si="13"/>
        <v>0</v>
      </c>
      <c r="I279" s="143">
        <v>12191100</v>
      </c>
      <c r="J279" s="145" t="s">
        <v>5318</v>
      </c>
      <c r="K279" s="145" t="s">
        <v>5547</v>
      </c>
      <c r="L279" s="146"/>
      <c r="M279" s="145" t="s">
        <v>2878</v>
      </c>
      <c r="N279" s="145"/>
      <c r="O279" s="145" t="s">
        <v>2878</v>
      </c>
      <c r="P279" s="188" t="s">
        <v>2880</v>
      </c>
    </row>
    <row r="280" spans="2:16" s="148" customFormat="1" ht="45" hidden="1" x14ac:dyDescent="0.25">
      <c r="B280" s="149" t="str">
        <f t="shared" si="7"/>
        <v>1</v>
      </c>
      <c r="C280" s="149" t="str">
        <f t="shared" si="8"/>
        <v>2</v>
      </c>
      <c r="D280" s="149" t="str">
        <f t="shared" si="9"/>
        <v>1</v>
      </c>
      <c r="E280" s="149" t="str">
        <f t="shared" si="10"/>
        <v>9</v>
      </c>
      <c r="F280" s="149" t="str">
        <f t="shared" si="11"/>
        <v>11</v>
      </c>
      <c r="G280" s="149" t="str">
        <f t="shared" si="12"/>
        <v>1</v>
      </c>
      <c r="H280" s="149" t="str">
        <f t="shared" si="13"/>
        <v>0</v>
      </c>
      <c r="I280" s="144">
        <v>12191110</v>
      </c>
      <c r="J280" s="149" t="s">
        <v>5318</v>
      </c>
      <c r="K280" s="149" t="s">
        <v>5547</v>
      </c>
      <c r="L280" s="150"/>
      <c r="M280" s="149" t="s">
        <v>3172</v>
      </c>
      <c r="N280" s="149"/>
      <c r="O280" s="149" t="s">
        <v>5548</v>
      </c>
      <c r="P280" s="187" t="s">
        <v>2880</v>
      </c>
    </row>
    <row r="281" spans="2:16" s="148" customFormat="1" ht="30" hidden="1" x14ac:dyDescent="0.25">
      <c r="B281" s="149" t="str">
        <f t="shared" si="7"/>
        <v>1</v>
      </c>
      <c r="C281" s="149" t="str">
        <f t="shared" si="8"/>
        <v>2</v>
      </c>
      <c r="D281" s="149" t="str">
        <f t="shared" si="9"/>
        <v>1</v>
      </c>
      <c r="E281" s="149" t="str">
        <f t="shared" si="10"/>
        <v>9</v>
      </c>
      <c r="F281" s="149" t="str">
        <f t="shared" si="11"/>
        <v>11</v>
      </c>
      <c r="G281" s="149" t="str">
        <f t="shared" si="12"/>
        <v>2</v>
      </c>
      <c r="H281" s="149" t="str">
        <f t="shared" si="13"/>
        <v>0</v>
      </c>
      <c r="I281" s="144">
        <v>12191120</v>
      </c>
      <c r="J281" s="149" t="s">
        <v>5319</v>
      </c>
      <c r="K281" s="149" t="s">
        <v>5549</v>
      </c>
      <c r="L281" s="150"/>
      <c r="M281" s="149" t="s">
        <v>3172</v>
      </c>
      <c r="N281" s="149"/>
      <c r="O281" s="149" t="s">
        <v>5508</v>
      </c>
      <c r="P281" s="187" t="s">
        <v>2880</v>
      </c>
    </row>
    <row r="282" spans="2:16" s="148" customFormat="1" ht="30" hidden="1" x14ac:dyDescent="0.25">
      <c r="B282" s="145" t="str">
        <f t="shared" si="7"/>
        <v>1</v>
      </c>
      <c r="C282" s="145" t="str">
        <f t="shared" si="8"/>
        <v>2</v>
      </c>
      <c r="D282" s="145" t="str">
        <f t="shared" si="9"/>
        <v>1</v>
      </c>
      <c r="E282" s="145" t="str">
        <f t="shared" si="10"/>
        <v>9</v>
      </c>
      <c r="F282" s="145" t="str">
        <f t="shared" si="11"/>
        <v>99</v>
      </c>
      <c r="G282" s="145" t="str">
        <f t="shared" si="12"/>
        <v>0</v>
      </c>
      <c r="H282" s="145" t="str">
        <f t="shared" si="13"/>
        <v>0</v>
      </c>
      <c r="I282" s="143">
        <v>12199900</v>
      </c>
      <c r="J282" s="145" t="s">
        <v>5320</v>
      </c>
      <c r="K282" s="145" t="s">
        <v>5550</v>
      </c>
      <c r="L282" s="146"/>
      <c r="M282" s="145" t="s">
        <v>2878</v>
      </c>
      <c r="N282" s="145"/>
      <c r="O282" s="145" t="s">
        <v>2878</v>
      </c>
      <c r="P282" s="188" t="s">
        <v>2880</v>
      </c>
    </row>
    <row r="283" spans="2:16" s="148" customFormat="1" ht="30" hidden="1" x14ac:dyDescent="0.25">
      <c r="B283" s="149" t="str">
        <f t="shared" si="7"/>
        <v>1</v>
      </c>
      <c r="C283" s="149" t="str">
        <f t="shared" si="8"/>
        <v>2</v>
      </c>
      <c r="D283" s="149" t="str">
        <f t="shared" si="9"/>
        <v>1</v>
      </c>
      <c r="E283" s="149" t="str">
        <f t="shared" si="10"/>
        <v>9</v>
      </c>
      <c r="F283" s="149" t="str">
        <f t="shared" si="11"/>
        <v>99</v>
      </c>
      <c r="G283" s="149" t="str">
        <f t="shared" si="12"/>
        <v>1</v>
      </c>
      <c r="H283" s="149" t="str">
        <f t="shared" si="13"/>
        <v>0</v>
      </c>
      <c r="I283" s="144">
        <v>12199910</v>
      </c>
      <c r="J283" s="149" t="s">
        <v>5320</v>
      </c>
      <c r="K283" s="149" t="s">
        <v>5550</v>
      </c>
      <c r="L283" s="150"/>
      <c r="M283" s="149" t="s">
        <v>3033</v>
      </c>
      <c r="N283" s="149"/>
      <c r="O283" s="149" t="s">
        <v>3329</v>
      </c>
      <c r="P283" s="187" t="s">
        <v>2880</v>
      </c>
    </row>
    <row r="284" spans="2:16" s="148" customFormat="1" ht="30" hidden="1" x14ac:dyDescent="0.25">
      <c r="B284" s="149" t="str">
        <f t="shared" si="7"/>
        <v>1</v>
      </c>
      <c r="C284" s="149" t="str">
        <f t="shared" si="8"/>
        <v>2</v>
      </c>
      <c r="D284" s="149" t="str">
        <f t="shared" si="9"/>
        <v>1</v>
      </c>
      <c r="E284" s="149" t="str">
        <f t="shared" si="10"/>
        <v>9</v>
      </c>
      <c r="F284" s="149" t="str">
        <f t="shared" si="11"/>
        <v>99</v>
      </c>
      <c r="G284" s="149" t="str">
        <f t="shared" si="12"/>
        <v>2</v>
      </c>
      <c r="H284" s="149" t="str">
        <f t="shared" si="13"/>
        <v>0</v>
      </c>
      <c r="I284" s="144">
        <v>12199920</v>
      </c>
      <c r="J284" s="149" t="s">
        <v>5321</v>
      </c>
      <c r="K284" s="149" t="s">
        <v>5551</v>
      </c>
      <c r="L284" s="150"/>
      <c r="M284" s="149" t="s">
        <v>3033</v>
      </c>
      <c r="N284" s="149"/>
      <c r="O284" s="149" t="s">
        <v>3329</v>
      </c>
      <c r="P284" s="187" t="s">
        <v>2880</v>
      </c>
    </row>
    <row r="285" spans="2:16" ht="75" hidden="1" x14ac:dyDescent="0.25">
      <c r="B285" s="126" t="str">
        <f t="shared" si="7"/>
        <v>1</v>
      </c>
      <c r="C285" s="126" t="str">
        <f t="shared" si="8"/>
        <v>2</v>
      </c>
      <c r="D285" s="126" t="str">
        <f t="shared" si="9"/>
        <v>2</v>
      </c>
      <c r="E285" s="126" t="str">
        <f t="shared" si="10"/>
        <v>0</v>
      </c>
      <c r="F285" s="126" t="str">
        <f t="shared" si="11"/>
        <v>00</v>
      </c>
      <c r="G285" s="126" t="str">
        <f t="shared" si="12"/>
        <v>0</v>
      </c>
      <c r="H285" s="126" t="str">
        <f t="shared" si="13"/>
        <v>0</v>
      </c>
      <c r="I285" s="127">
        <v>12200000</v>
      </c>
      <c r="J285" s="126" t="s">
        <v>3333</v>
      </c>
      <c r="K285" s="126" t="s">
        <v>3334</v>
      </c>
      <c r="L285" s="122"/>
      <c r="M285" s="126" t="s">
        <v>2878</v>
      </c>
      <c r="N285" s="126" t="s">
        <v>5016</v>
      </c>
      <c r="O285" s="126" t="s">
        <v>2878</v>
      </c>
      <c r="P285" s="128" t="s">
        <v>2880</v>
      </c>
    </row>
    <row r="286" spans="2:16" ht="45" hidden="1" x14ac:dyDescent="0.25">
      <c r="B286" s="108" t="str">
        <f t="shared" si="7"/>
        <v>1</v>
      </c>
      <c r="C286" s="108" t="str">
        <f t="shared" si="8"/>
        <v>2</v>
      </c>
      <c r="D286" s="108" t="str">
        <f t="shared" si="9"/>
        <v>2</v>
      </c>
      <c r="E286" s="108" t="str">
        <f t="shared" si="10"/>
        <v>0</v>
      </c>
      <c r="F286" s="108" t="str">
        <f t="shared" si="11"/>
        <v>01</v>
      </c>
      <c r="G286" s="108" t="str">
        <f t="shared" si="12"/>
        <v>0</v>
      </c>
      <c r="H286" s="108" t="str">
        <f t="shared" si="13"/>
        <v>0</v>
      </c>
      <c r="I286" s="109">
        <v>12200100</v>
      </c>
      <c r="J286" s="108" t="s">
        <v>3335</v>
      </c>
      <c r="K286" s="108" t="s">
        <v>3336</v>
      </c>
      <c r="L286" s="110"/>
      <c r="M286" s="108" t="s">
        <v>2878</v>
      </c>
      <c r="N286" s="108" t="s">
        <v>2879</v>
      </c>
      <c r="O286" s="108" t="s">
        <v>2878</v>
      </c>
      <c r="P286" s="111" t="s">
        <v>2880</v>
      </c>
    </row>
    <row r="287" spans="2:16" ht="30" hidden="1" x14ac:dyDescent="0.25">
      <c r="B287" s="114" t="str">
        <f t="shared" si="7"/>
        <v>1</v>
      </c>
      <c r="C287" s="114" t="str">
        <f t="shared" si="8"/>
        <v>2</v>
      </c>
      <c r="D287" s="114" t="str">
        <f t="shared" si="9"/>
        <v>2</v>
      </c>
      <c r="E287" s="114" t="str">
        <f t="shared" si="10"/>
        <v>0</v>
      </c>
      <c r="F287" s="114" t="str">
        <f t="shared" si="11"/>
        <v>01</v>
      </c>
      <c r="G287" s="114" t="str">
        <f t="shared" si="12"/>
        <v>1</v>
      </c>
      <c r="H287" s="114" t="str">
        <f t="shared" si="13"/>
        <v>0</v>
      </c>
      <c r="I287" s="115">
        <v>12200110</v>
      </c>
      <c r="J287" s="114" t="s">
        <v>3337</v>
      </c>
      <c r="K287" s="114" t="s">
        <v>3338</v>
      </c>
      <c r="L287" s="116"/>
      <c r="M287" s="114" t="s">
        <v>2878</v>
      </c>
      <c r="N287" s="114" t="s">
        <v>2879</v>
      </c>
      <c r="O287" s="114" t="s">
        <v>2878</v>
      </c>
      <c r="P287" s="117" t="s">
        <v>2880</v>
      </c>
    </row>
    <row r="288" spans="2:16" ht="30" hidden="1" x14ac:dyDescent="0.25">
      <c r="B288" s="114" t="str">
        <f t="shared" si="7"/>
        <v>1</v>
      </c>
      <c r="C288" s="114" t="str">
        <f t="shared" si="8"/>
        <v>2</v>
      </c>
      <c r="D288" s="114" t="str">
        <f t="shared" si="9"/>
        <v>2</v>
      </c>
      <c r="E288" s="114" t="str">
        <f t="shared" si="10"/>
        <v>0</v>
      </c>
      <c r="F288" s="114" t="str">
        <f t="shared" si="11"/>
        <v>01</v>
      </c>
      <c r="G288" s="114" t="str">
        <f t="shared" si="12"/>
        <v>2</v>
      </c>
      <c r="H288" s="114" t="str">
        <f t="shared" si="13"/>
        <v>0</v>
      </c>
      <c r="I288" s="115">
        <v>12200120</v>
      </c>
      <c r="J288" s="114" t="s">
        <v>3346</v>
      </c>
      <c r="K288" s="114" t="s">
        <v>3347</v>
      </c>
      <c r="L288" s="116"/>
      <c r="M288" s="114" t="s">
        <v>2878</v>
      </c>
      <c r="N288" s="114" t="s">
        <v>2879</v>
      </c>
      <c r="O288" s="114" t="s">
        <v>2878</v>
      </c>
      <c r="P288" s="117" t="s">
        <v>2880</v>
      </c>
    </row>
    <row r="289" spans="2:16" ht="30" hidden="1" x14ac:dyDescent="0.25">
      <c r="B289" s="108" t="str">
        <f t="shared" si="7"/>
        <v>1</v>
      </c>
      <c r="C289" s="108" t="str">
        <f t="shared" si="8"/>
        <v>2</v>
      </c>
      <c r="D289" s="108" t="str">
        <f t="shared" si="9"/>
        <v>2</v>
      </c>
      <c r="E289" s="108" t="str">
        <f t="shared" si="10"/>
        <v>0</v>
      </c>
      <c r="F289" s="108" t="str">
        <f t="shared" si="11"/>
        <v>02</v>
      </c>
      <c r="G289" s="108" t="str">
        <f t="shared" si="12"/>
        <v>0</v>
      </c>
      <c r="H289" s="108" t="str">
        <f t="shared" si="13"/>
        <v>0</v>
      </c>
      <c r="I289" s="109">
        <v>12200200</v>
      </c>
      <c r="J289" s="108" t="s">
        <v>3352</v>
      </c>
      <c r="K289" s="108" t="s">
        <v>3353</v>
      </c>
      <c r="L289" s="110"/>
      <c r="M289" s="108" t="s">
        <v>2878</v>
      </c>
      <c r="N289" s="108" t="s">
        <v>2879</v>
      </c>
      <c r="O289" s="108" t="s">
        <v>2878</v>
      </c>
      <c r="P289" s="111" t="s">
        <v>2880</v>
      </c>
    </row>
    <row r="290" spans="2:16" ht="105" hidden="1" x14ac:dyDescent="0.25">
      <c r="B290" s="114" t="str">
        <f t="shared" si="7"/>
        <v>1</v>
      </c>
      <c r="C290" s="114" t="str">
        <f t="shared" si="8"/>
        <v>2</v>
      </c>
      <c r="D290" s="114" t="str">
        <f t="shared" si="9"/>
        <v>2</v>
      </c>
      <c r="E290" s="114" t="str">
        <f t="shared" si="10"/>
        <v>0</v>
      </c>
      <c r="F290" s="114" t="str">
        <f t="shared" si="11"/>
        <v>02</v>
      </c>
      <c r="G290" s="114" t="str">
        <f t="shared" si="12"/>
        <v>1</v>
      </c>
      <c r="H290" s="114" t="str">
        <f t="shared" si="13"/>
        <v>0</v>
      </c>
      <c r="I290" s="115">
        <v>12200210</v>
      </c>
      <c r="J290" s="114" t="s">
        <v>3352</v>
      </c>
      <c r="K290" s="114" t="s">
        <v>3354</v>
      </c>
      <c r="L290" s="116"/>
      <c r="M290" s="114" t="s">
        <v>2878</v>
      </c>
      <c r="N290" s="114" t="s">
        <v>2879</v>
      </c>
      <c r="O290" s="114" t="s">
        <v>2878</v>
      </c>
      <c r="P290" s="117" t="s">
        <v>2880</v>
      </c>
    </row>
    <row r="291" spans="2:16" ht="75" hidden="1" x14ac:dyDescent="0.25">
      <c r="B291" s="108" t="str">
        <f t="shared" si="7"/>
        <v>1</v>
      </c>
      <c r="C291" s="108" t="str">
        <f t="shared" si="8"/>
        <v>2</v>
      </c>
      <c r="D291" s="108" t="str">
        <f t="shared" si="9"/>
        <v>2</v>
      </c>
      <c r="E291" s="108" t="str">
        <f t="shared" si="10"/>
        <v>0</v>
      </c>
      <c r="F291" s="108" t="str">
        <f t="shared" si="11"/>
        <v>03</v>
      </c>
      <c r="G291" s="108" t="str">
        <f t="shared" si="12"/>
        <v>0</v>
      </c>
      <c r="H291" s="108" t="str">
        <f t="shared" si="13"/>
        <v>0</v>
      </c>
      <c r="I291" s="109">
        <v>12200300</v>
      </c>
      <c r="J291" s="108" t="s">
        <v>501</v>
      </c>
      <c r="K291" s="108" t="s">
        <v>3362</v>
      </c>
      <c r="L291" s="110"/>
      <c r="M291" s="108" t="s">
        <v>2878</v>
      </c>
      <c r="N291" s="108" t="s">
        <v>2879</v>
      </c>
      <c r="O291" s="108" t="s">
        <v>2878</v>
      </c>
      <c r="P291" s="111" t="s">
        <v>2880</v>
      </c>
    </row>
    <row r="292" spans="2:16" ht="75" hidden="1" x14ac:dyDescent="0.25">
      <c r="B292" s="114" t="str">
        <f t="shared" si="7"/>
        <v>1</v>
      </c>
      <c r="C292" s="114" t="str">
        <f t="shared" si="8"/>
        <v>2</v>
      </c>
      <c r="D292" s="114" t="str">
        <f t="shared" si="9"/>
        <v>2</v>
      </c>
      <c r="E292" s="114" t="str">
        <f t="shared" si="10"/>
        <v>0</v>
      </c>
      <c r="F292" s="114" t="str">
        <f t="shared" si="11"/>
        <v>03</v>
      </c>
      <c r="G292" s="114" t="str">
        <f t="shared" si="12"/>
        <v>1</v>
      </c>
      <c r="H292" s="114" t="str">
        <f t="shared" si="13"/>
        <v>0</v>
      </c>
      <c r="I292" s="115">
        <v>12200310</v>
      </c>
      <c r="J292" s="114" t="s">
        <v>501</v>
      </c>
      <c r="K292" s="114" t="s">
        <v>3362</v>
      </c>
      <c r="L292" s="116"/>
      <c r="M292" s="114" t="s">
        <v>2878</v>
      </c>
      <c r="N292" s="114" t="s">
        <v>2879</v>
      </c>
      <c r="O292" s="114" t="s">
        <v>2878</v>
      </c>
      <c r="P292" s="117" t="s">
        <v>2880</v>
      </c>
    </row>
    <row r="293" spans="2:16" ht="150" hidden="1" x14ac:dyDescent="0.25">
      <c r="B293" s="108" t="str">
        <f t="shared" si="7"/>
        <v>1</v>
      </c>
      <c r="C293" s="108" t="str">
        <f t="shared" si="8"/>
        <v>2</v>
      </c>
      <c r="D293" s="108" t="str">
        <f t="shared" si="9"/>
        <v>2</v>
      </c>
      <c r="E293" s="108" t="str">
        <f t="shared" si="10"/>
        <v>0</v>
      </c>
      <c r="F293" s="108" t="str">
        <f t="shared" si="11"/>
        <v>04</v>
      </c>
      <c r="G293" s="108" t="str">
        <f t="shared" si="12"/>
        <v>0</v>
      </c>
      <c r="H293" s="108" t="str">
        <f t="shared" si="13"/>
        <v>0</v>
      </c>
      <c r="I293" s="109">
        <v>12200400</v>
      </c>
      <c r="J293" s="108" t="s">
        <v>3370</v>
      </c>
      <c r="K293" s="108" t="s">
        <v>3371</v>
      </c>
      <c r="L293" s="110"/>
      <c r="M293" s="108" t="s">
        <v>2878</v>
      </c>
      <c r="N293" s="108" t="s">
        <v>2879</v>
      </c>
      <c r="O293" s="108" t="s">
        <v>2878</v>
      </c>
      <c r="P293" s="111" t="s">
        <v>2880</v>
      </c>
    </row>
    <row r="294" spans="2:16" ht="150" hidden="1" x14ac:dyDescent="0.25">
      <c r="B294" s="114" t="str">
        <f t="shared" si="7"/>
        <v>1</v>
      </c>
      <c r="C294" s="114" t="str">
        <f t="shared" si="8"/>
        <v>2</v>
      </c>
      <c r="D294" s="114" t="str">
        <f t="shared" si="9"/>
        <v>2</v>
      </c>
      <c r="E294" s="114" t="str">
        <f t="shared" si="10"/>
        <v>0</v>
      </c>
      <c r="F294" s="114" t="str">
        <f t="shared" si="11"/>
        <v>04</v>
      </c>
      <c r="G294" s="114" t="str">
        <f t="shared" si="12"/>
        <v>1</v>
      </c>
      <c r="H294" s="114" t="str">
        <f t="shared" si="13"/>
        <v>0</v>
      </c>
      <c r="I294" s="115">
        <v>12200410</v>
      </c>
      <c r="J294" s="114" t="s">
        <v>3370</v>
      </c>
      <c r="K294" s="114" t="s">
        <v>3371</v>
      </c>
      <c r="L294" s="116"/>
      <c r="M294" s="114" t="s">
        <v>2878</v>
      </c>
      <c r="N294" s="114" t="s">
        <v>2879</v>
      </c>
      <c r="O294" s="114" t="s">
        <v>2878</v>
      </c>
      <c r="P294" s="117" t="s">
        <v>2880</v>
      </c>
    </row>
    <row r="295" spans="2:16" ht="78" hidden="1" customHeight="1" x14ac:dyDescent="0.25">
      <c r="B295" s="108" t="str">
        <f t="shared" si="7"/>
        <v>1</v>
      </c>
      <c r="C295" s="108" t="str">
        <f t="shared" si="8"/>
        <v>2</v>
      </c>
      <c r="D295" s="108" t="str">
        <f t="shared" si="9"/>
        <v>2</v>
      </c>
      <c r="E295" s="108" t="str">
        <f t="shared" si="10"/>
        <v>0</v>
      </c>
      <c r="F295" s="108" t="str">
        <f t="shared" si="11"/>
        <v>05</v>
      </c>
      <c r="G295" s="108" t="str">
        <f t="shared" si="12"/>
        <v>0</v>
      </c>
      <c r="H295" s="108" t="str">
        <f t="shared" si="13"/>
        <v>0</v>
      </c>
      <c r="I295" s="109">
        <v>12200500</v>
      </c>
      <c r="J295" s="108" t="s">
        <v>3379</v>
      </c>
      <c r="K295" s="108" t="s">
        <v>3380</v>
      </c>
      <c r="L295" s="110"/>
      <c r="M295" s="108" t="s">
        <v>2878</v>
      </c>
      <c r="N295" s="108" t="s">
        <v>2879</v>
      </c>
      <c r="O295" s="108" t="s">
        <v>2878</v>
      </c>
      <c r="P295" s="111" t="s">
        <v>2880</v>
      </c>
    </row>
    <row r="296" spans="2:16" ht="59.25" hidden="1" customHeight="1" x14ac:dyDescent="0.25">
      <c r="B296" s="114" t="str">
        <f t="shared" si="7"/>
        <v>1</v>
      </c>
      <c r="C296" s="114" t="str">
        <f t="shared" si="8"/>
        <v>2</v>
      </c>
      <c r="D296" s="114" t="str">
        <f t="shared" si="9"/>
        <v>2</v>
      </c>
      <c r="E296" s="114" t="str">
        <f t="shared" si="10"/>
        <v>0</v>
      </c>
      <c r="F296" s="114" t="str">
        <f t="shared" si="11"/>
        <v>05</v>
      </c>
      <c r="G296" s="114" t="str">
        <f t="shared" si="12"/>
        <v>1</v>
      </c>
      <c r="H296" s="114" t="str">
        <f t="shared" si="13"/>
        <v>0</v>
      </c>
      <c r="I296" s="115">
        <v>12200510</v>
      </c>
      <c r="J296" s="114" t="s">
        <v>3379</v>
      </c>
      <c r="K296" s="114" t="s">
        <v>3380</v>
      </c>
      <c r="L296" s="116"/>
      <c r="M296" s="114" t="s">
        <v>2878</v>
      </c>
      <c r="N296" s="114" t="s">
        <v>2879</v>
      </c>
      <c r="O296" s="114" t="s">
        <v>2878</v>
      </c>
      <c r="P296" s="117" t="s">
        <v>2880</v>
      </c>
    </row>
    <row r="297" spans="2:16" ht="54" hidden="1" customHeight="1" x14ac:dyDescent="0.25">
      <c r="B297" s="108" t="str">
        <f t="shared" si="7"/>
        <v>1</v>
      </c>
      <c r="C297" s="108" t="str">
        <f t="shared" si="8"/>
        <v>2</v>
      </c>
      <c r="D297" s="108" t="str">
        <f t="shared" si="9"/>
        <v>2</v>
      </c>
      <c r="E297" s="108" t="str">
        <f t="shared" si="10"/>
        <v>0</v>
      </c>
      <c r="F297" s="108" t="str">
        <f t="shared" si="11"/>
        <v>06</v>
      </c>
      <c r="G297" s="108" t="str">
        <f t="shared" si="12"/>
        <v>0</v>
      </c>
      <c r="H297" s="108" t="str">
        <f t="shared" si="13"/>
        <v>0</v>
      </c>
      <c r="I297" s="109">
        <v>12200600</v>
      </c>
      <c r="J297" s="108" t="s">
        <v>3388</v>
      </c>
      <c r="K297" s="108" t="s">
        <v>3389</v>
      </c>
      <c r="L297" s="110"/>
      <c r="M297" s="108" t="s">
        <v>2878</v>
      </c>
      <c r="N297" s="108" t="s">
        <v>2879</v>
      </c>
      <c r="O297" s="108" t="s">
        <v>2878</v>
      </c>
      <c r="P297" s="111" t="s">
        <v>2880</v>
      </c>
    </row>
    <row r="298" spans="2:16" ht="47.25" hidden="1" customHeight="1" x14ac:dyDescent="0.25">
      <c r="B298" s="114" t="str">
        <f t="shared" si="7"/>
        <v>1</v>
      </c>
      <c r="C298" s="114" t="str">
        <f t="shared" si="8"/>
        <v>2</v>
      </c>
      <c r="D298" s="114" t="str">
        <f t="shared" si="9"/>
        <v>2</v>
      </c>
      <c r="E298" s="114" t="str">
        <f t="shared" si="10"/>
        <v>0</v>
      </c>
      <c r="F298" s="114" t="str">
        <f t="shared" si="11"/>
        <v>06</v>
      </c>
      <c r="G298" s="114" t="str">
        <f t="shared" si="12"/>
        <v>1</v>
      </c>
      <c r="H298" s="114" t="str">
        <f t="shared" si="13"/>
        <v>0</v>
      </c>
      <c r="I298" s="115">
        <v>12200610</v>
      </c>
      <c r="J298" s="114" t="s">
        <v>3388</v>
      </c>
      <c r="K298" s="114" t="s">
        <v>3389</v>
      </c>
      <c r="L298" s="116"/>
      <c r="M298" s="114" t="s">
        <v>2878</v>
      </c>
      <c r="N298" s="114" t="s">
        <v>2879</v>
      </c>
      <c r="O298" s="114" t="s">
        <v>2878</v>
      </c>
      <c r="P298" s="117" t="s">
        <v>2880</v>
      </c>
    </row>
    <row r="299" spans="2:16" ht="90" hidden="1" x14ac:dyDescent="0.25">
      <c r="B299" s="108" t="str">
        <f t="shared" si="7"/>
        <v>1</v>
      </c>
      <c r="C299" s="108" t="str">
        <f t="shared" si="8"/>
        <v>2</v>
      </c>
      <c r="D299" s="108" t="str">
        <f t="shared" si="9"/>
        <v>2</v>
      </c>
      <c r="E299" s="108" t="str">
        <f t="shared" si="10"/>
        <v>0</v>
      </c>
      <c r="F299" s="108" t="str">
        <f t="shared" si="11"/>
        <v>07</v>
      </c>
      <c r="G299" s="108" t="str">
        <f t="shared" si="12"/>
        <v>0</v>
      </c>
      <c r="H299" s="108" t="str">
        <f t="shared" si="13"/>
        <v>0</v>
      </c>
      <c r="I299" s="109">
        <v>12200700</v>
      </c>
      <c r="J299" s="108" t="s">
        <v>3393</v>
      </c>
      <c r="K299" s="108" t="s">
        <v>3394</v>
      </c>
      <c r="L299" s="110"/>
      <c r="M299" s="108" t="s">
        <v>2878</v>
      </c>
      <c r="N299" s="108" t="s">
        <v>2879</v>
      </c>
      <c r="O299" s="108" t="s">
        <v>2878</v>
      </c>
      <c r="P299" s="111" t="s">
        <v>2880</v>
      </c>
    </row>
    <row r="300" spans="2:16" ht="90" hidden="1" x14ac:dyDescent="0.25">
      <c r="B300" s="114" t="str">
        <f t="shared" ref="B300:B363" si="14">MID($I300,1,1)</f>
        <v>1</v>
      </c>
      <c r="C300" s="114" t="str">
        <f t="shared" ref="C300:C363" si="15">MID($I300,2,1)</f>
        <v>2</v>
      </c>
      <c r="D300" s="114" t="str">
        <f t="shared" ref="D300:D363" si="16">MID($I300,3,1)</f>
        <v>2</v>
      </c>
      <c r="E300" s="114" t="str">
        <f t="shared" ref="E300:E363" si="17">MID($I300,4,1)</f>
        <v>0</v>
      </c>
      <c r="F300" s="114" t="str">
        <f t="shared" ref="F300:F363" si="18">MID($I300,5,2)</f>
        <v>07</v>
      </c>
      <c r="G300" s="114" t="str">
        <f t="shared" ref="G300:G363" si="19">MID($I300,7,1)</f>
        <v>1</v>
      </c>
      <c r="H300" s="114" t="str">
        <f t="shared" ref="H300:H363" si="20">MID($I300,8,1)</f>
        <v>0</v>
      </c>
      <c r="I300" s="115">
        <v>12200710</v>
      </c>
      <c r="J300" s="114" t="s">
        <v>3393</v>
      </c>
      <c r="K300" s="114" t="s">
        <v>3394</v>
      </c>
      <c r="L300" s="116"/>
      <c r="M300" s="114" t="s">
        <v>2878</v>
      </c>
      <c r="N300" s="114" t="s">
        <v>2879</v>
      </c>
      <c r="O300" s="114" t="s">
        <v>2878</v>
      </c>
      <c r="P300" s="117" t="s">
        <v>2880</v>
      </c>
    </row>
    <row r="301" spans="2:16" ht="45" hidden="1" x14ac:dyDescent="0.25">
      <c r="B301" s="108" t="str">
        <f t="shared" si="14"/>
        <v>1</v>
      </c>
      <c r="C301" s="108" t="str">
        <f t="shared" si="15"/>
        <v>2</v>
      </c>
      <c r="D301" s="108" t="str">
        <f t="shared" si="16"/>
        <v>2</v>
      </c>
      <c r="E301" s="108" t="str">
        <f t="shared" si="17"/>
        <v>0</v>
      </c>
      <c r="F301" s="108" t="str">
        <f t="shared" si="18"/>
        <v>08</v>
      </c>
      <c r="G301" s="108" t="str">
        <f t="shared" si="19"/>
        <v>0</v>
      </c>
      <c r="H301" s="108" t="str">
        <f t="shared" si="20"/>
        <v>0</v>
      </c>
      <c r="I301" s="109">
        <v>12200800</v>
      </c>
      <c r="J301" s="108" t="s">
        <v>3398</v>
      </c>
      <c r="K301" s="108" t="s">
        <v>3399</v>
      </c>
      <c r="L301" s="110"/>
      <c r="M301" s="108" t="s">
        <v>2878</v>
      </c>
      <c r="N301" s="108" t="s">
        <v>2879</v>
      </c>
      <c r="O301" s="108" t="s">
        <v>2878</v>
      </c>
      <c r="P301" s="111" t="s">
        <v>2880</v>
      </c>
    </row>
    <row r="302" spans="2:16" ht="45" hidden="1" x14ac:dyDescent="0.25">
      <c r="B302" s="114" t="str">
        <f t="shared" si="14"/>
        <v>1</v>
      </c>
      <c r="C302" s="114" t="str">
        <f t="shared" si="15"/>
        <v>2</v>
      </c>
      <c r="D302" s="114" t="str">
        <f t="shared" si="16"/>
        <v>2</v>
      </c>
      <c r="E302" s="114" t="str">
        <f t="shared" si="17"/>
        <v>0</v>
      </c>
      <c r="F302" s="114" t="str">
        <f t="shared" si="18"/>
        <v>08</v>
      </c>
      <c r="G302" s="114" t="str">
        <f t="shared" si="19"/>
        <v>1</v>
      </c>
      <c r="H302" s="114" t="str">
        <f t="shared" si="20"/>
        <v>0</v>
      </c>
      <c r="I302" s="115">
        <v>12200810</v>
      </c>
      <c r="J302" s="114" t="s">
        <v>3400</v>
      </c>
      <c r="K302" s="114" t="s">
        <v>3401</v>
      </c>
      <c r="L302" s="116"/>
      <c r="M302" s="114" t="s">
        <v>2878</v>
      </c>
      <c r="N302" s="114" t="s">
        <v>2879</v>
      </c>
      <c r="O302" s="114" t="s">
        <v>2878</v>
      </c>
      <c r="P302" s="117" t="s">
        <v>2880</v>
      </c>
    </row>
    <row r="303" spans="2:16" ht="45" hidden="1" x14ac:dyDescent="0.25">
      <c r="B303" s="114" t="str">
        <f t="shared" si="14"/>
        <v>1</v>
      </c>
      <c r="C303" s="114" t="str">
        <f t="shared" si="15"/>
        <v>2</v>
      </c>
      <c r="D303" s="114" t="str">
        <f t="shared" si="16"/>
        <v>2</v>
      </c>
      <c r="E303" s="114" t="str">
        <f t="shared" si="17"/>
        <v>0</v>
      </c>
      <c r="F303" s="114" t="str">
        <f t="shared" si="18"/>
        <v>08</v>
      </c>
      <c r="G303" s="114" t="str">
        <f t="shared" si="19"/>
        <v>2</v>
      </c>
      <c r="H303" s="114" t="str">
        <f t="shared" si="20"/>
        <v>0</v>
      </c>
      <c r="I303" s="115">
        <v>12200820</v>
      </c>
      <c r="J303" s="114" t="s">
        <v>3409</v>
      </c>
      <c r="K303" s="114" t="s">
        <v>3410</v>
      </c>
      <c r="L303" s="116"/>
      <c r="M303" s="114" t="s">
        <v>2878</v>
      </c>
      <c r="N303" s="114" t="s">
        <v>2879</v>
      </c>
      <c r="O303" s="114" t="s">
        <v>2878</v>
      </c>
      <c r="P303" s="117" t="s">
        <v>2880</v>
      </c>
    </row>
    <row r="304" spans="2:16" ht="75" hidden="1" x14ac:dyDescent="0.25">
      <c r="B304" s="108" t="str">
        <f t="shared" si="14"/>
        <v>1</v>
      </c>
      <c r="C304" s="108" t="str">
        <f t="shared" si="15"/>
        <v>2</v>
      </c>
      <c r="D304" s="108" t="str">
        <f t="shared" si="16"/>
        <v>2</v>
      </c>
      <c r="E304" s="108" t="str">
        <f t="shared" si="17"/>
        <v>0</v>
      </c>
      <c r="F304" s="108" t="str">
        <f t="shared" si="18"/>
        <v>09</v>
      </c>
      <c r="G304" s="108" t="str">
        <f t="shared" si="19"/>
        <v>0</v>
      </c>
      <c r="H304" s="108" t="str">
        <f t="shared" si="20"/>
        <v>0</v>
      </c>
      <c r="I304" s="109">
        <v>12200900</v>
      </c>
      <c r="J304" s="108" t="s">
        <v>519</v>
      </c>
      <c r="K304" s="108" t="s">
        <v>3417</v>
      </c>
      <c r="L304" s="110"/>
      <c r="M304" s="108" t="s">
        <v>2878</v>
      </c>
      <c r="N304" s="108" t="s">
        <v>2879</v>
      </c>
      <c r="O304" s="108" t="s">
        <v>2878</v>
      </c>
      <c r="P304" s="111" t="s">
        <v>2880</v>
      </c>
    </row>
    <row r="305" spans="2:16" ht="135" hidden="1" x14ac:dyDescent="0.25">
      <c r="B305" s="114" t="str">
        <f t="shared" si="14"/>
        <v>1</v>
      </c>
      <c r="C305" s="114" t="str">
        <f t="shared" si="15"/>
        <v>2</v>
      </c>
      <c r="D305" s="114" t="str">
        <f t="shared" si="16"/>
        <v>2</v>
      </c>
      <c r="E305" s="114" t="str">
        <f t="shared" si="17"/>
        <v>0</v>
      </c>
      <c r="F305" s="114" t="str">
        <f t="shared" si="18"/>
        <v>09</v>
      </c>
      <c r="G305" s="114" t="str">
        <f t="shared" si="19"/>
        <v>1</v>
      </c>
      <c r="H305" s="114" t="str">
        <f t="shared" si="20"/>
        <v>0</v>
      </c>
      <c r="I305" s="115">
        <v>12200910</v>
      </c>
      <c r="J305" s="114" t="s">
        <v>3418</v>
      </c>
      <c r="K305" s="114" t="s">
        <v>3419</v>
      </c>
      <c r="L305" s="116"/>
      <c r="M305" s="114" t="s">
        <v>2878</v>
      </c>
      <c r="N305" s="114" t="s">
        <v>2879</v>
      </c>
      <c r="O305" s="114" t="s">
        <v>2878</v>
      </c>
      <c r="P305" s="117" t="s">
        <v>2880</v>
      </c>
    </row>
    <row r="306" spans="2:16" ht="135" hidden="1" x14ac:dyDescent="0.25">
      <c r="B306" s="114" t="str">
        <f t="shared" si="14"/>
        <v>1</v>
      </c>
      <c r="C306" s="114" t="str">
        <f t="shared" si="15"/>
        <v>2</v>
      </c>
      <c r="D306" s="114" t="str">
        <f t="shared" si="16"/>
        <v>2</v>
      </c>
      <c r="E306" s="114" t="str">
        <f t="shared" si="17"/>
        <v>0</v>
      </c>
      <c r="F306" s="114" t="str">
        <f t="shared" si="18"/>
        <v>09</v>
      </c>
      <c r="G306" s="114" t="str">
        <f t="shared" si="19"/>
        <v>2</v>
      </c>
      <c r="H306" s="114" t="str">
        <f t="shared" si="20"/>
        <v>0</v>
      </c>
      <c r="I306" s="115">
        <v>12200920</v>
      </c>
      <c r="J306" s="114" t="s">
        <v>523</v>
      </c>
      <c r="K306" s="114" t="s">
        <v>3427</v>
      </c>
      <c r="L306" s="116"/>
      <c r="M306" s="114" t="s">
        <v>2878</v>
      </c>
      <c r="N306" s="114" t="s">
        <v>2879</v>
      </c>
      <c r="O306" s="114" t="s">
        <v>2878</v>
      </c>
      <c r="P306" s="117" t="s">
        <v>2880</v>
      </c>
    </row>
    <row r="307" spans="2:16" ht="30" hidden="1" x14ac:dyDescent="0.25">
      <c r="B307" s="108" t="str">
        <f t="shared" si="14"/>
        <v>1</v>
      </c>
      <c r="C307" s="108" t="str">
        <f t="shared" si="15"/>
        <v>2</v>
      </c>
      <c r="D307" s="108" t="str">
        <f t="shared" si="16"/>
        <v>2</v>
      </c>
      <c r="E307" s="108" t="str">
        <f t="shared" si="17"/>
        <v>0</v>
      </c>
      <c r="F307" s="108" t="str">
        <f t="shared" si="18"/>
        <v>10</v>
      </c>
      <c r="G307" s="108" t="str">
        <f t="shared" si="19"/>
        <v>0</v>
      </c>
      <c r="H307" s="108" t="str">
        <f t="shared" si="20"/>
        <v>0</v>
      </c>
      <c r="I307" s="109">
        <v>12201000</v>
      </c>
      <c r="J307" s="108" t="s">
        <v>533</v>
      </c>
      <c r="K307" s="108" t="s">
        <v>3435</v>
      </c>
      <c r="L307" s="110"/>
      <c r="M307" s="108" t="s">
        <v>2878</v>
      </c>
      <c r="N307" s="108" t="s">
        <v>2879</v>
      </c>
      <c r="O307" s="108" t="s">
        <v>2878</v>
      </c>
      <c r="P307" s="111" t="s">
        <v>2880</v>
      </c>
    </row>
    <row r="308" spans="2:16" ht="30" hidden="1" x14ac:dyDescent="0.25">
      <c r="B308" s="114" t="str">
        <f t="shared" si="14"/>
        <v>1</v>
      </c>
      <c r="C308" s="114" t="str">
        <f t="shared" si="15"/>
        <v>2</v>
      </c>
      <c r="D308" s="114" t="str">
        <f t="shared" si="16"/>
        <v>2</v>
      </c>
      <c r="E308" s="114" t="str">
        <f t="shared" si="17"/>
        <v>0</v>
      </c>
      <c r="F308" s="114" t="str">
        <f t="shared" si="18"/>
        <v>10</v>
      </c>
      <c r="G308" s="114" t="str">
        <f t="shared" si="19"/>
        <v>1</v>
      </c>
      <c r="H308" s="114" t="str">
        <f t="shared" si="20"/>
        <v>0</v>
      </c>
      <c r="I308" s="115">
        <v>12201010</v>
      </c>
      <c r="J308" s="114" t="s">
        <v>533</v>
      </c>
      <c r="K308" s="114" t="s">
        <v>3435</v>
      </c>
      <c r="L308" s="116"/>
      <c r="M308" s="114" t="s">
        <v>2878</v>
      </c>
      <c r="N308" s="114" t="s">
        <v>2879</v>
      </c>
      <c r="O308" s="114" t="s">
        <v>2878</v>
      </c>
      <c r="P308" s="117" t="s">
        <v>2880</v>
      </c>
    </row>
    <row r="309" spans="2:16" ht="15.75" hidden="1" x14ac:dyDescent="0.25">
      <c r="B309" s="108" t="str">
        <f t="shared" si="14"/>
        <v>1</v>
      </c>
      <c r="C309" s="108" t="str">
        <f t="shared" si="15"/>
        <v>2</v>
      </c>
      <c r="D309" s="108" t="str">
        <f t="shared" si="16"/>
        <v>2</v>
      </c>
      <c r="E309" s="108" t="str">
        <f t="shared" si="17"/>
        <v>0</v>
      </c>
      <c r="F309" s="108" t="str">
        <f t="shared" si="18"/>
        <v>11</v>
      </c>
      <c r="G309" s="108" t="str">
        <f t="shared" si="19"/>
        <v>0</v>
      </c>
      <c r="H309" s="108" t="str">
        <f t="shared" si="20"/>
        <v>0</v>
      </c>
      <c r="I309" s="109">
        <v>12201100</v>
      </c>
      <c r="J309" s="108" t="s">
        <v>535</v>
      </c>
      <c r="K309" s="108"/>
      <c r="L309" s="110"/>
      <c r="M309" s="108"/>
      <c r="N309" s="108"/>
      <c r="O309" s="108" t="s">
        <v>5092</v>
      </c>
      <c r="P309" s="111" t="s">
        <v>2880</v>
      </c>
    </row>
    <row r="310" spans="2:16" ht="30" hidden="1" x14ac:dyDescent="0.25">
      <c r="B310" s="114" t="str">
        <f t="shared" si="14"/>
        <v>1</v>
      </c>
      <c r="C310" s="114" t="str">
        <f t="shared" si="15"/>
        <v>2</v>
      </c>
      <c r="D310" s="114" t="str">
        <f t="shared" si="16"/>
        <v>2</v>
      </c>
      <c r="E310" s="114" t="str">
        <f t="shared" si="17"/>
        <v>0</v>
      </c>
      <c r="F310" s="114" t="str">
        <f t="shared" si="18"/>
        <v>11</v>
      </c>
      <c r="G310" s="114" t="str">
        <f t="shared" si="19"/>
        <v>1</v>
      </c>
      <c r="H310" s="114" t="str">
        <f t="shared" si="20"/>
        <v>0</v>
      </c>
      <c r="I310" s="115">
        <v>12201110</v>
      </c>
      <c r="J310" s="114" t="s">
        <v>5093</v>
      </c>
      <c r="K310" s="114"/>
      <c r="L310" s="116"/>
      <c r="M310" s="114"/>
      <c r="N310" s="114"/>
      <c r="O310" s="114" t="s">
        <v>5092</v>
      </c>
      <c r="P310" s="117" t="s">
        <v>2890</v>
      </c>
    </row>
    <row r="311" spans="2:16" ht="30" hidden="1" x14ac:dyDescent="0.25">
      <c r="B311" s="114" t="str">
        <f t="shared" si="14"/>
        <v>1</v>
      </c>
      <c r="C311" s="114" t="str">
        <f t="shared" si="15"/>
        <v>2</v>
      </c>
      <c r="D311" s="114" t="str">
        <f t="shared" si="16"/>
        <v>2</v>
      </c>
      <c r="E311" s="114" t="str">
        <f t="shared" si="17"/>
        <v>0</v>
      </c>
      <c r="F311" s="114" t="str">
        <f t="shared" si="18"/>
        <v>11</v>
      </c>
      <c r="G311" s="114" t="str">
        <f t="shared" si="19"/>
        <v>2</v>
      </c>
      <c r="H311" s="114" t="str">
        <f t="shared" si="20"/>
        <v>0</v>
      </c>
      <c r="I311" s="115">
        <v>12201120</v>
      </c>
      <c r="J311" s="114" t="s">
        <v>5094</v>
      </c>
      <c r="K311" s="114"/>
      <c r="L311" s="116"/>
      <c r="M311" s="114"/>
      <c r="N311" s="114"/>
      <c r="O311" s="114" t="s">
        <v>5092</v>
      </c>
      <c r="P311" s="117" t="s">
        <v>2890</v>
      </c>
    </row>
    <row r="312" spans="2:16" ht="30" hidden="1" x14ac:dyDescent="0.25">
      <c r="B312" s="108" t="str">
        <f t="shared" si="14"/>
        <v>1</v>
      </c>
      <c r="C312" s="108" t="str">
        <f t="shared" si="15"/>
        <v>2</v>
      </c>
      <c r="D312" s="108" t="str">
        <f t="shared" si="16"/>
        <v>2</v>
      </c>
      <c r="E312" s="108" t="str">
        <f t="shared" si="17"/>
        <v>0</v>
      </c>
      <c r="F312" s="108" t="str">
        <f t="shared" si="18"/>
        <v>99</v>
      </c>
      <c r="G312" s="108" t="str">
        <f t="shared" si="19"/>
        <v>0</v>
      </c>
      <c r="H312" s="108" t="str">
        <f t="shared" si="20"/>
        <v>0</v>
      </c>
      <c r="I312" s="109">
        <v>12209900</v>
      </c>
      <c r="J312" s="108" t="s">
        <v>557</v>
      </c>
      <c r="K312" s="108" t="s">
        <v>3443</v>
      </c>
      <c r="L312" s="110"/>
      <c r="M312" s="108" t="s">
        <v>2878</v>
      </c>
      <c r="N312" s="108" t="s">
        <v>2879</v>
      </c>
      <c r="O312" s="108" t="s">
        <v>2878</v>
      </c>
      <c r="P312" s="111" t="s">
        <v>2880</v>
      </c>
    </row>
    <row r="313" spans="2:16" ht="30" hidden="1" x14ac:dyDescent="0.25">
      <c r="B313" s="114" t="str">
        <f t="shared" si="14"/>
        <v>1</v>
      </c>
      <c r="C313" s="114" t="str">
        <f t="shared" si="15"/>
        <v>2</v>
      </c>
      <c r="D313" s="114" t="str">
        <f t="shared" si="16"/>
        <v>2</v>
      </c>
      <c r="E313" s="114" t="str">
        <f t="shared" si="17"/>
        <v>0</v>
      </c>
      <c r="F313" s="114" t="str">
        <f t="shared" si="18"/>
        <v>99</v>
      </c>
      <c r="G313" s="114" t="str">
        <f t="shared" si="19"/>
        <v>1</v>
      </c>
      <c r="H313" s="114" t="str">
        <f t="shared" si="20"/>
        <v>0</v>
      </c>
      <c r="I313" s="115">
        <v>12209910</v>
      </c>
      <c r="J313" s="114" t="s">
        <v>557</v>
      </c>
      <c r="K313" s="114" t="s">
        <v>3443</v>
      </c>
      <c r="L313" s="116"/>
      <c r="M313" s="114" t="s">
        <v>2878</v>
      </c>
      <c r="N313" s="114" t="s">
        <v>2879</v>
      </c>
      <c r="O313" s="114" t="s">
        <v>2878</v>
      </c>
      <c r="P313" s="117" t="s">
        <v>2880</v>
      </c>
    </row>
    <row r="314" spans="2:16" s="153" customFormat="1" ht="30" x14ac:dyDescent="0.25">
      <c r="B314" s="155" t="str">
        <f t="shared" si="14"/>
        <v>1</v>
      </c>
      <c r="C314" s="155" t="str">
        <f t="shared" si="15"/>
        <v>2</v>
      </c>
      <c r="D314" s="155" t="str">
        <f t="shared" si="16"/>
        <v>2</v>
      </c>
      <c r="E314" s="155" t="str">
        <f t="shared" si="17"/>
        <v>8</v>
      </c>
      <c r="F314" s="155" t="str">
        <f t="shared" si="18"/>
        <v>00</v>
      </c>
      <c r="G314" s="155" t="str">
        <f t="shared" si="19"/>
        <v>0</v>
      </c>
      <c r="H314" s="155" t="str">
        <f t="shared" si="20"/>
        <v>0</v>
      </c>
      <c r="I314" s="161">
        <v>12280000</v>
      </c>
      <c r="J314" s="155" t="s">
        <v>5095</v>
      </c>
      <c r="K314" s="155" t="s">
        <v>5096</v>
      </c>
      <c r="L314" s="106"/>
      <c r="M314" s="155"/>
      <c r="N314" s="155"/>
      <c r="O314" s="155" t="s">
        <v>5018</v>
      </c>
      <c r="P314" s="162" t="s">
        <v>2880</v>
      </c>
    </row>
    <row r="315" spans="2:16" s="153" customFormat="1" ht="30" x14ac:dyDescent="0.25">
      <c r="B315" s="113" t="str">
        <f t="shared" si="14"/>
        <v>1</v>
      </c>
      <c r="C315" s="113" t="str">
        <f t="shared" si="15"/>
        <v>2</v>
      </c>
      <c r="D315" s="113" t="str">
        <f t="shared" si="16"/>
        <v>2</v>
      </c>
      <c r="E315" s="113" t="str">
        <f t="shared" si="17"/>
        <v>8</v>
      </c>
      <c r="F315" s="113" t="str">
        <f t="shared" si="18"/>
        <v>01</v>
      </c>
      <c r="G315" s="113" t="str">
        <f t="shared" si="19"/>
        <v>0</v>
      </c>
      <c r="H315" s="113" t="str">
        <f t="shared" si="20"/>
        <v>0</v>
      </c>
      <c r="I315" s="112">
        <v>12280100</v>
      </c>
      <c r="J315" s="113" t="s">
        <v>5097</v>
      </c>
      <c r="K315" s="113" t="s">
        <v>5098</v>
      </c>
      <c r="L315" s="110"/>
      <c r="M315" s="113" t="s">
        <v>2878</v>
      </c>
      <c r="N315" s="113"/>
      <c r="O315" s="113" t="s">
        <v>2878</v>
      </c>
      <c r="P315" s="163" t="s">
        <v>2880</v>
      </c>
    </row>
    <row r="316" spans="2:16" s="153" customFormat="1" ht="30" x14ac:dyDescent="0.25">
      <c r="B316" s="130" t="str">
        <f t="shared" si="14"/>
        <v>1</v>
      </c>
      <c r="C316" s="130" t="str">
        <f t="shared" si="15"/>
        <v>2</v>
      </c>
      <c r="D316" s="130" t="str">
        <f t="shared" si="16"/>
        <v>2</v>
      </c>
      <c r="E316" s="130" t="str">
        <f t="shared" si="17"/>
        <v>8</v>
      </c>
      <c r="F316" s="130" t="str">
        <f t="shared" si="18"/>
        <v>01</v>
      </c>
      <c r="G316" s="130" t="str">
        <f t="shared" si="19"/>
        <v>1</v>
      </c>
      <c r="H316" s="130" t="str">
        <f t="shared" si="20"/>
        <v>0</v>
      </c>
      <c r="I316" s="129">
        <v>12280110</v>
      </c>
      <c r="J316" s="130" t="s">
        <v>5099</v>
      </c>
      <c r="K316" s="130" t="s">
        <v>5100</v>
      </c>
      <c r="L316" s="116"/>
      <c r="M316" s="130" t="s">
        <v>2878</v>
      </c>
      <c r="N316" s="130"/>
      <c r="O316" s="130" t="s">
        <v>5101</v>
      </c>
      <c r="P316" s="152" t="s">
        <v>2880</v>
      </c>
    </row>
    <row r="317" spans="2:16" ht="45" hidden="1" x14ac:dyDescent="0.25">
      <c r="B317" s="126" t="str">
        <f t="shared" si="14"/>
        <v>1</v>
      </c>
      <c r="C317" s="126" t="str">
        <f t="shared" si="15"/>
        <v>2</v>
      </c>
      <c r="D317" s="126" t="str">
        <f t="shared" si="16"/>
        <v>3</v>
      </c>
      <c r="E317" s="126" t="str">
        <f t="shared" si="17"/>
        <v>0</v>
      </c>
      <c r="F317" s="126" t="str">
        <f t="shared" si="18"/>
        <v>00</v>
      </c>
      <c r="G317" s="126" t="str">
        <f t="shared" si="19"/>
        <v>0</v>
      </c>
      <c r="H317" s="126" t="str">
        <f t="shared" si="20"/>
        <v>0</v>
      </c>
      <c r="I317" s="127">
        <v>12300000</v>
      </c>
      <c r="J317" s="126" t="s">
        <v>3449</v>
      </c>
      <c r="K317" s="126" t="s">
        <v>3450</v>
      </c>
      <c r="L317" s="122"/>
      <c r="M317" s="126" t="s">
        <v>2878</v>
      </c>
      <c r="N317" s="126" t="s">
        <v>5016</v>
      </c>
      <c r="O317" s="126" t="s">
        <v>2878</v>
      </c>
      <c r="P317" s="128" t="s">
        <v>2880</v>
      </c>
    </row>
    <row r="318" spans="2:16" ht="45" hidden="1" x14ac:dyDescent="0.25">
      <c r="B318" s="108" t="str">
        <f t="shared" si="14"/>
        <v>1</v>
      </c>
      <c r="C318" s="108" t="str">
        <f t="shared" si="15"/>
        <v>2</v>
      </c>
      <c r="D318" s="108" t="str">
        <f t="shared" si="16"/>
        <v>3</v>
      </c>
      <c r="E318" s="108" t="str">
        <f t="shared" si="17"/>
        <v>0</v>
      </c>
      <c r="F318" s="108" t="str">
        <f t="shared" si="18"/>
        <v>01</v>
      </c>
      <c r="G318" s="108" t="str">
        <f t="shared" si="19"/>
        <v>0</v>
      </c>
      <c r="H318" s="108" t="str">
        <f t="shared" si="20"/>
        <v>0</v>
      </c>
      <c r="I318" s="109">
        <v>12300100</v>
      </c>
      <c r="J318" s="108" t="s">
        <v>3449</v>
      </c>
      <c r="K318" s="108" t="s">
        <v>3450</v>
      </c>
      <c r="L318" s="110"/>
      <c r="M318" s="108" t="s">
        <v>2878</v>
      </c>
      <c r="N318" s="108" t="s">
        <v>2879</v>
      </c>
      <c r="O318" s="108" t="s">
        <v>2878</v>
      </c>
      <c r="P318" s="111" t="s">
        <v>2880</v>
      </c>
    </row>
    <row r="319" spans="2:16" ht="45" hidden="1" x14ac:dyDescent="0.25">
      <c r="B319" s="114" t="str">
        <f t="shared" si="14"/>
        <v>1</v>
      </c>
      <c r="C319" s="114" t="str">
        <f t="shared" si="15"/>
        <v>2</v>
      </c>
      <c r="D319" s="114" t="str">
        <f t="shared" si="16"/>
        <v>3</v>
      </c>
      <c r="E319" s="114" t="str">
        <f t="shared" si="17"/>
        <v>0</v>
      </c>
      <c r="F319" s="114" t="str">
        <f t="shared" si="18"/>
        <v>01</v>
      </c>
      <c r="G319" s="114" t="str">
        <f t="shared" si="19"/>
        <v>1</v>
      </c>
      <c r="H319" s="114" t="str">
        <f t="shared" si="20"/>
        <v>0</v>
      </c>
      <c r="I319" s="115">
        <v>12300110</v>
      </c>
      <c r="J319" s="114" t="s">
        <v>3449</v>
      </c>
      <c r="K319" s="114" t="s">
        <v>3450</v>
      </c>
      <c r="L319" s="116"/>
      <c r="M319" s="114" t="s">
        <v>2878</v>
      </c>
      <c r="N319" s="114" t="s">
        <v>2879</v>
      </c>
      <c r="O319" s="114" t="s">
        <v>2878</v>
      </c>
      <c r="P319" s="117" t="s">
        <v>2880</v>
      </c>
    </row>
    <row r="320" spans="2:16" ht="31.5" hidden="1" x14ac:dyDescent="0.25">
      <c r="B320" s="126" t="str">
        <f t="shared" si="14"/>
        <v>1</v>
      </c>
      <c r="C320" s="126" t="str">
        <f t="shared" si="15"/>
        <v>2</v>
      </c>
      <c r="D320" s="126" t="str">
        <f t="shared" si="16"/>
        <v>4</v>
      </c>
      <c r="E320" s="126" t="str">
        <f t="shared" si="17"/>
        <v>0</v>
      </c>
      <c r="F320" s="126" t="str">
        <f t="shared" si="18"/>
        <v>00</v>
      </c>
      <c r="G320" s="126" t="str">
        <f t="shared" si="19"/>
        <v>0</v>
      </c>
      <c r="H320" s="126" t="str">
        <f t="shared" si="20"/>
        <v>0</v>
      </c>
      <c r="I320" s="127">
        <v>12400000</v>
      </c>
      <c r="J320" s="126" t="s">
        <v>563</v>
      </c>
      <c r="K320" s="126" t="s">
        <v>564</v>
      </c>
      <c r="L320" s="122" t="s">
        <v>5017</v>
      </c>
      <c r="M320" s="126"/>
      <c r="N320" s="126"/>
      <c r="O320" s="126"/>
      <c r="P320" s="128" t="s">
        <v>2880</v>
      </c>
    </row>
    <row r="321" spans="2:16" ht="30" hidden="1" x14ac:dyDescent="0.25">
      <c r="B321" s="114" t="str">
        <f t="shared" si="14"/>
        <v>1</v>
      </c>
      <c r="C321" s="114" t="str">
        <f t="shared" si="15"/>
        <v>2</v>
      </c>
      <c r="D321" s="114" t="str">
        <f t="shared" si="16"/>
        <v>4</v>
      </c>
      <c r="E321" s="114" t="str">
        <f t="shared" si="17"/>
        <v>0</v>
      </c>
      <c r="F321" s="114" t="str">
        <f t="shared" si="18"/>
        <v>00</v>
      </c>
      <c r="G321" s="114" t="str">
        <f t="shared" si="19"/>
        <v>1</v>
      </c>
      <c r="H321" s="114" t="str">
        <f t="shared" si="20"/>
        <v>0</v>
      </c>
      <c r="I321" s="115">
        <v>12400010</v>
      </c>
      <c r="J321" s="114" t="s">
        <v>563</v>
      </c>
      <c r="K321" s="114" t="s">
        <v>564</v>
      </c>
      <c r="L321" s="116"/>
      <c r="M321" s="114"/>
      <c r="N321" s="114"/>
      <c r="O321" s="114"/>
      <c r="P321" s="117" t="s">
        <v>2880</v>
      </c>
    </row>
    <row r="322" spans="2:16" ht="30" hidden="1" x14ac:dyDescent="0.25">
      <c r="B322" s="123" t="str">
        <f t="shared" si="14"/>
        <v>1</v>
      </c>
      <c r="C322" s="123" t="str">
        <f t="shared" si="15"/>
        <v>3</v>
      </c>
      <c r="D322" s="123" t="str">
        <f t="shared" si="16"/>
        <v>0</v>
      </c>
      <c r="E322" s="123" t="str">
        <f t="shared" si="17"/>
        <v>0</v>
      </c>
      <c r="F322" s="123" t="str">
        <f t="shared" si="18"/>
        <v>00</v>
      </c>
      <c r="G322" s="123" t="str">
        <f t="shared" si="19"/>
        <v>0</v>
      </c>
      <c r="H322" s="123" t="str">
        <f t="shared" si="20"/>
        <v>0</v>
      </c>
      <c r="I322" s="124">
        <v>13000000</v>
      </c>
      <c r="J322" s="123" t="s">
        <v>565</v>
      </c>
      <c r="K322" s="123" t="s">
        <v>3455</v>
      </c>
      <c r="L322" s="103"/>
      <c r="M322" s="123" t="s">
        <v>2878</v>
      </c>
      <c r="N322" s="123" t="s">
        <v>5016</v>
      </c>
      <c r="O322" s="123" t="s">
        <v>2878</v>
      </c>
      <c r="P322" s="125" t="s">
        <v>2880</v>
      </c>
    </row>
    <row r="323" spans="2:16" ht="30" hidden="1" x14ac:dyDescent="0.25">
      <c r="B323" s="126" t="str">
        <f t="shared" si="14"/>
        <v>1</v>
      </c>
      <c r="C323" s="126" t="str">
        <f t="shared" si="15"/>
        <v>3</v>
      </c>
      <c r="D323" s="126" t="str">
        <f t="shared" si="16"/>
        <v>1</v>
      </c>
      <c r="E323" s="126" t="str">
        <f t="shared" si="17"/>
        <v>0</v>
      </c>
      <c r="F323" s="126" t="str">
        <f t="shared" si="18"/>
        <v>00</v>
      </c>
      <c r="G323" s="126" t="str">
        <f t="shared" si="19"/>
        <v>0</v>
      </c>
      <c r="H323" s="126" t="str">
        <f t="shared" si="20"/>
        <v>0</v>
      </c>
      <c r="I323" s="127">
        <v>13100000</v>
      </c>
      <c r="J323" s="126" t="s">
        <v>3456</v>
      </c>
      <c r="K323" s="126" t="s">
        <v>3457</v>
      </c>
      <c r="L323" s="122"/>
      <c r="M323" s="126" t="s">
        <v>2878</v>
      </c>
      <c r="N323" s="126" t="s">
        <v>5016</v>
      </c>
      <c r="O323" s="126" t="s">
        <v>2878</v>
      </c>
      <c r="P323" s="128" t="s">
        <v>2880</v>
      </c>
    </row>
    <row r="324" spans="2:16" ht="60" hidden="1" x14ac:dyDescent="0.25">
      <c r="B324" s="108" t="str">
        <f t="shared" si="14"/>
        <v>1</v>
      </c>
      <c r="C324" s="108" t="str">
        <f t="shared" si="15"/>
        <v>3</v>
      </c>
      <c r="D324" s="108" t="str">
        <f t="shared" si="16"/>
        <v>1</v>
      </c>
      <c r="E324" s="108" t="str">
        <f t="shared" si="17"/>
        <v>0</v>
      </c>
      <c r="F324" s="108" t="str">
        <f t="shared" si="18"/>
        <v>01</v>
      </c>
      <c r="G324" s="108" t="str">
        <f t="shared" si="19"/>
        <v>0</v>
      </c>
      <c r="H324" s="108" t="str">
        <f t="shared" si="20"/>
        <v>0</v>
      </c>
      <c r="I324" s="109">
        <v>13100100</v>
      </c>
      <c r="J324" s="108" t="s">
        <v>3458</v>
      </c>
      <c r="K324" s="108" t="s">
        <v>3459</v>
      </c>
      <c r="L324" s="110"/>
      <c r="M324" s="108" t="s">
        <v>2878</v>
      </c>
      <c r="N324" s="108" t="s">
        <v>2879</v>
      </c>
      <c r="O324" s="108" t="s">
        <v>2878</v>
      </c>
      <c r="P324" s="111" t="s">
        <v>2880</v>
      </c>
    </row>
    <row r="325" spans="2:16" ht="45" hidden="1" x14ac:dyDescent="0.25">
      <c r="B325" s="114" t="str">
        <f t="shared" si="14"/>
        <v>1</v>
      </c>
      <c r="C325" s="114" t="str">
        <f t="shared" si="15"/>
        <v>3</v>
      </c>
      <c r="D325" s="114" t="str">
        <f t="shared" si="16"/>
        <v>1</v>
      </c>
      <c r="E325" s="114" t="str">
        <f t="shared" si="17"/>
        <v>0</v>
      </c>
      <c r="F325" s="114" t="str">
        <f t="shared" si="18"/>
        <v>01</v>
      </c>
      <c r="G325" s="114" t="str">
        <f t="shared" si="19"/>
        <v>1</v>
      </c>
      <c r="H325" s="114" t="str">
        <f t="shared" si="20"/>
        <v>0</v>
      </c>
      <c r="I325" s="115">
        <v>13100110</v>
      </c>
      <c r="J325" s="114" t="s">
        <v>3460</v>
      </c>
      <c r="K325" s="114" t="s">
        <v>3461</v>
      </c>
      <c r="L325" s="116"/>
      <c r="M325" s="114" t="s">
        <v>2878</v>
      </c>
      <c r="N325" s="114" t="s">
        <v>3462</v>
      </c>
      <c r="O325" s="114" t="s">
        <v>2878</v>
      </c>
      <c r="P325" s="117" t="s">
        <v>2880</v>
      </c>
    </row>
    <row r="326" spans="2:16" ht="45" hidden="1" x14ac:dyDescent="0.25">
      <c r="B326" s="114" t="str">
        <f t="shared" si="14"/>
        <v>1</v>
      </c>
      <c r="C326" s="114" t="str">
        <f t="shared" si="15"/>
        <v>3</v>
      </c>
      <c r="D326" s="114" t="str">
        <f t="shared" si="16"/>
        <v>1</v>
      </c>
      <c r="E326" s="114" t="str">
        <f t="shared" si="17"/>
        <v>0</v>
      </c>
      <c r="F326" s="114" t="str">
        <f t="shared" si="18"/>
        <v>01</v>
      </c>
      <c r="G326" s="114" t="str">
        <f t="shared" si="19"/>
        <v>2</v>
      </c>
      <c r="H326" s="114" t="str">
        <f t="shared" si="20"/>
        <v>0</v>
      </c>
      <c r="I326" s="115">
        <v>13100120</v>
      </c>
      <c r="J326" s="114" t="s">
        <v>3470</v>
      </c>
      <c r="K326" s="114" t="s">
        <v>3471</v>
      </c>
      <c r="L326" s="116"/>
      <c r="M326" s="114" t="s">
        <v>2878</v>
      </c>
      <c r="N326" s="114" t="s">
        <v>3462</v>
      </c>
      <c r="O326" s="114" t="s">
        <v>2878</v>
      </c>
      <c r="P326" s="117" t="s">
        <v>2880</v>
      </c>
    </row>
    <row r="327" spans="2:16" ht="60" hidden="1" x14ac:dyDescent="0.25">
      <c r="B327" s="108" t="str">
        <f t="shared" si="14"/>
        <v>1</v>
      </c>
      <c r="C327" s="108" t="str">
        <f t="shared" si="15"/>
        <v>3</v>
      </c>
      <c r="D327" s="108" t="str">
        <f t="shared" si="16"/>
        <v>1</v>
      </c>
      <c r="E327" s="108" t="str">
        <f t="shared" si="17"/>
        <v>0</v>
      </c>
      <c r="F327" s="108" t="str">
        <f t="shared" si="18"/>
        <v>02</v>
      </c>
      <c r="G327" s="108" t="str">
        <f t="shared" si="19"/>
        <v>0</v>
      </c>
      <c r="H327" s="108" t="str">
        <f t="shared" si="20"/>
        <v>0</v>
      </c>
      <c r="I327" s="109">
        <v>13100200</v>
      </c>
      <c r="J327" s="108" t="s">
        <v>3479</v>
      </c>
      <c r="K327" s="108" t="s">
        <v>3480</v>
      </c>
      <c r="L327" s="110"/>
      <c r="M327" s="108" t="s">
        <v>2878</v>
      </c>
      <c r="N327" s="108" t="s">
        <v>2879</v>
      </c>
      <c r="O327" s="108" t="s">
        <v>2878</v>
      </c>
      <c r="P327" s="111" t="s">
        <v>2880</v>
      </c>
    </row>
    <row r="328" spans="2:16" ht="60" hidden="1" x14ac:dyDescent="0.25">
      <c r="B328" s="114" t="str">
        <f t="shared" si="14"/>
        <v>1</v>
      </c>
      <c r="C328" s="114" t="str">
        <f t="shared" si="15"/>
        <v>3</v>
      </c>
      <c r="D328" s="114" t="str">
        <f t="shared" si="16"/>
        <v>1</v>
      </c>
      <c r="E328" s="114" t="str">
        <f t="shared" si="17"/>
        <v>0</v>
      </c>
      <c r="F328" s="114" t="str">
        <f t="shared" si="18"/>
        <v>02</v>
      </c>
      <c r="G328" s="114" t="str">
        <f t="shared" si="19"/>
        <v>1</v>
      </c>
      <c r="H328" s="114" t="str">
        <f t="shared" si="20"/>
        <v>0</v>
      </c>
      <c r="I328" s="115">
        <v>13100210</v>
      </c>
      <c r="J328" s="114" t="s">
        <v>3479</v>
      </c>
      <c r="K328" s="114" t="s">
        <v>3480</v>
      </c>
      <c r="L328" s="116"/>
      <c r="M328" s="114" t="s">
        <v>2878</v>
      </c>
      <c r="N328" s="114" t="s">
        <v>2879</v>
      </c>
      <c r="O328" s="114" t="s">
        <v>2878</v>
      </c>
      <c r="P328" s="117" t="s">
        <v>2880</v>
      </c>
    </row>
    <row r="329" spans="2:16" ht="30" hidden="1" x14ac:dyDescent="0.25">
      <c r="B329" s="108" t="str">
        <f t="shared" si="14"/>
        <v>1</v>
      </c>
      <c r="C329" s="108" t="str">
        <f t="shared" si="15"/>
        <v>3</v>
      </c>
      <c r="D329" s="108" t="str">
        <f t="shared" si="16"/>
        <v>1</v>
      </c>
      <c r="E329" s="108" t="str">
        <f t="shared" si="17"/>
        <v>0</v>
      </c>
      <c r="F329" s="108" t="str">
        <f t="shared" si="18"/>
        <v>99</v>
      </c>
      <c r="G329" s="108" t="str">
        <f t="shared" si="19"/>
        <v>0</v>
      </c>
      <c r="H329" s="108" t="str">
        <f t="shared" si="20"/>
        <v>0</v>
      </c>
      <c r="I329" s="109">
        <v>13109900</v>
      </c>
      <c r="J329" s="108" t="s">
        <v>585</v>
      </c>
      <c r="K329" s="108" t="s">
        <v>3488</v>
      </c>
      <c r="L329" s="110"/>
      <c r="M329" s="108" t="s">
        <v>2878</v>
      </c>
      <c r="N329" s="108" t="s">
        <v>2879</v>
      </c>
      <c r="O329" s="108" t="s">
        <v>2878</v>
      </c>
      <c r="P329" s="111" t="s">
        <v>2880</v>
      </c>
    </row>
    <row r="330" spans="2:16" ht="30" hidden="1" x14ac:dyDescent="0.25">
      <c r="B330" s="114" t="str">
        <f t="shared" si="14"/>
        <v>1</v>
      </c>
      <c r="C330" s="114" t="str">
        <f t="shared" si="15"/>
        <v>3</v>
      </c>
      <c r="D330" s="114" t="str">
        <f t="shared" si="16"/>
        <v>1</v>
      </c>
      <c r="E330" s="114" t="str">
        <f t="shared" si="17"/>
        <v>0</v>
      </c>
      <c r="F330" s="114" t="str">
        <f t="shared" si="18"/>
        <v>99</v>
      </c>
      <c r="G330" s="114" t="str">
        <f t="shared" si="19"/>
        <v>1</v>
      </c>
      <c r="H330" s="114" t="str">
        <f t="shared" si="20"/>
        <v>0</v>
      </c>
      <c r="I330" s="115">
        <v>13109910</v>
      </c>
      <c r="J330" s="114" t="s">
        <v>585</v>
      </c>
      <c r="K330" s="114" t="s">
        <v>3488</v>
      </c>
      <c r="L330" s="116"/>
      <c r="M330" s="114" t="s">
        <v>2878</v>
      </c>
      <c r="N330" s="114" t="s">
        <v>2879</v>
      </c>
      <c r="O330" s="114" t="s">
        <v>2878</v>
      </c>
      <c r="P330" s="117" t="s">
        <v>2880</v>
      </c>
    </row>
    <row r="331" spans="2:16" ht="30" hidden="1" x14ac:dyDescent="0.25">
      <c r="B331" s="126" t="str">
        <f t="shared" si="14"/>
        <v>1</v>
      </c>
      <c r="C331" s="126" t="str">
        <f t="shared" si="15"/>
        <v>3</v>
      </c>
      <c r="D331" s="126" t="str">
        <f t="shared" si="16"/>
        <v>2</v>
      </c>
      <c r="E331" s="126" t="str">
        <f t="shared" si="17"/>
        <v>0</v>
      </c>
      <c r="F331" s="126" t="str">
        <f t="shared" si="18"/>
        <v>00</v>
      </c>
      <c r="G331" s="126" t="str">
        <f t="shared" si="19"/>
        <v>0</v>
      </c>
      <c r="H331" s="126" t="str">
        <f t="shared" si="20"/>
        <v>0</v>
      </c>
      <c r="I331" s="127">
        <v>13200000</v>
      </c>
      <c r="J331" s="126" t="s">
        <v>3495</v>
      </c>
      <c r="K331" s="126" t="s">
        <v>3496</v>
      </c>
      <c r="L331" s="122"/>
      <c r="M331" s="126" t="s">
        <v>2878</v>
      </c>
      <c r="N331" s="126" t="s">
        <v>5016</v>
      </c>
      <c r="O331" s="126" t="s">
        <v>2878</v>
      </c>
      <c r="P331" s="128" t="s">
        <v>2880</v>
      </c>
    </row>
    <row r="332" spans="2:16" ht="30" hidden="1" x14ac:dyDescent="0.25">
      <c r="B332" s="104" t="str">
        <f t="shared" si="14"/>
        <v>1</v>
      </c>
      <c r="C332" s="104" t="str">
        <f t="shared" si="15"/>
        <v>3</v>
      </c>
      <c r="D332" s="104" t="str">
        <f t="shared" si="16"/>
        <v>2</v>
      </c>
      <c r="E332" s="104" t="str">
        <f t="shared" si="17"/>
        <v>1</v>
      </c>
      <c r="F332" s="104" t="str">
        <f t="shared" si="18"/>
        <v>00</v>
      </c>
      <c r="G332" s="104" t="str">
        <f t="shared" si="19"/>
        <v>0</v>
      </c>
      <c r="H332" s="104" t="str">
        <f t="shared" si="20"/>
        <v>0</v>
      </c>
      <c r="I332" s="105">
        <v>13210000</v>
      </c>
      <c r="J332" s="104" t="s">
        <v>3497</v>
      </c>
      <c r="K332" s="104" t="s">
        <v>3498</v>
      </c>
      <c r="L332" s="106"/>
      <c r="M332" s="104" t="s">
        <v>2878</v>
      </c>
      <c r="N332" s="104" t="s">
        <v>2879</v>
      </c>
      <c r="O332" s="104" t="s">
        <v>2878</v>
      </c>
      <c r="P332" s="107" t="s">
        <v>2880</v>
      </c>
    </row>
    <row r="333" spans="2:16" ht="30" hidden="1" x14ac:dyDescent="0.25">
      <c r="B333" s="114" t="str">
        <f t="shared" si="14"/>
        <v>1</v>
      </c>
      <c r="C333" s="114" t="str">
        <f t="shared" si="15"/>
        <v>3</v>
      </c>
      <c r="D333" s="114" t="str">
        <f t="shared" si="16"/>
        <v>2</v>
      </c>
      <c r="E333" s="114" t="str">
        <f t="shared" si="17"/>
        <v>1</v>
      </c>
      <c r="F333" s="114" t="str">
        <f t="shared" si="18"/>
        <v>00</v>
      </c>
      <c r="G333" s="114" t="str">
        <f t="shared" si="19"/>
        <v>1</v>
      </c>
      <c r="H333" s="114" t="str">
        <f t="shared" si="20"/>
        <v>0</v>
      </c>
      <c r="I333" s="115">
        <v>13210010</v>
      </c>
      <c r="J333" s="114" t="s">
        <v>603</v>
      </c>
      <c r="K333" s="114" t="s">
        <v>3499</v>
      </c>
      <c r="L333" s="116"/>
      <c r="M333" s="114" t="s">
        <v>2878</v>
      </c>
      <c r="N333" s="114" t="s">
        <v>2879</v>
      </c>
      <c r="O333" s="114" t="s">
        <v>2878</v>
      </c>
      <c r="P333" s="117" t="s">
        <v>2880</v>
      </c>
    </row>
    <row r="334" spans="2:16" ht="45" hidden="1" x14ac:dyDescent="0.25">
      <c r="B334" s="114" t="str">
        <f t="shared" si="14"/>
        <v>1</v>
      </c>
      <c r="C334" s="114" t="str">
        <f t="shared" si="15"/>
        <v>3</v>
      </c>
      <c r="D334" s="114" t="str">
        <f t="shared" si="16"/>
        <v>2</v>
      </c>
      <c r="E334" s="114" t="str">
        <f t="shared" si="17"/>
        <v>1</v>
      </c>
      <c r="F334" s="114" t="str">
        <f t="shared" si="18"/>
        <v>00</v>
      </c>
      <c r="G334" s="114" t="str">
        <f t="shared" si="19"/>
        <v>2</v>
      </c>
      <c r="H334" s="114" t="str">
        <f t="shared" si="20"/>
        <v>0</v>
      </c>
      <c r="I334" s="115">
        <v>13210020</v>
      </c>
      <c r="J334" s="114" t="s">
        <v>605</v>
      </c>
      <c r="K334" s="114" t="s">
        <v>3503</v>
      </c>
      <c r="L334" s="116"/>
      <c r="M334" s="114" t="s">
        <v>3044</v>
      </c>
      <c r="N334" s="114" t="s">
        <v>2879</v>
      </c>
      <c r="O334" s="114" t="s">
        <v>3502</v>
      </c>
      <c r="P334" s="117" t="s">
        <v>2880</v>
      </c>
    </row>
    <row r="335" spans="2:16" ht="45" hidden="1" x14ac:dyDescent="0.25">
      <c r="B335" s="114" t="str">
        <f t="shared" si="14"/>
        <v>1</v>
      </c>
      <c r="C335" s="114" t="str">
        <f t="shared" si="15"/>
        <v>3</v>
      </c>
      <c r="D335" s="114" t="str">
        <f t="shared" si="16"/>
        <v>2</v>
      </c>
      <c r="E335" s="114" t="str">
        <f t="shared" si="17"/>
        <v>1</v>
      </c>
      <c r="F335" s="114" t="str">
        <f t="shared" si="18"/>
        <v>00</v>
      </c>
      <c r="G335" s="114" t="str">
        <f t="shared" si="19"/>
        <v>3</v>
      </c>
      <c r="H335" s="114" t="str">
        <f t="shared" si="20"/>
        <v>0</v>
      </c>
      <c r="I335" s="115">
        <v>13210030</v>
      </c>
      <c r="J335" s="114" t="s">
        <v>3505</v>
      </c>
      <c r="K335" s="114" t="s">
        <v>3506</v>
      </c>
      <c r="L335" s="116"/>
      <c r="M335" s="114" t="s">
        <v>3044</v>
      </c>
      <c r="N335" s="114" t="s">
        <v>2879</v>
      </c>
      <c r="O335" s="114" t="s">
        <v>3502</v>
      </c>
      <c r="P335" s="117" t="s">
        <v>2880</v>
      </c>
    </row>
    <row r="336" spans="2:16" ht="45" hidden="1" x14ac:dyDescent="0.25">
      <c r="B336" s="114" t="str">
        <f t="shared" si="14"/>
        <v>1</v>
      </c>
      <c r="C336" s="114" t="str">
        <f t="shared" si="15"/>
        <v>3</v>
      </c>
      <c r="D336" s="114" t="str">
        <f t="shared" si="16"/>
        <v>2</v>
      </c>
      <c r="E336" s="114" t="str">
        <f t="shared" si="17"/>
        <v>1</v>
      </c>
      <c r="F336" s="114" t="str">
        <f t="shared" si="18"/>
        <v>00</v>
      </c>
      <c r="G336" s="114" t="str">
        <f t="shared" si="19"/>
        <v>4</v>
      </c>
      <c r="H336" s="114" t="str">
        <f t="shared" si="20"/>
        <v>0</v>
      </c>
      <c r="I336" s="115">
        <v>13210040</v>
      </c>
      <c r="J336" s="114" t="s">
        <v>3508</v>
      </c>
      <c r="K336" s="114" t="s">
        <v>3509</v>
      </c>
      <c r="L336" s="116"/>
      <c r="M336" s="114" t="s">
        <v>2878</v>
      </c>
      <c r="N336" s="114" t="s">
        <v>2879</v>
      </c>
      <c r="O336" s="114" t="s">
        <v>2878</v>
      </c>
      <c r="P336" s="117" t="s">
        <v>2880</v>
      </c>
    </row>
    <row r="337" spans="2:16" ht="30" hidden="1" x14ac:dyDescent="0.25">
      <c r="B337" s="114" t="str">
        <f t="shared" si="14"/>
        <v>1</v>
      </c>
      <c r="C337" s="114" t="str">
        <f t="shared" si="15"/>
        <v>3</v>
      </c>
      <c r="D337" s="114" t="str">
        <f t="shared" si="16"/>
        <v>2</v>
      </c>
      <c r="E337" s="114" t="str">
        <f t="shared" si="17"/>
        <v>1</v>
      </c>
      <c r="F337" s="114" t="str">
        <f t="shared" si="18"/>
        <v>00</v>
      </c>
      <c r="G337" s="114" t="str">
        <f t="shared" si="19"/>
        <v>5</v>
      </c>
      <c r="H337" s="114" t="str">
        <f t="shared" si="20"/>
        <v>0</v>
      </c>
      <c r="I337" s="115">
        <v>13210050</v>
      </c>
      <c r="J337" s="114" t="s">
        <v>589</v>
      </c>
      <c r="K337" s="114" t="s">
        <v>3514</v>
      </c>
      <c r="L337" s="116"/>
      <c r="M337" s="114" t="s">
        <v>2878</v>
      </c>
      <c r="N337" s="114" t="s">
        <v>2879</v>
      </c>
      <c r="O337" s="114" t="s">
        <v>2878</v>
      </c>
      <c r="P337" s="117" t="s">
        <v>2880</v>
      </c>
    </row>
    <row r="338" spans="2:16" s="153" customFormat="1" ht="60" hidden="1" x14ac:dyDescent="0.25">
      <c r="B338" s="130" t="str">
        <f t="shared" si="14"/>
        <v>1</v>
      </c>
      <c r="C338" s="130" t="str">
        <f t="shared" si="15"/>
        <v>3</v>
      </c>
      <c r="D338" s="130" t="str">
        <f t="shared" si="16"/>
        <v>2</v>
      </c>
      <c r="E338" s="130" t="str">
        <f t="shared" si="17"/>
        <v>1</v>
      </c>
      <c r="F338" s="130" t="str">
        <f t="shared" si="18"/>
        <v>00</v>
      </c>
      <c r="G338" s="130" t="str">
        <f t="shared" si="19"/>
        <v>6</v>
      </c>
      <c r="H338" s="130" t="str">
        <f t="shared" si="20"/>
        <v>0</v>
      </c>
      <c r="I338" s="129">
        <v>13210060</v>
      </c>
      <c r="J338" s="130" t="s">
        <v>599</v>
      </c>
      <c r="K338" s="130" t="s">
        <v>3518</v>
      </c>
      <c r="L338" s="116"/>
      <c r="M338" s="130" t="s">
        <v>2878</v>
      </c>
      <c r="N338" s="130" t="s">
        <v>2879</v>
      </c>
      <c r="O338" s="130" t="s">
        <v>2878</v>
      </c>
      <c r="P338" s="152" t="s">
        <v>2880</v>
      </c>
    </row>
    <row r="339" spans="2:16" ht="30" hidden="1" x14ac:dyDescent="0.25">
      <c r="B339" s="104" t="str">
        <f t="shared" si="14"/>
        <v>1</v>
      </c>
      <c r="C339" s="104" t="str">
        <f t="shared" si="15"/>
        <v>3</v>
      </c>
      <c r="D339" s="104" t="str">
        <f t="shared" si="16"/>
        <v>2</v>
      </c>
      <c r="E339" s="104" t="str">
        <f t="shared" si="17"/>
        <v>2</v>
      </c>
      <c r="F339" s="104" t="str">
        <f t="shared" si="18"/>
        <v>00</v>
      </c>
      <c r="G339" s="104" t="str">
        <f t="shared" si="19"/>
        <v>0</v>
      </c>
      <c r="H339" s="104" t="str">
        <f t="shared" si="20"/>
        <v>0</v>
      </c>
      <c r="I339" s="105">
        <v>13220000</v>
      </c>
      <c r="J339" s="104" t="s">
        <v>594</v>
      </c>
      <c r="K339" s="104" t="s">
        <v>3522</v>
      </c>
      <c r="L339" s="106"/>
      <c r="M339" s="104" t="s">
        <v>2878</v>
      </c>
      <c r="N339" s="104" t="s">
        <v>2879</v>
      </c>
      <c r="O339" s="104" t="s">
        <v>2878</v>
      </c>
      <c r="P339" s="107" t="s">
        <v>2880</v>
      </c>
    </row>
    <row r="340" spans="2:16" ht="30" hidden="1" x14ac:dyDescent="0.25">
      <c r="B340" s="114" t="str">
        <f t="shared" si="14"/>
        <v>1</v>
      </c>
      <c r="C340" s="114" t="str">
        <f t="shared" si="15"/>
        <v>3</v>
      </c>
      <c r="D340" s="114" t="str">
        <f t="shared" si="16"/>
        <v>2</v>
      </c>
      <c r="E340" s="114" t="str">
        <f t="shared" si="17"/>
        <v>2</v>
      </c>
      <c r="F340" s="114" t="str">
        <f t="shared" si="18"/>
        <v>00</v>
      </c>
      <c r="G340" s="114" t="str">
        <f t="shared" si="19"/>
        <v>1</v>
      </c>
      <c r="H340" s="114" t="str">
        <f t="shared" si="20"/>
        <v>0</v>
      </c>
      <c r="I340" s="115">
        <v>13220010</v>
      </c>
      <c r="J340" s="114" t="s">
        <v>594</v>
      </c>
      <c r="K340" s="114" t="s">
        <v>3522</v>
      </c>
      <c r="L340" s="116"/>
      <c r="M340" s="114" t="s">
        <v>2878</v>
      </c>
      <c r="N340" s="114" t="s">
        <v>2879</v>
      </c>
      <c r="O340" s="114" t="s">
        <v>2878</v>
      </c>
      <c r="P340" s="117" t="s">
        <v>2880</v>
      </c>
    </row>
    <row r="341" spans="2:16" s="153" customFormat="1" ht="30" hidden="1" x14ac:dyDescent="0.25">
      <c r="B341" s="155" t="str">
        <f t="shared" si="14"/>
        <v>1</v>
      </c>
      <c r="C341" s="155" t="str">
        <f t="shared" si="15"/>
        <v>3</v>
      </c>
      <c r="D341" s="155" t="str">
        <f t="shared" si="16"/>
        <v>2</v>
      </c>
      <c r="E341" s="155" t="str">
        <f t="shared" si="17"/>
        <v>3</v>
      </c>
      <c r="F341" s="155" t="str">
        <f t="shared" si="18"/>
        <v>00</v>
      </c>
      <c r="G341" s="155" t="str">
        <f t="shared" si="19"/>
        <v>0</v>
      </c>
      <c r="H341" s="155" t="str">
        <f t="shared" si="20"/>
        <v>0</v>
      </c>
      <c r="I341" s="161">
        <v>13230000</v>
      </c>
      <c r="J341" s="155" t="s">
        <v>597</v>
      </c>
      <c r="K341" s="155" t="s">
        <v>3530</v>
      </c>
      <c r="L341" s="106"/>
      <c r="M341" s="155" t="s">
        <v>2878</v>
      </c>
      <c r="N341" s="155" t="s">
        <v>2879</v>
      </c>
      <c r="O341" s="155" t="s">
        <v>2878</v>
      </c>
      <c r="P341" s="162" t="s">
        <v>2880</v>
      </c>
    </row>
    <row r="342" spans="2:16" s="153" customFormat="1" ht="30" hidden="1" x14ac:dyDescent="0.25">
      <c r="B342" s="130" t="str">
        <f t="shared" si="14"/>
        <v>1</v>
      </c>
      <c r="C342" s="130" t="str">
        <f t="shared" si="15"/>
        <v>3</v>
      </c>
      <c r="D342" s="130" t="str">
        <f t="shared" si="16"/>
        <v>2</v>
      </c>
      <c r="E342" s="130" t="str">
        <f t="shared" si="17"/>
        <v>3</v>
      </c>
      <c r="F342" s="130" t="str">
        <f t="shared" si="18"/>
        <v>00</v>
      </c>
      <c r="G342" s="130" t="str">
        <f t="shared" si="19"/>
        <v>1</v>
      </c>
      <c r="H342" s="130" t="str">
        <f t="shared" si="20"/>
        <v>0</v>
      </c>
      <c r="I342" s="129">
        <v>13230010</v>
      </c>
      <c r="J342" s="130" t="s">
        <v>597</v>
      </c>
      <c r="K342" s="130" t="s">
        <v>3530</v>
      </c>
      <c r="L342" s="116"/>
      <c r="M342" s="130" t="s">
        <v>2878</v>
      </c>
      <c r="N342" s="130" t="s">
        <v>2879</v>
      </c>
      <c r="O342" s="130" t="s">
        <v>2878</v>
      </c>
      <c r="P342" s="152" t="s">
        <v>2880</v>
      </c>
    </row>
    <row r="343" spans="2:16" ht="30" hidden="1" x14ac:dyDescent="0.25">
      <c r="B343" s="104" t="str">
        <f t="shared" si="14"/>
        <v>1</v>
      </c>
      <c r="C343" s="104" t="str">
        <f t="shared" si="15"/>
        <v>3</v>
      </c>
      <c r="D343" s="104" t="str">
        <f t="shared" si="16"/>
        <v>2</v>
      </c>
      <c r="E343" s="104" t="str">
        <f t="shared" si="17"/>
        <v>9</v>
      </c>
      <c r="F343" s="104" t="str">
        <f t="shared" si="18"/>
        <v>00</v>
      </c>
      <c r="G343" s="104" t="str">
        <f t="shared" si="19"/>
        <v>0</v>
      </c>
      <c r="H343" s="104" t="str">
        <f t="shared" si="20"/>
        <v>0</v>
      </c>
      <c r="I343" s="105">
        <v>13290000</v>
      </c>
      <c r="J343" s="104" t="s">
        <v>3537</v>
      </c>
      <c r="K343" s="104" t="s">
        <v>3538</v>
      </c>
      <c r="L343" s="106"/>
      <c r="M343" s="104" t="s">
        <v>2878</v>
      </c>
      <c r="N343" s="104" t="s">
        <v>2879</v>
      </c>
      <c r="O343" s="104" t="s">
        <v>2878</v>
      </c>
      <c r="P343" s="107" t="s">
        <v>2880</v>
      </c>
    </row>
    <row r="344" spans="2:16" ht="30" hidden="1" x14ac:dyDescent="0.25">
      <c r="B344" s="114" t="str">
        <f t="shared" si="14"/>
        <v>1</v>
      </c>
      <c r="C344" s="114" t="str">
        <f t="shared" si="15"/>
        <v>3</v>
      </c>
      <c r="D344" s="114" t="str">
        <f t="shared" si="16"/>
        <v>2</v>
      </c>
      <c r="E344" s="114" t="str">
        <f t="shared" si="17"/>
        <v>9</v>
      </c>
      <c r="F344" s="114" t="str">
        <f t="shared" si="18"/>
        <v>00</v>
      </c>
      <c r="G344" s="114" t="str">
        <f t="shared" si="19"/>
        <v>1</v>
      </c>
      <c r="H344" s="114" t="str">
        <f t="shared" si="20"/>
        <v>0</v>
      </c>
      <c r="I344" s="115">
        <v>13290010</v>
      </c>
      <c r="J344" s="114" t="s">
        <v>3537</v>
      </c>
      <c r="K344" s="114" t="s">
        <v>3538</v>
      </c>
      <c r="L344" s="116"/>
      <c r="M344" s="114" t="s">
        <v>2878</v>
      </c>
      <c r="N344" s="114" t="s">
        <v>2879</v>
      </c>
      <c r="O344" s="114" t="s">
        <v>2878</v>
      </c>
      <c r="P344" s="117" t="s">
        <v>2880</v>
      </c>
    </row>
    <row r="345" spans="2:16" ht="45" hidden="1" x14ac:dyDescent="0.25">
      <c r="B345" s="126" t="str">
        <f t="shared" si="14"/>
        <v>1</v>
      </c>
      <c r="C345" s="126" t="str">
        <f t="shared" si="15"/>
        <v>3</v>
      </c>
      <c r="D345" s="126" t="str">
        <f t="shared" si="16"/>
        <v>3</v>
      </c>
      <c r="E345" s="126" t="str">
        <f t="shared" si="17"/>
        <v>0</v>
      </c>
      <c r="F345" s="126" t="str">
        <f t="shared" si="18"/>
        <v>00</v>
      </c>
      <c r="G345" s="126" t="str">
        <f t="shared" si="19"/>
        <v>0</v>
      </c>
      <c r="H345" s="126" t="str">
        <f t="shared" si="20"/>
        <v>0</v>
      </c>
      <c r="I345" s="127">
        <v>13300000</v>
      </c>
      <c r="J345" s="126" t="s">
        <v>3544</v>
      </c>
      <c r="K345" s="126" t="s">
        <v>3545</v>
      </c>
      <c r="L345" s="122"/>
      <c r="M345" s="126" t="s">
        <v>2878</v>
      </c>
      <c r="N345" s="126" t="s">
        <v>5016</v>
      </c>
      <c r="O345" s="126" t="s">
        <v>2878</v>
      </c>
      <c r="P345" s="128" t="s">
        <v>2880</v>
      </c>
    </row>
    <row r="346" spans="2:16" ht="45" hidden="1" x14ac:dyDescent="0.25">
      <c r="B346" s="104" t="str">
        <f t="shared" si="14"/>
        <v>1</v>
      </c>
      <c r="C346" s="104" t="str">
        <f t="shared" si="15"/>
        <v>3</v>
      </c>
      <c r="D346" s="104" t="str">
        <f t="shared" si="16"/>
        <v>3</v>
      </c>
      <c r="E346" s="104" t="str">
        <f t="shared" si="17"/>
        <v>1</v>
      </c>
      <c r="F346" s="104" t="str">
        <f t="shared" si="18"/>
        <v>00</v>
      </c>
      <c r="G346" s="104" t="str">
        <f t="shared" si="19"/>
        <v>0</v>
      </c>
      <c r="H346" s="104" t="str">
        <f t="shared" si="20"/>
        <v>0</v>
      </c>
      <c r="I346" s="105">
        <v>13310000</v>
      </c>
      <c r="J346" s="104" t="s">
        <v>3546</v>
      </c>
      <c r="K346" s="104" t="s">
        <v>3547</v>
      </c>
      <c r="L346" s="106"/>
      <c r="M346" s="104" t="s">
        <v>2878</v>
      </c>
      <c r="N346" s="104" t="s">
        <v>2879</v>
      </c>
      <c r="O346" s="104" t="s">
        <v>2878</v>
      </c>
      <c r="P346" s="107" t="s">
        <v>2880</v>
      </c>
    </row>
    <row r="347" spans="2:16" ht="45" hidden="1" x14ac:dyDescent="0.25">
      <c r="B347" s="108" t="str">
        <f t="shared" si="14"/>
        <v>1</v>
      </c>
      <c r="C347" s="108" t="str">
        <f t="shared" si="15"/>
        <v>3</v>
      </c>
      <c r="D347" s="108" t="str">
        <f t="shared" si="16"/>
        <v>3</v>
      </c>
      <c r="E347" s="108" t="str">
        <f t="shared" si="17"/>
        <v>1</v>
      </c>
      <c r="F347" s="108" t="str">
        <f t="shared" si="18"/>
        <v>01</v>
      </c>
      <c r="G347" s="108" t="str">
        <f t="shared" si="19"/>
        <v>0</v>
      </c>
      <c r="H347" s="108" t="str">
        <f t="shared" si="20"/>
        <v>0</v>
      </c>
      <c r="I347" s="109">
        <v>13310100</v>
      </c>
      <c r="J347" s="108" t="s">
        <v>3548</v>
      </c>
      <c r="K347" s="108" t="s">
        <v>3549</v>
      </c>
      <c r="L347" s="110"/>
      <c r="M347" s="108" t="s">
        <v>2878</v>
      </c>
      <c r="N347" s="108" t="s">
        <v>2879</v>
      </c>
      <c r="O347" s="108" t="s">
        <v>2878</v>
      </c>
      <c r="P347" s="111" t="s">
        <v>2880</v>
      </c>
    </row>
    <row r="348" spans="2:16" ht="45" hidden="1" x14ac:dyDescent="0.25">
      <c r="B348" s="114" t="str">
        <f t="shared" si="14"/>
        <v>1</v>
      </c>
      <c r="C348" s="114" t="str">
        <f t="shared" si="15"/>
        <v>3</v>
      </c>
      <c r="D348" s="114" t="str">
        <f t="shared" si="16"/>
        <v>3</v>
      </c>
      <c r="E348" s="114" t="str">
        <f t="shared" si="17"/>
        <v>1</v>
      </c>
      <c r="F348" s="114" t="str">
        <f t="shared" si="18"/>
        <v>01</v>
      </c>
      <c r="G348" s="114" t="str">
        <f t="shared" si="19"/>
        <v>1</v>
      </c>
      <c r="H348" s="114" t="str">
        <f t="shared" si="20"/>
        <v>0</v>
      </c>
      <c r="I348" s="115">
        <v>13310110</v>
      </c>
      <c r="J348" s="114" t="s">
        <v>3548</v>
      </c>
      <c r="K348" s="114" t="s">
        <v>3549</v>
      </c>
      <c r="L348" s="116"/>
      <c r="M348" s="114" t="s">
        <v>2878</v>
      </c>
      <c r="N348" s="114" t="s">
        <v>2879</v>
      </c>
      <c r="O348" s="114" t="s">
        <v>2878</v>
      </c>
      <c r="P348" s="117" t="s">
        <v>2880</v>
      </c>
    </row>
    <row r="349" spans="2:16" ht="45" hidden="1" x14ac:dyDescent="0.25">
      <c r="B349" s="108" t="str">
        <f t="shared" si="14"/>
        <v>1</v>
      </c>
      <c r="C349" s="108" t="str">
        <f t="shared" si="15"/>
        <v>3</v>
      </c>
      <c r="D349" s="108" t="str">
        <f t="shared" si="16"/>
        <v>3</v>
      </c>
      <c r="E349" s="108" t="str">
        <f t="shared" si="17"/>
        <v>1</v>
      </c>
      <c r="F349" s="108" t="str">
        <f t="shared" si="18"/>
        <v>02</v>
      </c>
      <c r="G349" s="108" t="str">
        <f t="shared" si="19"/>
        <v>0</v>
      </c>
      <c r="H349" s="108" t="str">
        <f t="shared" si="20"/>
        <v>0</v>
      </c>
      <c r="I349" s="109">
        <v>13310200</v>
      </c>
      <c r="J349" s="108" t="s">
        <v>3557</v>
      </c>
      <c r="K349" s="108" t="s">
        <v>3558</v>
      </c>
      <c r="L349" s="110"/>
      <c r="M349" s="108" t="s">
        <v>2878</v>
      </c>
      <c r="N349" s="108" t="s">
        <v>2879</v>
      </c>
      <c r="O349" s="108" t="s">
        <v>2878</v>
      </c>
      <c r="P349" s="111" t="s">
        <v>2880</v>
      </c>
    </row>
    <row r="350" spans="2:16" ht="45" hidden="1" x14ac:dyDescent="0.25">
      <c r="B350" s="114" t="str">
        <f t="shared" si="14"/>
        <v>1</v>
      </c>
      <c r="C350" s="114" t="str">
        <f t="shared" si="15"/>
        <v>3</v>
      </c>
      <c r="D350" s="114" t="str">
        <f t="shared" si="16"/>
        <v>3</v>
      </c>
      <c r="E350" s="114" t="str">
        <f t="shared" si="17"/>
        <v>1</v>
      </c>
      <c r="F350" s="114" t="str">
        <f t="shared" si="18"/>
        <v>02</v>
      </c>
      <c r="G350" s="114" t="str">
        <f t="shared" si="19"/>
        <v>1</v>
      </c>
      <c r="H350" s="114" t="str">
        <f t="shared" si="20"/>
        <v>0</v>
      </c>
      <c r="I350" s="115">
        <v>13310210</v>
      </c>
      <c r="J350" s="114" t="s">
        <v>3557</v>
      </c>
      <c r="K350" s="114" t="s">
        <v>3558</v>
      </c>
      <c r="L350" s="116"/>
      <c r="M350" s="114" t="s">
        <v>2878</v>
      </c>
      <c r="N350" s="114" t="s">
        <v>2879</v>
      </c>
      <c r="O350" s="114" t="s">
        <v>2878</v>
      </c>
      <c r="P350" s="117" t="s">
        <v>2880</v>
      </c>
    </row>
    <row r="351" spans="2:16" ht="45" hidden="1" x14ac:dyDescent="0.25">
      <c r="B351" s="108" t="str">
        <f t="shared" si="14"/>
        <v>1</v>
      </c>
      <c r="C351" s="108" t="str">
        <f t="shared" si="15"/>
        <v>3</v>
      </c>
      <c r="D351" s="108" t="str">
        <f t="shared" si="16"/>
        <v>3</v>
      </c>
      <c r="E351" s="108" t="str">
        <f t="shared" si="17"/>
        <v>1</v>
      </c>
      <c r="F351" s="108" t="str">
        <f t="shared" si="18"/>
        <v>03</v>
      </c>
      <c r="G351" s="108" t="str">
        <f t="shared" si="19"/>
        <v>0</v>
      </c>
      <c r="H351" s="108" t="str">
        <f t="shared" si="20"/>
        <v>0</v>
      </c>
      <c r="I351" s="109">
        <v>13310300</v>
      </c>
      <c r="J351" s="108" t="s">
        <v>3565</v>
      </c>
      <c r="K351" s="108" t="s">
        <v>3566</v>
      </c>
      <c r="L351" s="110"/>
      <c r="M351" s="108" t="s">
        <v>2878</v>
      </c>
      <c r="N351" s="108" t="s">
        <v>2879</v>
      </c>
      <c r="O351" s="108" t="s">
        <v>2878</v>
      </c>
      <c r="P351" s="111" t="s">
        <v>2880</v>
      </c>
    </row>
    <row r="352" spans="2:16" ht="45" hidden="1" x14ac:dyDescent="0.25">
      <c r="B352" s="114" t="str">
        <f t="shared" si="14"/>
        <v>1</v>
      </c>
      <c r="C352" s="114" t="str">
        <f t="shared" si="15"/>
        <v>3</v>
      </c>
      <c r="D352" s="114" t="str">
        <f t="shared" si="16"/>
        <v>3</v>
      </c>
      <c r="E352" s="114" t="str">
        <f t="shared" si="17"/>
        <v>1</v>
      </c>
      <c r="F352" s="114" t="str">
        <f t="shared" si="18"/>
        <v>03</v>
      </c>
      <c r="G352" s="114" t="str">
        <f t="shared" si="19"/>
        <v>1</v>
      </c>
      <c r="H352" s="114" t="str">
        <f t="shared" si="20"/>
        <v>0</v>
      </c>
      <c r="I352" s="115">
        <v>13310310</v>
      </c>
      <c r="J352" s="114" t="s">
        <v>3565</v>
      </c>
      <c r="K352" s="114" t="s">
        <v>3566</v>
      </c>
      <c r="L352" s="116"/>
      <c r="M352" s="114" t="s">
        <v>2878</v>
      </c>
      <c r="N352" s="114" t="s">
        <v>2879</v>
      </c>
      <c r="O352" s="114" t="s">
        <v>2878</v>
      </c>
      <c r="P352" s="117" t="s">
        <v>2880</v>
      </c>
    </row>
    <row r="353" spans="2:16" ht="45" hidden="1" x14ac:dyDescent="0.25">
      <c r="B353" s="108" t="str">
        <f t="shared" si="14"/>
        <v>1</v>
      </c>
      <c r="C353" s="108" t="str">
        <f t="shared" si="15"/>
        <v>3</v>
      </c>
      <c r="D353" s="108" t="str">
        <f t="shared" si="16"/>
        <v>3</v>
      </c>
      <c r="E353" s="108" t="str">
        <f t="shared" si="17"/>
        <v>1</v>
      </c>
      <c r="F353" s="108" t="str">
        <f t="shared" si="18"/>
        <v>04</v>
      </c>
      <c r="G353" s="108" t="str">
        <f t="shared" si="19"/>
        <v>0</v>
      </c>
      <c r="H353" s="108" t="str">
        <f t="shared" si="20"/>
        <v>0</v>
      </c>
      <c r="I353" s="109">
        <v>13310400</v>
      </c>
      <c r="J353" s="108" t="s">
        <v>3572</v>
      </c>
      <c r="K353" s="108" t="s">
        <v>3573</v>
      </c>
      <c r="L353" s="110"/>
      <c r="M353" s="108" t="s">
        <v>2878</v>
      </c>
      <c r="N353" s="108" t="s">
        <v>2879</v>
      </c>
      <c r="O353" s="108" t="s">
        <v>2878</v>
      </c>
      <c r="P353" s="111" t="s">
        <v>2880</v>
      </c>
    </row>
    <row r="354" spans="2:16" ht="45" hidden="1" x14ac:dyDescent="0.25">
      <c r="B354" s="114" t="str">
        <f t="shared" si="14"/>
        <v>1</v>
      </c>
      <c r="C354" s="114" t="str">
        <f t="shared" si="15"/>
        <v>3</v>
      </c>
      <c r="D354" s="114" t="str">
        <f t="shared" si="16"/>
        <v>3</v>
      </c>
      <c r="E354" s="114" t="str">
        <f t="shared" si="17"/>
        <v>1</v>
      </c>
      <c r="F354" s="114" t="str">
        <f t="shared" si="18"/>
        <v>04</v>
      </c>
      <c r="G354" s="114" t="str">
        <f t="shared" si="19"/>
        <v>1</v>
      </c>
      <c r="H354" s="114" t="str">
        <f t="shared" si="20"/>
        <v>0</v>
      </c>
      <c r="I354" s="115">
        <v>13310410</v>
      </c>
      <c r="J354" s="114" t="s">
        <v>3572</v>
      </c>
      <c r="K354" s="114" t="s">
        <v>3573</v>
      </c>
      <c r="L354" s="116"/>
      <c r="M354" s="114" t="s">
        <v>2878</v>
      </c>
      <c r="N354" s="114" t="s">
        <v>2879</v>
      </c>
      <c r="O354" s="114" t="s">
        <v>2878</v>
      </c>
      <c r="P354" s="117" t="s">
        <v>2880</v>
      </c>
    </row>
    <row r="355" spans="2:16" ht="45" hidden="1" x14ac:dyDescent="0.25">
      <c r="B355" s="108" t="str">
        <f t="shared" si="14"/>
        <v>1</v>
      </c>
      <c r="C355" s="108" t="str">
        <f t="shared" si="15"/>
        <v>3</v>
      </c>
      <c r="D355" s="108" t="str">
        <f t="shared" si="16"/>
        <v>3</v>
      </c>
      <c r="E355" s="108" t="str">
        <f t="shared" si="17"/>
        <v>1</v>
      </c>
      <c r="F355" s="108" t="str">
        <f t="shared" si="18"/>
        <v>05</v>
      </c>
      <c r="G355" s="108" t="str">
        <f t="shared" si="19"/>
        <v>0</v>
      </c>
      <c r="H355" s="108" t="str">
        <f t="shared" si="20"/>
        <v>0</v>
      </c>
      <c r="I355" s="109">
        <v>13310500</v>
      </c>
      <c r="J355" s="108" t="s">
        <v>3580</v>
      </c>
      <c r="K355" s="108" t="s">
        <v>3581</v>
      </c>
      <c r="L355" s="110"/>
      <c r="M355" s="108" t="s">
        <v>2878</v>
      </c>
      <c r="N355" s="108" t="s">
        <v>2879</v>
      </c>
      <c r="O355" s="108" t="s">
        <v>2878</v>
      </c>
      <c r="P355" s="111" t="s">
        <v>2880</v>
      </c>
    </row>
    <row r="356" spans="2:16" ht="45" hidden="1" x14ac:dyDescent="0.25">
      <c r="B356" s="114" t="str">
        <f t="shared" si="14"/>
        <v>1</v>
      </c>
      <c r="C356" s="114" t="str">
        <f t="shared" si="15"/>
        <v>3</v>
      </c>
      <c r="D356" s="114" t="str">
        <f t="shared" si="16"/>
        <v>3</v>
      </c>
      <c r="E356" s="114" t="str">
        <f t="shared" si="17"/>
        <v>1</v>
      </c>
      <c r="F356" s="114" t="str">
        <f t="shared" si="18"/>
        <v>05</v>
      </c>
      <c r="G356" s="114" t="str">
        <f t="shared" si="19"/>
        <v>1</v>
      </c>
      <c r="H356" s="114" t="str">
        <f t="shared" si="20"/>
        <v>0</v>
      </c>
      <c r="I356" s="115">
        <v>13310510</v>
      </c>
      <c r="J356" s="114" t="s">
        <v>3580</v>
      </c>
      <c r="K356" s="114" t="s">
        <v>3581</v>
      </c>
      <c r="L356" s="116"/>
      <c r="M356" s="114" t="s">
        <v>2878</v>
      </c>
      <c r="N356" s="114" t="s">
        <v>2879</v>
      </c>
      <c r="O356" s="114" t="s">
        <v>2878</v>
      </c>
      <c r="P356" s="117" t="s">
        <v>2880</v>
      </c>
    </row>
    <row r="357" spans="2:16" ht="45" hidden="1" x14ac:dyDescent="0.25">
      <c r="B357" s="104" t="str">
        <f t="shared" si="14"/>
        <v>1</v>
      </c>
      <c r="C357" s="104" t="str">
        <f t="shared" si="15"/>
        <v>3</v>
      </c>
      <c r="D357" s="104" t="str">
        <f t="shared" si="16"/>
        <v>3</v>
      </c>
      <c r="E357" s="104" t="str">
        <f t="shared" si="17"/>
        <v>2</v>
      </c>
      <c r="F357" s="104" t="str">
        <f t="shared" si="18"/>
        <v>00</v>
      </c>
      <c r="G357" s="104" t="str">
        <f t="shared" si="19"/>
        <v>0</v>
      </c>
      <c r="H357" s="104" t="str">
        <f t="shared" si="20"/>
        <v>0</v>
      </c>
      <c r="I357" s="105">
        <v>13320000</v>
      </c>
      <c r="J357" s="104" t="s">
        <v>3589</v>
      </c>
      <c r="K357" s="104" t="s">
        <v>3590</v>
      </c>
      <c r="L357" s="106"/>
      <c r="M357" s="104" t="s">
        <v>2878</v>
      </c>
      <c r="N357" s="104" t="s">
        <v>2879</v>
      </c>
      <c r="O357" s="104" t="s">
        <v>2878</v>
      </c>
      <c r="P357" s="107" t="s">
        <v>2880</v>
      </c>
    </row>
    <row r="358" spans="2:16" ht="45" hidden="1" x14ac:dyDescent="0.25">
      <c r="B358" s="108" t="str">
        <f t="shared" si="14"/>
        <v>1</v>
      </c>
      <c r="C358" s="108" t="str">
        <f t="shared" si="15"/>
        <v>3</v>
      </c>
      <c r="D358" s="108" t="str">
        <f t="shared" si="16"/>
        <v>3</v>
      </c>
      <c r="E358" s="108" t="str">
        <f t="shared" si="17"/>
        <v>2</v>
      </c>
      <c r="F358" s="108" t="str">
        <f t="shared" si="18"/>
        <v>01</v>
      </c>
      <c r="G358" s="108" t="str">
        <f t="shared" si="19"/>
        <v>0</v>
      </c>
      <c r="H358" s="108" t="str">
        <f t="shared" si="20"/>
        <v>0</v>
      </c>
      <c r="I358" s="109">
        <v>13320100</v>
      </c>
      <c r="J358" s="108" t="s">
        <v>3591</v>
      </c>
      <c r="K358" s="108" t="s">
        <v>3592</v>
      </c>
      <c r="L358" s="110"/>
      <c r="M358" s="108" t="s">
        <v>2878</v>
      </c>
      <c r="N358" s="108" t="s">
        <v>2879</v>
      </c>
      <c r="O358" s="108" t="s">
        <v>2878</v>
      </c>
      <c r="P358" s="111" t="s">
        <v>2880</v>
      </c>
    </row>
    <row r="359" spans="2:16" ht="45" hidden="1" x14ac:dyDescent="0.25">
      <c r="B359" s="114" t="str">
        <f t="shared" si="14"/>
        <v>1</v>
      </c>
      <c r="C359" s="114" t="str">
        <f t="shared" si="15"/>
        <v>3</v>
      </c>
      <c r="D359" s="114" t="str">
        <f t="shared" si="16"/>
        <v>3</v>
      </c>
      <c r="E359" s="114" t="str">
        <f t="shared" si="17"/>
        <v>2</v>
      </c>
      <c r="F359" s="114" t="str">
        <f t="shared" si="18"/>
        <v>01</v>
      </c>
      <c r="G359" s="114" t="str">
        <f t="shared" si="19"/>
        <v>1</v>
      </c>
      <c r="H359" s="114" t="str">
        <f t="shared" si="20"/>
        <v>0</v>
      </c>
      <c r="I359" s="115">
        <v>13320110</v>
      </c>
      <c r="J359" s="114" t="s">
        <v>3593</v>
      </c>
      <c r="K359" s="114" t="s">
        <v>3592</v>
      </c>
      <c r="L359" s="116"/>
      <c r="M359" s="114" t="s">
        <v>2878</v>
      </c>
      <c r="N359" s="114" t="s">
        <v>2879</v>
      </c>
      <c r="O359" s="114" t="s">
        <v>2878</v>
      </c>
      <c r="P359" s="117" t="s">
        <v>2880</v>
      </c>
    </row>
    <row r="360" spans="2:16" ht="75" hidden="1" x14ac:dyDescent="0.25">
      <c r="B360" s="114" t="str">
        <f t="shared" si="14"/>
        <v>1</v>
      </c>
      <c r="C360" s="114" t="str">
        <f t="shared" si="15"/>
        <v>3</v>
      </c>
      <c r="D360" s="114" t="str">
        <f t="shared" si="16"/>
        <v>3</v>
      </c>
      <c r="E360" s="114" t="str">
        <f t="shared" si="17"/>
        <v>2</v>
      </c>
      <c r="F360" s="114" t="str">
        <f t="shared" si="18"/>
        <v>01</v>
      </c>
      <c r="G360" s="114" t="str">
        <f t="shared" si="19"/>
        <v>2</v>
      </c>
      <c r="H360" s="114" t="str">
        <f t="shared" si="20"/>
        <v>0</v>
      </c>
      <c r="I360" s="115">
        <v>13320120</v>
      </c>
      <c r="J360" s="114" t="s">
        <v>3601</v>
      </c>
      <c r="K360" s="114" t="s">
        <v>3602</v>
      </c>
      <c r="L360" s="116"/>
      <c r="M360" s="114" t="s">
        <v>2878</v>
      </c>
      <c r="N360" s="114" t="s">
        <v>2879</v>
      </c>
      <c r="O360" s="114" t="s">
        <v>2878</v>
      </c>
      <c r="P360" s="117" t="s">
        <v>2880</v>
      </c>
    </row>
    <row r="361" spans="2:16" ht="45" hidden="1" x14ac:dyDescent="0.25">
      <c r="B361" s="108" t="str">
        <f t="shared" si="14"/>
        <v>1</v>
      </c>
      <c r="C361" s="108" t="str">
        <f t="shared" si="15"/>
        <v>3</v>
      </c>
      <c r="D361" s="108" t="str">
        <f t="shared" si="16"/>
        <v>3</v>
      </c>
      <c r="E361" s="108" t="str">
        <f t="shared" si="17"/>
        <v>2</v>
      </c>
      <c r="F361" s="108" t="str">
        <f t="shared" si="18"/>
        <v>02</v>
      </c>
      <c r="G361" s="108" t="str">
        <f t="shared" si="19"/>
        <v>0</v>
      </c>
      <c r="H361" s="108" t="str">
        <f t="shared" si="20"/>
        <v>0</v>
      </c>
      <c r="I361" s="109">
        <v>13320200</v>
      </c>
      <c r="J361" s="108" t="s">
        <v>3610</v>
      </c>
      <c r="K361" s="108" t="s">
        <v>3611</v>
      </c>
      <c r="L361" s="110"/>
      <c r="M361" s="108" t="s">
        <v>2878</v>
      </c>
      <c r="N361" s="108" t="s">
        <v>2879</v>
      </c>
      <c r="O361" s="108" t="s">
        <v>2878</v>
      </c>
      <c r="P361" s="111" t="s">
        <v>2880</v>
      </c>
    </row>
    <row r="362" spans="2:16" ht="45" hidden="1" x14ac:dyDescent="0.25">
      <c r="B362" s="114" t="str">
        <f t="shared" si="14"/>
        <v>1</v>
      </c>
      <c r="C362" s="114" t="str">
        <f t="shared" si="15"/>
        <v>3</v>
      </c>
      <c r="D362" s="114" t="str">
        <f t="shared" si="16"/>
        <v>3</v>
      </c>
      <c r="E362" s="114" t="str">
        <f t="shared" si="17"/>
        <v>2</v>
      </c>
      <c r="F362" s="114" t="str">
        <f t="shared" si="18"/>
        <v>02</v>
      </c>
      <c r="G362" s="114" t="str">
        <f t="shared" si="19"/>
        <v>1</v>
      </c>
      <c r="H362" s="114" t="str">
        <f t="shared" si="20"/>
        <v>0</v>
      </c>
      <c r="I362" s="115">
        <v>13320210</v>
      </c>
      <c r="J362" s="114" t="s">
        <v>3610</v>
      </c>
      <c r="K362" s="114" t="s">
        <v>3611</v>
      </c>
      <c r="L362" s="116"/>
      <c r="M362" s="114" t="s">
        <v>2878</v>
      </c>
      <c r="N362" s="114" t="s">
        <v>2879</v>
      </c>
      <c r="O362" s="114" t="s">
        <v>2878</v>
      </c>
      <c r="P362" s="117" t="s">
        <v>2880</v>
      </c>
    </row>
    <row r="363" spans="2:16" ht="45" hidden="1" x14ac:dyDescent="0.25">
      <c r="B363" s="108" t="str">
        <f t="shared" si="14"/>
        <v>1</v>
      </c>
      <c r="C363" s="108" t="str">
        <f t="shared" si="15"/>
        <v>3</v>
      </c>
      <c r="D363" s="108" t="str">
        <f t="shared" si="16"/>
        <v>3</v>
      </c>
      <c r="E363" s="108" t="str">
        <f t="shared" si="17"/>
        <v>2</v>
      </c>
      <c r="F363" s="108" t="str">
        <f t="shared" si="18"/>
        <v>03</v>
      </c>
      <c r="G363" s="108" t="str">
        <f t="shared" si="19"/>
        <v>0</v>
      </c>
      <c r="H363" s="108" t="str">
        <f t="shared" si="20"/>
        <v>0</v>
      </c>
      <c r="I363" s="109">
        <v>13320300</v>
      </c>
      <c r="J363" s="108" t="s">
        <v>3618</v>
      </c>
      <c r="K363" s="108" t="s">
        <v>3619</v>
      </c>
      <c r="L363" s="110"/>
      <c r="M363" s="108" t="s">
        <v>2878</v>
      </c>
      <c r="N363" s="108" t="s">
        <v>2879</v>
      </c>
      <c r="O363" s="108" t="s">
        <v>2878</v>
      </c>
      <c r="P363" s="111" t="s">
        <v>2880</v>
      </c>
    </row>
    <row r="364" spans="2:16" ht="45" hidden="1" x14ac:dyDescent="0.25">
      <c r="B364" s="114" t="str">
        <f t="shared" ref="B364:B427" si="21">MID($I364,1,1)</f>
        <v>1</v>
      </c>
      <c r="C364" s="114" t="str">
        <f t="shared" ref="C364:C427" si="22">MID($I364,2,1)</f>
        <v>3</v>
      </c>
      <c r="D364" s="114" t="str">
        <f t="shared" ref="D364:D427" si="23">MID($I364,3,1)</f>
        <v>3</v>
      </c>
      <c r="E364" s="114" t="str">
        <f t="shared" ref="E364:E427" si="24">MID($I364,4,1)</f>
        <v>2</v>
      </c>
      <c r="F364" s="114" t="str">
        <f t="shared" ref="F364:F427" si="25">MID($I364,5,2)</f>
        <v>03</v>
      </c>
      <c r="G364" s="114" t="str">
        <f t="shared" ref="G364:G427" si="26">MID($I364,7,1)</f>
        <v>1</v>
      </c>
      <c r="H364" s="114" t="str">
        <f t="shared" ref="H364:H427" si="27">MID($I364,8,1)</f>
        <v>0</v>
      </c>
      <c r="I364" s="115">
        <v>13320310</v>
      </c>
      <c r="J364" s="114" t="s">
        <v>3618</v>
      </c>
      <c r="K364" s="114" t="s">
        <v>3619</v>
      </c>
      <c r="L364" s="116"/>
      <c r="M364" s="114" t="s">
        <v>2878</v>
      </c>
      <c r="N364" s="114" t="s">
        <v>2879</v>
      </c>
      <c r="O364" s="114" t="s">
        <v>2878</v>
      </c>
      <c r="P364" s="117" t="s">
        <v>2880</v>
      </c>
    </row>
    <row r="365" spans="2:16" ht="30" hidden="1" x14ac:dyDescent="0.25">
      <c r="B365" s="108" t="str">
        <f t="shared" si="21"/>
        <v>1</v>
      </c>
      <c r="C365" s="108" t="str">
        <f t="shared" si="22"/>
        <v>3</v>
      </c>
      <c r="D365" s="108" t="str">
        <f t="shared" si="23"/>
        <v>3</v>
      </c>
      <c r="E365" s="108" t="str">
        <f t="shared" si="24"/>
        <v>2</v>
      </c>
      <c r="F365" s="108" t="str">
        <f t="shared" si="25"/>
        <v>04</v>
      </c>
      <c r="G365" s="108" t="str">
        <f t="shared" si="26"/>
        <v>0</v>
      </c>
      <c r="H365" s="108" t="str">
        <f t="shared" si="27"/>
        <v>0</v>
      </c>
      <c r="I365" s="109">
        <v>13320400</v>
      </c>
      <c r="J365" s="108" t="s">
        <v>3625</v>
      </c>
      <c r="K365" s="108" t="s">
        <v>3626</v>
      </c>
      <c r="L365" s="110"/>
      <c r="M365" s="108" t="s">
        <v>2878</v>
      </c>
      <c r="N365" s="108" t="s">
        <v>2879</v>
      </c>
      <c r="O365" s="108" t="s">
        <v>2878</v>
      </c>
      <c r="P365" s="111" t="s">
        <v>2880</v>
      </c>
    </row>
    <row r="366" spans="2:16" ht="30" hidden="1" x14ac:dyDescent="0.25">
      <c r="B366" s="114" t="str">
        <f t="shared" si="21"/>
        <v>1</v>
      </c>
      <c r="C366" s="114" t="str">
        <f t="shared" si="22"/>
        <v>3</v>
      </c>
      <c r="D366" s="114" t="str">
        <f t="shared" si="23"/>
        <v>3</v>
      </c>
      <c r="E366" s="114" t="str">
        <f t="shared" si="24"/>
        <v>2</v>
      </c>
      <c r="F366" s="114" t="str">
        <f t="shared" si="25"/>
        <v>04</v>
      </c>
      <c r="G366" s="114" t="str">
        <f t="shared" si="26"/>
        <v>1</v>
      </c>
      <c r="H366" s="114" t="str">
        <f t="shared" si="27"/>
        <v>0</v>
      </c>
      <c r="I366" s="115">
        <v>13320410</v>
      </c>
      <c r="J366" s="114" t="s">
        <v>3625</v>
      </c>
      <c r="K366" s="114" t="s">
        <v>3626</v>
      </c>
      <c r="L366" s="116"/>
      <c r="M366" s="114" t="s">
        <v>2878</v>
      </c>
      <c r="N366" s="114" t="s">
        <v>2879</v>
      </c>
      <c r="O366" s="114" t="s">
        <v>2878</v>
      </c>
      <c r="P366" s="117" t="s">
        <v>2880</v>
      </c>
    </row>
    <row r="367" spans="2:16" ht="30" hidden="1" x14ac:dyDescent="0.25">
      <c r="B367" s="104" t="str">
        <f t="shared" si="21"/>
        <v>1</v>
      </c>
      <c r="C367" s="104" t="str">
        <f t="shared" si="22"/>
        <v>3</v>
      </c>
      <c r="D367" s="104" t="str">
        <f t="shared" si="23"/>
        <v>3</v>
      </c>
      <c r="E367" s="104" t="str">
        <f t="shared" si="24"/>
        <v>3</v>
      </c>
      <c r="F367" s="104" t="str">
        <f t="shared" si="25"/>
        <v>00</v>
      </c>
      <c r="G367" s="104" t="str">
        <f t="shared" si="26"/>
        <v>0</v>
      </c>
      <c r="H367" s="104" t="str">
        <f t="shared" si="27"/>
        <v>0</v>
      </c>
      <c r="I367" s="105">
        <v>13330000</v>
      </c>
      <c r="J367" s="104" t="s">
        <v>3634</v>
      </c>
      <c r="K367" s="104" t="s">
        <v>3635</v>
      </c>
      <c r="L367" s="106"/>
      <c r="M367" s="104" t="s">
        <v>2878</v>
      </c>
      <c r="N367" s="104" t="s">
        <v>2879</v>
      </c>
      <c r="O367" s="104" t="s">
        <v>2878</v>
      </c>
      <c r="P367" s="107" t="s">
        <v>2880</v>
      </c>
    </row>
    <row r="368" spans="2:16" ht="120" hidden="1" x14ac:dyDescent="0.25">
      <c r="B368" s="114" t="str">
        <f t="shared" si="21"/>
        <v>1</v>
      </c>
      <c r="C368" s="114" t="str">
        <f t="shared" si="22"/>
        <v>3</v>
      </c>
      <c r="D368" s="114" t="str">
        <f t="shared" si="23"/>
        <v>3</v>
      </c>
      <c r="E368" s="114" t="str">
        <f t="shared" si="24"/>
        <v>3</v>
      </c>
      <c r="F368" s="114" t="str">
        <f t="shared" si="25"/>
        <v>00</v>
      </c>
      <c r="G368" s="114" t="str">
        <f t="shared" si="26"/>
        <v>1</v>
      </c>
      <c r="H368" s="114" t="str">
        <f t="shared" si="27"/>
        <v>0</v>
      </c>
      <c r="I368" s="115">
        <v>13330010</v>
      </c>
      <c r="J368" s="114" t="s">
        <v>3636</v>
      </c>
      <c r="K368" s="114" t="s">
        <v>3637</v>
      </c>
      <c r="L368" s="116"/>
      <c r="M368" s="114" t="s">
        <v>2878</v>
      </c>
      <c r="N368" s="114" t="s">
        <v>2879</v>
      </c>
      <c r="O368" s="114" t="s">
        <v>2878</v>
      </c>
      <c r="P368" s="117" t="s">
        <v>2880</v>
      </c>
    </row>
    <row r="369" spans="2:16" ht="105" hidden="1" x14ac:dyDescent="0.25">
      <c r="B369" s="114" t="str">
        <f t="shared" si="21"/>
        <v>1</v>
      </c>
      <c r="C369" s="114" t="str">
        <f t="shared" si="22"/>
        <v>3</v>
      </c>
      <c r="D369" s="114" t="str">
        <f t="shared" si="23"/>
        <v>3</v>
      </c>
      <c r="E369" s="114" t="str">
        <f t="shared" si="24"/>
        <v>3</v>
      </c>
      <c r="F369" s="114" t="str">
        <f t="shared" si="25"/>
        <v>00</v>
      </c>
      <c r="G369" s="114" t="str">
        <f t="shared" si="26"/>
        <v>2</v>
      </c>
      <c r="H369" s="114" t="str">
        <f t="shared" si="27"/>
        <v>0</v>
      </c>
      <c r="I369" s="115">
        <v>13330020</v>
      </c>
      <c r="J369" s="114" t="s">
        <v>3645</v>
      </c>
      <c r="K369" s="114" t="s">
        <v>3646</v>
      </c>
      <c r="L369" s="116"/>
      <c r="M369" s="114" t="s">
        <v>2878</v>
      </c>
      <c r="N369" s="114" t="s">
        <v>2879</v>
      </c>
      <c r="O369" s="114" t="s">
        <v>2878</v>
      </c>
      <c r="P369" s="117" t="s">
        <v>2880</v>
      </c>
    </row>
    <row r="370" spans="2:16" ht="45" hidden="1" x14ac:dyDescent="0.25">
      <c r="B370" s="114" t="str">
        <f t="shared" si="21"/>
        <v>1</v>
      </c>
      <c r="C370" s="114" t="str">
        <f t="shared" si="22"/>
        <v>3</v>
      </c>
      <c r="D370" s="114" t="str">
        <f t="shared" si="23"/>
        <v>3</v>
      </c>
      <c r="E370" s="114" t="str">
        <f t="shared" si="24"/>
        <v>3</v>
      </c>
      <c r="F370" s="114" t="str">
        <f t="shared" si="25"/>
        <v>00</v>
      </c>
      <c r="G370" s="114" t="str">
        <f t="shared" si="26"/>
        <v>3</v>
      </c>
      <c r="H370" s="114" t="str">
        <f t="shared" si="27"/>
        <v>0</v>
      </c>
      <c r="I370" s="115">
        <v>13330030</v>
      </c>
      <c r="J370" s="114" t="s">
        <v>3653</v>
      </c>
      <c r="K370" s="114" t="s">
        <v>3654</v>
      </c>
      <c r="L370" s="116"/>
      <c r="M370" s="114" t="s">
        <v>2878</v>
      </c>
      <c r="N370" s="114" t="s">
        <v>2879</v>
      </c>
      <c r="O370" s="114" t="s">
        <v>2878</v>
      </c>
      <c r="P370" s="117" t="s">
        <v>2880</v>
      </c>
    </row>
    <row r="371" spans="2:16" ht="90" hidden="1" x14ac:dyDescent="0.25">
      <c r="B371" s="114" t="str">
        <f t="shared" si="21"/>
        <v>1</v>
      </c>
      <c r="C371" s="114" t="str">
        <f t="shared" si="22"/>
        <v>3</v>
      </c>
      <c r="D371" s="114" t="str">
        <f t="shared" si="23"/>
        <v>3</v>
      </c>
      <c r="E371" s="114" t="str">
        <f t="shared" si="24"/>
        <v>3</v>
      </c>
      <c r="F371" s="114" t="str">
        <f t="shared" si="25"/>
        <v>00</v>
      </c>
      <c r="G371" s="114" t="str">
        <f t="shared" si="26"/>
        <v>4</v>
      </c>
      <c r="H371" s="114" t="str">
        <f t="shared" si="27"/>
        <v>0</v>
      </c>
      <c r="I371" s="115">
        <v>13330040</v>
      </c>
      <c r="J371" s="114" t="s">
        <v>3661</v>
      </c>
      <c r="K371" s="114" t="s">
        <v>3662</v>
      </c>
      <c r="L371" s="116"/>
      <c r="M371" s="114" t="s">
        <v>2878</v>
      </c>
      <c r="N371" s="114" t="s">
        <v>2879</v>
      </c>
      <c r="O371" s="114" t="s">
        <v>2878</v>
      </c>
      <c r="P371" s="117" t="s">
        <v>2880</v>
      </c>
    </row>
    <row r="372" spans="2:16" ht="165" hidden="1" x14ac:dyDescent="0.25">
      <c r="B372" s="114" t="str">
        <f t="shared" si="21"/>
        <v>1</v>
      </c>
      <c r="C372" s="114" t="str">
        <f t="shared" si="22"/>
        <v>3</v>
      </c>
      <c r="D372" s="114" t="str">
        <f t="shared" si="23"/>
        <v>3</v>
      </c>
      <c r="E372" s="114" t="str">
        <f t="shared" si="24"/>
        <v>3</v>
      </c>
      <c r="F372" s="114" t="str">
        <f t="shared" si="25"/>
        <v>00</v>
      </c>
      <c r="G372" s="114" t="str">
        <f t="shared" si="26"/>
        <v>5</v>
      </c>
      <c r="H372" s="114" t="str">
        <f t="shared" si="27"/>
        <v>0</v>
      </c>
      <c r="I372" s="115">
        <v>13330050</v>
      </c>
      <c r="J372" s="114" t="s">
        <v>3670</v>
      </c>
      <c r="K372" s="114" t="s">
        <v>3671</v>
      </c>
      <c r="L372" s="116"/>
      <c r="M372" s="114" t="s">
        <v>2878</v>
      </c>
      <c r="N372" s="114" t="s">
        <v>2879</v>
      </c>
      <c r="O372" s="114" t="s">
        <v>2878</v>
      </c>
      <c r="P372" s="117" t="s">
        <v>2880</v>
      </c>
    </row>
    <row r="373" spans="2:16" ht="75" hidden="1" x14ac:dyDescent="0.25">
      <c r="B373" s="114" t="str">
        <f t="shared" si="21"/>
        <v>1</v>
      </c>
      <c r="C373" s="114" t="str">
        <f t="shared" si="22"/>
        <v>3</v>
      </c>
      <c r="D373" s="114" t="str">
        <f t="shared" si="23"/>
        <v>3</v>
      </c>
      <c r="E373" s="114" t="str">
        <f t="shared" si="24"/>
        <v>3</v>
      </c>
      <c r="F373" s="114" t="str">
        <f t="shared" si="25"/>
        <v>00</v>
      </c>
      <c r="G373" s="114" t="str">
        <f t="shared" si="26"/>
        <v>6</v>
      </c>
      <c r="H373" s="114" t="str">
        <f t="shared" si="27"/>
        <v>0</v>
      </c>
      <c r="I373" s="115">
        <v>13330060</v>
      </c>
      <c r="J373" s="114" t="s">
        <v>3679</v>
      </c>
      <c r="K373" s="114" t="s">
        <v>3680</v>
      </c>
      <c r="L373" s="116"/>
      <c r="M373" s="114" t="s">
        <v>2878</v>
      </c>
      <c r="N373" s="114" t="s">
        <v>2879</v>
      </c>
      <c r="O373" s="114" t="s">
        <v>2878</v>
      </c>
      <c r="P373" s="117" t="s">
        <v>2880</v>
      </c>
    </row>
    <row r="374" spans="2:16" ht="30" hidden="1" x14ac:dyDescent="0.25">
      <c r="B374" s="114" t="str">
        <f t="shared" si="21"/>
        <v>1</v>
      </c>
      <c r="C374" s="114" t="str">
        <f t="shared" si="22"/>
        <v>3</v>
      </c>
      <c r="D374" s="114" t="str">
        <f t="shared" si="23"/>
        <v>3</v>
      </c>
      <c r="E374" s="114" t="str">
        <f t="shared" si="24"/>
        <v>3</v>
      </c>
      <c r="F374" s="114" t="str">
        <f t="shared" si="25"/>
        <v>00</v>
      </c>
      <c r="G374" s="114" t="str">
        <f t="shared" si="26"/>
        <v>7</v>
      </c>
      <c r="H374" s="114" t="str">
        <f t="shared" si="27"/>
        <v>0</v>
      </c>
      <c r="I374" s="115">
        <v>13330070</v>
      </c>
      <c r="J374" s="114" t="s">
        <v>3688</v>
      </c>
      <c r="K374" s="114" t="s">
        <v>3689</v>
      </c>
      <c r="L374" s="116"/>
      <c r="M374" s="114" t="s">
        <v>2878</v>
      </c>
      <c r="N374" s="114" t="s">
        <v>2879</v>
      </c>
      <c r="O374" s="114" t="s">
        <v>2878</v>
      </c>
      <c r="P374" s="117" t="s">
        <v>2880</v>
      </c>
    </row>
    <row r="375" spans="2:16" ht="45" hidden="1" x14ac:dyDescent="0.25">
      <c r="B375" s="114" t="str">
        <f t="shared" si="21"/>
        <v>1</v>
      </c>
      <c r="C375" s="114" t="str">
        <f t="shared" si="22"/>
        <v>3</v>
      </c>
      <c r="D375" s="114" t="str">
        <f t="shared" si="23"/>
        <v>3</v>
      </c>
      <c r="E375" s="114" t="str">
        <f t="shared" si="24"/>
        <v>3</v>
      </c>
      <c r="F375" s="114" t="str">
        <f t="shared" si="25"/>
        <v>00</v>
      </c>
      <c r="G375" s="114" t="str">
        <f t="shared" si="26"/>
        <v>9</v>
      </c>
      <c r="H375" s="114" t="str">
        <f t="shared" si="27"/>
        <v>0</v>
      </c>
      <c r="I375" s="115">
        <v>13330090</v>
      </c>
      <c r="J375" s="114" t="s">
        <v>3696</v>
      </c>
      <c r="K375" s="114" t="s">
        <v>3697</v>
      </c>
      <c r="L375" s="116"/>
      <c r="M375" s="114" t="s">
        <v>2878</v>
      </c>
      <c r="N375" s="114" t="s">
        <v>2879</v>
      </c>
      <c r="O375" s="114" t="s">
        <v>2878</v>
      </c>
      <c r="P375" s="117" t="s">
        <v>2880</v>
      </c>
    </row>
    <row r="376" spans="2:16" ht="30" hidden="1" x14ac:dyDescent="0.25">
      <c r="B376" s="104" t="str">
        <f t="shared" si="21"/>
        <v>1</v>
      </c>
      <c r="C376" s="104" t="str">
        <f t="shared" si="22"/>
        <v>3</v>
      </c>
      <c r="D376" s="104" t="str">
        <f t="shared" si="23"/>
        <v>3</v>
      </c>
      <c r="E376" s="104" t="str">
        <f t="shared" si="24"/>
        <v>9</v>
      </c>
      <c r="F376" s="104" t="str">
        <f t="shared" si="25"/>
        <v>00</v>
      </c>
      <c r="G376" s="104" t="str">
        <f t="shared" si="26"/>
        <v>0</v>
      </c>
      <c r="H376" s="104" t="str">
        <f t="shared" si="27"/>
        <v>0</v>
      </c>
      <c r="I376" s="105">
        <v>13390000</v>
      </c>
      <c r="J376" s="104" t="s">
        <v>3705</v>
      </c>
      <c r="K376" s="104" t="s">
        <v>3706</v>
      </c>
      <c r="L376" s="106"/>
      <c r="M376" s="104" t="s">
        <v>2878</v>
      </c>
      <c r="N376" s="104" t="s">
        <v>2879</v>
      </c>
      <c r="O376" s="104" t="s">
        <v>2878</v>
      </c>
      <c r="P376" s="107" t="s">
        <v>2880</v>
      </c>
    </row>
    <row r="377" spans="2:16" ht="30" hidden="1" x14ac:dyDescent="0.25">
      <c r="B377" s="108" t="str">
        <f t="shared" si="21"/>
        <v>1</v>
      </c>
      <c r="C377" s="108" t="str">
        <f t="shared" si="22"/>
        <v>3</v>
      </c>
      <c r="D377" s="108" t="str">
        <f t="shared" si="23"/>
        <v>3</v>
      </c>
      <c r="E377" s="108" t="str">
        <f t="shared" si="24"/>
        <v>9</v>
      </c>
      <c r="F377" s="108" t="str">
        <f t="shared" si="25"/>
        <v>01</v>
      </c>
      <c r="G377" s="108" t="str">
        <f t="shared" si="26"/>
        <v>0</v>
      </c>
      <c r="H377" s="108" t="str">
        <f t="shared" si="27"/>
        <v>0</v>
      </c>
      <c r="I377" s="109">
        <v>13390100</v>
      </c>
      <c r="J377" s="108" t="s">
        <v>3705</v>
      </c>
      <c r="K377" s="108" t="s">
        <v>3706</v>
      </c>
      <c r="L377" s="110"/>
      <c r="M377" s="108" t="s">
        <v>2878</v>
      </c>
      <c r="N377" s="108" t="s">
        <v>2879</v>
      </c>
      <c r="O377" s="108" t="s">
        <v>2878</v>
      </c>
      <c r="P377" s="111" t="s">
        <v>2880</v>
      </c>
    </row>
    <row r="378" spans="2:16" ht="30" hidden="1" x14ac:dyDescent="0.25">
      <c r="B378" s="114" t="str">
        <f t="shared" si="21"/>
        <v>1</v>
      </c>
      <c r="C378" s="114" t="str">
        <f t="shared" si="22"/>
        <v>3</v>
      </c>
      <c r="D378" s="114" t="str">
        <f t="shared" si="23"/>
        <v>3</v>
      </c>
      <c r="E378" s="114" t="str">
        <f t="shared" si="24"/>
        <v>9</v>
      </c>
      <c r="F378" s="114" t="str">
        <f t="shared" si="25"/>
        <v>01</v>
      </c>
      <c r="G378" s="114" t="str">
        <f t="shared" si="26"/>
        <v>1</v>
      </c>
      <c r="H378" s="114" t="str">
        <f t="shared" si="27"/>
        <v>0</v>
      </c>
      <c r="I378" s="115">
        <v>13390110</v>
      </c>
      <c r="J378" s="114" t="s">
        <v>3705</v>
      </c>
      <c r="K378" s="114" t="s">
        <v>3706</v>
      </c>
      <c r="L378" s="116"/>
      <c r="M378" s="114" t="s">
        <v>2878</v>
      </c>
      <c r="N378" s="114" t="s">
        <v>2879</v>
      </c>
      <c r="O378" s="114" t="s">
        <v>2878</v>
      </c>
      <c r="P378" s="117" t="s">
        <v>2880</v>
      </c>
    </row>
    <row r="379" spans="2:16" ht="30" hidden="1" x14ac:dyDescent="0.25">
      <c r="B379" s="108" t="str">
        <f t="shared" si="21"/>
        <v>1</v>
      </c>
      <c r="C379" s="108" t="str">
        <f t="shared" si="22"/>
        <v>3</v>
      </c>
      <c r="D379" s="108" t="str">
        <f t="shared" si="23"/>
        <v>3</v>
      </c>
      <c r="E379" s="108" t="str">
        <f t="shared" si="24"/>
        <v>9</v>
      </c>
      <c r="F379" s="108" t="str">
        <f t="shared" si="25"/>
        <v>99</v>
      </c>
      <c r="G379" s="108" t="str">
        <f t="shared" si="26"/>
        <v>0</v>
      </c>
      <c r="H379" s="108" t="str">
        <f t="shared" si="27"/>
        <v>0</v>
      </c>
      <c r="I379" s="109">
        <v>13399900</v>
      </c>
      <c r="J379" s="108" t="s">
        <v>3711</v>
      </c>
      <c r="K379" s="108" t="s">
        <v>3712</v>
      </c>
      <c r="L379" s="110"/>
      <c r="M379" s="108" t="s">
        <v>2878</v>
      </c>
      <c r="N379" s="108" t="s">
        <v>2879</v>
      </c>
      <c r="O379" s="108" t="s">
        <v>2878</v>
      </c>
      <c r="P379" s="111" t="s">
        <v>2880</v>
      </c>
    </row>
    <row r="380" spans="2:16" ht="30" hidden="1" x14ac:dyDescent="0.25">
      <c r="B380" s="114" t="str">
        <f t="shared" si="21"/>
        <v>1</v>
      </c>
      <c r="C380" s="114" t="str">
        <f t="shared" si="22"/>
        <v>3</v>
      </c>
      <c r="D380" s="114" t="str">
        <f t="shared" si="23"/>
        <v>3</v>
      </c>
      <c r="E380" s="114" t="str">
        <f t="shared" si="24"/>
        <v>9</v>
      </c>
      <c r="F380" s="114" t="str">
        <f t="shared" si="25"/>
        <v>99</v>
      </c>
      <c r="G380" s="114" t="str">
        <f t="shared" si="26"/>
        <v>1</v>
      </c>
      <c r="H380" s="114" t="str">
        <f t="shared" si="27"/>
        <v>0</v>
      </c>
      <c r="I380" s="115">
        <v>13399910</v>
      </c>
      <c r="J380" s="114" t="s">
        <v>3711</v>
      </c>
      <c r="K380" s="114" t="s">
        <v>3712</v>
      </c>
      <c r="L380" s="116"/>
      <c r="M380" s="114" t="s">
        <v>2878</v>
      </c>
      <c r="N380" s="114" t="s">
        <v>2879</v>
      </c>
      <c r="O380" s="114" t="s">
        <v>2878</v>
      </c>
      <c r="P380" s="117" t="s">
        <v>2880</v>
      </c>
    </row>
    <row r="381" spans="2:16" ht="30" hidden="1" x14ac:dyDescent="0.25">
      <c r="B381" s="126" t="str">
        <f t="shared" si="21"/>
        <v>1</v>
      </c>
      <c r="C381" s="126" t="str">
        <f t="shared" si="22"/>
        <v>3</v>
      </c>
      <c r="D381" s="126" t="str">
        <f t="shared" si="23"/>
        <v>4</v>
      </c>
      <c r="E381" s="126" t="str">
        <f t="shared" si="24"/>
        <v>0</v>
      </c>
      <c r="F381" s="126" t="str">
        <f t="shared" si="25"/>
        <v>00</v>
      </c>
      <c r="G381" s="126" t="str">
        <f t="shared" si="26"/>
        <v>0</v>
      </c>
      <c r="H381" s="126" t="str">
        <f t="shared" si="27"/>
        <v>0</v>
      </c>
      <c r="I381" s="127">
        <v>13400000</v>
      </c>
      <c r="J381" s="126" t="s">
        <v>3718</v>
      </c>
      <c r="K381" s="126" t="s">
        <v>3719</v>
      </c>
      <c r="L381" s="122"/>
      <c r="M381" s="126" t="s">
        <v>2878</v>
      </c>
      <c r="N381" s="126" t="s">
        <v>5016</v>
      </c>
      <c r="O381" s="126" t="s">
        <v>2878</v>
      </c>
      <c r="P381" s="128" t="s">
        <v>2880</v>
      </c>
    </row>
    <row r="382" spans="2:16" ht="30" hidden="1" x14ac:dyDescent="0.25">
      <c r="B382" s="104" t="str">
        <f t="shared" si="21"/>
        <v>1</v>
      </c>
      <c r="C382" s="104" t="str">
        <f t="shared" si="22"/>
        <v>3</v>
      </c>
      <c r="D382" s="104" t="str">
        <f t="shared" si="23"/>
        <v>4</v>
      </c>
      <c r="E382" s="104" t="str">
        <f t="shared" si="24"/>
        <v>1</v>
      </c>
      <c r="F382" s="104" t="str">
        <f t="shared" si="25"/>
        <v>00</v>
      </c>
      <c r="G382" s="104" t="str">
        <f t="shared" si="26"/>
        <v>0</v>
      </c>
      <c r="H382" s="104" t="str">
        <f t="shared" si="27"/>
        <v>0</v>
      </c>
      <c r="I382" s="105">
        <v>13410000</v>
      </c>
      <c r="J382" s="104" t="s">
        <v>3720</v>
      </c>
      <c r="K382" s="104" t="s">
        <v>3721</v>
      </c>
      <c r="L382" s="106"/>
      <c r="M382" s="104" t="s">
        <v>2878</v>
      </c>
      <c r="N382" s="104" t="s">
        <v>856</v>
      </c>
      <c r="O382" s="104" t="s">
        <v>2878</v>
      </c>
      <c r="P382" s="107" t="s">
        <v>2880</v>
      </c>
    </row>
    <row r="383" spans="2:16" ht="30" hidden="1" x14ac:dyDescent="0.25">
      <c r="B383" s="108" t="str">
        <f t="shared" si="21"/>
        <v>1</v>
      </c>
      <c r="C383" s="108" t="str">
        <f t="shared" si="22"/>
        <v>3</v>
      </c>
      <c r="D383" s="108" t="str">
        <f t="shared" si="23"/>
        <v>4</v>
      </c>
      <c r="E383" s="108" t="str">
        <f t="shared" si="24"/>
        <v>1</v>
      </c>
      <c r="F383" s="108" t="str">
        <f t="shared" si="25"/>
        <v>01</v>
      </c>
      <c r="G383" s="108" t="str">
        <f t="shared" si="26"/>
        <v>0</v>
      </c>
      <c r="H383" s="108" t="str">
        <f t="shared" si="27"/>
        <v>0</v>
      </c>
      <c r="I383" s="109">
        <v>13410100</v>
      </c>
      <c r="J383" s="108" t="s">
        <v>3722</v>
      </c>
      <c r="K383" s="108" t="s">
        <v>3723</v>
      </c>
      <c r="L383" s="110"/>
      <c r="M383" s="108" t="s">
        <v>2878</v>
      </c>
      <c r="N383" s="108" t="s">
        <v>2879</v>
      </c>
      <c r="O383" s="108" t="s">
        <v>2878</v>
      </c>
      <c r="P383" s="111" t="s">
        <v>2880</v>
      </c>
    </row>
    <row r="384" spans="2:16" ht="45" hidden="1" x14ac:dyDescent="0.25">
      <c r="B384" s="114" t="str">
        <f t="shared" si="21"/>
        <v>1</v>
      </c>
      <c r="C384" s="114" t="str">
        <f t="shared" si="22"/>
        <v>3</v>
      </c>
      <c r="D384" s="114" t="str">
        <f t="shared" si="23"/>
        <v>4</v>
      </c>
      <c r="E384" s="114" t="str">
        <f t="shared" si="24"/>
        <v>1</v>
      </c>
      <c r="F384" s="114" t="str">
        <f t="shared" si="25"/>
        <v>01</v>
      </c>
      <c r="G384" s="114" t="str">
        <f t="shared" si="26"/>
        <v>1</v>
      </c>
      <c r="H384" s="114" t="str">
        <f t="shared" si="27"/>
        <v>0</v>
      </c>
      <c r="I384" s="115">
        <v>13410110</v>
      </c>
      <c r="J384" s="114" t="s">
        <v>3724</v>
      </c>
      <c r="K384" s="114" t="s">
        <v>3725</v>
      </c>
      <c r="L384" s="116"/>
      <c r="M384" s="114" t="s">
        <v>2878</v>
      </c>
      <c r="N384" s="114" t="s">
        <v>2879</v>
      </c>
      <c r="O384" s="114" t="s">
        <v>2878</v>
      </c>
      <c r="P384" s="117" t="s">
        <v>2880</v>
      </c>
    </row>
    <row r="385" spans="2:16" ht="30" hidden="1" x14ac:dyDescent="0.25">
      <c r="B385" s="114" t="str">
        <f t="shared" si="21"/>
        <v>1</v>
      </c>
      <c r="C385" s="114" t="str">
        <f t="shared" si="22"/>
        <v>3</v>
      </c>
      <c r="D385" s="114" t="str">
        <f t="shared" si="23"/>
        <v>4</v>
      </c>
      <c r="E385" s="114" t="str">
        <f t="shared" si="24"/>
        <v>1</v>
      </c>
      <c r="F385" s="114" t="str">
        <f t="shared" si="25"/>
        <v>01</v>
      </c>
      <c r="G385" s="114" t="str">
        <f t="shared" si="26"/>
        <v>2</v>
      </c>
      <c r="H385" s="114" t="str">
        <f t="shared" si="27"/>
        <v>0</v>
      </c>
      <c r="I385" s="115">
        <v>13410120</v>
      </c>
      <c r="J385" s="114" t="s">
        <v>671</v>
      </c>
      <c r="K385" s="114" t="s">
        <v>3730</v>
      </c>
      <c r="L385" s="116"/>
      <c r="M385" s="114" t="s">
        <v>2878</v>
      </c>
      <c r="N385" s="114" t="s">
        <v>2879</v>
      </c>
      <c r="O385" s="114" t="s">
        <v>2878</v>
      </c>
      <c r="P385" s="117" t="s">
        <v>2880</v>
      </c>
    </row>
    <row r="386" spans="2:16" ht="30" hidden="1" x14ac:dyDescent="0.25">
      <c r="B386" s="108" t="str">
        <f t="shared" si="21"/>
        <v>1</v>
      </c>
      <c r="C386" s="108" t="str">
        <f t="shared" si="22"/>
        <v>3</v>
      </c>
      <c r="D386" s="108" t="str">
        <f t="shared" si="23"/>
        <v>4</v>
      </c>
      <c r="E386" s="108" t="str">
        <f t="shared" si="24"/>
        <v>1</v>
      </c>
      <c r="F386" s="108" t="str">
        <f t="shared" si="25"/>
        <v>02</v>
      </c>
      <c r="G386" s="108" t="str">
        <f t="shared" si="26"/>
        <v>0</v>
      </c>
      <c r="H386" s="108" t="str">
        <f t="shared" si="27"/>
        <v>0</v>
      </c>
      <c r="I386" s="109">
        <v>13410200</v>
      </c>
      <c r="J386" s="108" t="s">
        <v>3735</v>
      </c>
      <c r="K386" s="108" t="s">
        <v>3721</v>
      </c>
      <c r="L386" s="110"/>
      <c r="M386" s="108" t="s">
        <v>2878</v>
      </c>
      <c r="N386" s="108" t="s">
        <v>856</v>
      </c>
      <c r="O386" s="108" t="s">
        <v>2878</v>
      </c>
      <c r="P386" s="111" t="s">
        <v>2880</v>
      </c>
    </row>
    <row r="387" spans="2:16" ht="45" hidden="1" x14ac:dyDescent="0.25">
      <c r="B387" s="114" t="str">
        <f t="shared" si="21"/>
        <v>1</v>
      </c>
      <c r="C387" s="114" t="str">
        <f t="shared" si="22"/>
        <v>3</v>
      </c>
      <c r="D387" s="114" t="str">
        <f t="shared" si="23"/>
        <v>4</v>
      </c>
      <c r="E387" s="114" t="str">
        <f t="shared" si="24"/>
        <v>1</v>
      </c>
      <c r="F387" s="114" t="str">
        <f t="shared" si="25"/>
        <v>02</v>
      </c>
      <c r="G387" s="114" t="str">
        <f t="shared" si="26"/>
        <v>1</v>
      </c>
      <c r="H387" s="114" t="str">
        <f t="shared" si="27"/>
        <v>0</v>
      </c>
      <c r="I387" s="115">
        <v>13410210</v>
      </c>
      <c r="J387" s="114" t="s">
        <v>857</v>
      </c>
      <c r="K387" s="114" t="s">
        <v>3736</v>
      </c>
      <c r="L387" s="116"/>
      <c r="M387" s="114" t="s">
        <v>2878</v>
      </c>
      <c r="N387" s="114" t="s">
        <v>2879</v>
      </c>
      <c r="O387" s="114" t="s">
        <v>2878</v>
      </c>
      <c r="P387" s="117" t="s">
        <v>2880</v>
      </c>
    </row>
    <row r="388" spans="2:16" ht="97.5" hidden="1" customHeight="1" x14ac:dyDescent="0.25">
      <c r="B388" s="114" t="str">
        <f t="shared" si="21"/>
        <v>1</v>
      </c>
      <c r="C388" s="114" t="str">
        <f t="shared" si="22"/>
        <v>3</v>
      </c>
      <c r="D388" s="114" t="str">
        <f t="shared" si="23"/>
        <v>4</v>
      </c>
      <c r="E388" s="114" t="str">
        <f t="shared" si="24"/>
        <v>1</v>
      </c>
      <c r="F388" s="114" t="str">
        <f t="shared" si="25"/>
        <v>02</v>
      </c>
      <c r="G388" s="114" t="str">
        <f t="shared" si="26"/>
        <v>2</v>
      </c>
      <c r="H388" s="114" t="str">
        <f t="shared" si="27"/>
        <v>0</v>
      </c>
      <c r="I388" s="115">
        <v>13410220</v>
      </c>
      <c r="J388" s="114" t="s">
        <v>861</v>
      </c>
      <c r="K388" s="114" t="s">
        <v>3741</v>
      </c>
      <c r="L388" s="116"/>
      <c r="M388" s="114" t="s">
        <v>2878</v>
      </c>
      <c r="N388" s="114" t="s">
        <v>2879</v>
      </c>
      <c r="O388" s="114" t="s">
        <v>2878</v>
      </c>
      <c r="P388" s="117" t="s">
        <v>2880</v>
      </c>
    </row>
    <row r="389" spans="2:16" ht="92.25" hidden="1" customHeight="1" x14ac:dyDescent="0.25">
      <c r="B389" s="114" t="str">
        <f t="shared" si="21"/>
        <v>1</v>
      </c>
      <c r="C389" s="114" t="str">
        <f t="shared" si="22"/>
        <v>3</v>
      </c>
      <c r="D389" s="114" t="str">
        <f t="shared" si="23"/>
        <v>4</v>
      </c>
      <c r="E389" s="114" t="str">
        <f t="shared" si="24"/>
        <v>1</v>
      </c>
      <c r="F389" s="114" t="str">
        <f t="shared" si="25"/>
        <v>02</v>
      </c>
      <c r="G389" s="114" t="str">
        <f t="shared" si="26"/>
        <v>3</v>
      </c>
      <c r="H389" s="114" t="str">
        <f t="shared" si="27"/>
        <v>0</v>
      </c>
      <c r="I389" s="115">
        <v>13410230</v>
      </c>
      <c r="J389" s="114" t="s">
        <v>3746</v>
      </c>
      <c r="K389" s="114" t="s">
        <v>3747</v>
      </c>
      <c r="L389" s="116"/>
      <c r="M389" s="114" t="s">
        <v>2878</v>
      </c>
      <c r="N389" s="114" t="s">
        <v>2879</v>
      </c>
      <c r="O389" s="114" t="s">
        <v>2878</v>
      </c>
      <c r="P389" s="117" t="s">
        <v>2880</v>
      </c>
    </row>
    <row r="390" spans="2:16" ht="75" hidden="1" x14ac:dyDescent="0.25">
      <c r="B390" s="114" t="str">
        <f t="shared" si="21"/>
        <v>1</v>
      </c>
      <c r="C390" s="114" t="str">
        <f t="shared" si="22"/>
        <v>3</v>
      </c>
      <c r="D390" s="114" t="str">
        <f t="shared" si="23"/>
        <v>4</v>
      </c>
      <c r="E390" s="114" t="str">
        <f t="shared" si="24"/>
        <v>1</v>
      </c>
      <c r="F390" s="114" t="str">
        <f t="shared" si="25"/>
        <v>02</v>
      </c>
      <c r="G390" s="114" t="str">
        <f t="shared" si="26"/>
        <v>4</v>
      </c>
      <c r="H390" s="114" t="str">
        <f t="shared" si="27"/>
        <v>0</v>
      </c>
      <c r="I390" s="115">
        <v>13410240</v>
      </c>
      <c r="J390" s="114" t="s">
        <v>865</v>
      </c>
      <c r="K390" s="114" t="s">
        <v>3751</v>
      </c>
      <c r="L390" s="116"/>
      <c r="M390" s="114" t="s">
        <v>2878</v>
      </c>
      <c r="N390" s="114" t="s">
        <v>2879</v>
      </c>
      <c r="O390" s="114" t="s">
        <v>2878</v>
      </c>
      <c r="P390" s="117" t="s">
        <v>2880</v>
      </c>
    </row>
    <row r="391" spans="2:16" ht="30" hidden="1" x14ac:dyDescent="0.25">
      <c r="B391" s="108" t="str">
        <f t="shared" si="21"/>
        <v>1</v>
      </c>
      <c r="C391" s="108" t="str">
        <f t="shared" si="22"/>
        <v>3</v>
      </c>
      <c r="D391" s="108" t="str">
        <f t="shared" si="23"/>
        <v>4</v>
      </c>
      <c r="E391" s="108" t="str">
        <f t="shared" si="24"/>
        <v>1</v>
      </c>
      <c r="F391" s="108" t="str">
        <f t="shared" si="25"/>
        <v>03</v>
      </c>
      <c r="G391" s="108" t="str">
        <f t="shared" si="26"/>
        <v>0</v>
      </c>
      <c r="H391" s="108" t="str">
        <f t="shared" si="27"/>
        <v>0</v>
      </c>
      <c r="I391" s="109">
        <v>13410300</v>
      </c>
      <c r="J391" s="108" t="s">
        <v>3755</v>
      </c>
      <c r="K391" s="108" t="s">
        <v>3721</v>
      </c>
      <c r="L391" s="110"/>
      <c r="M391" s="108" t="s">
        <v>2878</v>
      </c>
      <c r="N391" s="108" t="s">
        <v>856</v>
      </c>
      <c r="O391" s="108" t="s">
        <v>2878</v>
      </c>
      <c r="P391" s="111" t="s">
        <v>2880</v>
      </c>
    </row>
    <row r="392" spans="2:16" ht="45" hidden="1" x14ac:dyDescent="0.25">
      <c r="B392" s="114" t="str">
        <f t="shared" si="21"/>
        <v>1</v>
      </c>
      <c r="C392" s="114" t="str">
        <f t="shared" si="22"/>
        <v>3</v>
      </c>
      <c r="D392" s="114" t="str">
        <f t="shared" si="23"/>
        <v>4</v>
      </c>
      <c r="E392" s="114" t="str">
        <f t="shared" si="24"/>
        <v>1</v>
      </c>
      <c r="F392" s="114" t="str">
        <f t="shared" si="25"/>
        <v>03</v>
      </c>
      <c r="G392" s="114" t="str">
        <f t="shared" si="26"/>
        <v>1</v>
      </c>
      <c r="H392" s="114" t="str">
        <f t="shared" si="27"/>
        <v>0</v>
      </c>
      <c r="I392" s="115">
        <v>13410310</v>
      </c>
      <c r="J392" s="114" t="s">
        <v>867</v>
      </c>
      <c r="K392" s="114" t="s">
        <v>3756</v>
      </c>
      <c r="L392" s="116"/>
      <c r="M392" s="114" t="s">
        <v>2878</v>
      </c>
      <c r="N392" s="114" t="s">
        <v>2879</v>
      </c>
      <c r="O392" s="114" t="s">
        <v>2878</v>
      </c>
      <c r="P392" s="117" t="s">
        <v>2880</v>
      </c>
    </row>
    <row r="393" spans="2:16" ht="150" hidden="1" x14ac:dyDescent="0.25">
      <c r="B393" s="114" t="str">
        <f t="shared" si="21"/>
        <v>1</v>
      </c>
      <c r="C393" s="114" t="str">
        <f t="shared" si="22"/>
        <v>3</v>
      </c>
      <c r="D393" s="114" t="str">
        <f t="shared" si="23"/>
        <v>4</v>
      </c>
      <c r="E393" s="114" t="str">
        <f t="shared" si="24"/>
        <v>1</v>
      </c>
      <c r="F393" s="114" t="str">
        <f t="shared" si="25"/>
        <v>03</v>
      </c>
      <c r="G393" s="114" t="str">
        <f t="shared" si="26"/>
        <v>2</v>
      </c>
      <c r="H393" s="114" t="str">
        <f t="shared" si="27"/>
        <v>0</v>
      </c>
      <c r="I393" s="115">
        <v>13410320</v>
      </c>
      <c r="J393" s="114" t="s">
        <v>3761</v>
      </c>
      <c r="K393" s="114" t="s">
        <v>3762</v>
      </c>
      <c r="L393" s="116"/>
      <c r="M393" s="114" t="s">
        <v>2878</v>
      </c>
      <c r="N393" s="114" t="s">
        <v>2879</v>
      </c>
      <c r="O393" s="114" t="s">
        <v>2878</v>
      </c>
      <c r="P393" s="117" t="s">
        <v>2880</v>
      </c>
    </row>
    <row r="394" spans="2:16" ht="93.75" hidden="1" customHeight="1" x14ac:dyDescent="0.25">
      <c r="B394" s="114" t="str">
        <f t="shared" si="21"/>
        <v>1</v>
      </c>
      <c r="C394" s="114" t="str">
        <f t="shared" si="22"/>
        <v>3</v>
      </c>
      <c r="D394" s="114" t="str">
        <f t="shared" si="23"/>
        <v>4</v>
      </c>
      <c r="E394" s="114" t="str">
        <f t="shared" si="24"/>
        <v>1</v>
      </c>
      <c r="F394" s="114" t="str">
        <f t="shared" si="25"/>
        <v>03</v>
      </c>
      <c r="G394" s="114" t="str">
        <f t="shared" si="26"/>
        <v>3</v>
      </c>
      <c r="H394" s="114" t="str">
        <f t="shared" si="27"/>
        <v>0</v>
      </c>
      <c r="I394" s="115">
        <v>13410330</v>
      </c>
      <c r="J394" s="114" t="s">
        <v>873</v>
      </c>
      <c r="K394" s="114" t="s">
        <v>3767</v>
      </c>
      <c r="L394" s="116"/>
      <c r="M394" s="114" t="s">
        <v>2878</v>
      </c>
      <c r="N394" s="114" t="s">
        <v>2879</v>
      </c>
      <c r="O394" s="114" t="s">
        <v>2878</v>
      </c>
      <c r="P394" s="117" t="s">
        <v>2880</v>
      </c>
    </row>
    <row r="395" spans="2:16" ht="75" hidden="1" x14ac:dyDescent="0.25">
      <c r="B395" s="114" t="str">
        <f t="shared" si="21"/>
        <v>1</v>
      </c>
      <c r="C395" s="114" t="str">
        <f t="shared" si="22"/>
        <v>3</v>
      </c>
      <c r="D395" s="114" t="str">
        <f t="shared" si="23"/>
        <v>4</v>
      </c>
      <c r="E395" s="114" t="str">
        <f t="shared" si="24"/>
        <v>1</v>
      </c>
      <c r="F395" s="114" t="str">
        <f t="shared" si="25"/>
        <v>03</v>
      </c>
      <c r="G395" s="114" t="str">
        <f t="shared" si="26"/>
        <v>4</v>
      </c>
      <c r="H395" s="114" t="str">
        <f t="shared" si="27"/>
        <v>0</v>
      </c>
      <c r="I395" s="115">
        <v>13410340</v>
      </c>
      <c r="J395" s="114" t="s">
        <v>875</v>
      </c>
      <c r="K395" s="114" t="s">
        <v>3771</v>
      </c>
      <c r="L395" s="116"/>
      <c r="M395" s="114" t="s">
        <v>2878</v>
      </c>
      <c r="N395" s="114" t="s">
        <v>2879</v>
      </c>
      <c r="O395" s="114" t="s">
        <v>2878</v>
      </c>
      <c r="P395" s="117" t="s">
        <v>2880</v>
      </c>
    </row>
    <row r="396" spans="2:16" ht="45" hidden="1" x14ac:dyDescent="0.25">
      <c r="B396" s="108" t="str">
        <f t="shared" si="21"/>
        <v>1</v>
      </c>
      <c r="C396" s="108" t="str">
        <f t="shared" si="22"/>
        <v>3</v>
      </c>
      <c r="D396" s="108" t="str">
        <f t="shared" si="23"/>
        <v>4</v>
      </c>
      <c r="E396" s="108" t="str">
        <f t="shared" si="24"/>
        <v>1</v>
      </c>
      <c r="F396" s="108" t="str">
        <f t="shared" si="25"/>
        <v>04</v>
      </c>
      <c r="G396" s="108" t="str">
        <f t="shared" si="26"/>
        <v>0</v>
      </c>
      <c r="H396" s="108" t="str">
        <f t="shared" si="27"/>
        <v>0</v>
      </c>
      <c r="I396" s="109">
        <v>13410400</v>
      </c>
      <c r="J396" s="108" t="s">
        <v>3775</v>
      </c>
      <c r="K396" s="108" t="s">
        <v>3776</v>
      </c>
      <c r="L396" s="110"/>
      <c r="M396" s="108" t="s">
        <v>2878</v>
      </c>
      <c r="N396" s="108" t="s">
        <v>856</v>
      </c>
      <c r="O396" s="108" t="s">
        <v>2878</v>
      </c>
      <c r="P396" s="111" t="s">
        <v>2880</v>
      </c>
    </row>
    <row r="397" spans="2:16" ht="83.25" hidden="1" customHeight="1" x14ac:dyDescent="0.25">
      <c r="B397" s="114" t="str">
        <f t="shared" si="21"/>
        <v>1</v>
      </c>
      <c r="C397" s="114" t="str">
        <f t="shared" si="22"/>
        <v>3</v>
      </c>
      <c r="D397" s="114" t="str">
        <f t="shared" si="23"/>
        <v>4</v>
      </c>
      <c r="E397" s="114" t="str">
        <f t="shared" si="24"/>
        <v>1</v>
      </c>
      <c r="F397" s="114" t="str">
        <f t="shared" si="25"/>
        <v>04</v>
      </c>
      <c r="G397" s="114" t="str">
        <f t="shared" si="26"/>
        <v>1</v>
      </c>
      <c r="H397" s="114" t="str">
        <f t="shared" si="27"/>
        <v>0</v>
      </c>
      <c r="I397" s="115">
        <v>13410410</v>
      </c>
      <c r="J397" s="114" t="s">
        <v>877</v>
      </c>
      <c r="K397" s="114" t="s">
        <v>3777</v>
      </c>
      <c r="L397" s="116"/>
      <c r="M397" s="114" t="s">
        <v>2878</v>
      </c>
      <c r="N397" s="114" t="s">
        <v>2879</v>
      </c>
      <c r="O397" s="114" t="s">
        <v>2878</v>
      </c>
      <c r="P397" s="117" t="s">
        <v>2880</v>
      </c>
    </row>
    <row r="398" spans="2:16" ht="114" hidden="1" customHeight="1" x14ac:dyDescent="0.25">
      <c r="B398" s="114" t="str">
        <f t="shared" si="21"/>
        <v>1</v>
      </c>
      <c r="C398" s="114" t="str">
        <f t="shared" si="22"/>
        <v>3</v>
      </c>
      <c r="D398" s="114" t="str">
        <f t="shared" si="23"/>
        <v>4</v>
      </c>
      <c r="E398" s="114" t="str">
        <f t="shared" si="24"/>
        <v>1</v>
      </c>
      <c r="F398" s="114" t="str">
        <f t="shared" si="25"/>
        <v>04</v>
      </c>
      <c r="G398" s="114" t="str">
        <f t="shared" si="26"/>
        <v>2</v>
      </c>
      <c r="H398" s="114" t="str">
        <f t="shared" si="27"/>
        <v>0</v>
      </c>
      <c r="I398" s="115">
        <v>13410420</v>
      </c>
      <c r="J398" s="114" t="s">
        <v>881</v>
      </c>
      <c r="K398" s="114" t="s">
        <v>3782</v>
      </c>
      <c r="L398" s="116"/>
      <c r="M398" s="114" t="s">
        <v>2878</v>
      </c>
      <c r="N398" s="114" t="s">
        <v>2879</v>
      </c>
      <c r="O398" s="114" t="s">
        <v>2878</v>
      </c>
      <c r="P398" s="117" t="s">
        <v>2880</v>
      </c>
    </row>
    <row r="399" spans="2:16" ht="73.5" hidden="1" customHeight="1" x14ac:dyDescent="0.25">
      <c r="B399" s="114" t="str">
        <f t="shared" si="21"/>
        <v>1</v>
      </c>
      <c r="C399" s="114" t="str">
        <f t="shared" si="22"/>
        <v>3</v>
      </c>
      <c r="D399" s="114" t="str">
        <f t="shared" si="23"/>
        <v>4</v>
      </c>
      <c r="E399" s="114" t="str">
        <f t="shared" si="24"/>
        <v>1</v>
      </c>
      <c r="F399" s="114" t="str">
        <f t="shared" si="25"/>
        <v>04</v>
      </c>
      <c r="G399" s="114" t="str">
        <f t="shared" si="26"/>
        <v>3</v>
      </c>
      <c r="H399" s="114" t="str">
        <f t="shared" si="27"/>
        <v>0</v>
      </c>
      <c r="I399" s="115">
        <v>13410430</v>
      </c>
      <c r="J399" s="114" t="s">
        <v>3786</v>
      </c>
      <c r="K399" s="114" t="s">
        <v>3787</v>
      </c>
      <c r="L399" s="116"/>
      <c r="M399" s="114" t="s">
        <v>2878</v>
      </c>
      <c r="N399" s="114" t="s">
        <v>2879</v>
      </c>
      <c r="O399" s="114" t="s">
        <v>2878</v>
      </c>
      <c r="P399" s="117" t="s">
        <v>2880</v>
      </c>
    </row>
    <row r="400" spans="2:16" ht="72" hidden="1" customHeight="1" x14ac:dyDescent="0.25">
      <c r="B400" s="114" t="str">
        <f t="shared" si="21"/>
        <v>1</v>
      </c>
      <c r="C400" s="114" t="str">
        <f t="shared" si="22"/>
        <v>3</v>
      </c>
      <c r="D400" s="114" t="str">
        <f t="shared" si="23"/>
        <v>4</v>
      </c>
      <c r="E400" s="114" t="str">
        <f t="shared" si="24"/>
        <v>1</v>
      </c>
      <c r="F400" s="114" t="str">
        <f t="shared" si="25"/>
        <v>04</v>
      </c>
      <c r="G400" s="114" t="str">
        <f t="shared" si="26"/>
        <v>4</v>
      </c>
      <c r="H400" s="114" t="str">
        <f t="shared" si="27"/>
        <v>0</v>
      </c>
      <c r="I400" s="115">
        <v>13410440</v>
      </c>
      <c r="J400" s="114" t="s">
        <v>3791</v>
      </c>
      <c r="K400" s="114" t="s">
        <v>3792</v>
      </c>
      <c r="L400" s="116"/>
      <c r="M400" s="114" t="s">
        <v>2878</v>
      </c>
      <c r="N400" s="114" t="s">
        <v>2879</v>
      </c>
      <c r="O400" s="114" t="s">
        <v>2878</v>
      </c>
      <c r="P400" s="117" t="s">
        <v>2880</v>
      </c>
    </row>
    <row r="401" spans="2:16" ht="45" hidden="1" x14ac:dyDescent="0.25">
      <c r="B401" s="104" t="str">
        <f t="shared" si="21"/>
        <v>1</v>
      </c>
      <c r="C401" s="104" t="str">
        <f t="shared" si="22"/>
        <v>3</v>
      </c>
      <c r="D401" s="104" t="str">
        <f t="shared" si="23"/>
        <v>4</v>
      </c>
      <c r="E401" s="104" t="str">
        <f t="shared" si="24"/>
        <v>2</v>
      </c>
      <c r="F401" s="104" t="str">
        <f t="shared" si="25"/>
        <v>00</v>
      </c>
      <c r="G401" s="104" t="str">
        <f t="shared" si="26"/>
        <v>0</v>
      </c>
      <c r="H401" s="104" t="str">
        <f t="shared" si="27"/>
        <v>0</v>
      </c>
      <c r="I401" s="105">
        <v>13420000</v>
      </c>
      <c r="J401" s="104" t="s">
        <v>3796</v>
      </c>
      <c r="K401" s="104" t="s">
        <v>3797</v>
      </c>
      <c r="L401" s="106"/>
      <c r="M401" s="104" t="s">
        <v>2878</v>
      </c>
      <c r="N401" s="104" t="s">
        <v>834</v>
      </c>
      <c r="O401" s="104" t="s">
        <v>2878</v>
      </c>
      <c r="P401" s="107" t="s">
        <v>2880</v>
      </c>
    </row>
    <row r="402" spans="2:16" ht="45" hidden="1" x14ac:dyDescent="0.25">
      <c r="B402" s="108" t="str">
        <f t="shared" si="21"/>
        <v>1</v>
      </c>
      <c r="C402" s="108" t="str">
        <f t="shared" si="22"/>
        <v>3</v>
      </c>
      <c r="D402" s="108" t="str">
        <f t="shared" si="23"/>
        <v>4</v>
      </c>
      <c r="E402" s="108" t="str">
        <f t="shared" si="24"/>
        <v>2</v>
      </c>
      <c r="F402" s="108" t="str">
        <f t="shared" si="25"/>
        <v>02</v>
      </c>
      <c r="G402" s="108" t="str">
        <f t="shared" si="26"/>
        <v>0</v>
      </c>
      <c r="H402" s="108" t="str">
        <f t="shared" si="27"/>
        <v>0</v>
      </c>
      <c r="I402" s="109">
        <v>13420200</v>
      </c>
      <c r="J402" s="108" t="s">
        <v>3798</v>
      </c>
      <c r="K402" s="108" t="s">
        <v>3799</v>
      </c>
      <c r="L402" s="110"/>
      <c r="M402" s="108" t="s">
        <v>2878</v>
      </c>
      <c r="N402" s="108" t="s">
        <v>834</v>
      </c>
      <c r="O402" s="108" t="s">
        <v>2878</v>
      </c>
      <c r="P402" s="111" t="s">
        <v>2880</v>
      </c>
    </row>
    <row r="403" spans="2:16" ht="60" hidden="1" x14ac:dyDescent="0.25">
      <c r="B403" s="114" t="str">
        <f t="shared" si="21"/>
        <v>1</v>
      </c>
      <c r="C403" s="114" t="str">
        <f t="shared" si="22"/>
        <v>3</v>
      </c>
      <c r="D403" s="114" t="str">
        <f t="shared" si="23"/>
        <v>4</v>
      </c>
      <c r="E403" s="114" t="str">
        <f t="shared" si="24"/>
        <v>2</v>
      </c>
      <c r="F403" s="114" t="str">
        <f t="shared" si="25"/>
        <v>02</v>
      </c>
      <c r="G403" s="114" t="str">
        <f t="shared" si="26"/>
        <v>1</v>
      </c>
      <c r="H403" s="114" t="str">
        <f t="shared" si="27"/>
        <v>0</v>
      </c>
      <c r="I403" s="115">
        <v>13420210</v>
      </c>
      <c r="J403" s="114" t="s">
        <v>3800</v>
      </c>
      <c r="K403" s="114" t="s">
        <v>3801</v>
      </c>
      <c r="L403" s="116"/>
      <c r="M403" s="114" t="s">
        <v>2878</v>
      </c>
      <c r="N403" s="114" t="s">
        <v>2879</v>
      </c>
      <c r="O403" s="114" t="s">
        <v>2878</v>
      </c>
      <c r="P403" s="117" t="s">
        <v>2880</v>
      </c>
    </row>
    <row r="404" spans="2:16" ht="60" hidden="1" x14ac:dyDescent="0.25">
      <c r="B404" s="114" t="str">
        <f t="shared" si="21"/>
        <v>1</v>
      </c>
      <c r="C404" s="114" t="str">
        <f t="shared" si="22"/>
        <v>3</v>
      </c>
      <c r="D404" s="114" t="str">
        <f t="shared" si="23"/>
        <v>4</v>
      </c>
      <c r="E404" s="114" t="str">
        <f t="shared" si="24"/>
        <v>2</v>
      </c>
      <c r="F404" s="114" t="str">
        <f t="shared" si="25"/>
        <v>02</v>
      </c>
      <c r="G404" s="114" t="str">
        <f t="shared" si="26"/>
        <v>4</v>
      </c>
      <c r="H404" s="114" t="str">
        <f t="shared" si="27"/>
        <v>0</v>
      </c>
      <c r="I404" s="115">
        <v>13420240</v>
      </c>
      <c r="J404" s="114" t="s">
        <v>3806</v>
      </c>
      <c r="K404" s="114" t="s">
        <v>3807</v>
      </c>
      <c r="L404" s="116"/>
      <c r="M404" s="114" t="s">
        <v>2878</v>
      </c>
      <c r="N404" s="114" t="s">
        <v>834</v>
      </c>
      <c r="O404" s="114" t="s">
        <v>2878</v>
      </c>
      <c r="P404" s="117" t="s">
        <v>2880</v>
      </c>
    </row>
    <row r="405" spans="2:16" ht="45" hidden="1" x14ac:dyDescent="0.25">
      <c r="B405" s="108" t="str">
        <f t="shared" si="21"/>
        <v>1</v>
      </c>
      <c r="C405" s="108" t="str">
        <f t="shared" si="22"/>
        <v>3</v>
      </c>
      <c r="D405" s="108" t="str">
        <f t="shared" si="23"/>
        <v>4</v>
      </c>
      <c r="E405" s="108" t="str">
        <f t="shared" si="24"/>
        <v>2</v>
      </c>
      <c r="F405" s="108" t="str">
        <f t="shared" si="25"/>
        <v>03</v>
      </c>
      <c r="G405" s="108" t="str">
        <f t="shared" si="26"/>
        <v>0</v>
      </c>
      <c r="H405" s="108" t="str">
        <f t="shared" si="27"/>
        <v>0</v>
      </c>
      <c r="I405" s="109">
        <v>13420300</v>
      </c>
      <c r="J405" s="108" t="s">
        <v>3812</v>
      </c>
      <c r="K405" s="108" t="s">
        <v>3813</v>
      </c>
      <c r="L405" s="110"/>
      <c r="M405" s="108" t="s">
        <v>2878</v>
      </c>
      <c r="N405" s="108" t="s">
        <v>834</v>
      </c>
      <c r="O405" s="108" t="s">
        <v>2878</v>
      </c>
      <c r="P405" s="111" t="s">
        <v>2880</v>
      </c>
    </row>
    <row r="406" spans="2:16" ht="60" hidden="1" x14ac:dyDescent="0.25">
      <c r="B406" s="114" t="str">
        <f t="shared" si="21"/>
        <v>1</v>
      </c>
      <c r="C406" s="114" t="str">
        <f t="shared" si="22"/>
        <v>3</v>
      </c>
      <c r="D406" s="114" t="str">
        <f t="shared" si="23"/>
        <v>4</v>
      </c>
      <c r="E406" s="114" t="str">
        <f t="shared" si="24"/>
        <v>2</v>
      </c>
      <c r="F406" s="114" t="str">
        <f t="shared" si="25"/>
        <v>03</v>
      </c>
      <c r="G406" s="114" t="str">
        <f t="shared" si="26"/>
        <v>1</v>
      </c>
      <c r="H406" s="114" t="str">
        <f t="shared" si="27"/>
        <v>0</v>
      </c>
      <c r="I406" s="115">
        <v>13420310</v>
      </c>
      <c r="J406" s="114" t="s">
        <v>3814</v>
      </c>
      <c r="K406" s="114" t="s">
        <v>3815</v>
      </c>
      <c r="L406" s="116"/>
      <c r="M406" s="114" t="s">
        <v>2878</v>
      </c>
      <c r="N406" s="114" t="s">
        <v>2879</v>
      </c>
      <c r="O406" s="114" t="s">
        <v>2878</v>
      </c>
      <c r="P406" s="117" t="s">
        <v>2880</v>
      </c>
    </row>
    <row r="407" spans="2:16" ht="60" hidden="1" x14ac:dyDescent="0.25">
      <c r="B407" s="114" t="str">
        <f t="shared" si="21"/>
        <v>1</v>
      </c>
      <c r="C407" s="114" t="str">
        <f t="shared" si="22"/>
        <v>3</v>
      </c>
      <c r="D407" s="114" t="str">
        <f t="shared" si="23"/>
        <v>4</v>
      </c>
      <c r="E407" s="114" t="str">
        <f t="shared" si="24"/>
        <v>2</v>
      </c>
      <c r="F407" s="114" t="str">
        <f t="shared" si="25"/>
        <v>03</v>
      </c>
      <c r="G407" s="114" t="str">
        <f t="shared" si="26"/>
        <v>4</v>
      </c>
      <c r="H407" s="114" t="str">
        <f t="shared" si="27"/>
        <v>0</v>
      </c>
      <c r="I407" s="115">
        <v>13420340</v>
      </c>
      <c r="J407" s="114" t="s">
        <v>3820</v>
      </c>
      <c r="K407" s="114" t="s">
        <v>3821</v>
      </c>
      <c r="L407" s="116"/>
      <c r="M407" s="114" t="s">
        <v>2878</v>
      </c>
      <c r="N407" s="114" t="s">
        <v>834</v>
      </c>
      <c r="O407" s="114" t="s">
        <v>2878</v>
      </c>
      <c r="P407" s="117" t="s">
        <v>2880</v>
      </c>
    </row>
    <row r="408" spans="2:16" ht="45" hidden="1" x14ac:dyDescent="0.25">
      <c r="B408" s="104" t="str">
        <f t="shared" si="21"/>
        <v>1</v>
      </c>
      <c r="C408" s="104" t="str">
        <f t="shared" si="22"/>
        <v>3</v>
      </c>
      <c r="D408" s="104" t="str">
        <f t="shared" si="23"/>
        <v>4</v>
      </c>
      <c r="E408" s="104" t="str">
        <f t="shared" si="24"/>
        <v>3</v>
      </c>
      <c r="F408" s="104" t="str">
        <f t="shared" si="25"/>
        <v>00</v>
      </c>
      <c r="G408" s="104" t="str">
        <f t="shared" si="26"/>
        <v>0</v>
      </c>
      <c r="H408" s="104" t="str">
        <f t="shared" si="27"/>
        <v>0</v>
      </c>
      <c r="I408" s="105">
        <v>13430000</v>
      </c>
      <c r="J408" s="104" t="s">
        <v>3826</v>
      </c>
      <c r="K408" s="104" t="s">
        <v>3827</v>
      </c>
      <c r="L408" s="106"/>
      <c r="M408" s="104" t="s">
        <v>2878</v>
      </c>
      <c r="N408" s="104" t="s">
        <v>2879</v>
      </c>
      <c r="O408" s="104" t="s">
        <v>2878</v>
      </c>
      <c r="P408" s="107" t="s">
        <v>2880</v>
      </c>
    </row>
    <row r="409" spans="2:16" ht="30" hidden="1" x14ac:dyDescent="0.25">
      <c r="B409" s="108" t="str">
        <f t="shared" si="21"/>
        <v>1</v>
      </c>
      <c r="C409" s="108" t="str">
        <f t="shared" si="22"/>
        <v>3</v>
      </c>
      <c r="D409" s="108" t="str">
        <f t="shared" si="23"/>
        <v>4</v>
      </c>
      <c r="E409" s="108" t="str">
        <f t="shared" si="24"/>
        <v>3</v>
      </c>
      <c r="F409" s="108" t="str">
        <f t="shared" si="25"/>
        <v>01</v>
      </c>
      <c r="G409" s="108" t="str">
        <f t="shared" si="26"/>
        <v>0</v>
      </c>
      <c r="H409" s="108" t="str">
        <f t="shared" si="27"/>
        <v>0</v>
      </c>
      <c r="I409" s="109">
        <v>13430100</v>
      </c>
      <c r="J409" s="108" t="s">
        <v>3828</v>
      </c>
      <c r="K409" s="108" t="s">
        <v>3829</v>
      </c>
      <c r="L409" s="110"/>
      <c r="M409" s="108" t="s">
        <v>2878</v>
      </c>
      <c r="N409" s="108" t="s">
        <v>2879</v>
      </c>
      <c r="O409" s="108" t="s">
        <v>2878</v>
      </c>
      <c r="P409" s="111" t="s">
        <v>2880</v>
      </c>
    </row>
    <row r="410" spans="2:16" s="148" customFormat="1" ht="45" hidden="1" x14ac:dyDescent="0.25">
      <c r="B410" s="149" t="str">
        <f t="shared" si="21"/>
        <v>1</v>
      </c>
      <c r="C410" s="149" t="str">
        <f t="shared" si="22"/>
        <v>3</v>
      </c>
      <c r="D410" s="149" t="str">
        <f t="shared" si="23"/>
        <v>4</v>
      </c>
      <c r="E410" s="149" t="str">
        <f t="shared" si="24"/>
        <v>3</v>
      </c>
      <c r="F410" s="149" t="str">
        <f t="shared" si="25"/>
        <v>01</v>
      </c>
      <c r="G410" s="149" t="str">
        <f t="shared" si="26"/>
        <v>1</v>
      </c>
      <c r="H410" s="149" t="str">
        <f t="shared" si="27"/>
        <v>0</v>
      </c>
      <c r="I410" s="144">
        <v>13430110</v>
      </c>
      <c r="J410" s="149" t="s">
        <v>5324</v>
      </c>
      <c r="K410" s="149" t="s">
        <v>5552</v>
      </c>
      <c r="L410" s="150"/>
      <c r="M410" s="149" t="s">
        <v>5553</v>
      </c>
      <c r="N410" s="149"/>
      <c r="O410" s="149" t="s">
        <v>5554</v>
      </c>
      <c r="P410" s="151" t="s">
        <v>2880</v>
      </c>
    </row>
    <row r="411" spans="2:16" s="148" customFormat="1" ht="45" hidden="1" x14ac:dyDescent="0.25">
      <c r="B411" s="149" t="str">
        <f t="shared" si="21"/>
        <v>1</v>
      </c>
      <c r="C411" s="149" t="str">
        <f t="shared" si="22"/>
        <v>3</v>
      </c>
      <c r="D411" s="149" t="str">
        <f t="shared" si="23"/>
        <v>4</v>
      </c>
      <c r="E411" s="149" t="str">
        <f t="shared" si="24"/>
        <v>3</v>
      </c>
      <c r="F411" s="149" t="str">
        <f t="shared" si="25"/>
        <v>01</v>
      </c>
      <c r="G411" s="149" t="str">
        <f t="shared" si="26"/>
        <v>2</v>
      </c>
      <c r="H411" s="149" t="str">
        <f t="shared" si="27"/>
        <v>0</v>
      </c>
      <c r="I411" s="144">
        <v>13430120</v>
      </c>
      <c r="J411" s="149" t="s">
        <v>5322</v>
      </c>
      <c r="K411" s="149" t="s">
        <v>5555</v>
      </c>
      <c r="L411" s="150"/>
      <c r="M411" s="149" t="s">
        <v>5556</v>
      </c>
      <c r="N411" s="149"/>
      <c r="O411" s="149" t="s">
        <v>5557</v>
      </c>
      <c r="P411" s="151" t="s">
        <v>2880</v>
      </c>
    </row>
    <row r="412" spans="2:16" s="148" customFormat="1" ht="75" hidden="1" x14ac:dyDescent="0.25">
      <c r="B412" s="149" t="str">
        <f t="shared" si="21"/>
        <v>1</v>
      </c>
      <c r="C412" s="149" t="str">
        <f t="shared" si="22"/>
        <v>3</v>
      </c>
      <c r="D412" s="149" t="str">
        <f t="shared" si="23"/>
        <v>4</v>
      </c>
      <c r="E412" s="149" t="str">
        <f t="shared" si="24"/>
        <v>3</v>
      </c>
      <c r="F412" s="149" t="str">
        <f t="shared" si="25"/>
        <v>01</v>
      </c>
      <c r="G412" s="149" t="str">
        <f t="shared" si="26"/>
        <v>3</v>
      </c>
      <c r="H412" s="149" t="str">
        <f t="shared" si="27"/>
        <v>0</v>
      </c>
      <c r="I412" s="144">
        <v>13430130</v>
      </c>
      <c r="J412" s="149" t="s">
        <v>5323</v>
      </c>
      <c r="K412" s="149" t="s">
        <v>5558</v>
      </c>
      <c r="L412" s="150"/>
      <c r="M412" s="149" t="s">
        <v>5559</v>
      </c>
      <c r="N412" s="149"/>
      <c r="O412" s="149" t="s">
        <v>5560</v>
      </c>
      <c r="P412" s="151" t="s">
        <v>2880</v>
      </c>
    </row>
    <row r="413" spans="2:16" ht="45" hidden="1" x14ac:dyDescent="0.25">
      <c r="B413" s="108" t="str">
        <f t="shared" si="21"/>
        <v>1</v>
      </c>
      <c r="C413" s="108" t="str">
        <f t="shared" si="22"/>
        <v>3</v>
      </c>
      <c r="D413" s="108" t="str">
        <f t="shared" si="23"/>
        <v>4</v>
      </c>
      <c r="E413" s="108" t="str">
        <f t="shared" si="24"/>
        <v>3</v>
      </c>
      <c r="F413" s="108" t="str">
        <f t="shared" si="25"/>
        <v>02</v>
      </c>
      <c r="G413" s="108" t="str">
        <f t="shared" si="26"/>
        <v>0</v>
      </c>
      <c r="H413" s="108" t="str">
        <f t="shared" si="27"/>
        <v>0</v>
      </c>
      <c r="I413" s="109">
        <v>13430200</v>
      </c>
      <c r="J413" s="108" t="s">
        <v>3835</v>
      </c>
      <c r="K413" s="108" t="s">
        <v>3836</v>
      </c>
      <c r="L413" s="110"/>
      <c r="M413" s="108" t="s">
        <v>2878</v>
      </c>
      <c r="N413" s="108" t="s">
        <v>2879</v>
      </c>
      <c r="O413" s="108" t="s">
        <v>2878</v>
      </c>
      <c r="P413" s="111" t="s">
        <v>2880</v>
      </c>
    </row>
    <row r="414" spans="2:16" ht="60" hidden="1" x14ac:dyDescent="0.25">
      <c r="B414" s="114" t="str">
        <f t="shared" si="21"/>
        <v>1</v>
      </c>
      <c r="C414" s="114" t="str">
        <f t="shared" si="22"/>
        <v>3</v>
      </c>
      <c r="D414" s="114" t="str">
        <f t="shared" si="23"/>
        <v>4</v>
      </c>
      <c r="E414" s="114" t="str">
        <f t="shared" si="24"/>
        <v>3</v>
      </c>
      <c r="F414" s="114" t="str">
        <f t="shared" si="25"/>
        <v>02</v>
      </c>
      <c r="G414" s="114" t="str">
        <f t="shared" si="26"/>
        <v>1</v>
      </c>
      <c r="H414" s="114" t="str">
        <f t="shared" si="27"/>
        <v>0</v>
      </c>
      <c r="I414" s="115">
        <v>13430210</v>
      </c>
      <c r="J414" s="114" t="s">
        <v>3837</v>
      </c>
      <c r="K414" s="114" t="s">
        <v>3838</v>
      </c>
      <c r="L414" s="116"/>
      <c r="M414" s="114" t="s">
        <v>2878</v>
      </c>
      <c r="N414" s="114" t="s">
        <v>2879</v>
      </c>
      <c r="O414" s="114" t="s">
        <v>2878</v>
      </c>
      <c r="P414" s="117" t="s">
        <v>2880</v>
      </c>
    </row>
    <row r="415" spans="2:16" ht="60" hidden="1" x14ac:dyDescent="0.25">
      <c r="B415" s="114" t="str">
        <f t="shared" si="21"/>
        <v>1</v>
      </c>
      <c r="C415" s="114" t="str">
        <f t="shared" si="22"/>
        <v>3</v>
      </c>
      <c r="D415" s="114" t="str">
        <f t="shared" si="23"/>
        <v>4</v>
      </c>
      <c r="E415" s="114" t="str">
        <f t="shared" si="24"/>
        <v>3</v>
      </c>
      <c r="F415" s="114" t="str">
        <f t="shared" si="25"/>
        <v>02</v>
      </c>
      <c r="G415" s="114" t="str">
        <f t="shared" si="26"/>
        <v>4</v>
      </c>
      <c r="H415" s="114" t="str">
        <f t="shared" si="27"/>
        <v>0</v>
      </c>
      <c r="I415" s="115">
        <v>13430240</v>
      </c>
      <c r="J415" s="114" t="s">
        <v>3843</v>
      </c>
      <c r="K415" s="114" t="s">
        <v>3844</v>
      </c>
      <c r="L415" s="116"/>
      <c r="M415" s="114" t="s">
        <v>2878</v>
      </c>
      <c r="N415" s="114" t="s">
        <v>2879</v>
      </c>
      <c r="O415" s="114" t="s">
        <v>2878</v>
      </c>
      <c r="P415" s="117" t="s">
        <v>2880</v>
      </c>
    </row>
    <row r="416" spans="2:16" ht="30" hidden="1" x14ac:dyDescent="0.25">
      <c r="B416" s="104" t="str">
        <f t="shared" si="21"/>
        <v>1</v>
      </c>
      <c r="C416" s="104" t="str">
        <f t="shared" si="22"/>
        <v>3</v>
      </c>
      <c r="D416" s="104" t="str">
        <f t="shared" si="23"/>
        <v>4</v>
      </c>
      <c r="E416" s="104" t="str">
        <f t="shared" si="24"/>
        <v>4</v>
      </c>
      <c r="F416" s="104" t="str">
        <f t="shared" si="25"/>
        <v>00</v>
      </c>
      <c r="G416" s="104" t="str">
        <f t="shared" si="26"/>
        <v>0</v>
      </c>
      <c r="H416" s="104" t="str">
        <f t="shared" si="27"/>
        <v>0</v>
      </c>
      <c r="I416" s="105">
        <v>13440000</v>
      </c>
      <c r="J416" s="104" t="s">
        <v>724</v>
      </c>
      <c r="K416" s="104" t="s">
        <v>3849</v>
      </c>
      <c r="L416" s="106"/>
      <c r="M416" s="104" t="s">
        <v>2878</v>
      </c>
      <c r="N416" s="104" t="s">
        <v>2879</v>
      </c>
      <c r="O416" s="104" t="s">
        <v>2878</v>
      </c>
      <c r="P416" s="107" t="s">
        <v>2880</v>
      </c>
    </row>
    <row r="417" spans="2:16" ht="30" hidden="1" x14ac:dyDescent="0.25">
      <c r="B417" s="108" t="str">
        <f t="shared" si="21"/>
        <v>1</v>
      </c>
      <c r="C417" s="108" t="str">
        <f t="shared" si="22"/>
        <v>3</v>
      </c>
      <c r="D417" s="108" t="str">
        <f t="shared" si="23"/>
        <v>4</v>
      </c>
      <c r="E417" s="108" t="str">
        <f t="shared" si="24"/>
        <v>4</v>
      </c>
      <c r="F417" s="108" t="str">
        <f t="shared" si="25"/>
        <v>01</v>
      </c>
      <c r="G417" s="108" t="str">
        <f t="shared" si="26"/>
        <v>0</v>
      </c>
      <c r="H417" s="108" t="str">
        <f t="shared" si="27"/>
        <v>0</v>
      </c>
      <c r="I417" s="109">
        <v>13440100</v>
      </c>
      <c r="J417" s="108" t="s">
        <v>3850</v>
      </c>
      <c r="K417" s="108" t="s">
        <v>3851</v>
      </c>
      <c r="L417" s="110"/>
      <c r="M417" s="108" t="s">
        <v>2878</v>
      </c>
      <c r="N417" s="108" t="s">
        <v>2879</v>
      </c>
      <c r="O417" s="108" t="s">
        <v>2878</v>
      </c>
      <c r="P417" s="111" t="s">
        <v>2880</v>
      </c>
    </row>
    <row r="418" spans="2:16" ht="30" hidden="1" x14ac:dyDescent="0.25">
      <c r="B418" s="114" t="str">
        <f t="shared" si="21"/>
        <v>1</v>
      </c>
      <c r="C418" s="114" t="str">
        <f t="shared" si="22"/>
        <v>3</v>
      </c>
      <c r="D418" s="114" t="str">
        <f t="shared" si="23"/>
        <v>4</v>
      </c>
      <c r="E418" s="114" t="str">
        <f t="shared" si="24"/>
        <v>4</v>
      </c>
      <c r="F418" s="114" t="str">
        <f t="shared" si="25"/>
        <v>01</v>
      </c>
      <c r="G418" s="114" t="str">
        <f t="shared" si="26"/>
        <v>1</v>
      </c>
      <c r="H418" s="114" t="str">
        <f t="shared" si="27"/>
        <v>0</v>
      </c>
      <c r="I418" s="115">
        <v>13440110</v>
      </c>
      <c r="J418" s="114" t="s">
        <v>3850</v>
      </c>
      <c r="K418" s="114" t="s">
        <v>3851</v>
      </c>
      <c r="L418" s="116"/>
      <c r="M418" s="114" t="s">
        <v>2878</v>
      </c>
      <c r="N418" s="114" t="s">
        <v>2879</v>
      </c>
      <c r="O418" s="114" t="s">
        <v>2878</v>
      </c>
      <c r="P418" s="117" t="s">
        <v>2880</v>
      </c>
    </row>
    <row r="419" spans="2:16" ht="30" hidden="1" x14ac:dyDescent="0.25">
      <c r="B419" s="108" t="str">
        <f t="shared" si="21"/>
        <v>1</v>
      </c>
      <c r="C419" s="108" t="str">
        <f t="shared" si="22"/>
        <v>3</v>
      </c>
      <c r="D419" s="108" t="str">
        <f t="shared" si="23"/>
        <v>4</v>
      </c>
      <c r="E419" s="108" t="str">
        <f t="shared" si="24"/>
        <v>4</v>
      </c>
      <c r="F419" s="108" t="str">
        <f t="shared" si="25"/>
        <v>02</v>
      </c>
      <c r="G419" s="108" t="str">
        <f t="shared" si="26"/>
        <v>0</v>
      </c>
      <c r="H419" s="108" t="str">
        <f t="shared" si="27"/>
        <v>0</v>
      </c>
      <c r="I419" s="109">
        <v>13440200</v>
      </c>
      <c r="J419" s="108" t="s">
        <v>3859</v>
      </c>
      <c r="K419" s="108" t="s">
        <v>3860</v>
      </c>
      <c r="L419" s="110"/>
      <c r="M419" s="108" t="s">
        <v>2878</v>
      </c>
      <c r="N419" s="108" t="s">
        <v>2879</v>
      </c>
      <c r="O419" s="108" t="s">
        <v>2878</v>
      </c>
      <c r="P419" s="111" t="s">
        <v>2880</v>
      </c>
    </row>
    <row r="420" spans="2:16" ht="30" hidden="1" x14ac:dyDescent="0.25">
      <c r="B420" s="114" t="str">
        <f t="shared" si="21"/>
        <v>1</v>
      </c>
      <c r="C420" s="114" t="str">
        <f t="shared" si="22"/>
        <v>3</v>
      </c>
      <c r="D420" s="114" t="str">
        <f t="shared" si="23"/>
        <v>4</v>
      </c>
      <c r="E420" s="114" t="str">
        <f t="shared" si="24"/>
        <v>4</v>
      </c>
      <c r="F420" s="114" t="str">
        <f t="shared" si="25"/>
        <v>02</v>
      </c>
      <c r="G420" s="114" t="str">
        <f t="shared" si="26"/>
        <v>1</v>
      </c>
      <c r="H420" s="114" t="str">
        <f t="shared" si="27"/>
        <v>0</v>
      </c>
      <c r="I420" s="115">
        <v>13440210</v>
      </c>
      <c r="J420" s="114" t="s">
        <v>3859</v>
      </c>
      <c r="K420" s="114" t="s">
        <v>3860</v>
      </c>
      <c r="L420" s="116"/>
      <c r="M420" s="114" t="s">
        <v>2878</v>
      </c>
      <c r="N420" s="114" t="s">
        <v>2879</v>
      </c>
      <c r="O420" s="114" t="s">
        <v>2878</v>
      </c>
      <c r="P420" s="117" t="s">
        <v>2880</v>
      </c>
    </row>
    <row r="421" spans="2:16" ht="30" hidden="1" x14ac:dyDescent="0.25">
      <c r="B421" s="104" t="str">
        <f t="shared" si="21"/>
        <v>1</v>
      </c>
      <c r="C421" s="104" t="str">
        <f t="shared" si="22"/>
        <v>3</v>
      </c>
      <c r="D421" s="104" t="str">
        <f t="shared" si="23"/>
        <v>4</v>
      </c>
      <c r="E421" s="104" t="str">
        <f t="shared" si="24"/>
        <v>5</v>
      </c>
      <c r="F421" s="104" t="str">
        <f t="shared" si="25"/>
        <v>00</v>
      </c>
      <c r="G421" s="104" t="str">
        <f t="shared" si="26"/>
        <v>0</v>
      </c>
      <c r="H421" s="104" t="str">
        <f t="shared" si="27"/>
        <v>0</v>
      </c>
      <c r="I421" s="105">
        <v>13450000</v>
      </c>
      <c r="J421" s="104" t="s">
        <v>3868</v>
      </c>
      <c r="K421" s="104" t="s">
        <v>3869</v>
      </c>
      <c r="L421" s="106"/>
      <c r="M421" s="104" t="s">
        <v>2878</v>
      </c>
      <c r="N421" s="104" t="s">
        <v>2879</v>
      </c>
      <c r="O421" s="104" t="s">
        <v>2878</v>
      </c>
      <c r="P421" s="107" t="s">
        <v>2880</v>
      </c>
    </row>
    <row r="422" spans="2:16" ht="75" hidden="1" x14ac:dyDescent="0.25">
      <c r="B422" s="108" t="str">
        <f t="shared" si="21"/>
        <v>1</v>
      </c>
      <c r="C422" s="108" t="str">
        <f t="shared" si="22"/>
        <v>3</v>
      </c>
      <c r="D422" s="108" t="str">
        <f t="shared" si="23"/>
        <v>4</v>
      </c>
      <c r="E422" s="108" t="str">
        <f t="shared" si="24"/>
        <v>5</v>
      </c>
      <c r="F422" s="108" t="str">
        <f t="shared" si="25"/>
        <v>01</v>
      </c>
      <c r="G422" s="108" t="str">
        <f t="shared" si="26"/>
        <v>0</v>
      </c>
      <c r="H422" s="108" t="str">
        <f t="shared" si="27"/>
        <v>0</v>
      </c>
      <c r="I422" s="109">
        <v>13450100</v>
      </c>
      <c r="J422" s="108" t="s">
        <v>3870</v>
      </c>
      <c r="K422" s="108" t="s">
        <v>3871</v>
      </c>
      <c r="L422" s="110"/>
      <c r="M422" s="108" t="s">
        <v>2878</v>
      </c>
      <c r="N422" s="108" t="s">
        <v>2879</v>
      </c>
      <c r="O422" s="108" t="s">
        <v>2878</v>
      </c>
      <c r="P422" s="111" t="s">
        <v>2880</v>
      </c>
    </row>
    <row r="423" spans="2:16" ht="75" hidden="1" x14ac:dyDescent="0.25">
      <c r="B423" s="114" t="str">
        <f t="shared" si="21"/>
        <v>1</v>
      </c>
      <c r="C423" s="114" t="str">
        <f t="shared" si="22"/>
        <v>3</v>
      </c>
      <c r="D423" s="114" t="str">
        <f t="shared" si="23"/>
        <v>4</v>
      </c>
      <c r="E423" s="114" t="str">
        <f t="shared" si="24"/>
        <v>5</v>
      </c>
      <c r="F423" s="114" t="str">
        <f t="shared" si="25"/>
        <v>01</v>
      </c>
      <c r="G423" s="114" t="str">
        <f t="shared" si="26"/>
        <v>1</v>
      </c>
      <c r="H423" s="114" t="str">
        <f t="shared" si="27"/>
        <v>0</v>
      </c>
      <c r="I423" s="115">
        <v>13450110</v>
      </c>
      <c r="J423" s="114" t="s">
        <v>3870</v>
      </c>
      <c r="K423" s="114" t="s">
        <v>3871</v>
      </c>
      <c r="L423" s="116"/>
      <c r="M423" s="114" t="s">
        <v>2878</v>
      </c>
      <c r="N423" s="114" t="s">
        <v>2879</v>
      </c>
      <c r="O423" s="114" t="s">
        <v>2878</v>
      </c>
      <c r="P423" s="117" t="s">
        <v>2880</v>
      </c>
    </row>
    <row r="424" spans="2:16" ht="30" hidden="1" x14ac:dyDescent="0.25">
      <c r="B424" s="108" t="str">
        <f t="shared" si="21"/>
        <v>1</v>
      </c>
      <c r="C424" s="108" t="str">
        <f t="shared" si="22"/>
        <v>3</v>
      </c>
      <c r="D424" s="108" t="str">
        <f t="shared" si="23"/>
        <v>4</v>
      </c>
      <c r="E424" s="108" t="str">
        <f t="shared" si="24"/>
        <v>5</v>
      </c>
      <c r="F424" s="108" t="str">
        <f t="shared" si="25"/>
        <v>02</v>
      </c>
      <c r="G424" s="108" t="str">
        <f t="shared" si="26"/>
        <v>0</v>
      </c>
      <c r="H424" s="108" t="str">
        <f t="shared" si="27"/>
        <v>0</v>
      </c>
      <c r="I424" s="109">
        <v>13450200</v>
      </c>
      <c r="J424" s="108" t="s">
        <v>3879</v>
      </c>
      <c r="K424" s="108" t="s">
        <v>3880</v>
      </c>
      <c r="L424" s="110"/>
      <c r="M424" s="108" t="s">
        <v>2878</v>
      </c>
      <c r="N424" s="108" t="s">
        <v>2879</v>
      </c>
      <c r="O424" s="108" t="s">
        <v>2878</v>
      </c>
      <c r="P424" s="111" t="s">
        <v>2880</v>
      </c>
    </row>
    <row r="425" spans="2:16" ht="30" hidden="1" x14ac:dyDescent="0.25">
      <c r="B425" s="114" t="str">
        <f t="shared" si="21"/>
        <v>1</v>
      </c>
      <c r="C425" s="114" t="str">
        <f t="shared" si="22"/>
        <v>3</v>
      </c>
      <c r="D425" s="114" t="str">
        <f t="shared" si="23"/>
        <v>4</v>
      </c>
      <c r="E425" s="114" t="str">
        <f t="shared" si="24"/>
        <v>5</v>
      </c>
      <c r="F425" s="114" t="str">
        <f t="shared" si="25"/>
        <v>02</v>
      </c>
      <c r="G425" s="114" t="str">
        <f t="shared" si="26"/>
        <v>1</v>
      </c>
      <c r="H425" s="114" t="str">
        <f t="shared" si="27"/>
        <v>0</v>
      </c>
      <c r="I425" s="115">
        <v>13450210</v>
      </c>
      <c r="J425" s="114" t="s">
        <v>3879</v>
      </c>
      <c r="K425" s="114" t="s">
        <v>3880</v>
      </c>
      <c r="L425" s="116"/>
      <c r="M425" s="114" t="s">
        <v>2878</v>
      </c>
      <c r="N425" s="114" t="s">
        <v>2879</v>
      </c>
      <c r="O425" s="114" t="s">
        <v>2878</v>
      </c>
      <c r="P425" s="117" t="s">
        <v>2880</v>
      </c>
    </row>
    <row r="426" spans="2:16" ht="30" hidden="1" x14ac:dyDescent="0.25">
      <c r="B426" s="108" t="str">
        <f t="shared" si="21"/>
        <v>1</v>
      </c>
      <c r="C426" s="108" t="str">
        <f t="shared" si="22"/>
        <v>3</v>
      </c>
      <c r="D426" s="108" t="str">
        <f t="shared" si="23"/>
        <v>4</v>
      </c>
      <c r="E426" s="108" t="str">
        <f t="shared" si="24"/>
        <v>5</v>
      </c>
      <c r="F426" s="108" t="str">
        <f t="shared" si="25"/>
        <v>03</v>
      </c>
      <c r="G426" s="108" t="str">
        <f t="shared" si="26"/>
        <v>0</v>
      </c>
      <c r="H426" s="108" t="str">
        <f t="shared" si="27"/>
        <v>0</v>
      </c>
      <c r="I426" s="109">
        <v>13450300</v>
      </c>
      <c r="J426" s="108" t="s">
        <v>3888</v>
      </c>
      <c r="K426" s="108" t="s">
        <v>3889</v>
      </c>
      <c r="L426" s="110"/>
      <c r="M426" s="108" t="s">
        <v>2878</v>
      </c>
      <c r="N426" s="108" t="s">
        <v>2879</v>
      </c>
      <c r="O426" s="108" t="s">
        <v>2878</v>
      </c>
      <c r="P426" s="111" t="s">
        <v>2880</v>
      </c>
    </row>
    <row r="427" spans="2:16" ht="30" hidden="1" x14ac:dyDescent="0.25">
      <c r="B427" s="114" t="str">
        <f t="shared" si="21"/>
        <v>1</v>
      </c>
      <c r="C427" s="114" t="str">
        <f t="shared" si="22"/>
        <v>3</v>
      </c>
      <c r="D427" s="114" t="str">
        <f t="shared" si="23"/>
        <v>4</v>
      </c>
      <c r="E427" s="114" t="str">
        <f t="shared" si="24"/>
        <v>5</v>
      </c>
      <c r="F427" s="114" t="str">
        <f t="shared" si="25"/>
        <v>03</v>
      </c>
      <c r="G427" s="114" t="str">
        <f t="shared" si="26"/>
        <v>1</v>
      </c>
      <c r="H427" s="114" t="str">
        <f t="shared" si="27"/>
        <v>0</v>
      </c>
      <c r="I427" s="115">
        <v>13450310</v>
      </c>
      <c r="J427" s="114" t="s">
        <v>3890</v>
      </c>
      <c r="K427" s="114" t="s">
        <v>3891</v>
      </c>
      <c r="L427" s="116"/>
      <c r="M427" s="114" t="s">
        <v>2878</v>
      </c>
      <c r="N427" s="114" t="s">
        <v>2879</v>
      </c>
      <c r="O427" s="114" t="s">
        <v>2878</v>
      </c>
      <c r="P427" s="117" t="s">
        <v>2880</v>
      </c>
    </row>
    <row r="428" spans="2:16" ht="30" hidden="1" x14ac:dyDescent="0.25">
      <c r="B428" s="114" t="str">
        <f t="shared" ref="B428:B491" si="28">MID($I428,1,1)</f>
        <v>1</v>
      </c>
      <c r="C428" s="114" t="str">
        <f t="shared" ref="C428:C491" si="29">MID($I428,2,1)</f>
        <v>3</v>
      </c>
      <c r="D428" s="114" t="str">
        <f t="shared" ref="D428:D491" si="30">MID($I428,3,1)</f>
        <v>4</v>
      </c>
      <c r="E428" s="114" t="str">
        <f t="shared" ref="E428:E491" si="31">MID($I428,4,1)</f>
        <v>5</v>
      </c>
      <c r="F428" s="114" t="str">
        <f t="shared" ref="F428:F491" si="32">MID($I428,5,2)</f>
        <v>03</v>
      </c>
      <c r="G428" s="114" t="str">
        <f t="shared" ref="G428:G491" si="33">MID($I428,7,1)</f>
        <v>2</v>
      </c>
      <c r="H428" s="114" t="str">
        <f t="shared" ref="H428:H491" si="34">MID($I428,8,1)</f>
        <v>0</v>
      </c>
      <c r="I428" s="115">
        <v>13450320</v>
      </c>
      <c r="J428" s="114" t="s">
        <v>3899</v>
      </c>
      <c r="K428" s="114" t="s">
        <v>3900</v>
      </c>
      <c r="L428" s="116"/>
      <c r="M428" s="114" t="s">
        <v>2878</v>
      </c>
      <c r="N428" s="114" t="s">
        <v>2879</v>
      </c>
      <c r="O428" s="114" t="s">
        <v>2878</v>
      </c>
      <c r="P428" s="117" t="s">
        <v>2880</v>
      </c>
    </row>
    <row r="429" spans="2:16" s="148" customFormat="1" ht="60" hidden="1" x14ac:dyDescent="0.25">
      <c r="B429" s="149" t="str">
        <f t="shared" si="28"/>
        <v>1</v>
      </c>
      <c r="C429" s="149" t="str">
        <f t="shared" si="29"/>
        <v>3</v>
      </c>
      <c r="D429" s="149" t="str">
        <f t="shared" si="30"/>
        <v>4</v>
      </c>
      <c r="E429" s="149" t="str">
        <f t="shared" si="31"/>
        <v>5</v>
      </c>
      <c r="F429" s="149" t="str">
        <f t="shared" si="32"/>
        <v>03</v>
      </c>
      <c r="G429" s="149" t="str">
        <f t="shared" si="33"/>
        <v>3</v>
      </c>
      <c r="H429" s="149" t="str">
        <f t="shared" si="34"/>
        <v>0</v>
      </c>
      <c r="I429" s="144">
        <v>13450330</v>
      </c>
      <c r="J429" s="149" t="s">
        <v>5240</v>
      </c>
      <c r="K429" s="149" t="s">
        <v>5241</v>
      </c>
      <c r="L429" s="150"/>
      <c r="M429" s="149" t="s">
        <v>2878</v>
      </c>
      <c r="N429" s="149" t="s">
        <v>5242</v>
      </c>
      <c r="O429" s="149" t="s">
        <v>5243</v>
      </c>
      <c r="P429" s="151" t="s">
        <v>2880</v>
      </c>
    </row>
    <row r="430" spans="2:16" ht="30" hidden="1" x14ac:dyDescent="0.25">
      <c r="B430" s="104" t="str">
        <f t="shared" si="28"/>
        <v>1</v>
      </c>
      <c r="C430" s="104" t="str">
        <f t="shared" si="29"/>
        <v>3</v>
      </c>
      <c r="D430" s="104" t="str">
        <f t="shared" si="30"/>
        <v>4</v>
      </c>
      <c r="E430" s="104" t="str">
        <f t="shared" si="31"/>
        <v>6</v>
      </c>
      <c r="F430" s="104" t="str">
        <f t="shared" si="32"/>
        <v>00</v>
      </c>
      <c r="G430" s="104" t="str">
        <f t="shared" si="33"/>
        <v>0</v>
      </c>
      <c r="H430" s="104" t="str">
        <f t="shared" si="34"/>
        <v>0</v>
      </c>
      <c r="I430" s="105">
        <v>13460000</v>
      </c>
      <c r="J430" s="104" t="s">
        <v>3908</v>
      </c>
      <c r="K430" s="104" t="s">
        <v>3909</v>
      </c>
      <c r="L430" s="106"/>
      <c r="M430" s="104" t="s">
        <v>2878</v>
      </c>
      <c r="N430" s="104" t="s">
        <v>2879</v>
      </c>
      <c r="O430" s="104" t="s">
        <v>2878</v>
      </c>
      <c r="P430" s="107" t="s">
        <v>2880</v>
      </c>
    </row>
    <row r="431" spans="2:16" ht="45" hidden="1" x14ac:dyDescent="0.25">
      <c r="B431" s="108" t="str">
        <f t="shared" si="28"/>
        <v>1</v>
      </c>
      <c r="C431" s="108" t="str">
        <f t="shared" si="29"/>
        <v>3</v>
      </c>
      <c r="D431" s="108" t="str">
        <f t="shared" si="30"/>
        <v>4</v>
      </c>
      <c r="E431" s="108" t="str">
        <f t="shared" si="31"/>
        <v>6</v>
      </c>
      <c r="F431" s="108" t="str">
        <f t="shared" si="32"/>
        <v>01</v>
      </c>
      <c r="G431" s="108" t="str">
        <f t="shared" si="33"/>
        <v>0</v>
      </c>
      <c r="H431" s="108" t="str">
        <f t="shared" si="34"/>
        <v>0</v>
      </c>
      <c r="I431" s="109">
        <v>13460100</v>
      </c>
      <c r="J431" s="108" t="s">
        <v>3910</v>
      </c>
      <c r="K431" s="108" t="s">
        <v>3911</v>
      </c>
      <c r="L431" s="110"/>
      <c r="M431" s="108" t="s">
        <v>2878</v>
      </c>
      <c r="N431" s="108" t="s">
        <v>2879</v>
      </c>
      <c r="O431" s="108" t="s">
        <v>2878</v>
      </c>
      <c r="P431" s="111" t="s">
        <v>2880</v>
      </c>
    </row>
    <row r="432" spans="2:16" ht="90" hidden="1" x14ac:dyDescent="0.25">
      <c r="B432" s="114" t="str">
        <f t="shared" si="28"/>
        <v>1</v>
      </c>
      <c r="C432" s="114" t="str">
        <f t="shared" si="29"/>
        <v>3</v>
      </c>
      <c r="D432" s="114" t="str">
        <f t="shared" si="30"/>
        <v>4</v>
      </c>
      <c r="E432" s="114" t="str">
        <f t="shared" si="31"/>
        <v>6</v>
      </c>
      <c r="F432" s="114" t="str">
        <f t="shared" si="32"/>
        <v>01</v>
      </c>
      <c r="G432" s="114" t="str">
        <f t="shared" si="33"/>
        <v>1</v>
      </c>
      <c r="H432" s="114" t="str">
        <f t="shared" si="34"/>
        <v>0</v>
      </c>
      <c r="I432" s="115">
        <v>13460110</v>
      </c>
      <c r="J432" s="114" t="s">
        <v>3912</v>
      </c>
      <c r="K432" s="114" t="s">
        <v>3913</v>
      </c>
      <c r="L432" s="116"/>
      <c r="M432" s="114" t="s">
        <v>2878</v>
      </c>
      <c r="N432" s="114" t="s">
        <v>2879</v>
      </c>
      <c r="O432" s="114" t="s">
        <v>2878</v>
      </c>
      <c r="P432" s="117" t="s">
        <v>2880</v>
      </c>
    </row>
    <row r="433" spans="2:16" ht="90" hidden="1" x14ac:dyDescent="0.25">
      <c r="B433" s="114" t="str">
        <f t="shared" si="28"/>
        <v>1</v>
      </c>
      <c r="C433" s="114" t="str">
        <f t="shared" si="29"/>
        <v>3</v>
      </c>
      <c r="D433" s="114" t="str">
        <f t="shared" si="30"/>
        <v>4</v>
      </c>
      <c r="E433" s="114" t="str">
        <f t="shared" si="31"/>
        <v>6</v>
      </c>
      <c r="F433" s="114" t="str">
        <f t="shared" si="32"/>
        <v>01</v>
      </c>
      <c r="G433" s="114" t="str">
        <f t="shared" si="33"/>
        <v>2</v>
      </c>
      <c r="H433" s="114" t="str">
        <f t="shared" si="34"/>
        <v>0</v>
      </c>
      <c r="I433" s="115">
        <v>13460120</v>
      </c>
      <c r="J433" s="114" t="s">
        <v>3921</v>
      </c>
      <c r="K433" s="114" t="s">
        <v>3922</v>
      </c>
      <c r="L433" s="116"/>
      <c r="M433" s="114" t="s">
        <v>2878</v>
      </c>
      <c r="N433" s="114" t="s">
        <v>2879</v>
      </c>
      <c r="O433" s="114" t="s">
        <v>2878</v>
      </c>
      <c r="P433" s="117" t="s">
        <v>2880</v>
      </c>
    </row>
    <row r="434" spans="2:16" ht="45" hidden="1" x14ac:dyDescent="0.25">
      <c r="B434" s="108" t="str">
        <f t="shared" si="28"/>
        <v>1</v>
      </c>
      <c r="C434" s="108" t="str">
        <f t="shared" si="29"/>
        <v>3</v>
      </c>
      <c r="D434" s="108" t="str">
        <f t="shared" si="30"/>
        <v>4</v>
      </c>
      <c r="E434" s="108" t="str">
        <f t="shared" si="31"/>
        <v>6</v>
      </c>
      <c r="F434" s="108" t="str">
        <f t="shared" si="32"/>
        <v>02</v>
      </c>
      <c r="G434" s="108" t="str">
        <f t="shared" si="33"/>
        <v>0</v>
      </c>
      <c r="H434" s="108" t="str">
        <f t="shared" si="34"/>
        <v>0</v>
      </c>
      <c r="I434" s="109">
        <v>13460200</v>
      </c>
      <c r="J434" s="108" t="s">
        <v>3930</v>
      </c>
      <c r="K434" s="108" t="s">
        <v>3931</v>
      </c>
      <c r="L434" s="110"/>
      <c r="M434" s="108" t="s">
        <v>2878</v>
      </c>
      <c r="N434" s="108" t="s">
        <v>2879</v>
      </c>
      <c r="O434" s="108" t="s">
        <v>2878</v>
      </c>
      <c r="P434" s="111" t="s">
        <v>2880</v>
      </c>
    </row>
    <row r="435" spans="2:16" ht="105" hidden="1" x14ac:dyDescent="0.25">
      <c r="B435" s="114" t="str">
        <f t="shared" si="28"/>
        <v>1</v>
      </c>
      <c r="C435" s="114" t="str">
        <f t="shared" si="29"/>
        <v>3</v>
      </c>
      <c r="D435" s="114" t="str">
        <f t="shared" si="30"/>
        <v>4</v>
      </c>
      <c r="E435" s="114" t="str">
        <f t="shared" si="31"/>
        <v>6</v>
      </c>
      <c r="F435" s="114" t="str">
        <f t="shared" si="32"/>
        <v>02</v>
      </c>
      <c r="G435" s="114" t="str">
        <f t="shared" si="33"/>
        <v>1</v>
      </c>
      <c r="H435" s="114" t="str">
        <f t="shared" si="34"/>
        <v>0</v>
      </c>
      <c r="I435" s="115">
        <v>13460210</v>
      </c>
      <c r="J435" s="114" t="s">
        <v>3932</v>
      </c>
      <c r="K435" s="114" t="s">
        <v>3933</v>
      </c>
      <c r="L435" s="116"/>
      <c r="M435" s="114" t="s">
        <v>2878</v>
      </c>
      <c r="N435" s="114" t="s">
        <v>2879</v>
      </c>
      <c r="O435" s="114" t="s">
        <v>2878</v>
      </c>
      <c r="P435" s="117" t="s">
        <v>2880</v>
      </c>
    </row>
    <row r="436" spans="2:16" ht="105" hidden="1" x14ac:dyDescent="0.25">
      <c r="B436" s="114" t="str">
        <f t="shared" si="28"/>
        <v>1</v>
      </c>
      <c r="C436" s="114" t="str">
        <f t="shared" si="29"/>
        <v>3</v>
      </c>
      <c r="D436" s="114" t="str">
        <f t="shared" si="30"/>
        <v>4</v>
      </c>
      <c r="E436" s="114" t="str">
        <f t="shared" si="31"/>
        <v>6</v>
      </c>
      <c r="F436" s="114" t="str">
        <f t="shared" si="32"/>
        <v>02</v>
      </c>
      <c r="G436" s="114" t="str">
        <f t="shared" si="33"/>
        <v>2</v>
      </c>
      <c r="H436" s="114" t="str">
        <f t="shared" si="34"/>
        <v>0</v>
      </c>
      <c r="I436" s="115">
        <v>13460220</v>
      </c>
      <c r="J436" s="114" t="s">
        <v>3941</v>
      </c>
      <c r="K436" s="114" t="s">
        <v>3942</v>
      </c>
      <c r="L436" s="116"/>
      <c r="M436" s="114" t="s">
        <v>2878</v>
      </c>
      <c r="N436" s="114" t="s">
        <v>2879</v>
      </c>
      <c r="O436" s="114" t="s">
        <v>2878</v>
      </c>
      <c r="P436" s="117" t="s">
        <v>2880</v>
      </c>
    </row>
    <row r="437" spans="2:16" ht="30" hidden="1" x14ac:dyDescent="0.25">
      <c r="B437" s="108" t="str">
        <f t="shared" si="28"/>
        <v>1</v>
      </c>
      <c r="C437" s="108" t="str">
        <f t="shared" si="29"/>
        <v>3</v>
      </c>
      <c r="D437" s="108" t="str">
        <f t="shared" si="30"/>
        <v>4</v>
      </c>
      <c r="E437" s="108" t="str">
        <f t="shared" si="31"/>
        <v>6</v>
      </c>
      <c r="F437" s="108" t="str">
        <f t="shared" si="32"/>
        <v>99</v>
      </c>
      <c r="G437" s="108" t="str">
        <f t="shared" si="33"/>
        <v>0</v>
      </c>
      <c r="H437" s="108" t="str">
        <f t="shared" si="34"/>
        <v>0</v>
      </c>
      <c r="I437" s="109">
        <v>13469900</v>
      </c>
      <c r="J437" s="108" t="s">
        <v>3950</v>
      </c>
      <c r="K437" s="108" t="s">
        <v>3951</v>
      </c>
      <c r="L437" s="110"/>
      <c r="M437" s="108" t="s">
        <v>2878</v>
      </c>
      <c r="N437" s="108" t="s">
        <v>2879</v>
      </c>
      <c r="O437" s="108" t="s">
        <v>2878</v>
      </c>
      <c r="P437" s="111" t="s">
        <v>2880</v>
      </c>
    </row>
    <row r="438" spans="2:16" ht="30" hidden="1" x14ac:dyDescent="0.25">
      <c r="B438" s="114" t="str">
        <f t="shared" si="28"/>
        <v>1</v>
      </c>
      <c r="C438" s="114" t="str">
        <f t="shared" si="29"/>
        <v>3</v>
      </c>
      <c r="D438" s="114" t="str">
        <f t="shared" si="30"/>
        <v>4</v>
      </c>
      <c r="E438" s="114" t="str">
        <f t="shared" si="31"/>
        <v>6</v>
      </c>
      <c r="F438" s="114" t="str">
        <f t="shared" si="32"/>
        <v>99</v>
      </c>
      <c r="G438" s="114" t="str">
        <f t="shared" si="33"/>
        <v>1</v>
      </c>
      <c r="H438" s="114" t="str">
        <f t="shared" si="34"/>
        <v>0</v>
      </c>
      <c r="I438" s="115">
        <v>13469910</v>
      </c>
      <c r="J438" s="114" t="s">
        <v>3952</v>
      </c>
      <c r="K438" s="114" t="s">
        <v>3953</v>
      </c>
      <c r="L438" s="116"/>
      <c r="M438" s="114" t="s">
        <v>2878</v>
      </c>
      <c r="N438" s="114" t="s">
        <v>2879</v>
      </c>
      <c r="O438" s="114" t="s">
        <v>2878</v>
      </c>
      <c r="P438" s="117" t="s">
        <v>2880</v>
      </c>
    </row>
    <row r="439" spans="2:16" ht="45" hidden="1" x14ac:dyDescent="0.25">
      <c r="B439" s="114" t="str">
        <f t="shared" si="28"/>
        <v>1</v>
      </c>
      <c r="C439" s="114" t="str">
        <f t="shared" si="29"/>
        <v>3</v>
      </c>
      <c r="D439" s="114" t="str">
        <f t="shared" si="30"/>
        <v>4</v>
      </c>
      <c r="E439" s="114" t="str">
        <f t="shared" si="31"/>
        <v>6</v>
      </c>
      <c r="F439" s="114" t="str">
        <f t="shared" si="32"/>
        <v>99</v>
      </c>
      <c r="G439" s="114" t="str">
        <f t="shared" si="33"/>
        <v>2</v>
      </c>
      <c r="H439" s="114" t="str">
        <f t="shared" si="34"/>
        <v>0</v>
      </c>
      <c r="I439" s="115">
        <v>13469920</v>
      </c>
      <c r="J439" s="114" t="s">
        <v>3961</v>
      </c>
      <c r="K439" s="114" t="s">
        <v>3962</v>
      </c>
      <c r="L439" s="116"/>
      <c r="M439" s="114" t="s">
        <v>2878</v>
      </c>
      <c r="N439" s="114" t="s">
        <v>2879</v>
      </c>
      <c r="O439" s="114" t="s">
        <v>2878</v>
      </c>
      <c r="P439" s="117" t="s">
        <v>2880</v>
      </c>
    </row>
    <row r="440" spans="2:16" ht="60" hidden="1" x14ac:dyDescent="0.25">
      <c r="B440" s="114" t="str">
        <f t="shared" si="28"/>
        <v>1</v>
      </c>
      <c r="C440" s="114" t="str">
        <f t="shared" si="29"/>
        <v>3</v>
      </c>
      <c r="D440" s="114" t="str">
        <f t="shared" si="30"/>
        <v>4</v>
      </c>
      <c r="E440" s="114" t="str">
        <f t="shared" si="31"/>
        <v>6</v>
      </c>
      <c r="F440" s="114" t="str">
        <f t="shared" si="32"/>
        <v>99</v>
      </c>
      <c r="G440" s="114" t="str">
        <f t="shared" si="33"/>
        <v>3</v>
      </c>
      <c r="H440" s="114" t="str">
        <f t="shared" si="34"/>
        <v>0</v>
      </c>
      <c r="I440" s="115">
        <v>13469930</v>
      </c>
      <c r="J440" s="114" t="s">
        <v>3969</v>
      </c>
      <c r="K440" s="114" t="s">
        <v>3970</v>
      </c>
      <c r="L440" s="116"/>
      <c r="M440" s="114" t="s">
        <v>2878</v>
      </c>
      <c r="N440" s="114" t="s">
        <v>2879</v>
      </c>
      <c r="O440" s="114" t="s">
        <v>2878</v>
      </c>
      <c r="P440" s="117" t="s">
        <v>2880</v>
      </c>
    </row>
    <row r="441" spans="2:16" ht="30" hidden="1" x14ac:dyDescent="0.25">
      <c r="B441" s="104" t="str">
        <f t="shared" si="28"/>
        <v>1</v>
      </c>
      <c r="C441" s="104" t="str">
        <f t="shared" si="29"/>
        <v>3</v>
      </c>
      <c r="D441" s="104" t="str">
        <f t="shared" si="30"/>
        <v>4</v>
      </c>
      <c r="E441" s="104" t="str">
        <f t="shared" si="31"/>
        <v>9</v>
      </c>
      <c r="F441" s="104" t="str">
        <f t="shared" si="32"/>
        <v>00</v>
      </c>
      <c r="G441" s="104" t="str">
        <f t="shared" si="33"/>
        <v>0</v>
      </c>
      <c r="H441" s="104" t="str">
        <f t="shared" si="34"/>
        <v>0</v>
      </c>
      <c r="I441" s="105">
        <v>13490000</v>
      </c>
      <c r="J441" s="104" t="s">
        <v>3978</v>
      </c>
      <c r="K441" s="104" t="s">
        <v>3979</v>
      </c>
      <c r="L441" s="106"/>
      <c r="M441" s="104" t="s">
        <v>2878</v>
      </c>
      <c r="N441" s="104" t="s">
        <v>2879</v>
      </c>
      <c r="O441" s="104" t="s">
        <v>2878</v>
      </c>
      <c r="P441" s="107" t="s">
        <v>2880</v>
      </c>
    </row>
    <row r="442" spans="2:16" ht="30" hidden="1" x14ac:dyDescent="0.25">
      <c r="B442" s="108" t="str">
        <f t="shared" si="28"/>
        <v>1</v>
      </c>
      <c r="C442" s="108" t="str">
        <f t="shared" si="29"/>
        <v>3</v>
      </c>
      <c r="D442" s="108" t="str">
        <f t="shared" si="30"/>
        <v>4</v>
      </c>
      <c r="E442" s="108" t="str">
        <f t="shared" si="31"/>
        <v>9</v>
      </c>
      <c r="F442" s="108" t="str">
        <f t="shared" si="32"/>
        <v>01</v>
      </c>
      <c r="G442" s="108" t="str">
        <f t="shared" si="33"/>
        <v>0</v>
      </c>
      <c r="H442" s="108" t="str">
        <f t="shared" si="34"/>
        <v>0</v>
      </c>
      <c r="I442" s="109">
        <v>13490100</v>
      </c>
      <c r="J442" s="108" t="s">
        <v>3980</v>
      </c>
      <c r="K442" s="108" t="s">
        <v>3981</v>
      </c>
      <c r="L442" s="110"/>
      <c r="M442" s="108" t="s">
        <v>2878</v>
      </c>
      <c r="N442" s="108" t="s">
        <v>2879</v>
      </c>
      <c r="O442" s="108" t="s">
        <v>2878</v>
      </c>
      <c r="P442" s="111" t="s">
        <v>2880</v>
      </c>
    </row>
    <row r="443" spans="2:16" ht="30" hidden="1" x14ac:dyDescent="0.25">
      <c r="B443" s="114" t="str">
        <f t="shared" si="28"/>
        <v>1</v>
      </c>
      <c r="C443" s="114" t="str">
        <f t="shared" si="29"/>
        <v>3</v>
      </c>
      <c r="D443" s="114" t="str">
        <f t="shared" si="30"/>
        <v>4</v>
      </c>
      <c r="E443" s="114" t="str">
        <f t="shared" si="31"/>
        <v>9</v>
      </c>
      <c r="F443" s="114" t="str">
        <f t="shared" si="32"/>
        <v>01</v>
      </c>
      <c r="G443" s="114" t="str">
        <f t="shared" si="33"/>
        <v>1</v>
      </c>
      <c r="H443" s="114" t="str">
        <f t="shared" si="34"/>
        <v>0</v>
      </c>
      <c r="I443" s="115">
        <v>13490110</v>
      </c>
      <c r="J443" s="114" t="s">
        <v>3980</v>
      </c>
      <c r="K443" s="114" t="s">
        <v>3981</v>
      </c>
      <c r="L443" s="116"/>
      <c r="M443" s="114" t="s">
        <v>2878</v>
      </c>
      <c r="N443" s="114" t="s">
        <v>2879</v>
      </c>
      <c r="O443" s="114" t="s">
        <v>2878</v>
      </c>
      <c r="P443" s="117" t="s">
        <v>2880</v>
      </c>
    </row>
    <row r="444" spans="2:16" ht="30" hidden="1" x14ac:dyDescent="0.25">
      <c r="B444" s="108" t="str">
        <f t="shared" si="28"/>
        <v>1</v>
      </c>
      <c r="C444" s="108" t="str">
        <f t="shared" si="29"/>
        <v>3</v>
      </c>
      <c r="D444" s="108" t="str">
        <f t="shared" si="30"/>
        <v>4</v>
      </c>
      <c r="E444" s="108" t="str">
        <f t="shared" si="31"/>
        <v>9</v>
      </c>
      <c r="F444" s="108" t="str">
        <f t="shared" si="32"/>
        <v>99</v>
      </c>
      <c r="G444" s="108" t="str">
        <f t="shared" si="33"/>
        <v>0</v>
      </c>
      <c r="H444" s="108" t="str">
        <f t="shared" si="34"/>
        <v>0</v>
      </c>
      <c r="I444" s="109">
        <v>13499900</v>
      </c>
      <c r="J444" s="108" t="s">
        <v>3989</v>
      </c>
      <c r="K444" s="108" t="s">
        <v>3990</v>
      </c>
      <c r="L444" s="110"/>
      <c r="M444" s="108" t="s">
        <v>2878</v>
      </c>
      <c r="N444" s="108" t="s">
        <v>2879</v>
      </c>
      <c r="O444" s="108" t="s">
        <v>2878</v>
      </c>
      <c r="P444" s="111" t="s">
        <v>2880</v>
      </c>
    </row>
    <row r="445" spans="2:16" ht="30" hidden="1" x14ac:dyDescent="0.25">
      <c r="B445" s="114" t="str">
        <f t="shared" si="28"/>
        <v>1</v>
      </c>
      <c r="C445" s="114" t="str">
        <f t="shared" si="29"/>
        <v>3</v>
      </c>
      <c r="D445" s="114" t="str">
        <f t="shared" si="30"/>
        <v>4</v>
      </c>
      <c r="E445" s="114" t="str">
        <f t="shared" si="31"/>
        <v>9</v>
      </c>
      <c r="F445" s="114" t="str">
        <f t="shared" si="32"/>
        <v>99</v>
      </c>
      <c r="G445" s="114" t="str">
        <f t="shared" si="33"/>
        <v>1</v>
      </c>
      <c r="H445" s="114" t="str">
        <f t="shared" si="34"/>
        <v>0</v>
      </c>
      <c r="I445" s="115">
        <v>13499910</v>
      </c>
      <c r="J445" s="114" t="s">
        <v>3989</v>
      </c>
      <c r="K445" s="114" t="s">
        <v>3990</v>
      </c>
      <c r="L445" s="116"/>
      <c r="M445" s="114" t="s">
        <v>2878</v>
      </c>
      <c r="N445" s="114" t="s">
        <v>2879</v>
      </c>
      <c r="O445" s="114" t="s">
        <v>2878</v>
      </c>
      <c r="P445" s="117" t="s">
        <v>2880</v>
      </c>
    </row>
    <row r="446" spans="2:16" ht="30" hidden="1" x14ac:dyDescent="0.25">
      <c r="B446" s="126" t="str">
        <f t="shared" si="28"/>
        <v>1</v>
      </c>
      <c r="C446" s="126" t="str">
        <f t="shared" si="29"/>
        <v>3</v>
      </c>
      <c r="D446" s="126" t="str">
        <f t="shared" si="30"/>
        <v>5</v>
      </c>
      <c r="E446" s="126" t="str">
        <f t="shared" si="31"/>
        <v>0</v>
      </c>
      <c r="F446" s="126" t="str">
        <f t="shared" si="32"/>
        <v>00</v>
      </c>
      <c r="G446" s="126" t="str">
        <f t="shared" si="33"/>
        <v>0</v>
      </c>
      <c r="H446" s="126" t="str">
        <f t="shared" si="34"/>
        <v>0</v>
      </c>
      <c r="I446" s="127">
        <v>13500000</v>
      </c>
      <c r="J446" s="126" t="s">
        <v>3997</v>
      </c>
      <c r="K446" s="126" t="s">
        <v>3998</v>
      </c>
      <c r="L446" s="122"/>
      <c r="M446" s="126" t="s">
        <v>2878</v>
      </c>
      <c r="N446" s="126" t="s">
        <v>5016</v>
      </c>
      <c r="O446" s="126" t="s">
        <v>2878</v>
      </c>
      <c r="P446" s="128" t="s">
        <v>2880</v>
      </c>
    </row>
    <row r="447" spans="2:16" ht="45" hidden="1" x14ac:dyDescent="0.25">
      <c r="B447" s="108" t="str">
        <f t="shared" si="28"/>
        <v>1</v>
      </c>
      <c r="C447" s="108" t="str">
        <f t="shared" si="29"/>
        <v>3</v>
      </c>
      <c r="D447" s="108" t="str">
        <f t="shared" si="30"/>
        <v>5</v>
      </c>
      <c r="E447" s="108" t="str">
        <f t="shared" si="31"/>
        <v>0</v>
      </c>
      <c r="F447" s="108" t="str">
        <f t="shared" si="32"/>
        <v>01</v>
      </c>
      <c r="G447" s="108" t="str">
        <f t="shared" si="33"/>
        <v>0</v>
      </c>
      <c r="H447" s="108" t="str">
        <f t="shared" si="34"/>
        <v>0</v>
      </c>
      <c r="I447" s="109">
        <v>13500100</v>
      </c>
      <c r="J447" s="108" t="s">
        <v>3999</v>
      </c>
      <c r="K447" s="108" t="s">
        <v>4000</v>
      </c>
      <c r="L447" s="110"/>
      <c r="M447" s="108" t="s">
        <v>2878</v>
      </c>
      <c r="N447" s="108" t="s">
        <v>2879</v>
      </c>
      <c r="O447" s="108" t="s">
        <v>2878</v>
      </c>
      <c r="P447" s="111" t="s">
        <v>2880</v>
      </c>
    </row>
    <row r="448" spans="2:16" ht="45" hidden="1" x14ac:dyDescent="0.25">
      <c r="B448" s="114" t="str">
        <f t="shared" si="28"/>
        <v>1</v>
      </c>
      <c r="C448" s="114" t="str">
        <f t="shared" si="29"/>
        <v>3</v>
      </c>
      <c r="D448" s="114" t="str">
        <f t="shared" si="30"/>
        <v>5</v>
      </c>
      <c r="E448" s="114" t="str">
        <f t="shared" si="31"/>
        <v>0</v>
      </c>
      <c r="F448" s="114" t="str">
        <f t="shared" si="32"/>
        <v>01</v>
      </c>
      <c r="G448" s="114" t="str">
        <f t="shared" si="33"/>
        <v>1</v>
      </c>
      <c r="H448" s="114" t="str">
        <f t="shared" si="34"/>
        <v>0</v>
      </c>
      <c r="I448" s="115">
        <v>13500110</v>
      </c>
      <c r="J448" s="114" t="s">
        <v>3999</v>
      </c>
      <c r="K448" s="114" t="s">
        <v>4000</v>
      </c>
      <c r="L448" s="116"/>
      <c r="M448" s="114" t="s">
        <v>2878</v>
      </c>
      <c r="N448" s="114" t="s">
        <v>2879</v>
      </c>
      <c r="O448" s="114" t="s">
        <v>2878</v>
      </c>
      <c r="P448" s="117" t="s">
        <v>2880</v>
      </c>
    </row>
    <row r="449" spans="2:16" ht="45" hidden="1" x14ac:dyDescent="0.25">
      <c r="B449" s="108" t="str">
        <f t="shared" si="28"/>
        <v>1</v>
      </c>
      <c r="C449" s="108" t="str">
        <f t="shared" si="29"/>
        <v>3</v>
      </c>
      <c r="D449" s="108" t="str">
        <f t="shared" si="30"/>
        <v>5</v>
      </c>
      <c r="E449" s="108" t="str">
        <f t="shared" si="31"/>
        <v>0</v>
      </c>
      <c r="F449" s="108" t="str">
        <f t="shared" si="32"/>
        <v>02</v>
      </c>
      <c r="G449" s="108" t="str">
        <f t="shared" si="33"/>
        <v>0</v>
      </c>
      <c r="H449" s="108" t="str">
        <f t="shared" si="34"/>
        <v>0</v>
      </c>
      <c r="I449" s="109">
        <v>13500200</v>
      </c>
      <c r="J449" s="108" t="s">
        <v>4007</v>
      </c>
      <c r="K449" s="108" t="s">
        <v>4008</v>
      </c>
      <c r="L449" s="110"/>
      <c r="M449" s="108" t="s">
        <v>2878</v>
      </c>
      <c r="N449" s="108" t="s">
        <v>2879</v>
      </c>
      <c r="O449" s="108" t="s">
        <v>2878</v>
      </c>
      <c r="P449" s="111" t="s">
        <v>2880</v>
      </c>
    </row>
    <row r="450" spans="2:16" ht="45" hidden="1" x14ac:dyDescent="0.25">
      <c r="B450" s="114" t="str">
        <f t="shared" si="28"/>
        <v>1</v>
      </c>
      <c r="C450" s="114" t="str">
        <f t="shared" si="29"/>
        <v>3</v>
      </c>
      <c r="D450" s="114" t="str">
        <f t="shared" si="30"/>
        <v>5</v>
      </c>
      <c r="E450" s="114" t="str">
        <f t="shared" si="31"/>
        <v>0</v>
      </c>
      <c r="F450" s="114" t="str">
        <f t="shared" si="32"/>
        <v>02</v>
      </c>
      <c r="G450" s="114" t="str">
        <f t="shared" si="33"/>
        <v>1</v>
      </c>
      <c r="H450" s="114" t="str">
        <f t="shared" si="34"/>
        <v>0</v>
      </c>
      <c r="I450" s="115">
        <v>13500210</v>
      </c>
      <c r="J450" s="114" t="s">
        <v>4007</v>
      </c>
      <c r="K450" s="114" t="s">
        <v>4008</v>
      </c>
      <c r="L450" s="116"/>
      <c r="M450" s="114" t="s">
        <v>2878</v>
      </c>
      <c r="N450" s="114" t="s">
        <v>2879</v>
      </c>
      <c r="O450" s="114" t="s">
        <v>2878</v>
      </c>
      <c r="P450" s="117" t="s">
        <v>2880</v>
      </c>
    </row>
    <row r="451" spans="2:16" ht="45" hidden="1" x14ac:dyDescent="0.25">
      <c r="B451" s="108" t="str">
        <f t="shared" si="28"/>
        <v>1</v>
      </c>
      <c r="C451" s="108" t="str">
        <f t="shared" si="29"/>
        <v>3</v>
      </c>
      <c r="D451" s="108" t="str">
        <f t="shared" si="30"/>
        <v>5</v>
      </c>
      <c r="E451" s="108" t="str">
        <f t="shared" si="31"/>
        <v>0</v>
      </c>
      <c r="F451" s="108" t="str">
        <f t="shared" si="32"/>
        <v>03</v>
      </c>
      <c r="G451" s="108" t="str">
        <f t="shared" si="33"/>
        <v>0</v>
      </c>
      <c r="H451" s="108" t="str">
        <f t="shared" si="34"/>
        <v>0</v>
      </c>
      <c r="I451" s="109">
        <v>13500300</v>
      </c>
      <c r="J451" s="108" t="s">
        <v>4011</v>
      </c>
      <c r="K451" s="108" t="s">
        <v>4012</v>
      </c>
      <c r="L451" s="110"/>
      <c r="M451" s="108" t="s">
        <v>2878</v>
      </c>
      <c r="N451" s="108"/>
      <c r="O451" s="108" t="s">
        <v>4013</v>
      </c>
      <c r="P451" s="111" t="s">
        <v>2880</v>
      </c>
    </row>
    <row r="452" spans="2:16" ht="30" hidden="1" x14ac:dyDescent="0.25">
      <c r="B452" s="114" t="str">
        <f t="shared" si="28"/>
        <v>1</v>
      </c>
      <c r="C452" s="114" t="str">
        <f t="shared" si="29"/>
        <v>3</v>
      </c>
      <c r="D452" s="114" t="str">
        <f t="shared" si="30"/>
        <v>5</v>
      </c>
      <c r="E452" s="114" t="str">
        <f t="shared" si="31"/>
        <v>0</v>
      </c>
      <c r="F452" s="114" t="str">
        <f t="shared" si="32"/>
        <v>03</v>
      </c>
      <c r="G452" s="114" t="str">
        <f t="shared" si="33"/>
        <v>1</v>
      </c>
      <c r="H452" s="114" t="str">
        <f t="shared" si="34"/>
        <v>0</v>
      </c>
      <c r="I452" s="115">
        <v>13500310</v>
      </c>
      <c r="J452" s="114" t="s">
        <v>4011</v>
      </c>
      <c r="K452" s="114" t="s">
        <v>4012</v>
      </c>
      <c r="L452" s="116"/>
      <c r="M452" s="114" t="s">
        <v>4014</v>
      </c>
      <c r="N452" s="114"/>
      <c r="O452" s="114" t="s">
        <v>4014</v>
      </c>
      <c r="P452" s="117" t="s">
        <v>2880</v>
      </c>
    </row>
    <row r="453" spans="2:16" s="148" customFormat="1" ht="60" hidden="1" x14ac:dyDescent="0.25">
      <c r="B453" s="145" t="str">
        <f t="shared" si="28"/>
        <v>1</v>
      </c>
      <c r="C453" s="145" t="str">
        <f t="shared" si="29"/>
        <v>3</v>
      </c>
      <c r="D453" s="145" t="str">
        <f t="shared" si="30"/>
        <v>5</v>
      </c>
      <c r="E453" s="145" t="str">
        <f t="shared" si="31"/>
        <v>0</v>
      </c>
      <c r="F453" s="145" t="str">
        <f t="shared" si="32"/>
        <v>04</v>
      </c>
      <c r="G453" s="145" t="str">
        <f t="shared" si="33"/>
        <v>0</v>
      </c>
      <c r="H453" s="145" t="str">
        <f t="shared" si="34"/>
        <v>0</v>
      </c>
      <c r="I453" s="143">
        <v>13500400</v>
      </c>
      <c r="J453" s="145" t="s">
        <v>5584</v>
      </c>
      <c r="K453" s="145" t="s">
        <v>5585</v>
      </c>
      <c r="L453" s="146"/>
      <c r="M453" s="145" t="s">
        <v>2878</v>
      </c>
      <c r="N453" s="145" t="s">
        <v>5587</v>
      </c>
      <c r="O453" s="145" t="s">
        <v>5586</v>
      </c>
      <c r="P453" s="147" t="s">
        <v>2880</v>
      </c>
    </row>
    <row r="454" spans="2:16" s="148" customFormat="1" ht="60" hidden="1" x14ac:dyDescent="0.25">
      <c r="B454" s="149" t="str">
        <f t="shared" si="28"/>
        <v>1</v>
      </c>
      <c r="C454" s="149" t="str">
        <f t="shared" si="29"/>
        <v>3</v>
      </c>
      <c r="D454" s="149" t="str">
        <f t="shared" si="30"/>
        <v>5</v>
      </c>
      <c r="E454" s="149" t="str">
        <f t="shared" si="31"/>
        <v>0</v>
      </c>
      <c r="F454" s="149" t="str">
        <f t="shared" si="32"/>
        <v>04</v>
      </c>
      <c r="G454" s="149" t="str">
        <f t="shared" si="33"/>
        <v>1</v>
      </c>
      <c r="H454" s="149" t="str">
        <f t="shared" si="34"/>
        <v>0</v>
      </c>
      <c r="I454" s="144">
        <v>13500410</v>
      </c>
      <c r="J454" s="149" t="s">
        <v>5584</v>
      </c>
      <c r="K454" s="149" t="s">
        <v>5585</v>
      </c>
      <c r="L454" s="150"/>
      <c r="M454" s="149" t="s">
        <v>4014</v>
      </c>
      <c r="N454" s="149" t="s">
        <v>5587</v>
      </c>
      <c r="O454" s="149" t="s">
        <v>5586</v>
      </c>
      <c r="P454" s="151" t="s">
        <v>2880</v>
      </c>
    </row>
    <row r="455" spans="2:16" ht="30" hidden="1" x14ac:dyDescent="0.25">
      <c r="B455" s="126" t="str">
        <f t="shared" si="28"/>
        <v>1</v>
      </c>
      <c r="C455" s="126" t="str">
        <f t="shared" si="29"/>
        <v>3</v>
      </c>
      <c r="D455" s="126" t="str">
        <f t="shared" si="30"/>
        <v>6</v>
      </c>
      <c r="E455" s="126" t="str">
        <f t="shared" si="31"/>
        <v>0</v>
      </c>
      <c r="F455" s="126" t="str">
        <f t="shared" si="32"/>
        <v>00</v>
      </c>
      <c r="G455" s="126" t="str">
        <f t="shared" si="33"/>
        <v>0</v>
      </c>
      <c r="H455" s="126" t="str">
        <f t="shared" si="34"/>
        <v>0</v>
      </c>
      <c r="I455" s="127">
        <v>13600000</v>
      </c>
      <c r="J455" s="126" t="s">
        <v>4018</v>
      </c>
      <c r="K455" s="126" t="s">
        <v>4019</v>
      </c>
      <c r="L455" s="122"/>
      <c r="M455" s="126" t="s">
        <v>2878</v>
      </c>
      <c r="N455" s="126" t="s">
        <v>5016</v>
      </c>
      <c r="O455" s="126" t="s">
        <v>2878</v>
      </c>
      <c r="P455" s="128" t="s">
        <v>2880</v>
      </c>
    </row>
    <row r="456" spans="2:16" ht="90" hidden="1" x14ac:dyDescent="0.25">
      <c r="B456" s="108" t="str">
        <f t="shared" si="28"/>
        <v>1</v>
      </c>
      <c r="C456" s="108" t="str">
        <f t="shared" si="29"/>
        <v>3</v>
      </c>
      <c r="D456" s="108" t="str">
        <f t="shared" si="30"/>
        <v>6</v>
      </c>
      <c r="E456" s="108" t="str">
        <f t="shared" si="31"/>
        <v>0</v>
      </c>
      <c r="F456" s="108" t="str">
        <f t="shared" si="32"/>
        <v>01</v>
      </c>
      <c r="G456" s="108" t="str">
        <f t="shared" si="33"/>
        <v>0</v>
      </c>
      <c r="H456" s="108" t="str">
        <f t="shared" si="34"/>
        <v>0</v>
      </c>
      <c r="I456" s="109">
        <v>13600100</v>
      </c>
      <c r="J456" s="108" t="s">
        <v>4020</v>
      </c>
      <c r="K456" s="108" t="s">
        <v>4021</v>
      </c>
      <c r="L456" s="110"/>
      <c r="M456" s="108" t="s">
        <v>2878</v>
      </c>
      <c r="N456" s="108" t="s">
        <v>2879</v>
      </c>
      <c r="O456" s="108" t="s">
        <v>2878</v>
      </c>
      <c r="P456" s="111" t="s">
        <v>2880</v>
      </c>
    </row>
    <row r="457" spans="2:16" ht="90" hidden="1" x14ac:dyDescent="0.25">
      <c r="B457" s="114" t="str">
        <f t="shared" si="28"/>
        <v>1</v>
      </c>
      <c r="C457" s="114" t="str">
        <f t="shared" si="29"/>
        <v>3</v>
      </c>
      <c r="D457" s="114" t="str">
        <f t="shared" si="30"/>
        <v>6</v>
      </c>
      <c r="E457" s="114" t="str">
        <f t="shared" si="31"/>
        <v>0</v>
      </c>
      <c r="F457" s="114" t="str">
        <f t="shared" si="32"/>
        <v>01</v>
      </c>
      <c r="G457" s="114" t="str">
        <f t="shared" si="33"/>
        <v>1</v>
      </c>
      <c r="H457" s="114" t="str">
        <f t="shared" si="34"/>
        <v>0</v>
      </c>
      <c r="I457" s="115">
        <v>13600110</v>
      </c>
      <c r="J457" s="114" t="s">
        <v>4020</v>
      </c>
      <c r="K457" s="114" t="s">
        <v>4021</v>
      </c>
      <c r="L457" s="116"/>
      <c r="M457" s="114" t="s">
        <v>2878</v>
      </c>
      <c r="N457" s="114" t="s">
        <v>2879</v>
      </c>
      <c r="O457" s="114" t="s">
        <v>2878</v>
      </c>
      <c r="P457" s="117" t="s">
        <v>2880</v>
      </c>
    </row>
    <row r="458" spans="2:16" ht="30" hidden="1" x14ac:dyDescent="0.25">
      <c r="B458" s="126" t="str">
        <f t="shared" si="28"/>
        <v>1</v>
      </c>
      <c r="C458" s="126" t="str">
        <f t="shared" si="29"/>
        <v>3</v>
      </c>
      <c r="D458" s="126" t="str">
        <f t="shared" si="30"/>
        <v>9</v>
      </c>
      <c r="E458" s="126" t="str">
        <f t="shared" si="31"/>
        <v>0</v>
      </c>
      <c r="F458" s="126" t="str">
        <f t="shared" si="32"/>
        <v>00</v>
      </c>
      <c r="G458" s="126" t="str">
        <f t="shared" si="33"/>
        <v>0</v>
      </c>
      <c r="H458" s="126" t="str">
        <f t="shared" si="34"/>
        <v>0</v>
      </c>
      <c r="I458" s="127">
        <v>13900000</v>
      </c>
      <c r="J458" s="126" t="s">
        <v>4029</v>
      </c>
      <c r="K458" s="126" t="s">
        <v>4030</v>
      </c>
      <c r="L458" s="122"/>
      <c r="M458" s="126" t="s">
        <v>2878</v>
      </c>
      <c r="N458" s="126" t="s">
        <v>5016</v>
      </c>
      <c r="O458" s="126" t="s">
        <v>2878</v>
      </c>
      <c r="P458" s="128" t="s">
        <v>2880</v>
      </c>
    </row>
    <row r="459" spans="2:16" ht="30" hidden="1" x14ac:dyDescent="0.25">
      <c r="B459" s="114" t="str">
        <f t="shared" si="28"/>
        <v>1</v>
      </c>
      <c r="C459" s="114" t="str">
        <f t="shared" si="29"/>
        <v>3</v>
      </c>
      <c r="D459" s="114" t="str">
        <f t="shared" si="30"/>
        <v>9</v>
      </c>
      <c r="E459" s="114" t="str">
        <f t="shared" si="31"/>
        <v>0</v>
      </c>
      <c r="F459" s="114" t="str">
        <f t="shared" si="32"/>
        <v>00</v>
      </c>
      <c r="G459" s="114" t="str">
        <f t="shared" si="33"/>
        <v>1</v>
      </c>
      <c r="H459" s="114" t="str">
        <f t="shared" si="34"/>
        <v>0</v>
      </c>
      <c r="I459" s="115">
        <v>13900010</v>
      </c>
      <c r="J459" s="114" t="s">
        <v>4029</v>
      </c>
      <c r="K459" s="114" t="s">
        <v>4030</v>
      </c>
      <c r="L459" s="116"/>
      <c r="M459" s="114" t="s">
        <v>2878</v>
      </c>
      <c r="N459" s="114" t="s">
        <v>2879</v>
      </c>
      <c r="O459" s="114" t="s">
        <v>2878</v>
      </c>
      <c r="P459" s="117" t="s">
        <v>2880</v>
      </c>
    </row>
    <row r="460" spans="2:16" ht="30" hidden="1" x14ac:dyDescent="0.25">
      <c r="B460" s="123" t="str">
        <f t="shared" si="28"/>
        <v>1</v>
      </c>
      <c r="C460" s="123" t="str">
        <f t="shared" si="29"/>
        <v>4</v>
      </c>
      <c r="D460" s="123" t="str">
        <f t="shared" si="30"/>
        <v>0</v>
      </c>
      <c r="E460" s="123" t="str">
        <f t="shared" si="31"/>
        <v>0</v>
      </c>
      <c r="F460" s="123" t="str">
        <f t="shared" si="32"/>
        <v>00</v>
      </c>
      <c r="G460" s="123" t="str">
        <f t="shared" si="33"/>
        <v>0</v>
      </c>
      <c r="H460" s="123" t="str">
        <f t="shared" si="34"/>
        <v>0</v>
      </c>
      <c r="I460" s="124">
        <v>14000000</v>
      </c>
      <c r="J460" s="123" t="s">
        <v>910</v>
      </c>
      <c r="K460" s="123" t="s">
        <v>4037</v>
      </c>
      <c r="L460" s="103"/>
      <c r="M460" s="123" t="s">
        <v>2878</v>
      </c>
      <c r="N460" s="123" t="s">
        <v>5016</v>
      </c>
      <c r="O460" s="123" t="s">
        <v>2878</v>
      </c>
      <c r="P460" s="125" t="s">
        <v>2880</v>
      </c>
    </row>
    <row r="461" spans="2:16" ht="75" hidden="1" x14ac:dyDescent="0.25">
      <c r="B461" s="114" t="str">
        <f t="shared" si="28"/>
        <v>1</v>
      </c>
      <c r="C461" s="114" t="str">
        <f t="shared" si="29"/>
        <v>4</v>
      </c>
      <c r="D461" s="114" t="str">
        <f t="shared" si="30"/>
        <v>0</v>
      </c>
      <c r="E461" s="114" t="str">
        <f t="shared" si="31"/>
        <v>0</v>
      </c>
      <c r="F461" s="114" t="str">
        <f t="shared" si="32"/>
        <v>00</v>
      </c>
      <c r="G461" s="114" t="str">
        <f t="shared" si="33"/>
        <v>1</v>
      </c>
      <c r="H461" s="114" t="str">
        <f t="shared" si="34"/>
        <v>0</v>
      </c>
      <c r="I461" s="115">
        <v>14000010</v>
      </c>
      <c r="J461" s="114" t="s">
        <v>910</v>
      </c>
      <c r="K461" s="114" t="s">
        <v>4038</v>
      </c>
      <c r="L461" s="116"/>
      <c r="M461" s="114" t="s">
        <v>2878</v>
      </c>
      <c r="N461" s="114" t="s">
        <v>2879</v>
      </c>
      <c r="O461" s="114" t="s">
        <v>2878</v>
      </c>
      <c r="P461" s="117" t="s">
        <v>2880</v>
      </c>
    </row>
    <row r="462" spans="2:16" ht="30" hidden="1" x14ac:dyDescent="0.25">
      <c r="B462" s="123" t="str">
        <f t="shared" si="28"/>
        <v>1</v>
      </c>
      <c r="C462" s="123" t="str">
        <f t="shared" si="29"/>
        <v>5</v>
      </c>
      <c r="D462" s="123" t="str">
        <f t="shared" si="30"/>
        <v>0</v>
      </c>
      <c r="E462" s="123" t="str">
        <f t="shared" si="31"/>
        <v>0</v>
      </c>
      <c r="F462" s="123" t="str">
        <f t="shared" si="32"/>
        <v>00</v>
      </c>
      <c r="G462" s="123" t="str">
        <f t="shared" si="33"/>
        <v>0</v>
      </c>
      <c r="H462" s="123" t="str">
        <f t="shared" si="34"/>
        <v>0</v>
      </c>
      <c r="I462" s="124">
        <v>15000000</v>
      </c>
      <c r="J462" s="123" t="s">
        <v>918</v>
      </c>
      <c r="K462" s="123" t="s">
        <v>4045</v>
      </c>
      <c r="L462" s="103"/>
      <c r="M462" s="123" t="s">
        <v>2878</v>
      </c>
      <c r="N462" s="123" t="s">
        <v>5016</v>
      </c>
      <c r="O462" s="123" t="s">
        <v>2878</v>
      </c>
      <c r="P462" s="125" t="s">
        <v>2880</v>
      </c>
    </row>
    <row r="463" spans="2:16" ht="45" hidden="1" x14ac:dyDescent="0.25">
      <c r="B463" s="114" t="str">
        <f t="shared" si="28"/>
        <v>1</v>
      </c>
      <c r="C463" s="114" t="str">
        <f t="shared" si="29"/>
        <v>5</v>
      </c>
      <c r="D463" s="114" t="str">
        <f t="shared" si="30"/>
        <v>0</v>
      </c>
      <c r="E463" s="114" t="str">
        <f t="shared" si="31"/>
        <v>0</v>
      </c>
      <c r="F463" s="114" t="str">
        <f t="shared" si="32"/>
        <v>00</v>
      </c>
      <c r="G463" s="114" t="str">
        <f t="shared" si="33"/>
        <v>1</v>
      </c>
      <c r="H463" s="114" t="str">
        <f t="shared" si="34"/>
        <v>0</v>
      </c>
      <c r="I463" s="115">
        <v>15000010</v>
      </c>
      <c r="J463" s="114" t="s">
        <v>918</v>
      </c>
      <c r="K463" s="114" t="s">
        <v>4046</v>
      </c>
      <c r="L463" s="116"/>
      <c r="M463" s="114" t="s">
        <v>2878</v>
      </c>
      <c r="N463" s="114" t="s">
        <v>2879</v>
      </c>
      <c r="O463" s="114" t="s">
        <v>2878</v>
      </c>
      <c r="P463" s="117" t="s">
        <v>2880</v>
      </c>
    </row>
    <row r="464" spans="2:16" ht="30" hidden="1" x14ac:dyDescent="0.25">
      <c r="B464" s="123" t="str">
        <f t="shared" si="28"/>
        <v>1</v>
      </c>
      <c r="C464" s="123" t="str">
        <f t="shared" si="29"/>
        <v>6</v>
      </c>
      <c r="D464" s="123" t="str">
        <f t="shared" si="30"/>
        <v>0</v>
      </c>
      <c r="E464" s="123" t="str">
        <f t="shared" si="31"/>
        <v>0</v>
      </c>
      <c r="F464" s="123" t="str">
        <f t="shared" si="32"/>
        <v>00</v>
      </c>
      <c r="G464" s="123" t="str">
        <f t="shared" si="33"/>
        <v>0</v>
      </c>
      <c r="H464" s="123" t="str">
        <f t="shared" si="34"/>
        <v>0</v>
      </c>
      <c r="I464" s="124">
        <v>16000000</v>
      </c>
      <c r="J464" s="123" t="s">
        <v>952</v>
      </c>
      <c r="K464" s="123" t="s">
        <v>4052</v>
      </c>
      <c r="L464" s="103"/>
      <c r="M464" s="123" t="s">
        <v>2878</v>
      </c>
      <c r="N464" s="123" t="s">
        <v>5016</v>
      </c>
      <c r="O464" s="123" t="s">
        <v>2878</v>
      </c>
      <c r="P464" s="125" t="s">
        <v>2880</v>
      </c>
    </row>
    <row r="465" spans="2:16" ht="60" hidden="1" x14ac:dyDescent="0.25">
      <c r="B465" s="126" t="str">
        <f t="shared" si="28"/>
        <v>1</v>
      </c>
      <c r="C465" s="126" t="str">
        <f t="shared" si="29"/>
        <v>6</v>
      </c>
      <c r="D465" s="126" t="str">
        <f t="shared" si="30"/>
        <v>1</v>
      </c>
      <c r="E465" s="126" t="str">
        <f t="shared" si="31"/>
        <v>0</v>
      </c>
      <c r="F465" s="126" t="str">
        <f t="shared" si="32"/>
        <v>00</v>
      </c>
      <c r="G465" s="126" t="str">
        <f t="shared" si="33"/>
        <v>0</v>
      </c>
      <c r="H465" s="126" t="str">
        <f t="shared" si="34"/>
        <v>0</v>
      </c>
      <c r="I465" s="127">
        <v>16100000</v>
      </c>
      <c r="J465" s="126" t="s">
        <v>4053</v>
      </c>
      <c r="K465" s="126" t="s">
        <v>4054</v>
      </c>
      <c r="L465" s="122"/>
      <c r="M465" s="126" t="s">
        <v>2878</v>
      </c>
      <c r="N465" s="126" t="s">
        <v>5016</v>
      </c>
      <c r="O465" s="126" t="s">
        <v>2878</v>
      </c>
      <c r="P465" s="128" t="s">
        <v>2880</v>
      </c>
    </row>
    <row r="466" spans="2:16" ht="30" hidden="1" x14ac:dyDescent="0.25">
      <c r="B466" s="108" t="str">
        <f t="shared" si="28"/>
        <v>1</v>
      </c>
      <c r="C466" s="108" t="str">
        <f t="shared" si="29"/>
        <v>6</v>
      </c>
      <c r="D466" s="108" t="str">
        <f t="shared" si="30"/>
        <v>1</v>
      </c>
      <c r="E466" s="108" t="str">
        <f t="shared" si="31"/>
        <v>0</v>
      </c>
      <c r="F466" s="108" t="str">
        <f t="shared" si="32"/>
        <v>01</v>
      </c>
      <c r="G466" s="108" t="str">
        <f t="shared" si="33"/>
        <v>0</v>
      </c>
      <c r="H466" s="108" t="str">
        <f t="shared" si="34"/>
        <v>0</v>
      </c>
      <c r="I466" s="109">
        <v>16100100</v>
      </c>
      <c r="J466" s="108" t="s">
        <v>4053</v>
      </c>
      <c r="K466" s="108" t="s">
        <v>4055</v>
      </c>
      <c r="L466" s="110"/>
      <c r="M466" s="108" t="s">
        <v>2878</v>
      </c>
      <c r="N466" s="108" t="s">
        <v>2879</v>
      </c>
      <c r="O466" s="108" t="s">
        <v>2878</v>
      </c>
      <c r="P466" s="111" t="s">
        <v>2880</v>
      </c>
    </row>
    <row r="467" spans="2:16" ht="30" hidden="1" x14ac:dyDescent="0.25">
      <c r="B467" s="114" t="str">
        <f t="shared" si="28"/>
        <v>1</v>
      </c>
      <c r="C467" s="114" t="str">
        <f t="shared" si="29"/>
        <v>6</v>
      </c>
      <c r="D467" s="114" t="str">
        <f t="shared" si="30"/>
        <v>1</v>
      </c>
      <c r="E467" s="114" t="str">
        <f t="shared" si="31"/>
        <v>0</v>
      </c>
      <c r="F467" s="114" t="str">
        <f t="shared" si="32"/>
        <v>01</v>
      </c>
      <c r="G467" s="114" t="str">
        <f t="shared" si="33"/>
        <v>1</v>
      </c>
      <c r="H467" s="114" t="str">
        <f t="shared" si="34"/>
        <v>0</v>
      </c>
      <c r="I467" s="115">
        <v>16100110</v>
      </c>
      <c r="J467" s="114" t="s">
        <v>4053</v>
      </c>
      <c r="K467" s="114" t="s">
        <v>4055</v>
      </c>
      <c r="L467" s="116"/>
      <c r="M467" s="114" t="s">
        <v>2878</v>
      </c>
      <c r="N467" s="114" t="s">
        <v>2879</v>
      </c>
      <c r="O467" s="114" t="s">
        <v>2878</v>
      </c>
      <c r="P467" s="117" t="s">
        <v>2880</v>
      </c>
    </row>
    <row r="468" spans="2:16" ht="30" hidden="1" x14ac:dyDescent="0.25">
      <c r="B468" s="108" t="str">
        <f t="shared" si="28"/>
        <v>1</v>
      </c>
      <c r="C468" s="108" t="str">
        <f t="shared" si="29"/>
        <v>6</v>
      </c>
      <c r="D468" s="108" t="str">
        <f t="shared" si="30"/>
        <v>1</v>
      </c>
      <c r="E468" s="108" t="str">
        <f t="shared" si="31"/>
        <v>0</v>
      </c>
      <c r="F468" s="108" t="str">
        <f t="shared" si="32"/>
        <v>02</v>
      </c>
      <c r="G468" s="108" t="str">
        <f t="shared" si="33"/>
        <v>0</v>
      </c>
      <c r="H468" s="108" t="str">
        <f t="shared" si="34"/>
        <v>0</v>
      </c>
      <c r="I468" s="109">
        <v>16100200</v>
      </c>
      <c r="J468" s="108" t="s">
        <v>4958</v>
      </c>
      <c r="K468" s="108" t="s">
        <v>4959</v>
      </c>
      <c r="L468" s="110"/>
      <c r="M468" s="108"/>
      <c r="N468" s="108"/>
      <c r="O468" s="108"/>
      <c r="P468" s="111" t="s">
        <v>2880</v>
      </c>
    </row>
    <row r="469" spans="2:16" ht="30" hidden="1" x14ac:dyDescent="0.25">
      <c r="B469" s="114" t="str">
        <f t="shared" si="28"/>
        <v>1</v>
      </c>
      <c r="C469" s="114" t="str">
        <f t="shared" si="29"/>
        <v>6</v>
      </c>
      <c r="D469" s="114" t="str">
        <f t="shared" si="30"/>
        <v>1</v>
      </c>
      <c r="E469" s="114" t="str">
        <f t="shared" si="31"/>
        <v>0</v>
      </c>
      <c r="F469" s="114" t="str">
        <f t="shared" si="32"/>
        <v>02</v>
      </c>
      <c r="G469" s="114" t="str">
        <f t="shared" si="33"/>
        <v>1</v>
      </c>
      <c r="H469" s="114" t="str">
        <f t="shared" si="34"/>
        <v>0</v>
      </c>
      <c r="I469" s="115">
        <v>16100210</v>
      </c>
      <c r="J469" s="114" t="s">
        <v>4958</v>
      </c>
      <c r="K469" s="114" t="s">
        <v>4959</v>
      </c>
      <c r="L469" s="116"/>
      <c r="M469" s="114"/>
      <c r="N469" s="114"/>
      <c r="O469" s="114"/>
      <c r="P469" s="117" t="s">
        <v>2880</v>
      </c>
    </row>
    <row r="470" spans="2:16" ht="30" hidden="1" x14ac:dyDescent="0.25">
      <c r="B470" s="108" t="str">
        <f t="shared" si="28"/>
        <v>1</v>
      </c>
      <c r="C470" s="108" t="str">
        <f t="shared" si="29"/>
        <v>6</v>
      </c>
      <c r="D470" s="108" t="str">
        <f t="shared" si="30"/>
        <v>1</v>
      </c>
      <c r="E470" s="108" t="str">
        <f t="shared" si="31"/>
        <v>0</v>
      </c>
      <c r="F470" s="108" t="str">
        <f t="shared" si="32"/>
        <v>03</v>
      </c>
      <c r="G470" s="108" t="str">
        <f t="shared" si="33"/>
        <v>0</v>
      </c>
      <c r="H470" s="108" t="str">
        <f t="shared" si="34"/>
        <v>0</v>
      </c>
      <c r="I470" s="109">
        <v>16100300</v>
      </c>
      <c r="J470" s="108" t="s">
        <v>4062</v>
      </c>
      <c r="K470" s="108" t="s">
        <v>4063</v>
      </c>
      <c r="L470" s="110"/>
      <c r="M470" s="108" t="s">
        <v>2878</v>
      </c>
      <c r="N470" s="108" t="s">
        <v>2879</v>
      </c>
      <c r="O470" s="108" t="s">
        <v>2878</v>
      </c>
      <c r="P470" s="111" t="s">
        <v>2880</v>
      </c>
    </row>
    <row r="471" spans="2:16" ht="118.5" hidden="1" customHeight="1" x14ac:dyDescent="0.25">
      <c r="B471" s="114" t="str">
        <f t="shared" si="28"/>
        <v>1</v>
      </c>
      <c r="C471" s="114" t="str">
        <f t="shared" si="29"/>
        <v>6</v>
      </c>
      <c r="D471" s="114" t="str">
        <f t="shared" si="30"/>
        <v>1</v>
      </c>
      <c r="E471" s="114" t="str">
        <f t="shared" si="31"/>
        <v>0</v>
      </c>
      <c r="F471" s="114" t="str">
        <f t="shared" si="32"/>
        <v>03</v>
      </c>
      <c r="G471" s="114" t="str">
        <f t="shared" si="33"/>
        <v>1</v>
      </c>
      <c r="H471" s="114" t="str">
        <f t="shared" si="34"/>
        <v>0</v>
      </c>
      <c r="I471" s="115">
        <v>16100310</v>
      </c>
      <c r="J471" s="114" t="s">
        <v>4062</v>
      </c>
      <c r="K471" s="114" t="s">
        <v>4064</v>
      </c>
      <c r="L471" s="116"/>
      <c r="M471" s="114" t="s">
        <v>2878</v>
      </c>
      <c r="N471" s="114" t="s">
        <v>2879</v>
      </c>
      <c r="O471" s="114" t="s">
        <v>2878</v>
      </c>
      <c r="P471" s="117" t="s">
        <v>2880</v>
      </c>
    </row>
    <row r="472" spans="2:16" ht="45" hidden="1" x14ac:dyDescent="0.25">
      <c r="B472" s="108" t="str">
        <f t="shared" si="28"/>
        <v>1</v>
      </c>
      <c r="C472" s="108" t="str">
        <f t="shared" si="29"/>
        <v>6</v>
      </c>
      <c r="D472" s="108" t="str">
        <f t="shared" si="30"/>
        <v>1</v>
      </c>
      <c r="E472" s="108" t="str">
        <f t="shared" si="31"/>
        <v>0</v>
      </c>
      <c r="F472" s="108" t="str">
        <f t="shared" si="32"/>
        <v>04</v>
      </c>
      <c r="G472" s="108" t="str">
        <f t="shared" si="33"/>
        <v>0</v>
      </c>
      <c r="H472" s="108" t="str">
        <f t="shared" si="34"/>
        <v>0</v>
      </c>
      <c r="I472" s="109">
        <v>16100400</v>
      </c>
      <c r="J472" s="108" t="s">
        <v>4072</v>
      </c>
      <c r="K472" s="108" t="s">
        <v>4073</v>
      </c>
      <c r="L472" s="110"/>
      <c r="M472" s="108" t="s">
        <v>2878</v>
      </c>
      <c r="N472" s="108" t="s">
        <v>2879</v>
      </c>
      <c r="O472" s="108" t="s">
        <v>2878</v>
      </c>
      <c r="P472" s="111" t="s">
        <v>2880</v>
      </c>
    </row>
    <row r="473" spans="2:16" ht="75" hidden="1" x14ac:dyDescent="0.25">
      <c r="B473" s="114" t="str">
        <f t="shared" si="28"/>
        <v>1</v>
      </c>
      <c r="C473" s="114" t="str">
        <f t="shared" si="29"/>
        <v>6</v>
      </c>
      <c r="D473" s="114" t="str">
        <f t="shared" si="30"/>
        <v>1</v>
      </c>
      <c r="E473" s="114" t="str">
        <f t="shared" si="31"/>
        <v>0</v>
      </c>
      <c r="F473" s="114" t="str">
        <f t="shared" si="32"/>
        <v>04</v>
      </c>
      <c r="G473" s="114" t="str">
        <f t="shared" si="33"/>
        <v>1</v>
      </c>
      <c r="H473" s="114" t="str">
        <f t="shared" si="34"/>
        <v>0</v>
      </c>
      <c r="I473" s="115">
        <v>16100410</v>
      </c>
      <c r="J473" s="114" t="s">
        <v>4072</v>
      </c>
      <c r="K473" s="114" t="s">
        <v>4074</v>
      </c>
      <c r="L473" s="116"/>
      <c r="M473" s="114" t="s">
        <v>2878</v>
      </c>
      <c r="N473" s="114" t="s">
        <v>2879</v>
      </c>
      <c r="O473" s="114" t="s">
        <v>2878</v>
      </c>
      <c r="P473" s="117" t="s">
        <v>2880</v>
      </c>
    </row>
    <row r="474" spans="2:16" ht="60" hidden="1" x14ac:dyDescent="0.25">
      <c r="B474" s="126" t="str">
        <f t="shared" si="28"/>
        <v>1</v>
      </c>
      <c r="C474" s="126" t="str">
        <f t="shared" si="29"/>
        <v>6</v>
      </c>
      <c r="D474" s="126" t="str">
        <f t="shared" si="30"/>
        <v>2</v>
      </c>
      <c r="E474" s="126" t="str">
        <f t="shared" si="31"/>
        <v>0</v>
      </c>
      <c r="F474" s="126" t="str">
        <f t="shared" si="32"/>
        <v>00</v>
      </c>
      <c r="G474" s="126" t="str">
        <f t="shared" si="33"/>
        <v>0</v>
      </c>
      <c r="H474" s="126" t="str">
        <f t="shared" si="34"/>
        <v>0</v>
      </c>
      <c r="I474" s="127">
        <v>16200000</v>
      </c>
      <c r="J474" s="126" t="s">
        <v>4081</v>
      </c>
      <c r="K474" s="126" t="s">
        <v>4082</v>
      </c>
      <c r="L474" s="122"/>
      <c r="M474" s="126" t="s">
        <v>2878</v>
      </c>
      <c r="N474" s="126" t="s">
        <v>5016</v>
      </c>
      <c r="O474" s="126" t="s">
        <v>2878</v>
      </c>
      <c r="P474" s="128" t="s">
        <v>2880</v>
      </c>
    </row>
    <row r="475" spans="2:16" ht="45" hidden="1" x14ac:dyDescent="0.25">
      <c r="B475" s="108" t="str">
        <f t="shared" si="28"/>
        <v>1</v>
      </c>
      <c r="C475" s="108" t="str">
        <f t="shared" si="29"/>
        <v>6</v>
      </c>
      <c r="D475" s="108" t="str">
        <f t="shared" si="30"/>
        <v>2</v>
      </c>
      <c r="E475" s="108" t="str">
        <f t="shared" si="31"/>
        <v>0</v>
      </c>
      <c r="F475" s="108" t="str">
        <f t="shared" si="32"/>
        <v>01</v>
      </c>
      <c r="G475" s="108" t="str">
        <f t="shared" si="33"/>
        <v>0</v>
      </c>
      <c r="H475" s="108" t="str">
        <f t="shared" si="34"/>
        <v>0</v>
      </c>
      <c r="I475" s="109">
        <v>16200100</v>
      </c>
      <c r="J475" s="108" t="s">
        <v>4083</v>
      </c>
      <c r="K475" s="108" t="s">
        <v>4084</v>
      </c>
      <c r="L475" s="110"/>
      <c r="M475" s="108" t="s">
        <v>2878</v>
      </c>
      <c r="N475" s="108" t="s">
        <v>2879</v>
      </c>
      <c r="O475" s="108" t="s">
        <v>2878</v>
      </c>
      <c r="P475" s="111" t="s">
        <v>2880</v>
      </c>
    </row>
    <row r="476" spans="2:16" ht="45" hidden="1" x14ac:dyDescent="0.25">
      <c r="B476" s="114" t="str">
        <f t="shared" si="28"/>
        <v>1</v>
      </c>
      <c r="C476" s="114" t="str">
        <f t="shared" si="29"/>
        <v>6</v>
      </c>
      <c r="D476" s="114" t="str">
        <f t="shared" si="30"/>
        <v>2</v>
      </c>
      <c r="E476" s="114" t="str">
        <f t="shared" si="31"/>
        <v>0</v>
      </c>
      <c r="F476" s="114" t="str">
        <f t="shared" si="32"/>
        <v>01</v>
      </c>
      <c r="G476" s="114" t="str">
        <f t="shared" si="33"/>
        <v>1</v>
      </c>
      <c r="H476" s="114" t="str">
        <f t="shared" si="34"/>
        <v>0</v>
      </c>
      <c r="I476" s="115">
        <v>16200110</v>
      </c>
      <c r="J476" s="114" t="s">
        <v>4083</v>
      </c>
      <c r="K476" s="114" t="s">
        <v>4085</v>
      </c>
      <c r="L476" s="116"/>
      <c r="M476" s="114" t="s">
        <v>2878</v>
      </c>
      <c r="N476" s="114" t="s">
        <v>2879</v>
      </c>
      <c r="O476" s="114" t="s">
        <v>2878</v>
      </c>
      <c r="P476" s="117" t="s">
        <v>2880</v>
      </c>
    </row>
    <row r="477" spans="2:16" ht="45" hidden="1" x14ac:dyDescent="0.25">
      <c r="B477" s="108" t="str">
        <f t="shared" si="28"/>
        <v>1</v>
      </c>
      <c r="C477" s="108" t="str">
        <f t="shared" si="29"/>
        <v>6</v>
      </c>
      <c r="D477" s="108" t="str">
        <f t="shared" si="30"/>
        <v>2</v>
      </c>
      <c r="E477" s="108" t="str">
        <f t="shared" si="31"/>
        <v>0</v>
      </c>
      <c r="F477" s="108" t="str">
        <f t="shared" si="32"/>
        <v>02</v>
      </c>
      <c r="G477" s="108" t="str">
        <f t="shared" si="33"/>
        <v>0</v>
      </c>
      <c r="H477" s="108" t="str">
        <f t="shared" si="34"/>
        <v>0</v>
      </c>
      <c r="I477" s="109">
        <v>16200200</v>
      </c>
      <c r="J477" s="108" t="s">
        <v>988</v>
      </c>
      <c r="K477" s="108" t="s">
        <v>4092</v>
      </c>
      <c r="L477" s="110"/>
      <c r="M477" s="108" t="s">
        <v>2878</v>
      </c>
      <c r="N477" s="108" t="s">
        <v>2879</v>
      </c>
      <c r="O477" s="108" t="s">
        <v>2878</v>
      </c>
      <c r="P477" s="111" t="s">
        <v>2880</v>
      </c>
    </row>
    <row r="478" spans="2:16" ht="45" hidden="1" x14ac:dyDescent="0.25">
      <c r="B478" s="114" t="str">
        <f t="shared" si="28"/>
        <v>1</v>
      </c>
      <c r="C478" s="114" t="str">
        <f t="shared" si="29"/>
        <v>6</v>
      </c>
      <c r="D478" s="114" t="str">
        <f t="shared" si="30"/>
        <v>2</v>
      </c>
      <c r="E478" s="114" t="str">
        <f t="shared" si="31"/>
        <v>0</v>
      </c>
      <c r="F478" s="114" t="str">
        <f t="shared" si="32"/>
        <v>02</v>
      </c>
      <c r="G478" s="114" t="str">
        <f t="shared" si="33"/>
        <v>1</v>
      </c>
      <c r="H478" s="114" t="str">
        <f t="shared" si="34"/>
        <v>0</v>
      </c>
      <c r="I478" s="115">
        <v>16200210</v>
      </c>
      <c r="J478" s="114" t="s">
        <v>988</v>
      </c>
      <c r="K478" s="114" t="s">
        <v>4093</v>
      </c>
      <c r="L478" s="116"/>
      <c r="M478" s="114" t="s">
        <v>2878</v>
      </c>
      <c r="N478" s="114" t="s">
        <v>2879</v>
      </c>
      <c r="O478" s="114" t="s">
        <v>2878</v>
      </c>
      <c r="P478" s="117" t="s">
        <v>2880</v>
      </c>
    </row>
    <row r="479" spans="2:16" ht="30" hidden="1" x14ac:dyDescent="0.25">
      <c r="B479" s="108" t="str">
        <f t="shared" si="28"/>
        <v>1</v>
      </c>
      <c r="C479" s="108" t="str">
        <f t="shared" si="29"/>
        <v>6</v>
      </c>
      <c r="D479" s="108" t="str">
        <f t="shared" si="30"/>
        <v>2</v>
      </c>
      <c r="E479" s="108" t="str">
        <f t="shared" si="31"/>
        <v>0</v>
      </c>
      <c r="F479" s="108" t="str">
        <f t="shared" si="32"/>
        <v>03</v>
      </c>
      <c r="G479" s="108" t="str">
        <f t="shared" si="33"/>
        <v>0</v>
      </c>
      <c r="H479" s="108" t="str">
        <f t="shared" si="34"/>
        <v>0</v>
      </c>
      <c r="I479" s="109">
        <v>16200300</v>
      </c>
      <c r="J479" s="108" t="s">
        <v>1026</v>
      </c>
      <c r="K479" s="108" t="s">
        <v>4099</v>
      </c>
      <c r="L479" s="110"/>
      <c r="M479" s="108" t="s">
        <v>2878</v>
      </c>
      <c r="N479" s="108" t="s">
        <v>2879</v>
      </c>
      <c r="O479" s="108" t="s">
        <v>2878</v>
      </c>
      <c r="P479" s="111" t="s">
        <v>2880</v>
      </c>
    </row>
    <row r="480" spans="2:16" ht="30" hidden="1" x14ac:dyDescent="0.25">
      <c r="B480" s="114" t="str">
        <f t="shared" si="28"/>
        <v>1</v>
      </c>
      <c r="C480" s="114" t="str">
        <f t="shared" si="29"/>
        <v>6</v>
      </c>
      <c r="D480" s="114" t="str">
        <f t="shared" si="30"/>
        <v>2</v>
      </c>
      <c r="E480" s="114" t="str">
        <f t="shared" si="31"/>
        <v>0</v>
      </c>
      <c r="F480" s="114" t="str">
        <f t="shared" si="32"/>
        <v>03</v>
      </c>
      <c r="G480" s="114" t="str">
        <f t="shared" si="33"/>
        <v>1</v>
      </c>
      <c r="H480" s="114" t="str">
        <f t="shared" si="34"/>
        <v>0</v>
      </c>
      <c r="I480" s="115">
        <v>16200310</v>
      </c>
      <c r="J480" s="114" t="s">
        <v>1026</v>
      </c>
      <c r="K480" s="114" t="s">
        <v>4100</v>
      </c>
      <c r="L480" s="116"/>
      <c r="M480" s="114" t="s">
        <v>2878</v>
      </c>
      <c r="N480" s="114" t="s">
        <v>2879</v>
      </c>
      <c r="O480" s="114" t="s">
        <v>2878</v>
      </c>
      <c r="P480" s="117" t="s">
        <v>2880</v>
      </c>
    </row>
    <row r="481" spans="2:16" ht="75" hidden="1" x14ac:dyDescent="0.25">
      <c r="B481" s="108" t="str">
        <f t="shared" si="28"/>
        <v>1</v>
      </c>
      <c r="C481" s="108" t="str">
        <f t="shared" si="29"/>
        <v>6</v>
      </c>
      <c r="D481" s="108" t="str">
        <f t="shared" si="30"/>
        <v>2</v>
      </c>
      <c r="E481" s="108" t="str">
        <f t="shared" si="31"/>
        <v>0</v>
      </c>
      <c r="F481" s="108" t="str">
        <f t="shared" si="32"/>
        <v>04</v>
      </c>
      <c r="G481" s="108" t="str">
        <f t="shared" si="33"/>
        <v>0</v>
      </c>
      <c r="H481" s="108" t="str">
        <f t="shared" si="34"/>
        <v>0</v>
      </c>
      <c r="I481" s="109">
        <v>16200400</v>
      </c>
      <c r="J481" s="108" t="s">
        <v>4107</v>
      </c>
      <c r="K481" s="108" t="s">
        <v>4108</v>
      </c>
      <c r="L481" s="110"/>
      <c r="M481" s="108" t="s">
        <v>2878</v>
      </c>
      <c r="N481" s="108" t="s">
        <v>2879</v>
      </c>
      <c r="O481" s="108" t="s">
        <v>2878</v>
      </c>
      <c r="P481" s="111" t="s">
        <v>2880</v>
      </c>
    </row>
    <row r="482" spans="2:16" ht="75" hidden="1" x14ac:dyDescent="0.25">
      <c r="B482" s="114" t="str">
        <f t="shared" si="28"/>
        <v>1</v>
      </c>
      <c r="C482" s="114" t="str">
        <f t="shared" si="29"/>
        <v>6</v>
      </c>
      <c r="D482" s="114" t="str">
        <f t="shared" si="30"/>
        <v>2</v>
      </c>
      <c r="E482" s="114" t="str">
        <f t="shared" si="31"/>
        <v>0</v>
      </c>
      <c r="F482" s="114" t="str">
        <f t="shared" si="32"/>
        <v>04</v>
      </c>
      <c r="G482" s="114" t="str">
        <f t="shared" si="33"/>
        <v>1</v>
      </c>
      <c r="H482" s="114" t="str">
        <f t="shared" si="34"/>
        <v>0</v>
      </c>
      <c r="I482" s="115">
        <v>16200410</v>
      </c>
      <c r="J482" s="114" t="s">
        <v>1129</v>
      </c>
      <c r="K482" s="114" t="s">
        <v>4109</v>
      </c>
      <c r="L482" s="116"/>
      <c r="M482" s="114" t="s">
        <v>2878</v>
      </c>
      <c r="N482" s="114" t="s">
        <v>2879</v>
      </c>
      <c r="O482" s="114" t="s">
        <v>2878</v>
      </c>
      <c r="P482" s="117" t="s">
        <v>2880</v>
      </c>
    </row>
    <row r="483" spans="2:16" ht="30" hidden="1" x14ac:dyDescent="0.25">
      <c r="B483" s="114" t="str">
        <f t="shared" si="28"/>
        <v>1</v>
      </c>
      <c r="C483" s="114" t="str">
        <f t="shared" si="29"/>
        <v>6</v>
      </c>
      <c r="D483" s="114" t="str">
        <f t="shared" si="30"/>
        <v>2</v>
      </c>
      <c r="E483" s="114" t="str">
        <f t="shared" si="31"/>
        <v>0</v>
      </c>
      <c r="F483" s="114" t="str">
        <f t="shared" si="32"/>
        <v>04</v>
      </c>
      <c r="G483" s="114" t="str">
        <f t="shared" si="33"/>
        <v>2</v>
      </c>
      <c r="H483" s="114" t="str">
        <f t="shared" si="34"/>
        <v>0</v>
      </c>
      <c r="I483" s="115">
        <v>16200420</v>
      </c>
      <c r="J483" s="114" t="s">
        <v>1131</v>
      </c>
      <c r="K483" s="114" t="s">
        <v>4117</v>
      </c>
      <c r="L483" s="116"/>
      <c r="M483" s="114" t="s">
        <v>2878</v>
      </c>
      <c r="N483" s="114" t="s">
        <v>2879</v>
      </c>
      <c r="O483" s="114" t="s">
        <v>2878</v>
      </c>
      <c r="P483" s="117" t="s">
        <v>2880</v>
      </c>
    </row>
    <row r="484" spans="2:16" ht="60" hidden="1" x14ac:dyDescent="0.25">
      <c r="B484" s="114" t="str">
        <f t="shared" si="28"/>
        <v>1</v>
      </c>
      <c r="C484" s="114" t="str">
        <f t="shared" si="29"/>
        <v>6</v>
      </c>
      <c r="D484" s="114" t="str">
        <f t="shared" si="30"/>
        <v>2</v>
      </c>
      <c r="E484" s="114" t="str">
        <f t="shared" si="31"/>
        <v>0</v>
      </c>
      <c r="F484" s="114" t="str">
        <f t="shared" si="32"/>
        <v>04</v>
      </c>
      <c r="G484" s="114" t="str">
        <f t="shared" si="33"/>
        <v>3</v>
      </c>
      <c r="H484" s="114" t="str">
        <f t="shared" si="34"/>
        <v>0</v>
      </c>
      <c r="I484" s="115">
        <v>16200430</v>
      </c>
      <c r="J484" s="114" t="s">
        <v>4125</v>
      </c>
      <c r="K484" s="114" t="s">
        <v>4126</v>
      </c>
      <c r="L484" s="116"/>
      <c r="M484" s="114" t="s">
        <v>2878</v>
      </c>
      <c r="N484" s="114" t="s">
        <v>2879</v>
      </c>
      <c r="O484" s="114" t="s">
        <v>2878</v>
      </c>
      <c r="P484" s="117" t="s">
        <v>2880</v>
      </c>
    </row>
    <row r="485" spans="2:16" ht="45" hidden="1" x14ac:dyDescent="0.25">
      <c r="B485" s="126" t="str">
        <f t="shared" si="28"/>
        <v>1</v>
      </c>
      <c r="C485" s="126" t="str">
        <f t="shared" si="29"/>
        <v>6</v>
      </c>
      <c r="D485" s="126" t="str">
        <f t="shared" si="30"/>
        <v>3</v>
      </c>
      <c r="E485" s="126" t="str">
        <f t="shared" si="31"/>
        <v>0</v>
      </c>
      <c r="F485" s="126" t="str">
        <f t="shared" si="32"/>
        <v>00</v>
      </c>
      <c r="G485" s="126" t="str">
        <f t="shared" si="33"/>
        <v>0</v>
      </c>
      <c r="H485" s="126" t="str">
        <f t="shared" si="34"/>
        <v>0</v>
      </c>
      <c r="I485" s="127">
        <v>16300000</v>
      </c>
      <c r="J485" s="126" t="s">
        <v>4134</v>
      </c>
      <c r="K485" s="126" t="s">
        <v>4135</v>
      </c>
      <c r="L485" s="122"/>
      <c r="M485" s="126" t="s">
        <v>2878</v>
      </c>
      <c r="N485" s="126" t="s">
        <v>5016</v>
      </c>
      <c r="O485" s="126" t="s">
        <v>2878</v>
      </c>
      <c r="P485" s="128" t="s">
        <v>2880</v>
      </c>
    </row>
    <row r="486" spans="2:16" ht="75" hidden="1" x14ac:dyDescent="0.25">
      <c r="B486" s="108" t="str">
        <f t="shared" si="28"/>
        <v>1</v>
      </c>
      <c r="C486" s="108" t="str">
        <f t="shared" si="29"/>
        <v>6</v>
      </c>
      <c r="D486" s="108" t="str">
        <f t="shared" si="30"/>
        <v>3</v>
      </c>
      <c r="E486" s="108" t="str">
        <f t="shared" si="31"/>
        <v>0</v>
      </c>
      <c r="F486" s="108" t="str">
        <f t="shared" si="32"/>
        <v>01</v>
      </c>
      <c r="G486" s="108" t="str">
        <f t="shared" si="33"/>
        <v>0</v>
      </c>
      <c r="H486" s="108" t="str">
        <f t="shared" si="34"/>
        <v>0</v>
      </c>
      <c r="I486" s="109">
        <v>16300100</v>
      </c>
      <c r="J486" s="108" t="s">
        <v>4136</v>
      </c>
      <c r="K486" s="108" t="s">
        <v>4137</v>
      </c>
      <c r="L486" s="110"/>
      <c r="M486" s="108" t="s">
        <v>2878</v>
      </c>
      <c r="N486" s="108" t="s">
        <v>2879</v>
      </c>
      <c r="O486" s="108" t="s">
        <v>2878</v>
      </c>
      <c r="P486" s="111" t="s">
        <v>2880</v>
      </c>
    </row>
    <row r="487" spans="2:16" ht="105" hidden="1" x14ac:dyDescent="0.25">
      <c r="B487" s="114" t="str">
        <f t="shared" si="28"/>
        <v>1</v>
      </c>
      <c r="C487" s="114" t="str">
        <f t="shared" si="29"/>
        <v>6</v>
      </c>
      <c r="D487" s="114" t="str">
        <f t="shared" si="30"/>
        <v>3</v>
      </c>
      <c r="E487" s="114" t="str">
        <f t="shared" si="31"/>
        <v>0</v>
      </c>
      <c r="F487" s="114" t="str">
        <f t="shared" si="32"/>
        <v>01</v>
      </c>
      <c r="G487" s="114" t="str">
        <f t="shared" si="33"/>
        <v>1</v>
      </c>
      <c r="H487" s="114" t="str">
        <f t="shared" si="34"/>
        <v>0</v>
      </c>
      <c r="I487" s="115">
        <v>16300110</v>
      </c>
      <c r="J487" s="114" t="s">
        <v>4136</v>
      </c>
      <c r="K487" s="114" t="s">
        <v>4138</v>
      </c>
      <c r="L487" s="116"/>
      <c r="M487" s="114" t="s">
        <v>4067</v>
      </c>
      <c r="N487" s="114" t="s">
        <v>2879</v>
      </c>
      <c r="O487" s="114" t="s">
        <v>4139</v>
      </c>
      <c r="P487" s="117" t="s">
        <v>2880</v>
      </c>
    </row>
    <row r="488" spans="2:16" ht="75" hidden="1" x14ac:dyDescent="0.25">
      <c r="B488" s="108" t="str">
        <f t="shared" si="28"/>
        <v>1</v>
      </c>
      <c r="C488" s="108" t="str">
        <f t="shared" si="29"/>
        <v>6</v>
      </c>
      <c r="D488" s="108" t="str">
        <f t="shared" si="30"/>
        <v>3</v>
      </c>
      <c r="E488" s="108" t="str">
        <f t="shared" si="31"/>
        <v>0</v>
      </c>
      <c r="F488" s="108" t="str">
        <f t="shared" si="32"/>
        <v>02</v>
      </c>
      <c r="G488" s="108" t="str">
        <f t="shared" si="33"/>
        <v>0</v>
      </c>
      <c r="H488" s="108" t="str">
        <f t="shared" si="34"/>
        <v>0</v>
      </c>
      <c r="I488" s="109">
        <v>16300200</v>
      </c>
      <c r="J488" s="108" t="s">
        <v>4145</v>
      </c>
      <c r="K488" s="108" t="s">
        <v>4146</v>
      </c>
      <c r="L488" s="110"/>
      <c r="M488" s="108" t="s">
        <v>2878</v>
      </c>
      <c r="N488" s="108" t="s">
        <v>2879</v>
      </c>
      <c r="O488" s="108" t="s">
        <v>2878</v>
      </c>
      <c r="P488" s="111" t="s">
        <v>2880</v>
      </c>
    </row>
    <row r="489" spans="2:16" ht="45" hidden="1" x14ac:dyDescent="0.25">
      <c r="B489" s="114" t="str">
        <f t="shared" si="28"/>
        <v>1</v>
      </c>
      <c r="C489" s="114" t="str">
        <f t="shared" si="29"/>
        <v>6</v>
      </c>
      <c r="D489" s="114" t="str">
        <f t="shared" si="30"/>
        <v>3</v>
      </c>
      <c r="E489" s="114" t="str">
        <f t="shared" si="31"/>
        <v>0</v>
      </c>
      <c r="F489" s="114" t="str">
        <f t="shared" si="32"/>
        <v>02</v>
      </c>
      <c r="G489" s="114" t="str">
        <f t="shared" si="33"/>
        <v>1</v>
      </c>
      <c r="H489" s="114" t="str">
        <f t="shared" si="34"/>
        <v>0</v>
      </c>
      <c r="I489" s="115">
        <v>16300210</v>
      </c>
      <c r="J489" s="114" t="s">
        <v>1020</v>
      </c>
      <c r="K489" s="114" t="s">
        <v>4147</v>
      </c>
      <c r="L489" s="116"/>
      <c r="M489" s="114" t="s">
        <v>2878</v>
      </c>
      <c r="N489" s="114" t="s">
        <v>2879</v>
      </c>
      <c r="O489" s="114" t="s">
        <v>2878</v>
      </c>
      <c r="P489" s="117" t="s">
        <v>2880</v>
      </c>
    </row>
    <row r="490" spans="2:16" ht="60" hidden="1" x14ac:dyDescent="0.25">
      <c r="B490" s="114" t="str">
        <f t="shared" si="28"/>
        <v>1</v>
      </c>
      <c r="C490" s="114" t="str">
        <f t="shared" si="29"/>
        <v>6</v>
      </c>
      <c r="D490" s="114" t="str">
        <f t="shared" si="30"/>
        <v>3</v>
      </c>
      <c r="E490" s="114" t="str">
        <f t="shared" si="31"/>
        <v>0</v>
      </c>
      <c r="F490" s="114" t="str">
        <f t="shared" si="32"/>
        <v>02</v>
      </c>
      <c r="G490" s="114" t="str">
        <f t="shared" si="33"/>
        <v>2</v>
      </c>
      <c r="H490" s="114" t="str">
        <f t="shared" si="34"/>
        <v>0</v>
      </c>
      <c r="I490" s="115">
        <v>16300220</v>
      </c>
      <c r="J490" s="114" t="s">
        <v>4155</v>
      </c>
      <c r="K490" s="114" t="s">
        <v>4156</v>
      </c>
      <c r="L490" s="116"/>
      <c r="M490" s="114" t="s">
        <v>2878</v>
      </c>
      <c r="N490" s="114" t="s">
        <v>2879</v>
      </c>
      <c r="O490" s="114" t="s">
        <v>2878</v>
      </c>
      <c r="P490" s="117" t="s">
        <v>2880</v>
      </c>
    </row>
    <row r="491" spans="2:16" s="148" customFormat="1" ht="45" x14ac:dyDescent="0.25">
      <c r="B491" s="164" t="str">
        <f t="shared" si="28"/>
        <v>1</v>
      </c>
      <c r="C491" s="164" t="str">
        <f t="shared" si="29"/>
        <v>6</v>
      </c>
      <c r="D491" s="164" t="str">
        <f t="shared" si="30"/>
        <v>3</v>
      </c>
      <c r="E491" s="164" t="str">
        <f t="shared" si="31"/>
        <v>8</v>
      </c>
      <c r="F491" s="164" t="str">
        <f t="shared" si="32"/>
        <v>00</v>
      </c>
      <c r="G491" s="164" t="str">
        <f t="shared" si="33"/>
        <v>0</v>
      </c>
      <c r="H491" s="164" t="str">
        <f t="shared" si="34"/>
        <v>0</v>
      </c>
      <c r="I491" s="165">
        <v>16380000</v>
      </c>
      <c r="J491" s="164" t="s">
        <v>5561</v>
      </c>
      <c r="K491" s="164" t="s">
        <v>4135</v>
      </c>
      <c r="L491" s="166"/>
      <c r="M491" s="164" t="s">
        <v>2878</v>
      </c>
      <c r="N491" s="164"/>
      <c r="O491" s="164" t="s">
        <v>2878</v>
      </c>
      <c r="P491" s="167" t="s">
        <v>2880</v>
      </c>
    </row>
    <row r="492" spans="2:16" s="148" customFormat="1" ht="75" x14ac:dyDescent="0.25">
      <c r="B492" s="145" t="str">
        <f t="shared" ref="B492:B555" si="35">MID($I492,1,1)</f>
        <v>1</v>
      </c>
      <c r="C492" s="145" t="str">
        <f t="shared" ref="C492:C555" si="36">MID($I492,2,1)</f>
        <v>6</v>
      </c>
      <c r="D492" s="145" t="str">
        <f t="shared" ref="D492:D555" si="37">MID($I492,3,1)</f>
        <v>3</v>
      </c>
      <c r="E492" s="145" t="str">
        <f t="shared" ref="E492:E555" si="38">MID($I492,4,1)</f>
        <v>8</v>
      </c>
      <c r="F492" s="145" t="str">
        <f t="shared" ref="F492:F555" si="39">MID($I492,5,2)</f>
        <v>01</v>
      </c>
      <c r="G492" s="145" t="str">
        <f t="shared" ref="G492:G555" si="40">MID($I492,7,1)</f>
        <v>0</v>
      </c>
      <c r="H492" s="145" t="str">
        <f t="shared" ref="H492:H555" si="41">MID($I492,8,1)</f>
        <v>0</v>
      </c>
      <c r="I492" s="143">
        <v>16380100</v>
      </c>
      <c r="J492" s="145" t="s">
        <v>5562</v>
      </c>
      <c r="K492" s="145" t="s">
        <v>5564</v>
      </c>
      <c r="L492" s="146"/>
      <c r="M492" s="145" t="s">
        <v>2878</v>
      </c>
      <c r="N492" s="145"/>
      <c r="O492" s="145" t="s">
        <v>2878</v>
      </c>
      <c r="P492" s="147" t="s">
        <v>2880</v>
      </c>
    </row>
    <row r="493" spans="2:16" s="148" customFormat="1" ht="45" x14ac:dyDescent="0.25">
      <c r="B493" s="149" t="str">
        <f t="shared" si="35"/>
        <v>1</v>
      </c>
      <c r="C493" s="149" t="str">
        <f t="shared" si="36"/>
        <v>6</v>
      </c>
      <c r="D493" s="149" t="str">
        <f t="shared" si="37"/>
        <v>3</v>
      </c>
      <c r="E493" s="149" t="str">
        <f t="shared" si="38"/>
        <v>8</v>
      </c>
      <c r="F493" s="149" t="str">
        <f t="shared" si="39"/>
        <v>01</v>
      </c>
      <c r="G493" s="149" t="str">
        <f t="shared" si="40"/>
        <v>1</v>
      </c>
      <c r="H493" s="149" t="str">
        <f t="shared" si="41"/>
        <v>0</v>
      </c>
      <c r="I493" s="144">
        <v>16380110</v>
      </c>
      <c r="J493" s="149" t="s">
        <v>1014</v>
      </c>
      <c r="K493" s="149" t="s">
        <v>5565</v>
      </c>
      <c r="L493" s="150"/>
      <c r="M493" s="149" t="s">
        <v>2878</v>
      </c>
      <c r="N493" s="149"/>
      <c r="O493" s="149" t="s">
        <v>2878</v>
      </c>
      <c r="P493" s="151" t="s">
        <v>2880</v>
      </c>
    </row>
    <row r="494" spans="2:16" s="148" customFormat="1" ht="30" x14ac:dyDescent="0.25">
      <c r="B494" s="149" t="str">
        <f t="shared" si="35"/>
        <v>1</v>
      </c>
      <c r="C494" s="149" t="str">
        <f t="shared" si="36"/>
        <v>6</v>
      </c>
      <c r="D494" s="149" t="str">
        <f t="shared" si="37"/>
        <v>3</v>
      </c>
      <c r="E494" s="149" t="str">
        <f t="shared" si="38"/>
        <v>8</v>
      </c>
      <c r="F494" s="149" t="str">
        <f t="shared" si="39"/>
        <v>01</v>
      </c>
      <c r="G494" s="149" t="str">
        <f t="shared" si="40"/>
        <v>2</v>
      </c>
      <c r="H494" s="149" t="str">
        <f t="shared" si="41"/>
        <v>0</v>
      </c>
      <c r="I494" s="144">
        <v>16380120</v>
      </c>
      <c r="J494" s="149" t="s">
        <v>5563</v>
      </c>
      <c r="K494" s="149" t="s">
        <v>5566</v>
      </c>
      <c r="L494" s="150"/>
      <c r="M494" s="149" t="s">
        <v>2878</v>
      </c>
      <c r="N494" s="149"/>
      <c r="O494" s="149" t="s">
        <v>2878</v>
      </c>
      <c r="P494" s="151" t="s">
        <v>2880</v>
      </c>
    </row>
    <row r="495" spans="2:16" s="148" customFormat="1" ht="45" x14ac:dyDescent="0.25">
      <c r="B495" s="149" t="str">
        <f t="shared" si="35"/>
        <v>1</v>
      </c>
      <c r="C495" s="149" t="str">
        <f t="shared" si="36"/>
        <v>6</v>
      </c>
      <c r="D495" s="149" t="str">
        <f t="shared" si="37"/>
        <v>3</v>
      </c>
      <c r="E495" s="149" t="str">
        <f t="shared" si="38"/>
        <v>8</v>
      </c>
      <c r="F495" s="149" t="str">
        <f t="shared" si="39"/>
        <v>01</v>
      </c>
      <c r="G495" s="149" t="str">
        <f t="shared" si="40"/>
        <v>3</v>
      </c>
      <c r="H495" s="149" t="str">
        <f t="shared" si="41"/>
        <v>0</v>
      </c>
      <c r="I495" s="144">
        <v>16380130</v>
      </c>
      <c r="J495" s="149" t="s">
        <v>1018</v>
      </c>
      <c r="K495" s="149" t="s">
        <v>5567</v>
      </c>
      <c r="L495" s="150"/>
      <c r="M495" s="149" t="s">
        <v>2878</v>
      </c>
      <c r="N495" s="149"/>
      <c r="O495" s="149" t="s">
        <v>2878</v>
      </c>
      <c r="P495" s="151" t="s">
        <v>2880</v>
      </c>
    </row>
    <row r="496" spans="2:16" s="148" customFormat="1" ht="45" x14ac:dyDescent="0.25">
      <c r="B496" s="149" t="str">
        <f t="shared" si="35"/>
        <v>1</v>
      </c>
      <c r="C496" s="149" t="str">
        <f t="shared" si="36"/>
        <v>6</v>
      </c>
      <c r="D496" s="149" t="str">
        <f t="shared" si="37"/>
        <v>3</v>
      </c>
      <c r="E496" s="149" t="str">
        <f t="shared" si="38"/>
        <v>8</v>
      </c>
      <c r="F496" s="149" t="str">
        <f t="shared" si="39"/>
        <v>01</v>
      </c>
      <c r="G496" s="149" t="str">
        <f t="shared" si="40"/>
        <v>4</v>
      </c>
      <c r="H496" s="149" t="str">
        <f t="shared" si="41"/>
        <v>0</v>
      </c>
      <c r="I496" s="144">
        <v>16380140</v>
      </c>
      <c r="J496" s="149" t="s">
        <v>1022</v>
      </c>
      <c r="K496" s="149" t="s">
        <v>5568</v>
      </c>
      <c r="L496" s="150"/>
      <c r="M496" s="149" t="s">
        <v>2878</v>
      </c>
      <c r="N496" s="149"/>
      <c r="O496" s="149" t="s">
        <v>2878</v>
      </c>
      <c r="P496" s="151" t="s">
        <v>2880</v>
      </c>
    </row>
    <row r="497" spans="2:16" s="148" customFormat="1" ht="30" x14ac:dyDescent="0.25">
      <c r="B497" s="149" t="str">
        <f t="shared" si="35"/>
        <v>1</v>
      </c>
      <c r="C497" s="149" t="str">
        <f t="shared" si="36"/>
        <v>6</v>
      </c>
      <c r="D497" s="149" t="str">
        <f t="shared" si="37"/>
        <v>3</v>
      </c>
      <c r="E497" s="149" t="str">
        <f t="shared" si="38"/>
        <v>8</v>
      </c>
      <c r="F497" s="149" t="str">
        <f t="shared" si="39"/>
        <v>01</v>
      </c>
      <c r="G497" s="149" t="str">
        <f t="shared" si="40"/>
        <v>9</v>
      </c>
      <c r="H497" s="149" t="str">
        <f t="shared" si="41"/>
        <v>0</v>
      </c>
      <c r="I497" s="144">
        <v>16380190</v>
      </c>
      <c r="J497" s="149" t="s">
        <v>1024</v>
      </c>
      <c r="K497" s="149" t="s">
        <v>5569</v>
      </c>
      <c r="L497" s="150"/>
      <c r="M497" s="149" t="s">
        <v>2878</v>
      </c>
      <c r="N497" s="149"/>
      <c r="O497" s="149" t="s">
        <v>2878</v>
      </c>
      <c r="P497" s="151" t="s">
        <v>2880</v>
      </c>
    </row>
    <row r="498" spans="2:16" ht="45" hidden="1" x14ac:dyDescent="0.25">
      <c r="B498" s="126" t="str">
        <f t="shared" si="35"/>
        <v>1</v>
      </c>
      <c r="C498" s="126" t="str">
        <f t="shared" si="36"/>
        <v>6</v>
      </c>
      <c r="D498" s="126" t="str">
        <f t="shared" si="37"/>
        <v>4</v>
      </c>
      <c r="E498" s="126" t="str">
        <f t="shared" si="38"/>
        <v>0</v>
      </c>
      <c r="F498" s="126" t="str">
        <f t="shared" si="39"/>
        <v>00</v>
      </c>
      <c r="G498" s="126" t="str">
        <f t="shared" si="40"/>
        <v>0</v>
      </c>
      <c r="H498" s="126" t="str">
        <f t="shared" si="41"/>
        <v>0</v>
      </c>
      <c r="I498" s="127">
        <v>16400000</v>
      </c>
      <c r="J498" s="126" t="s">
        <v>4164</v>
      </c>
      <c r="K498" s="126" t="s">
        <v>4165</v>
      </c>
      <c r="L498" s="122"/>
      <c r="M498" s="126" t="s">
        <v>2878</v>
      </c>
      <c r="N498" s="126" t="s">
        <v>5016</v>
      </c>
      <c r="O498" s="126" t="s">
        <v>2878</v>
      </c>
      <c r="P498" s="128" t="s">
        <v>2880</v>
      </c>
    </row>
    <row r="499" spans="2:16" ht="90" hidden="1" x14ac:dyDescent="0.25">
      <c r="B499" s="108" t="str">
        <f t="shared" si="35"/>
        <v>1</v>
      </c>
      <c r="C499" s="108" t="str">
        <f t="shared" si="36"/>
        <v>6</v>
      </c>
      <c r="D499" s="108" t="str">
        <f t="shared" si="37"/>
        <v>4</v>
      </c>
      <c r="E499" s="108" t="str">
        <f t="shared" si="38"/>
        <v>0</v>
      </c>
      <c r="F499" s="108" t="str">
        <f t="shared" si="39"/>
        <v>01</v>
      </c>
      <c r="G499" s="108" t="str">
        <f t="shared" si="40"/>
        <v>0</v>
      </c>
      <c r="H499" s="108" t="str">
        <f t="shared" si="41"/>
        <v>0</v>
      </c>
      <c r="I499" s="109">
        <v>16400100</v>
      </c>
      <c r="J499" s="108" t="s">
        <v>4166</v>
      </c>
      <c r="K499" s="108" t="s">
        <v>4167</v>
      </c>
      <c r="L499" s="110"/>
      <c r="M499" s="108" t="s">
        <v>2878</v>
      </c>
      <c r="N499" s="108" t="s">
        <v>2879</v>
      </c>
      <c r="O499" s="108" t="s">
        <v>2878</v>
      </c>
      <c r="P499" s="111" t="s">
        <v>2880</v>
      </c>
    </row>
    <row r="500" spans="2:16" ht="90" hidden="1" x14ac:dyDescent="0.25">
      <c r="B500" s="114" t="str">
        <f t="shared" si="35"/>
        <v>1</v>
      </c>
      <c r="C500" s="114" t="str">
        <f t="shared" si="36"/>
        <v>6</v>
      </c>
      <c r="D500" s="114" t="str">
        <f t="shared" si="37"/>
        <v>4</v>
      </c>
      <c r="E500" s="114" t="str">
        <f t="shared" si="38"/>
        <v>0</v>
      </c>
      <c r="F500" s="114" t="str">
        <f t="shared" si="39"/>
        <v>01</v>
      </c>
      <c r="G500" s="114" t="str">
        <f t="shared" si="40"/>
        <v>1</v>
      </c>
      <c r="H500" s="114" t="str">
        <f t="shared" si="41"/>
        <v>0</v>
      </c>
      <c r="I500" s="115">
        <v>16400110</v>
      </c>
      <c r="J500" s="114" t="s">
        <v>4166</v>
      </c>
      <c r="K500" s="114" t="s">
        <v>4167</v>
      </c>
      <c r="L500" s="116"/>
      <c r="M500" s="114" t="s">
        <v>2878</v>
      </c>
      <c r="N500" s="114" t="s">
        <v>2879</v>
      </c>
      <c r="O500" s="114" t="s">
        <v>2878</v>
      </c>
      <c r="P500" s="117" t="s">
        <v>2880</v>
      </c>
    </row>
    <row r="501" spans="2:16" ht="30" hidden="1" x14ac:dyDescent="0.25">
      <c r="B501" s="108" t="str">
        <f t="shared" si="35"/>
        <v>1</v>
      </c>
      <c r="C501" s="108" t="str">
        <f t="shared" si="36"/>
        <v>6</v>
      </c>
      <c r="D501" s="108" t="str">
        <f t="shared" si="37"/>
        <v>4</v>
      </c>
      <c r="E501" s="108" t="str">
        <f t="shared" si="38"/>
        <v>0</v>
      </c>
      <c r="F501" s="108" t="str">
        <f t="shared" si="39"/>
        <v>02</v>
      </c>
      <c r="G501" s="108" t="str">
        <f t="shared" si="40"/>
        <v>0</v>
      </c>
      <c r="H501" s="108" t="str">
        <f t="shared" si="41"/>
        <v>0</v>
      </c>
      <c r="I501" s="109">
        <v>16400200</v>
      </c>
      <c r="J501" s="108" t="s">
        <v>4174</v>
      </c>
      <c r="K501" s="108" t="s">
        <v>4175</v>
      </c>
      <c r="L501" s="110"/>
      <c r="M501" s="108" t="s">
        <v>2878</v>
      </c>
      <c r="N501" s="108" t="s">
        <v>2879</v>
      </c>
      <c r="O501" s="108" t="s">
        <v>2878</v>
      </c>
      <c r="P501" s="111" t="s">
        <v>2880</v>
      </c>
    </row>
    <row r="502" spans="2:16" ht="30" hidden="1" x14ac:dyDescent="0.25">
      <c r="B502" s="114" t="str">
        <f t="shared" si="35"/>
        <v>1</v>
      </c>
      <c r="C502" s="114" t="str">
        <f t="shared" si="36"/>
        <v>6</v>
      </c>
      <c r="D502" s="114" t="str">
        <f t="shared" si="37"/>
        <v>4</v>
      </c>
      <c r="E502" s="114" t="str">
        <f t="shared" si="38"/>
        <v>0</v>
      </c>
      <c r="F502" s="114" t="str">
        <f t="shared" si="39"/>
        <v>02</v>
      </c>
      <c r="G502" s="114" t="str">
        <f t="shared" si="40"/>
        <v>1</v>
      </c>
      <c r="H502" s="114" t="str">
        <f t="shared" si="41"/>
        <v>0</v>
      </c>
      <c r="I502" s="115">
        <v>16400210</v>
      </c>
      <c r="J502" s="114" t="s">
        <v>4174</v>
      </c>
      <c r="K502" s="114" t="s">
        <v>4175</v>
      </c>
      <c r="L502" s="116"/>
      <c r="M502" s="114" t="s">
        <v>2878</v>
      </c>
      <c r="N502" s="114" t="s">
        <v>2879</v>
      </c>
      <c r="O502" s="114" t="s">
        <v>2878</v>
      </c>
      <c r="P502" s="117" t="s">
        <v>2880</v>
      </c>
    </row>
    <row r="503" spans="2:16" ht="60" hidden="1" x14ac:dyDescent="0.25">
      <c r="B503" s="108" t="str">
        <f t="shared" si="35"/>
        <v>1</v>
      </c>
      <c r="C503" s="108" t="str">
        <f t="shared" si="36"/>
        <v>6</v>
      </c>
      <c r="D503" s="108" t="str">
        <f t="shared" si="37"/>
        <v>4</v>
      </c>
      <c r="E503" s="108" t="str">
        <f t="shared" si="38"/>
        <v>0</v>
      </c>
      <c r="F503" s="108" t="str">
        <f t="shared" si="39"/>
        <v>03</v>
      </c>
      <c r="G503" s="108" t="str">
        <f t="shared" si="40"/>
        <v>0</v>
      </c>
      <c r="H503" s="108" t="str">
        <f t="shared" si="41"/>
        <v>0</v>
      </c>
      <c r="I503" s="109">
        <v>16400300</v>
      </c>
      <c r="J503" s="108" t="s">
        <v>4182</v>
      </c>
      <c r="K503" s="108" t="s">
        <v>4183</v>
      </c>
      <c r="L503" s="110"/>
      <c r="M503" s="108" t="s">
        <v>2878</v>
      </c>
      <c r="N503" s="108" t="s">
        <v>2879</v>
      </c>
      <c r="O503" s="108" t="s">
        <v>2878</v>
      </c>
      <c r="P503" s="111" t="s">
        <v>2880</v>
      </c>
    </row>
    <row r="504" spans="2:16" ht="60" hidden="1" x14ac:dyDescent="0.25">
      <c r="B504" s="114" t="str">
        <f t="shared" si="35"/>
        <v>1</v>
      </c>
      <c r="C504" s="114" t="str">
        <f t="shared" si="36"/>
        <v>6</v>
      </c>
      <c r="D504" s="114" t="str">
        <f t="shared" si="37"/>
        <v>4</v>
      </c>
      <c r="E504" s="114" t="str">
        <f t="shared" si="38"/>
        <v>0</v>
      </c>
      <c r="F504" s="114" t="str">
        <f t="shared" si="39"/>
        <v>03</v>
      </c>
      <c r="G504" s="114" t="str">
        <f t="shared" si="40"/>
        <v>1</v>
      </c>
      <c r="H504" s="114" t="str">
        <f t="shared" si="41"/>
        <v>0</v>
      </c>
      <c r="I504" s="115">
        <v>16400310</v>
      </c>
      <c r="J504" s="114" t="s">
        <v>4182</v>
      </c>
      <c r="K504" s="114" t="s">
        <v>4183</v>
      </c>
      <c r="L504" s="116"/>
      <c r="M504" s="114" t="s">
        <v>2878</v>
      </c>
      <c r="N504" s="114" t="s">
        <v>2879</v>
      </c>
      <c r="O504" s="114" t="s">
        <v>2878</v>
      </c>
      <c r="P504" s="117" t="s">
        <v>2880</v>
      </c>
    </row>
    <row r="505" spans="2:16" ht="30" hidden="1" x14ac:dyDescent="0.25">
      <c r="B505" s="126" t="str">
        <f t="shared" si="35"/>
        <v>1</v>
      </c>
      <c r="C505" s="126" t="str">
        <f t="shared" si="36"/>
        <v>6</v>
      </c>
      <c r="D505" s="126" t="str">
        <f t="shared" si="37"/>
        <v>9</v>
      </c>
      <c r="E505" s="126" t="str">
        <f t="shared" si="38"/>
        <v>0</v>
      </c>
      <c r="F505" s="126" t="str">
        <f t="shared" si="39"/>
        <v>00</v>
      </c>
      <c r="G505" s="126" t="str">
        <f t="shared" si="40"/>
        <v>0</v>
      </c>
      <c r="H505" s="126" t="str">
        <f t="shared" si="41"/>
        <v>0</v>
      </c>
      <c r="I505" s="127">
        <v>16900000</v>
      </c>
      <c r="J505" s="126" t="s">
        <v>1211</v>
      </c>
      <c r="K505" s="126" t="s">
        <v>4188</v>
      </c>
      <c r="L505" s="122"/>
      <c r="M505" s="126" t="s">
        <v>2878</v>
      </c>
      <c r="N505" s="126" t="s">
        <v>5016</v>
      </c>
      <c r="O505" s="126" t="s">
        <v>2878</v>
      </c>
      <c r="P505" s="128" t="s">
        <v>2880</v>
      </c>
    </row>
    <row r="506" spans="2:16" ht="30" hidden="1" x14ac:dyDescent="0.25">
      <c r="B506" s="108" t="str">
        <f t="shared" si="35"/>
        <v>1</v>
      </c>
      <c r="C506" s="108" t="str">
        <f t="shared" si="36"/>
        <v>6</v>
      </c>
      <c r="D506" s="108" t="str">
        <f t="shared" si="37"/>
        <v>9</v>
      </c>
      <c r="E506" s="108" t="str">
        <f t="shared" si="38"/>
        <v>0</v>
      </c>
      <c r="F506" s="108" t="str">
        <f t="shared" si="39"/>
        <v>99</v>
      </c>
      <c r="G506" s="108" t="str">
        <f t="shared" si="40"/>
        <v>0</v>
      </c>
      <c r="H506" s="108" t="str">
        <f t="shared" si="41"/>
        <v>0</v>
      </c>
      <c r="I506" s="109">
        <v>16909900</v>
      </c>
      <c r="J506" s="108" t="s">
        <v>1211</v>
      </c>
      <c r="K506" s="108" t="s">
        <v>4188</v>
      </c>
      <c r="L506" s="110"/>
      <c r="M506" s="108" t="s">
        <v>2878</v>
      </c>
      <c r="N506" s="108" t="s">
        <v>2879</v>
      </c>
      <c r="O506" s="108" t="s">
        <v>2878</v>
      </c>
      <c r="P506" s="111" t="s">
        <v>2880</v>
      </c>
    </row>
    <row r="507" spans="2:16" ht="30" hidden="1" x14ac:dyDescent="0.25">
      <c r="B507" s="114" t="str">
        <f t="shared" si="35"/>
        <v>1</v>
      </c>
      <c r="C507" s="114" t="str">
        <f t="shared" si="36"/>
        <v>6</v>
      </c>
      <c r="D507" s="114" t="str">
        <f t="shared" si="37"/>
        <v>9</v>
      </c>
      <c r="E507" s="114" t="str">
        <f t="shared" si="38"/>
        <v>0</v>
      </c>
      <c r="F507" s="114" t="str">
        <f t="shared" si="39"/>
        <v>99</v>
      </c>
      <c r="G507" s="114" t="str">
        <f t="shared" si="40"/>
        <v>1</v>
      </c>
      <c r="H507" s="114" t="str">
        <f t="shared" si="41"/>
        <v>0</v>
      </c>
      <c r="I507" s="115">
        <v>16909910</v>
      </c>
      <c r="J507" s="114" t="s">
        <v>1211</v>
      </c>
      <c r="K507" s="114" t="s">
        <v>4188</v>
      </c>
      <c r="L507" s="116"/>
      <c r="M507" s="114" t="s">
        <v>2878</v>
      </c>
      <c r="N507" s="114" t="s">
        <v>2879</v>
      </c>
      <c r="O507" s="114" t="s">
        <v>2878</v>
      </c>
      <c r="P507" s="117" t="s">
        <v>2880</v>
      </c>
    </row>
    <row r="508" spans="2:16" ht="45" hidden="1" x14ac:dyDescent="0.25">
      <c r="B508" s="123" t="str">
        <f t="shared" si="35"/>
        <v>1</v>
      </c>
      <c r="C508" s="123" t="str">
        <f t="shared" si="36"/>
        <v>7</v>
      </c>
      <c r="D508" s="123" t="str">
        <f t="shared" si="37"/>
        <v>0</v>
      </c>
      <c r="E508" s="123" t="str">
        <f t="shared" si="38"/>
        <v>0</v>
      </c>
      <c r="F508" s="123" t="str">
        <f t="shared" si="39"/>
        <v>00</v>
      </c>
      <c r="G508" s="123" t="str">
        <f t="shared" si="40"/>
        <v>0</v>
      </c>
      <c r="H508" s="123" t="str">
        <f t="shared" si="41"/>
        <v>0</v>
      </c>
      <c r="I508" s="124">
        <v>17000000</v>
      </c>
      <c r="J508" s="123" t="s">
        <v>1213</v>
      </c>
      <c r="K508" s="123" t="s">
        <v>4194</v>
      </c>
      <c r="L508" s="103"/>
      <c r="M508" s="123" t="s">
        <v>2878</v>
      </c>
      <c r="N508" s="123" t="s">
        <v>5016</v>
      </c>
      <c r="O508" s="123" t="s">
        <v>2878</v>
      </c>
      <c r="P508" s="125" t="s">
        <v>2880</v>
      </c>
    </row>
    <row r="509" spans="2:16" ht="60" hidden="1" x14ac:dyDescent="0.25">
      <c r="B509" s="126" t="str">
        <f t="shared" si="35"/>
        <v>1</v>
      </c>
      <c r="C509" s="126" t="str">
        <f t="shared" si="36"/>
        <v>7</v>
      </c>
      <c r="D509" s="126" t="str">
        <f t="shared" si="37"/>
        <v>1</v>
      </c>
      <c r="E509" s="126" t="str">
        <f t="shared" si="38"/>
        <v>0</v>
      </c>
      <c r="F509" s="126" t="str">
        <f t="shared" si="39"/>
        <v>00</v>
      </c>
      <c r="G509" s="126" t="str">
        <f t="shared" si="40"/>
        <v>0</v>
      </c>
      <c r="H509" s="126" t="str">
        <f t="shared" si="41"/>
        <v>0</v>
      </c>
      <c r="I509" s="127">
        <v>17100000</v>
      </c>
      <c r="J509" s="126" t="s">
        <v>4195</v>
      </c>
      <c r="K509" s="126" t="s">
        <v>4196</v>
      </c>
      <c r="L509" s="122"/>
      <c r="M509" s="126" t="s">
        <v>2878</v>
      </c>
      <c r="N509" s="126" t="s">
        <v>5016</v>
      </c>
      <c r="O509" s="126" t="s">
        <v>2878</v>
      </c>
      <c r="P509" s="128" t="s">
        <v>2880</v>
      </c>
    </row>
    <row r="510" spans="2:16" ht="60" hidden="1" x14ac:dyDescent="0.25">
      <c r="B510" s="114" t="str">
        <f t="shared" si="35"/>
        <v>1</v>
      </c>
      <c r="C510" s="114" t="str">
        <f t="shared" si="36"/>
        <v>7</v>
      </c>
      <c r="D510" s="114" t="str">
        <f t="shared" si="37"/>
        <v>1</v>
      </c>
      <c r="E510" s="114" t="str">
        <f t="shared" si="38"/>
        <v>0</v>
      </c>
      <c r="F510" s="114" t="str">
        <f t="shared" si="39"/>
        <v>00</v>
      </c>
      <c r="G510" s="114" t="str">
        <f t="shared" si="40"/>
        <v>1</v>
      </c>
      <c r="H510" s="114" t="str">
        <f t="shared" si="41"/>
        <v>0</v>
      </c>
      <c r="I510" s="115">
        <v>17100010</v>
      </c>
      <c r="J510" s="114" t="s">
        <v>4195</v>
      </c>
      <c r="K510" s="114" t="s">
        <v>4196</v>
      </c>
      <c r="L510" s="116"/>
      <c r="M510" s="114" t="s">
        <v>2878</v>
      </c>
      <c r="N510" s="114"/>
      <c r="O510" s="114" t="s">
        <v>2878</v>
      </c>
      <c r="P510" s="117" t="s">
        <v>2880</v>
      </c>
    </row>
    <row r="511" spans="2:16" s="153" customFormat="1" ht="30" x14ac:dyDescent="0.25">
      <c r="B511" s="155" t="str">
        <f t="shared" si="35"/>
        <v>1</v>
      </c>
      <c r="C511" s="155" t="str">
        <f t="shared" si="36"/>
        <v>7</v>
      </c>
      <c r="D511" s="155" t="str">
        <f t="shared" si="37"/>
        <v>1</v>
      </c>
      <c r="E511" s="155" t="str">
        <f t="shared" si="38"/>
        <v>8</v>
      </c>
      <c r="F511" s="155" t="str">
        <f t="shared" si="39"/>
        <v>00</v>
      </c>
      <c r="G511" s="155" t="str">
        <f t="shared" si="40"/>
        <v>0</v>
      </c>
      <c r="H511" s="155" t="str">
        <f t="shared" si="41"/>
        <v>0</v>
      </c>
      <c r="I511" s="161">
        <v>17180000</v>
      </c>
      <c r="J511" s="155" t="s">
        <v>5022</v>
      </c>
      <c r="K511" s="155" t="s">
        <v>5032</v>
      </c>
      <c r="L511" s="106"/>
      <c r="M511" s="155" t="s">
        <v>2878</v>
      </c>
      <c r="N511" s="155"/>
      <c r="O511" s="155" t="s">
        <v>5018</v>
      </c>
      <c r="P511" s="162" t="s">
        <v>2880</v>
      </c>
    </row>
    <row r="512" spans="2:16" s="153" customFormat="1" ht="30" x14ac:dyDescent="0.25">
      <c r="B512" s="113" t="str">
        <f t="shared" si="35"/>
        <v>1</v>
      </c>
      <c r="C512" s="113" t="str">
        <f t="shared" si="36"/>
        <v>7</v>
      </c>
      <c r="D512" s="113" t="str">
        <f t="shared" si="37"/>
        <v>1</v>
      </c>
      <c r="E512" s="113" t="str">
        <f t="shared" si="38"/>
        <v>8</v>
      </c>
      <c r="F512" s="113" t="str">
        <f t="shared" si="39"/>
        <v>01</v>
      </c>
      <c r="G512" s="113" t="str">
        <f t="shared" si="40"/>
        <v>0</v>
      </c>
      <c r="H512" s="113" t="str">
        <f t="shared" si="41"/>
        <v>0</v>
      </c>
      <c r="I512" s="112">
        <v>17180100</v>
      </c>
      <c r="J512" s="113" t="s">
        <v>1219</v>
      </c>
      <c r="K512" s="113" t="s">
        <v>1220</v>
      </c>
      <c r="L512" s="110"/>
      <c r="M512" s="113" t="s">
        <v>2878</v>
      </c>
      <c r="N512" s="113"/>
      <c r="O512" s="113" t="s">
        <v>2878</v>
      </c>
      <c r="P512" s="163" t="s">
        <v>2880</v>
      </c>
    </row>
    <row r="513" spans="2:16" s="153" customFormat="1" ht="30" x14ac:dyDescent="0.25">
      <c r="B513" s="130" t="str">
        <f t="shared" si="35"/>
        <v>1</v>
      </c>
      <c r="C513" s="130" t="str">
        <f t="shared" si="36"/>
        <v>7</v>
      </c>
      <c r="D513" s="130" t="str">
        <f t="shared" si="37"/>
        <v>1</v>
      </c>
      <c r="E513" s="130" t="str">
        <f t="shared" si="38"/>
        <v>8</v>
      </c>
      <c r="F513" s="130" t="str">
        <f t="shared" si="39"/>
        <v>01</v>
      </c>
      <c r="G513" s="130" t="str">
        <f t="shared" si="40"/>
        <v>1</v>
      </c>
      <c r="H513" s="130" t="str">
        <f t="shared" si="41"/>
        <v>0</v>
      </c>
      <c r="I513" s="129">
        <v>17180110</v>
      </c>
      <c r="J513" s="130" t="s">
        <v>1221</v>
      </c>
      <c r="K513" s="130" t="s">
        <v>5160</v>
      </c>
      <c r="L513" s="116"/>
      <c r="M513" s="130"/>
      <c r="N513" s="130"/>
      <c r="O513" s="130" t="s">
        <v>2878</v>
      </c>
      <c r="P513" s="152" t="s">
        <v>2880</v>
      </c>
    </row>
    <row r="514" spans="2:16" s="153" customFormat="1" ht="45" x14ac:dyDescent="0.25">
      <c r="B514" s="130" t="str">
        <f t="shared" si="35"/>
        <v>1</v>
      </c>
      <c r="C514" s="130" t="str">
        <f t="shared" si="36"/>
        <v>7</v>
      </c>
      <c r="D514" s="130" t="str">
        <f t="shared" si="37"/>
        <v>1</v>
      </c>
      <c r="E514" s="130" t="str">
        <f t="shared" si="38"/>
        <v>8</v>
      </c>
      <c r="F514" s="130" t="str">
        <f t="shared" si="39"/>
        <v>01</v>
      </c>
      <c r="G514" s="130" t="str">
        <f t="shared" si="40"/>
        <v>2</v>
      </c>
      <c r="H514" s="130" t="str">
        <f t="shared" si="41"/>
        <v>0</v>
      </c>
      <c r="I514" s="129">
        <v>17180120</v>
      </c>
      <c r="J514" s="130" t="s">
        <v>1223</v>
      </c>
      <c r="K514" s="130" t="s">
        <v>5161</v>
      </c>
      <c r="L514" s="116"/>
      <c r="M514" s="130"/>
      <c r="N514" s="130" t="s">
        <v>1225</v>
      </c>
      <c r="O514" s="130" t="s">
        <v>2878</v>
      </c>
      <c r="P514" s="152" t="s">
        <v>2880</v>
      </c>
    </row>
    <row r="515" spans="2:16" s="153" customFormat="1" ht="45" x14ac:dyDescent="0.25">
      <c r="B515" s="130" t="str">
        <f t="shared" si="35"/>
        <v>1</v>
      </c>
      <c r="C515" s="130" t="str">
        <f t="shared" si="36"/>
        <v>7</v>
      </c>
      <c r="D515" s="130" t="str">
        <f t="shared" si="37"/>
        <v>1</v>
      </c>
      <c r="E515" s="130" t="str">
        <f t="shared" si="38"/>
        <v>8</v>
      </c>
      <c r="F515" s="130" t="str">
        <f t="shared" si="39"/>
        <v>01</v>
      </c>
      <c r="G515" s="130" t="str">
        <f t="shared" si="40"/>
        <v>3</v>
      </c>
      <c r="H515" s="130" t="str">
        <f t="shared" si="41"/>
        <v>0</v>
      </c>
      <c r="I515" s="129">
        <v>17180130</v>
      </c>
      <c r="J515" s="130" t="s">
        <v>1226</v>
      </c>
      <c r="K515" s="130" t="s">
        <v>5162</v>
      </c>
      <c r="L515" s="116"/>
      <c r="M515" s="130"/>
      <c r="N515" s="130" t="s">
        <v>1228</v>
      </c>
      <c r="O515" s="130" t="s">
        <v>2878</v>
      </c>
      <c r="P515" s="152" t="s">
        <v>2880</v>
      </c>
    </row>
    <row r="516" spans="2:16" s="153" customFormat="1" ht="45" x14ac:dyDescent="0.25">
      <c r="B516" s="130" t="str">
        <f t="shared" si="35"/>
        <v>1</v>
      </c>
      <c r="C516" s="130" t="str">
        <f t="shared" si="36"/>
        <v>7</v>
      </c>
      <c r="D516" s="130" t="str">
        <f t="shared" si="37"/>
        <v>1</v>
      </c>
      <c r="E516" s="130" t="str">
        <f t="shared" si="38"/>
        <v>8</v>
      </c>
      <c r="F516" s="130" t="str">
        <f t="shared" si="39"/>
        <v>01</v>
      </c>
      <c r="G516" s="130" t="str">
        <f t="shared" si="40"/>
        <v>4</v>
      </c>
      <c r="H516" s="130" t="str">
        <f t="shared" si="41"/>
        <v>0</v>
      </c>
      <c r="I516" s="129">
        <v>17180140</v>
      </c>
      <c r="J516" s="130" t="s">
        <v>1229</v>
      </c>
      <c r="K516" s="130" t="s">
        <v>5163</v>
      </c>
      <c r="L516" s="116"/>
      <c r="M516" s="130"/>
      <c r="N516" s="130" t="s">
        <v>1231</v>
      </c>
      <c r="O516" s="130" t="s">
        <v>2878</v>
      </c>
      <c r="P516" s="152" t="s">
        <v>2880</v>
      </c>
    </row>
    <row r="517" spans="2:16" s="153" customFormat="1" ht="30" x14ac:dyDescent="0.25">
      <c r="B517" s="130" t="str">
        <f t="shared" si="35"/>
        <v>1</v>
      </c>
      <c r="C517" s="130" t="str">
        <f t="shared" si="36"/>
        <v>7</v>
      </c>
      <c r="D517" s="130" t="str">
        <f t="shared" si="37"/>
        <v>1</v>
      </c>
      <c r="E517" s="130" t="str">
        <f t="shared" si="38"/>
        <v>8</v>
      </c>
      <c r="F517" s="130" t="str">
        <f t="shared" si="39"/>
        <v>01</v>
      </c>
      <c r="G517" s="130" t="str">
        <f t="shared" si="40"/>
        <v>5</v>
      </c>
      <c r="H517" s="130" t="str">
        <f t="shared" si="41"/>
        <v>0</v>
      </c>
      <c r="I517" s="129">
        <v>17180150</v>
      </c>
      <c r="J517" s="130" t="s">
        <v>1232</v>
      </c>
      <c r="K517" s="130" t="s">
        <v>5164</v>
      </c>
      <c r="L517" s="116"/>
      <c r="M517" s="130"/>
      <c r="N517" s="130"/>
      <c r="O517" s="130" t="s">
        <v>2878</v>
      </c>
      <c r="P517" s="152" t="s">
        <v>2880</v>
      </c>
    </row>
    <row r="518" spans="2:16" s="153" customFormat="1" ht="30" x14ac:dyDescent="0.25">
      <c r="B518" s="130" t="str">
        <f t="shared" si="35"/>
        <v>1</v>
      </c>
      <c r="C518" s="130" t="str">
        <f t="shared" si="36"/>
        <v>7</v>
      </c>
      <c r="D518" s="130" t="str">
        <f t="shared" si="37"/>
        <v>1</v>
      </c>
      <c r="E518" s="130" t="str">
        <f t="shared" si="38"/>
        <v>8</v>
      </c>
      <c r="F518" s="130" t="str">
        <f t="shared" si="39"/>
        <v>01</v>
      </c>
      <c r="G518" s="130" t="str">
        <f t="shared" si="40"/>
        <v>6</v>
      </c>
      <c r="H518" s="130" t="str">
        <f t="shared" si="41"/>
        <v>0</v>
      </c>
      <c r="I518" s="129">
        <v>17180160</v>
      </c>
      <c r="J518" s="130" t="s">
        <v>1234</v>
      </c>
      <c r="K518" s="130" t="s">
        <v>5165</v>
      </c>
      <c r="L518" s="116"/>
      <c r="M518" s="130"/>
      <c r="N518" s="130"/>
      <c r="O518" s="130" t="s">
        <v>2878</v>
      </c>
      <c r="P518" s="152" t="s">
        <v>2880</v>
      </c>
    </row>
    <row r="519" spans="2:16" s="153" customFormat="1" ht="45" x14ac:dyDescent="0.25">
      <c r="B519" s="130" t="str">
        <f t="shared" si="35"/>
        <v>1</v>
      </c>
      <c r="C519" s="130" t="str">
        <f t="shared" si="36"/>
        <v>7</v>
      </c>
      <c r="D519" s="130" t="str">
        <f t="shared" si="37"/>
        <v>1</v>
      </c>
      <c r="E519" s="130" t="str">
        <f t="shared" si="38"/>
        <v>8</v>
      </c>
      <c r="F519" s="130" t="str">
        <f t="shared" si="39"/>
        <v>01</v>
      </c>
      <c r="G519" s="130" t="str">
        <f t="shared" si="40"/>
        <v>7</v>
      </c>
      <c r="H519" s="130" t="str">
        <f t="shared" si="41"/>
        <v>0</v>
      </c>
      <c r="I519" s="129">
        <v>17180170</v>
      </c>
      <c r="J519" s="130" t="s">
        <v>1236</v>
      </c>
      <c r="K519" s="130" t="s">
        <v>5166</v>
      </c>
      <c r="L519" s="116"/>
      <c r="M519" s="130"/>
      <c r="N519" s="130"/>
      <c r="O519" s="130" t="s">
        <v>2878</v>
      </c>
      <c r="P519" s="152" t="s">
        <v>2880</v>
      </c>
    </row>
    <row r="520" spans="2:16" s="153" customFormat="1" ht="30" x14ac:dyDescent="0.25">
      <c r="B520" s="130" t="str">
        <f t="shared" si="35"/>
        <v>1</v>
      </c>
      <c r="C520" s="130" t="str">
        <f t="shared" si="36"/>
        <v>7</v>
      </c>
      <c r="D520" s="130" t="str">
        <f t="shared" si="37"/>
        <v>1</v>
      </c>
      <c r="E520" s="130" t="str">
        <f t="shared" si="38"/>
        <v>8</v>
      </c>
      <c r="F520" s="130" t="str">
        <f t="shared" si="39"/>
        <v>01</v>
      </c>
      <c r="G520" s="130" t="str">
        <f t="shared" si="40"/>
        <v>8</v>
      </c>
      <c r="H520" s="130" t="str">
        <f t="shared" si="41"/>
        <v>0</v>
      </c>
      <c r="I520" s="129">
        <v>17180180</v>
      </c>
      <c r="J520" s="130" t="s">
        <v>1238</v>
      </c>
      <c r="K520" s="130" t="s">
        <v>5167</v>
      </c>
      <c r="L520" s="116"/>
      <c r="M520" s="130"/>
      <c r="N520" s="130"/>
      <c r="O520" s="130" t="s">
        <v>2878</v>
      </c>
      <c r="P520" s="152" t="s">
        <v>2880</v>
      </c>
    </row>
    <row r="521" spans="2:16" s="153" customFormat="1" ht="30" x14ac:dyDescent="0.25">
      <c r="B521" s="113" t="str">
        <f t="shared" si="35"/>
        <v>1</v>
      </c>
      <c r="C521" s="113" t="str">
        <f t="shared" si="36"/>
        <v>7</v>
      </c>
      <c r="D521" s="113" t="str">
        <f t="shared" si="37"/>
        <v>1</v>
      </c>
      <c r="E521" s="113" t="str">
        <f t="shared" si="38"/>
        <v>8</v>
      </c>
      <c r="F521" s="113" t="str">
        <f t="shared" si="39"/>
        <v>02</v>
      </c>
      <c r="G521" s="113" t="str">
        <f t="shared" si="40"/>
        <v>0</v>
      </c>
      <c r="H521" s="113" t="str">
        <f t="shared" si="41"/>
        <v>0</v>
      </c>
      <c r="I521" s="112">
        <v>17180200</v>
      </c>
      <c r="J521" s="113" t="s">
        <v>1240</v>
      </c>
      <c r="K521" s="113" t="s">
        <v>5168</v>
      </c>
      <c r="L521" s="110"/>
      <c r="M521" s="113" t="s">
        <v>2878</v>
      </c>
      <c r="N521" s="113"/>
      <c r="O521" s="113" t="s">
        <v>2878</v>
      </c>
      <c r="P521" s="163" t="s">
        <v>2880</v>
      </c>
    </row>
    <row r="522" spans="2:16" s="153" customFormat="1" ht="30" x14ac:dyDescent="0.25">
      <c r="B522" s="130" t="str">
        <f t="shared" si="35"/>
        <v>1</v>
      </c>
      <c r="C522" s="130" t="str">
        <f t="shared" si="36"/>
        <v>7</v>
      </c>
      <c r="D522" s="130" t="str">
        <f t="shared" si="37"/>
        <v>1</v>
      </c>
      <c r="E522" s="130" t="str">
        <f t="shared" si="38"/>
        <v>8</v>
      </c>
      <c r="F522" s="130" t="str">
        <f t="shared" si="39"/>
        <v>02</v>
      </c>
      <c r="G522" s="130" t="str">
        <f t="shared" si="40"/>
        <v>1</v>
      </c>
      <c r="H522" s="130" t="str">
        <f t="shared" si="41"/>
        <v>0</v>
      </c>
      <c r="I522" s="129">
        <v>17180210</v>
      </c>
      <c r="J522" s="130" t="s">
        <v>1242</v>
      </c>
      <c r="K522" s="130" t="s">
        <v>5169</v>
      </c>
      <c r="L522" s="116"/>
      <c r="M522" s="130" t="s">
        <v>2878</v>
      </c>
      <c r="N522" s="130"/>
      <c r="O522" s="130" t="s">
        <v>2878</v>
      </c>
      <c r="P522" s="152" t="s">
        <v>2880</v>
      </c>
    </row>
    <row r="523" spans="2:16" s="153" customFormat="1" ht="30" x14ac:dyDescent="0.25">
      <c r="B523" s="130" t="str">
        <f t="shared" si="35"/>
        <v>1</v>
      </c>
      <c r="C523" s="130" t="str">
        <f t="shared" si="36"/>
        <v>7</v>
      </c>
      <c r="D523" s="130" t="str">
        <f t="shared" si="37"/>
        <v>1</v>
      </c>
      <c r="E523" s="130" t="str">
        <f t="shared" si="38"/>
        <v>8</v>
      </c>
      <c r="F523" s="130" t="str">
        <f t="shared" si="39"/>
        <v>02</v>
      </c>
      <c r="G523" s="130" t="str">
        <f t="shared" si="40"/>
        <v>2</v>
      </c>
      <c r="H523" s="130" t="str">
        <f t="shared" si="41"/>
        <v>0</v>
      </c>
      <c r="I523" s="129">
        <v>17180220</v>
      </c>
      <c r="J523" s="130" t="s">
        <v>1244</v>
      </c>
      <c r="K523" s="130" t="s">
        <v>5170</v>
      </c>
      <c r="L523" s="116"/>
      <c r="M523" s="130" t="s">
        <v>2878</v>
      </c>
      <c r="N523" s="130"/>
      <c r="O523" s="130" t="s">
        <v>2878</v>
      </c>
      <c r="P523" s="152" t="s">
        <v>2880</v>
      </c>
    </row>
    <row r="524" spans="2:16" s="153" customFormat="1" ht="30" x14ac:dyDescent="0.25">
      <c r="B524" s="130" t="str">
        <f t="shared" si="35"/>
        <v>1</v>
      </c>
      <c r="C524" s="130" t="str">
        <f t="shared" si="36"/>
        <v>7</v>
      </c>
      <c r="D524" s="130" t="str">
        <f t="shared" si="37"/>
        <v>1</v>
      </c>
      <c r="E524" s="130" t="str">
        <f t="shared" si="38"/>
        <v>8</v>
      </c>
      <c r="F524" s="130" t="str">
        <f t="shared" si="39"/>
        <v>02</v>
      </c>
      <c r="G524" s="130" t="str">
        <f t="shared" si="40"/>
        <v>3</v>
      </c>
      <c r="H524" s="130" t="str">
        <f t="shared" si="41"/>
        <v>0</v>
      </c>
      <c r="I524" s="129">
        <v>17180230</v>
      </c>
      <c r="J524" s="130" t="s">
        <v>1246</v>
      </c>
      <c r="K524" s="130" t="s">
        <v>5171</v>
      </c>
      <c r="L524" s="116"/>
      <c r="M524" s="130" t="s">
        <v>2878</v>
      </c>
      <c r="N524" s="130"/>
      <c r="O524" s="130" t="s">
        <v>2878</v>
      </c>
      <c r="P524" s="152" t="s">
        <v>2880</v>
      </c>
    </row>
    <row r="525" spans="2:16" s="153" customFormat="1" ht="30" x14ac:dyDescent="0.25">
      <c r="B525" s="130" t="str">
        <f t="shared" si="35"/>
        <v>1</v>
      </c>
      <c r="C525" s="130" t="str">
        <f t="shared" si="36"/>
        <v>7</v>
      </c>
      <c r="D525" s="130" t="str">
        <f t="shared" si="37"/>
        <v>1</v>
      </c>
      <c r="E525" s="130" t="str">
        <f t="shared" si="38"/>
        <v>8</v>
      </c>
      <c r="F525" s="130" t="str">
        <f t="shared" si="39"/>
        <v>02</v>
      </c>
      <c r="G525" s="130" t="str">
        <f t="shared" si="40"/>
        <v>4</v>
      </c>
      <c r="H525" s="130" t="str">
        <f t="shared" si="41"/>
        <v>0</v>
      </c>
      <c r="I525" s="129">
        <v>17180240</v>
      </c>
      <c r="J525" s="130" t="s">
        <v>1248</v>
      </c>
      <c r="K525" s="130" t="s">
        <v>5172</v>
      </c>
      <c r="L525" s="116"/>
      <c r="M525" s="130" t="s">
        <v>2878</v>
      </c>
      <c r="N525" s="130"/>
      <c r="O525" s="130" t="s">
        <v>2878</v>
      </c>
      <c r="P525" s="152" t="s">
        <v>2880</v>
      </c>
    </row>
    <row r="526" spans="2:16" s="153" customFormat="1" ht="30" x14ac:dyDescent="0.25">
      <c r="B526" s="130" t="str">
        <f t="shared" si="35"/>
        <v>1</v>
      </c>
      <c r="C526" s="130" t="str">
        <f t="shared" si="36"/>
        <v>7</v>
      </c>
      <c r="D526" s="130" t="str">
        <f t="shared" si="37"/>
        <v>1</v>
      </c>
      <c r="E526" s="130" t="str">
        <f t="shared" si="38"/>
        <v>8</v>
      </c>
      <c r="F526" s="130" t="str">
        <f t="shared" si="39"/>
        <v>02</v>
      </c>
      <c r="G526" s="130" t="str">
        <f t="shared" si="40"/>
        <v>5</v>
      </c>
      <c r="H526" s="130" t="str">
        <f t="shared" si="41"/>
        <v>0</v>
      </c>
      <c r="I526" s="129">
        <v>17180250</v>
      </c>
      <c r="J526" s="130" t="s">
        <v>1250</v>
      </c>
      <c r="K526" s="130" t="s">
        <v>5173</v>
      </c>
      <c r="L526" s="116"/>
      <c r="M526" s="130" t="s">
        <v>2878</v>
      </c>
      <c r="N526" s="130"/>
      <c r="O526" s="130" t="s">
        <v>2878</v>
      </c>
      <c r="P526" s="152" t="s">
        <v>2880</v>
      </c>
    </row>
    <row r="527" spans="2:16" s="153" customFormat="1" ht="30" x14ac:dyDescent="0.25">
      <c r="B527" s="130" t="str">
        <f t="shared" si="35"/>
        <v>1</v>
      </c>
      <c r="C527" s="130" t="str">
        <f t="shared" si="36"/>
        <v>7</v>
      </c>
      <c r="D527" s="130" t="str">
        <f t="shared" si="37"/>
        <v>1</v>
      </c>
      <c r="E527" s="130" t="str">
        <f t="shared" si="38"/>
        <v>8</v>
      </c>
      <c r="F527" s="130" t="str">
        <f t="shared" si="39"/>
        <v>02</v>
      </c>
      <c r="G527" s="130" t="str">
        <f t="shared" si="40"/>
        <v>6</v>
      </c>
      <c r="H527" s="130" t="str">
        <f t="shared" si="41"/>
        <v>0</v>
      </c>
      <c r="I527" s="129">
        <v>17180260</v>
      </c>
      <c r="J527" s="130" t="s">
        <v>1252</v>
      </c>
      <c r="K527" s="130" t="s">
        <v>5174</v>
      </c>
      <c r="L527" s="116"/>
      <c r="M527" s="130" t="s">
        <v>2878</v>
      </c>
      <c r="N527" s="130"/>
      <c r="O527" s="130" t="s">
        <v>2878</v>
      </c>
      <c r="P527" s="152" t="s">
        <v>2880</v>
      </c>
    </row>
    <row r="528" spans="2:16" s="153" customFormat="1" ht="30" x14ac:dyDescent="0.25">
      <c r="B528" s="130" t="str">
        <f t="shared" si="35"/>
        <v>1</v>
      </c>
      <c r="C528" s="130" t="str">
        <f t="shared" si="36"/>
        <v>7</v>
      </c>
      <c r="D528" s="130" t="str">
        <f t="shared" si="37"/>
        <v>1</v>
      </c>
      <c r="E528" s="130" t="str">
        <f t="shared" si="38"/>
        <v>8</v>
      </c>
      <c r="F528" s="130" t="str">
        <f t="shared" si="39"/>
        <v>02</v>
      </c>
      <c r="G528" s="130" t="str">
        <f t="shared" si="40"/>
        <v>9</v>
      </c>
      <c r="H528" s="130" t="str">
        <f t="shared" si="41"/>
        <v>0</v>
      </c>
      <c r="I528" s="129">
        <v>17180290</v>
      </c>
      <c r="J528" s="130" t="s">
        <v>1254</v>
      </c>
      <c r="K528" s="130" t="s">
        <v>5175</v>
      </c>
      <c r="L528" s="116"/>
      <c r="M528" s="130" t="s">
        <v>2878</v>
      </c>
      <c r="N528" s="130"/>
      <c r="O528" s="130" t="s">
        <v>2878</v>
      </c>
      <c r="P528" s="152" t="s">
        <v>2880</v>
      </c>
    </row>
    <row r="529" spans="2:16" s="148" customFormat="1" ht="60" x14ac:dyDescent="0.25">
      <c r="B529" s="145" t="str">
        <f t="shared" si="35"/>
        <v>1</v>
      </c>
      <c r="C529" s="145" t="str">
        <f t="shared" si="36"/>
        <v>7</v>
      </c>
      <c r="D529" s="145" t="str">
        <f t="shared" si="37"/>
        <v>1</v>
      </c>
      <c r="E529" s="145" t="str">
        <f t="shared" si="38"/>
        <v>8</v>
      </c>
      <c r="F529" s="145" t="str">
        <f t="shared" si="39"/>
        <v>03</v>
      </c>
      <c r="G529" s="145" t="str">
        <f t="shared" si="40"/>
        <v>0</v>
      </c>
      <c r="H529" s="145" t="str">
        <f t="shared" si="41"/>
        <v>0</v>
      </c>
      <c r="I529" s="143">
        <v>17180300</v>
      </c>
      <c r="J529" s="145" t="s">
        <v>5601</v>
      </c>
      <c r="K529" s="145" t="s">
        <v>5614</v>
      </c>
      <c r="L529" s="146"/>
      <c r="M529" s="145" t="s">
        <v>2878</v>
      </c>
      <c r="N529" s="145"/>
      <c r="O529" s="145"/>
      <c r="P529" s="147" t="s">
        <v>2880</v>
      </c>
    </row>
    <row r="530" spans="2:16" s="148" customFormat="1" ht="60" x14ac:dyDescent="0.25">
      <c r="B530" s="149" t="str">
        <f t="shared" si="35"/>
        <v>1</v>
      </c>
      <c r="C530" s="149" t="str">
        <f t="shared" si="36"/>
        <v>7</v>
      </c>
      <c r="D530" s="149" t="str">
        <f t="shared" si="37"/>
        <v>1</v>
      </c>
      <c r="E530" s="149" t="str">
        <f t="shared" si="38"/>
        <v>8</v>
      </c>
      <c r="F530" s="149" t="str">
        <f t="shared" si="39"/>
        <v>03</v>
      </c>
      <c r="G530" s="149" t="str">
        <f t="shared" si="40"/>
        <v>1</v>
      </c>
      <c r="H530" s="149" t="str">
        <f t="shared" si="41"/>
        <v>0</v>
      </c>
      <c r="I530" s="144">
        <v>17180310</v>
      </c>
      <c r="J530" s="149" t="s">
        <v>5155</v>
      </c>
      <c r="K530" s="149" t="s">
        <v>5608</v>
      </c>
      <c r="L530" s="150"/>
      <c r="M530" s="149" t="s">
        <v>2878</v>
      </c>
      <c r="N530" s="149"/>
      <c r="O530" s="149"/>
      <c r="P530" s="151" t="s">
        <v>2880</v>
      </c>
    </row>
    <row r="531" spans="2:16" s="148" customFormat="1" ht="60" x14ac:dyDescent="0.25">
      <c r="B531" s="149" t="str">
        <f t="shared" si="35"/>
        <v>1</v>
      </c>
      <c r="C531" s="149" t="str">
        <f t="shared" si="36"/>
        <v>7</v>
      </c>
      <c r="D531" s="149" t="str">
        <f t="shared" si="37"/>
        <v>1</v>
      </c>
      <c r="E531" s="149" t="str">
        <f t="shared" si="38"/>
        <v>8</v>
      </c>
      <c r="F531" s="149" t="str">
        <f t="shared" si="39"/>
        <v>03</v>
      </c>
      <c r="G531" s="149" t="str">
        <f t="shared" si="40"/>
        <v>2</v>
      </c>
      <c r="H531" s="149" t="str">
        <f t="shared" si="41"/>
        <v>0</v>
      </c>
      <c r="I531" s="144">
        <v>17180320</v>
      </c>
      <c r="J531" s="149" t="s">
        <v>5156</v>
      </c>
      <c r="K531" s="149" t="s">
        <v>5609</v>
      </c>
      <c r="L531" s="150"/>
      <c r="M531" s="149" t="s">
        <v>2878</v>
      </c>
      <c r="N531" s="149"/>
      <c r="O531" s="149"/>
      <c r="P531" s="151" t="s">
        <v>2880</v>
      </c>
    </row>
    <row r="532" spans="2:16" s="148" customFormat="1" ht="60" x14ac:dyDescent="0.25">
      <c r="B532" s="149" t="str">
        <f t="shared" si="35"/>
        <v>1</v>
      </c>
      <c r="C532" s="149" t="str">
        <f t="shared" si="36"/>
        <v>7</v>
      </c>
      <c r="D532" s="149" t="str">
        <f t="shared" si="37"/>
        <v>1</v>
      </c>
      <c r="E532" s="149" t="str">
        <f t="shared" si="38"/>
        <v>8</v>
      </c>
      <c r="F532" s="149" t="str">
        <f t="shared" si="39"/>
        <v>03</v>
      </c>
      <c r="G532" s="149" t="str">
        <f t="shared" si="40"/>
        <v>3</v>
      </c>
      <c r="H532" s="149" t="str">
        <f t="shared" si="41"/>
        <v>0</v>
      </c>
      <c r="I532" s="144">
        <v>17180330</v>
      </c>
      <c r="J532" s="149" t="s">
        <v>5157</v>
      </c>
      <c r="K532" s="149" t="s">
        <v>5610</v>
      </c>
      <c r="L532" s="150"/>
      <c r="M532" s="149" t="s">
        <v>2878</v>
      </c>
      <c r="N532" s="149"/>
      <c r="O532" s="149"/>
      <c r="P532" s="151" t="s">
        <v>2880</v>
      </c>
    </row>
    <row r="533" spans="2:16" s="148" customFormat="1" ht="60" x14ac:dyDescent="0.25">
      <c r="B533" s="149" t="str">
        <f t="shared" si="35"/>
        <v>1</v>
      </c>
      <c r="C533" s="149" t="str">
        <f t="shared" si="36"/>
        <v>7</v>
      </c>
      <c r="D533" s="149" t="str">
        <f t="shared" si="37"/>
        <v>1</v>
      </c>
      <c r="E533" s="149" t="str">
        <f t="shared" si="38"/>
        <v>8</v>
      </c>
      <c r="F533" s="149" t="str">
        <f t="shared" si="39"/>
        <v>03</v>
      </c>
      <c r="G533" s="149" t="str">
        <f t="shared" si="40"/>
        <v>4</v>
      </c>
      <c r="H533" s="149" t="str">
        <f t="shared" si="41"/>
        <v>0</v>
      </c>
      <c r="I533" s="144">
        <v>17180340</v>
      </c>
      <c r="J533" s="149" t="s">
        <v>5158</v>
      </c>
      <c r="K533" s="149" t="s">
        <v>5611</v>
      </c>
      <c r="L533" s="150"/>
      <c r="M533" s="149" t="s">
        <v>2878</v>
      </c>
      <c r="N533" s="149"/>
      <c r="O533" s="149"/>
      <c r="P533" s="151" t="s">
        <v>2880</v>
      </c>
    </row>
    <row r="534" spans="2:16" s="148" customFormat="1" ht="60" x14ac:dyDescent="0.25">
      <c r="B534" s="149" t="str">
        <f t="shared" si="35"/>
        <v>1</v>
      </c>
      <c r="C534" s="149" t="str">
        <f t="shared" si="36"/>
        <v>7</v>
      </c>
      <c r="D534" s="149" t="str">
        <f t="shared" si="37"/>
        <v>1</v>
      </c>
      <c r="E534" s="149" t="str">
        <f t="shared" si="38"/>
        <v>8</v>
      </c>
      <c r="F534" s="149" t="str">
        <f t="shared" si="39"/>
        <v>03</v>
      </c>
      <c r="G534" s="149" t="str">
        <f t="shared" si="40"/>
        <v>5</v>
      </c>
      <c r="H534" s="149" t="str">
        <f t="shared" si="41"/>
        <v>0</v>
      </c>
      <c r="I534" s="144">
        <v>17180350</v>
      </c>
      <c r="J534" s="149" t="s">
        <v>5159</v>
      </c>
      <c r="K534" s="149" t="s">
        <v>5612</v>
      </c>
      <c r="L534" s="150"/>
      <c r="M534" s="149" t="s">
        <v>2878</v>
      </c>
      <c r="N534" s="149"/>
      <c r="O534" s="149"/>
      <c r="P534" s="151" t="s">
        <v>2880</v>
      </c>
    </row>
    <row r="535" spans="2:16" s="148" customFormat="1" ht="60" x14ac:dyDescent="0.25">
      <c r="B535" s="149" t="str">
        <f t="shared" si="35"/>
        <v>1</v>
      </c>
      <c r="C535" s="149" t="str">
        <f t="shared" si="36"/>
        <v>7</v>
      </c>
      <c r="D535" s="149" t="str">
        <f t="shared" si="37"/>
        <v>1</v>
      </c>
      <c r="E535" s="149" t="str">
        <f t="shared" si="38"/>
        <v>8</v>
      </c>
      <c r="F535" s="149" t="str">
        <f t="shared" si="39"/>
        <v>03</v>
      </c>
      <c r="G535" s="149" t="str">
        <f t="shared" si="40"/>
        <v>9</v>
      </c>
      <c r="H535" s="149" t="str">
        <f t="shared" si="41"/>
        <v>0</v>
      </c>
      <c r="I535" s="144">
        <v>17180390</v>
      </c>
      <c r="J535" s="149" t="s">
        <v>5154</v>
      </c>
      <c r="K535" s="149" t="s">
        <v>5613</v>
      </c>
      <c r="L535" s="150"/>
      <c r="M535" s="149" t="s">
        <v>2878</v>
      </c>
      <c r="N535" s="149"/>
      <c r="O535" s="149"/>
      <c r="P535" s="151" t="s">
        <v>2880</v>
      </c>
    </row>
    <row r="536" spans="2:16" s="148" customFormat="1" ht="60" x14ac:dyDescent="0.25">
      <c r="B536" s="145" t="str">
        <f t="shared" si="35"/>
        <v>1</v>
      </c>
      <c r="C536" s="145" t="str">
        <f t="shared" si="36"/>
        <v>7</v>
      </c>
      <c r="D536" s="145" t="str">
        <f t="shared" si="37"/>
        <v>1</v>
      </c>
      <c r="E536" s="145" t="str">
        <f t="shared" si="38"/>
        <v>8</v>
      </c>
      <c r="F536" s="145" t="str">
        <f t="shared" si="39"/>
        <v>04</v>
      </c>
      <c r="G536" s="145" t="str">
        <f t="shared" si="40"/>
        <v>0</v>
      </c>
      <c r="H536" s="145" t="str">
        <f t="shared" si="41"/>
        <v>0</v>
      </c>
      <c r="I536" s="143">
        <v>17180400</v>
      </c>
      <c r="J536" s="145" t="s">
        <v>5220</v>
      </c>
      <c r="K536" s="145" t="s">
        <v>5615</v>
      </c>
      <c r="L536" s="146"/>
      <c r="M536" s="145" t="s">
        <v>2878</v>
      </c>
      <c r="N536" s="145"/>
      <c r="O536" s="145" t="s">
        <v>2878</v>
      </c>
      <c r="P536" s="147" t="s">
        <v>2880</v>
      </c>
    </row>
    <row r="537" spans="2:16" s="148" customFormat="1" ht="45" x14ac:dyDescent="0.25">
      <c r="B537" s="149" t="str">
        <f t="shared" si="35"/>
        <v>1</v>
      </c>
      <c r="C537" s="149" t="str">
        <f t="shared" si="36"/>
        <v>7</v>
      </c>
      <c r="D537" s="149" t="str">
        <f t="shared" si="37"/>
        <v>1</v>
      </c>
      <c r="E537" s="149" t="str">
        <f t="shared" si="38"/>
        <v>8</v>
      </c>
      <c r="F537" s="149" t="str">
        <f t="shared" si="39"/>
        <v>04</v>
      </c>
      <c r="G537" s="149" t="str">
        <f t="shared" si="40"/>
        <v>1</v>
      </c>
      <c r="H537" s="149" t="str">
        <f t="shared" si="41"/>
        <v>0</v>
      </c>
      <c r="I537" s="144">
        <v>17180410</v>
      </c>
      <c r="J537" s="149" t="s">
        <v>5213</v>
      </c>
      <c r="K537" s="149" t="s">
        <v>5602</v>
      </c>
      <c r="L537" s="150"/>
      <c r="M537" s="149" t="s">
        <v>2878</v>
      </c>
      <c r="N537" s="149"/>
      <c r="O537" s="149" t="s">
        <v>2878</v>
      </c>
      <c r="P537" s="151" t="s">
        <v>2880</v>
      </c>
    </row>
    <row r="538" spans="2:16" s="148" customFormat="1" ht="45" x14ac:dyDescent="0.25">
      <c r="B538" s="149" t="str">
        <f t="shared" si="35"/>
        <v>1</v>
      </c>
      <c r="C538" s="149" t="str">
        <f t="shared" si="36"/>
        <v>7</v>
      </c>
      <c r="D538" s="149" t="str">
        <f t="shared" si="37"/>
        <v>1</v>
      </c>
      <c r="E538" s="149" t="str">
        <f t="shared" si="38"/>
        <v>8</v>
      </c>
      <c r="F538" s="149" t="str">
        <f t="shared" si="39"/>
        <v>04</v>
      </c>
      <c r="G538" s="149" t="str">
        <f t="shared" si="40"/>
        <v>2</v>
      </c>
      <c r="H538" s="149" t="str">
        <f t="shared" si="41"/>
        <v>0</v>
      </c>
      <c r="I538" s="144">
        <v>17180420</v>
      </c>
      <c r="J538" s="149" t="s">
        <v>5214</v>
      </c>
      <c r="K538" s="149" t="s">
        <v>5603</v>
      </c>
      <c r="L538" s="150"/>
      <c r="M538" s="149" t="s">
        <v>2878</v>
      </c>
      <c r="N538" s="149"/>
      <c r="O538" s="149" t="s">
        <v>2878</v>
      </c>
      <c r="P538" s="151" t="s">
        <v>2880</v>
      </c>
    </row>
    <row r="539" spans="2:16" s="148" customFormat="1" ht="45" x14ac:dyDescent="0.25">
      <c r="B539" s="149" t="str">
        <f t="shared" si="35"/>
        <v>1</v>
      </c>
      <c r="C539" s="149" t="str">
        <f t="shared" si="36"/>
        <v>7</v>
      </c>
      <c r="D539" s="149" t="str">
        <f t="shared" si="37"/>
        <v>1</v>
      </c>
      <c r="E539" s="149" t="str">
        <f t="shared" si="38"/>
        <v>8</v>
      </c>
      <c r="F539" s="149" t="str">
        <f t="shared" si="39"/>
        <v>04</v>
      </c>
      <c r="G539" s="149" t="str">
        <f t="shared" si="40"/>
        <v>3</v>
      </c>
      <c r="H539" s="149" t="str">
        <f t="shared" si="41"/>
        <v>0</v>
      </c>
      <c r="I539" s="144">
        <v>17180430</v>
      </c>
      <c r="J539" s="149" t="s">
        <v>5215</v>
      </c>
      <c r="K539" s="149" t="s">
        <v>5604</v>
      </c>
      <c r="L539" s="150"/>
      <c r="M539" s="149" t="s">
        <v>2878</v>
      </c>
      <c r="N539" s="149"/>
      <c r="O539" s="149" t="s">
        <v>2878</v>
      </c>
      <c r="P539" s="151" t="s">
        <v>2880</v>
      </c>
    </row>
    <row r="540" spans="2:16" s="148" customFormat="1" ht="60" x14ac:dyDescent="0.25">
      <c r="B540" s="149" t="str">
        <f t="shared" si="35"/>
        <v>1</v>
      </c>
      <c r="C540" s="149" t="str">
        <f t="shared" si="36"/>
        <v>7</v>
      </c>
      <c r="D540" s="149" t="str">
        <f t="shared" si="37"/>
        <v>1</v>
      </c>
      <c r="E540" s="149" t="str">
        <f t="shared" si="38"/>
        <v>8</v>
      </c>
      <c r="F540" s="149" t="str">
        <f t="shared" si="39"/>
        <v>04</v>
      </c>
      <c r="G540" s="149" t="str">
        <f t="shared" si="40"/>
        <v>4</v>
      </c>
      <c r="H540" s="149" t="str">
        <f t="shared" si="41"/>
        <v>0</v>
      </c>
      <c r="I540" s="144">
        <v>17180440</v>
      </c>
      <c r="J540" s="149" t="s">
        <v>5216</v>
      </c>
      <c r="K540" s="149" t="s">
        <v>5605</v>
      </c>
      <c r="L540" s="150"/>
      <c r="M540" s="149" t="s">
        <v>2878</v>
      </c>
      <c r="N540" s="149"/>
      <c r="O540" s="149" t="s">
        <v>2878</v>
      </c>
      <c r="P540" s="151" t="s">
        <v>2880</v>
      </c>
    </row>
    <row r="541" spans="2:16" s="148" customFormat="1" ht="45" x14ac:dyDescent="0.25">
      <c r="B541" s="149" t="str">
        <f t="shared" si="35"/>
        <v>1</v>
      </c>
      <c r="C541" s="149" t="str">
        <f t="shared" si="36"/>
        <v>7</v>
      </c>
      <c r="D541" s="149" t="str">
        <f t="shared" si="37"/>
        <v>1</v>
      </c>
      <c r="E541" s="149" t="str">
        <f t="shared" si="38"/>
        <v>8</v>
      </c>
      <c r="F541" s="149" t="str">
        <f t="shared" si="39"/>
        <v>04</v>
      </c>
      <c r="G541" s="149" t="str">
        <f t="shared" si="40"/>
        <v>5</v>
      </c>
      <c r="H541" s="149" t="str">
        <f t="shared" si="41"/>
        <v>0</v>
      </c>
      <c r="I541" s="144">
        <v>17180450</v>
      </c>
      <c r="J541" s="149" t="s">
        <v>5217</v>
      </c>
      <c r="K541" s="149" t="s">
        <v>5606</v>
      </c>
      <c r="L541" s="150"/>
      <c r="M541" s="149" t="s">
        <v>2878</v>
      </c>
      <c r="N541" s="149"/>
      <c r="O541" s="149" t="s">
        <v>2878</v>
      </c>
      <c r="P541" s="151" t="s">
        <v>2880</v>
      </c>
    </row>
    <row r="542" spans="2:16" s="148" customFormat="1" ht="45" x14ac:dyDescent="0.25">
      <c r="B542" s="149" t="str">
        <f t="shared" si="35"/>
        <v>1</v>
      </c>
      <c r="C542" s="149" t="str">
        <f t="shared" si="36"/>
        <v>7</v>
      </c>
      <c r="D542" s="149" t="str">
        <f t="shared" si="37"/>
        <v>1</v>
      </c>
      <c r="E542" s="149" t="str">
        <f t="shared" si="38"/>
        <v>8</v>
      </c>
      <c r="F542" s="149" t="str">
        <f t="shared" si="39"/>
        <v>04</v>
      </c>
      <c r="G542" s="149" t="str">
        <f t="shared" si="40"/>
        <v>6</v>
      </c>
      <c r="H542" s="149" t="str">
        <f t="shared" si="41"/>
        <v>0</v>
      </c>
      <c r="I542" s="144">
        <v>17180460</v>
      </c>
      <c r="J542" s="149" t="s">
        <v>5212</v>
      </c>
      <c r="K542" s="149" t="s">
        <v>5607</v>
      </c>
      <c r="L542" s="150"/>
      <c r="M542" s="149" t="s">
        <v>2878</v>
      </c>
      <c r="N542" s="149"/>
      <c r="O542" s="149" t="s">
        <v>2878</v>
      </c>
      <c r="P542" s="151" t="s">
        <v>2880</v>
      </c>
    </row>
    <row r="543" spans="2:16" s="153" customFormat="1" ht="60" x14ac:dyDescent="0.25">
      <c r="B543" s="113" t="str">
        <f t="shared" si="35"/>
        <v>1</v>
      </c>
      <c r="C543" s="113" t="str">
        <f t="shared" si="36"/>
        <v>7</v>
      </c>
      <c r="D543" s="113" t="str">
        <f t="shared" si="37"/>
        <v>1</v>
      </c>
      <c r="E543" s="113" t="str">
        <f t="shared" si="38"/>
        <v>8</v>
      </c>
      <c r="F543" s="113" t="str">
        <f t="shared" si="39"/>
        <v>05</v>
      </c>
      <c r="G543" s="113" t="str">
        <f t="shared" si="40"/>
        <v>0</v>
      </c>
      <c r="H543" s="113" t="str">
        <f t="shared" si="41"/>
        <v>0</v>
      </c>
      <c r="I543" s="112">
        <v>17180500</v>
      </c>
      <c r="J543" s="113" t="s">
        <v>1260</v>
      </c>
      <c r="K543" s="113" t="s">
        <v>1261</v>
      </c>
      <c r="L543" s="110"/>
      <c r="M543" s="113" t="s">
        <v>2878</v>
      </c>
      <c r="N543" s="113"/>
      <c r="O543" s="113" t="s">
        <v>2878</v>
      </c>
      <c r="P543" s="163" t="s">
        <v>2880</v>
      </c>
    </row>
    <row r="544" spans="2:16" s="153" customFormat="1" ht="30" x14ac:dyDescent="0.25">
      <c r="B544" s="130" t="str">
        <f t="shared" si="35"/>
        <v>1</v>
      </c>
      <c r="C544" s="130" t="str">
        <f t="shared" si="36"/>
        <v>7</v>
      </c>
      <c r="D544" s="130" t="str">
        <f t="shared" si="37"/>
        <v>1</v>
      </c>
      <c r="E544" s="130" t="str">
        <f t="shared" si="38"/>
        <v>8</v>
      </c>
      <c r="F544" s="130" t="str">
        <f t="shared" si="39"/>
        <v>05</v>
      </c>
      <c r="G544" s="130" t="str">
        <f t="shared" si="40"/>
        <v>1</v>
      </c>
      <c r="H544" s="130" t="str">
        <f t="shared" si="41"/>
        <v>0</v>
      </c>
      <c r="I544" s="129">
        <v>17180510</v>
      </c>
      <c r="J544" s="130" t="s">
        <v>1262</v>
      </c>
      <c r="K544" s="130" t="s">
        <v>1263</v>
      </c>
      <c r="L544" s="116"/>
      <c r="M544" s="130"/>
      <c r="N544" s="130"/>
      <c r="O544" s="130" t="s">
        <v>2878</v>
      </c>
      <c r="P544" s="152" t="s">
        <v>2880</v>
      </c>
    </row>
    <row r="545" spans="2:16" s="153" customFormat="1" ht="30" x14ac:dyDescent="0.25">
      <c r="B545" s="130" t="str">
        <f t="shared" si="35"/>
        <v>1</v>
      </c>
      <c r="C545" s="130" t="str">
        <f t="shared" si="36"/>
        <v>7</v>
      </c>
      <c r="D545" s="130" t="str">
        <f t="shared" si="37"/>
        <v>1</v>
      </c>
      <c r="E545" s="130" t="str">
        <f t="shared" si="38"/>
        <v>8</v>
      </c>
      <c r="F545" s="130" t="str">
        <f t="shared" si="39"/>
        <v>05</v>
      </c>
      <c r="G545" s="130" t="str">
        <f t="shared" si="40"/>
        <v>2</v>
      </c>
      <c r="H545" s="130" t="str">
        <f t="shared" si="41"/>
        <v>0</v>
      </c>
      <c r="I545" s="129">
        <v>17180520</v>
      </c>
      <c r="J545" s="130" t="s">
        <v>1264</v>
      </c>
      <c r="K545" s="130" t="s">
        <v>1265</v>
      </c>
      <c r="L545" s="116"/>
      <c r="M545" s="130"/>
      <c r="N545" s="130"/>
      <c r="O545" s="130" t="s">
        <v>2878</v>
      </c>
      <c r="P545" s="152" t="s">
        <v>2880</v>
      </c>
    </row>
    <row r="546" spans="2:16" s="153" customFormat="1" ht="45" x14ac:dyDescent="0.25">
      <c r="B546" s="130" t="str">
        <f t="shared" si="35"/>
        <v>1</v>
      </c>
      <c r="C546" s="130" t="str">
        <f t="shared" si="36"/>
        <v>7</v>
      </c>
      <c r="D546" s="130" t="str">
        <f t="shared" si="37"/>
        <v>1</v>
      </c>
      <c r="E546" s="130" t="str">
        <f t="shared" si="38"/>
        <v>8</v>
      </c>
      <c r="F546" s="130" t="str">
        <f t="shared" si="39"/>
        <v>05</v>
      </c>
      <c r="G546" s="130" t="str">
        <f t="shared" si="40"/>
        <v>3</v>
      </c>
      <c r="H546" s="130" t="str">
        <f t="shared" si="41"/>
        <v>0</v>
      </c>
      <c r="I546" s="129">
        <v>17180530</v>
      </c>
      <c r="J546" s="130" t="s">
        <v>1266</v>
      </c>
      <c r="K546" s="130" t="s">
        <v>1267</v>
      </c>
      <c r="L546" s="116"/>
      <c r="M546" s="130"/>
      <c r="N546" s="130"/>
      <c r="O546" s="130" t="s">
        <v>2878</v>
      </c>
      <c r="P546" s="152" t="s">
        <v>2880</v>
      </c>
    </row>
    <row r="547" spans="2:16" s="153" customFormat="1" ht="45" x14ac:dyDescent="0.25">
      <c r="B547" s="130" t="str">
        <f t="shared" si="35"/>
        <v>1</v>
      </c>
      <c r="C547" s="130" t="str">
        <f t="shared" si="36"/>
        <v>7</v>
      </c>
      <c r="D547" s="130" t="str">
        <f t="shared" si="37"/>
        <v>1</v>
      </c>
      <c r="E547" s="130" t="str">
        <f t="shared" si="38"/>
        <v>8</v>
      </c>
      <c r="F547" s="130" t="str">
        <f t="shared" si="39"/>
        <v>05</v>
      </c>
      <c r="G547" s="130" t="str">
        <f t="shared" si="40"/>
        <v>4</v>
      </c>
      <c r="H547" s="130" t="str">
        <f t="shared" si="41"/>
        <v>0</v>
      </c>
      <c r="I547" s="129">
        <v>17180540</v>
      </c>
      <c r="J547" s="130" t="s">
        <v>1268</v>
      </c>
      <c r="K547" s="130" t="s">
        <v>1269</v>
      </c>
      <c r="L547" s="116"/>
      <c r="M547" s="130"/>
      <c r="N547" s="130"/>
      <c r="O547" s="130" t="s">
        <v>2878</v>
      </c>
      <c r="P547" s="152" t="s">
        <v>2880</v>
      </c>
    </row>
    <row r="548" spans="2:16" s="153" customFormat="1" ht="60" x14ac:dyDescent="0.25">
      <c r="B548" s="130" t="str">
        <f t="shared" si="35"/>
        <v>1</v>
      </c>
      <c r="C548" s="130" t="str">
        <f t="shared" si="36"/>
        <v>7</v>
      </c>
      <c r="D548" s="130" t="str">
        <f t="shared" si="37"/>
        <v>1</v>
      </c>
      <c r="E548" s="130" t="str">
        <f t="shared" si="38"/>
        <v>8</v>
      </c>
      <c r="F548" s="130" t="str">
        <f t="shared" si="39"/>
        <v>05</v>
      </c>
      <c r="G548" s="130" t="str">
        <f t="shared" si="40"/>
        <v>9</v>
      </c>
      <c r="H548" s="130" t="str">
        <f t="shared" si="41"/>
        <v>0</v>
      </c>
      <c r="I548" s="129">
        <v>17180590</v>
      </c>
      <c r="J548" s="130" t="s">
        <v>1270</v>
      </c>
      <c r="K548" s="130" t="s">
        <v>1271</v>
      </c>
      <c r="L548" s="116"/>
      <c r="M548" s="130"/>
      <c r="N548" s="130"/>
      <c r="O548" s="130" t="s">
        <v>2878</v>
      </c>
      <c r="P548" s="152" t="s">
        <v>2880</v>
      </c>
    </row>
    <row r="549" spans="2:16" s="153" customFormat="1" ht="90" x14ac:dyDescent="0.25">
      <c r="B549" s="113" t="str">
        <f t="shared" si="35"/>
        <v>1</v>
      </c>
      <c r="C549" s="113" t="str">
        <f t="shared" si="36"/>
        <v>7</v>
      </c>
      <c r="D549" s="113" t="str">
        <f t="shared" si="37"/>
        <v>1</v>
      </c>
      <c r="E549" s="113" t="str">
        <f t="shared" si="38"/>
        <v>8</v>
      </c>
      <c r="F549" s="113" t="str">
        <f t="shared" si="39"/>
        <v>06</v>
      </c>
      <c r="G549" s="113" t="str">
        <f t="shared" si="40"/>
        <v>0</v>
      </c>
      <c r="H549" s="113" t="str">
        <f t="shared" si="41"/>
        <v>0</v>
      </c>
      <c r="I549" s="112">
        <v>17180600</v>
      </c>
      <c r="J549" s="113" t="s">
        <v>1272</v>
      </c>
      <c r="K549" s="113" t="s">
        <v>1273</v>
      </c>
      <c r="L549" s="110"/>
      <c r="M549" s="113"/>
      <c r="N549" s="113"/>
      <c r="O549" s="113" t="s">
        <v>2878</v>
      </c>
      <c r="P549" s="163" t="s">
        <v>2880</v>
      </c>
    </row>
    <row r="550" spans="2:16" s="153" customFormat="1" ht="90" x14ac:dyDescent="0.25">
      <c r="B550" s="130" t="str">
        <f t="shared" si="35"/>
        <v>1</v>
      </c>
      <c r="C550" s="130" t="str">
        <f t="shared" si="36"/>
        <v>7</v>
      </c>
      <c r="D550" s="130" t="str">
        <f t="shared" si="37"/>
        <v>1</v>
      </c>
      <c r="E550" s="130" t="str">
        <f t="shared" si="38"/>
        <v>8</v>
      </c>
      <c r="F550" s="130" t="str">
        <f t="shared" si="39"/>
        <v>06</v>
      </c>
      <c r="G550" s="130" t="str">
        <f t="shared" si="40"/>
        <v>1</v>
      </c>
      <c r="H550" s="130" t="str">
        <f t="shared" si="41"/>
        <v>0</v>
      </c>
      <c r="I550" s="129">
        <v>17180610</v>
      </c>
      <c r="J550" s="130" t="s">
        <v>1272</v>
      </c>
      <c r="K550" s="130" t="s">
        <v>1273</v>
      </c>
      <c r="L550" s="116"/>
      <c r="M550" s="130"/>
      <c r="N550" s="130"/>
      <c r="O550" s="130" t="s">
        <v>2878</v>
      </c>
      <c r="P550" s="152" t="s">
        <v>2880</v>
      </c>
    </row>
    <row r="551" spans="2:16" s="153" customFormat="1" ht="30" x14ac:dyDescent="0.25">
      <c r="B551" s="113" t="str">
        <f t="shared" si="35"/>
        <v>1</v>
      </c>
      <c r="C551" s="113" t="str">
        <f t="shared" si="36"/>
        <v>7</v>
      </c>
      <c r="D551" s="113" t="str">
        <f t="shared" si="37"/>
        <v>1</v>
      </c>
      <c r="E551" s="113" t="str">
        <f t="shared" si="38"/>
        <v>8</v>
      </c>
      <c r="F551" s="113" t="str">
        <f t="shared" si="39"/>
        <v>07</v>
      </c>
      <c r="G551" s="113" t="str">
        <f t="shared" si="40"/>
        <v>0</v>
      </c>
      <c r="H551" s="113" t="str">
        <f t="shared" si="41"/>
        <v>0</v>
      </c>
      <c r="I551" s="112">
        <v>17180700</v>
      </c>
      <c r="J551" s="113" t="s">
        <v>1276</v>
      </c>
      <c r="K551" s="113" t="s">
        <v>1275</v>
      </c>
      <c r="L551" s="110"/>
      <c r="M551" s="113"/>
      <c r="N551" s="113"/>
      <c r="O551" s="113" t="s">
        <v>2878</v>
      </c>
      <c r="P551" s="163" t="s">
        <v>2880</v>
      </c>
    </row>
    <row r="552" spans="2:16" s="153" customFormat="1" ht="30" x14ac:dyDescent="0.25">
      <c r="B552" s="130" t="str">
        <f t="shared" si="35"/>
        <v>1</v>
      </c>
      <c r="C552" s="130" t="str">
        <f t="shared" si="36"/>
        <v>7</v>
      </c>
      <c r="D552" s="130" t="str">
        <f t="shared" si="37"/>
        <v>1</v>
      </c>
      <c r="E552" s="130" t="str">
        <f t="shared" si="38"/>
        <v>8</v>
      </c>
      <c r="F552" s="130" t="str">
        <f t="shared" si="39"/>
        <v>07</v>
      </c>
      <c r="G552" s="130" t="str">
        <f t="shared" si="40"/>
        <v>1</v>
      </c>
      <c r="H552" s="130" t="str">
        <f t="shared" si="41"/>
        <v>0</v>
      </c>
      <c r="I552" s="129">
        <v>17180710</v>
      </c>
      <c r="J552" s="130" t="s">
        <v>1276</v>
      </c>
      <c r="K552" s="130" t="s">
        <v>1275</v>
      </c>
      <c r="L552" s="116"/>
      <c r="M552" s="130"/>
      <c r="N552" s="130"/>
      <c r="O552" s="130" t="s">
        <v>2878</v>
      </c>
      <c r="P552" s="152" t="s">
        <v>2880</v>
      </c>
    </row>
    <row r="553" spans="2:16" s="153" customFormat="1" ht="45" x14ac:dyDescent="0.25">
      <c r="B553" s="113" t="str">
        <f t="shared" si="35"/>
        <v>1</v>
      </c>
      <c r="C553" s="113" t="str">
        <f t="shared" si="36"/>
        <v>7</v>
      </c>
      <c r="D553" s="113" t="str">
        <f t="shared" si="37"/>
        <v>1</v>
      </c>
      <c r="E553" s="113" t="str">
        <f t="shared" si="38"/>
        <v>8</v>
      </c>
      <c r="F553" s="113" t="str">
        <f t="shared" si="39"/>
        <v>08</v>
      </c>
      <c r="G553" s="113" t="str">
        <f t="shared" si="40"/>
        <v>0</v>
      </c>
      <c r="H553" s="113" t="str">
        <f t="shared" si="41"/>
        <v>0</v>
      </c>
      <c r="I553" s="112">
        <v>17180800</v>
      </c>
      <c r="J553" s="113" t="s">
        <v>5105</v>
      </c>
      <c r="K553" s="113" t="s">
        <v>5106</v>
      </c>
      <c r="L553" s="110"/>
      <c r="M553" s="113"/>
      <c r="N553" s="113"/>
      <c r="O553" s="113" t="s">
        <v>2878</v>
      </c>
      <c r="P553" s="163" t="s">
        <v>2880</v>
      </c>
    </row>
    <row r="554" spans="2:16" s="153" customFormat="1" ht="45" x14ac:dyDescent="0.25">
      <c r="B554" s="130" t="str">
        <f t="shared" si="35"/>
        <v>1</v>
      </c>
      <c r="C554" s="130" t="str">
        <f t="shared" si="36"/>
        <v>7</v>
      </c>
      <c r="D554" s="130" t="str">
        <f t="shared" si="37"/>
        <v>1</v>
      </c>
      <c r="E554" s="130" t="str">
        <f t="shared" si="38"/>
        <v>8</v>
      </c>
      <c r="F554" s="130" t="str">
        <f t="shared" si="39"/>
        <v>08</v>
      </c>
      <c r="G554" s="130" t="str">
        <f t="shared" si="40"/>
        <v>1</v>
      </c>
      <c r="H554" s="130" t="str">
        <f t="shared" si="41"/>
        <v>0</v>
      </c>
      <c r="I554" s="129">
        <v>17180810</v>
      </c>
      <c r="J554" s="130" t="s">
        <v>5105</v>
      </c>
      <c r="K554" s="130" t="s">
        <v>5106</v>
      </c>
      <c r="L554" s="116"/>
      <c r="M554" s="130"/>
      <c r="N554" s="130"/>
      <c r="O554" s="130" t="s">
        <v>2878</v>
      </c>
      <c r="P554" s="152" t="s">
        <v>2880</v>
      </c>
    </row>
    <row r="555" spans="2:16" s="148" customFormat="1" ht="45" x14ac:dyDescent="0.25">
      <c r="B555" s="145" t="str">
        <f t="shared" si="35"/>
        <v>1</v>
      </c>
      <c r="C555" s="145" t="str">
        <f t="shared" si="36"/>
        <v>7</v>
      </c>
      <c r="D555" s="145" t="str">
        <f t="shared" si="37"/>
        <v>1</v>
      </c>
      <c r="E555" s="145" t="str">
        <f t="shared" si="38"/>
        <v>8</v>
      </c>
      <c r="F555" s="145" t="str">
        <f t="shared" si="39"/>
        <v>09</v>
      </c>
      <c r="G555" s="145" t="str">
        <f t="shared" si="40"/>
        <v>0</v>
      </c>
      <c r="H555" s="145" t="str">
        <f t="shared" si="41"/>
        <v>0</v>
      </c>
      <c r="I555" s="143">
        <v>17180900</v>
      </c>
      <c r="J555" s="145" t="s">
        <v>5184</v>
      </c>
      <c r="K555" s="145" t="s">
        <v>5185</v>
      </c>
      <c r="L555" s="146"/>
      <c r="M555" s="145" t="s">
        <v>2878</v>
      </c>
      <c r="N555" s="145"/>
      <c r="O555" s="145" t="s">
        <v>2878</v>
      </c>
      <c r="P555" s="147" t="s">
        <v>2880</v>
      </c>
    </row>
    <row r="556" spans="2:16" s="148" customFormat="1" ht="45" x14ac:dyDescent="0.25">
      <c r="B556" s="149" t="str">
        <f t="shared" ref="B556:B619" si="42">MID($I556,1,1)</f>
        <v>1</v>
      </c>
      <c r="C556" s="149" t="str">
        <f t="shared" ref="C556:C619" si="43">MID($I556,2,1)</f>
        <v>7</v>
      </c>
      <c r="D556" s="149" t="str">
        <f t="shared" ref="D556:D619" si="44">MID($I556,3,1)</f>
        <v>1</v>
      </c>
      <c r="E556" s="149" t="str">
        <f t="shared" ref="E556:E619" si="45">MID($I556,4,1)</f>
        <v>8</v>
      </c>
      <c r="F556" s="149" t="str">
        <f t="shared" ref="F556:F619" si="46">MID($I556,5,2)</f>
        <v>09</v>
      </c>
      <c r="G556" s="149" t="str">
        <f t="shared" ref="G556:G619" si="47">MID($I556,7,1)</f>
        <v>1</v>
      </c>
      <c r="H556" s="149" t="str">
        <f t="shared" ref="H556:H619" si="48">MID($I556,8,1)</f>
        <v>0</v>
      </c>
      <c r="I556" s="144">
        <v>17180910</v>
      </c>
      <c r="J556" s="149" t="s">
        <v>1322</v>
      </c>
      <c r="K556" s="149" t="s">
        <v>5185</v>
      </c>
      <c r="L556" s="150"/>
      <c r="M556" s="149" t="s">
        <v>2878</v>
      </c>
      <c r="N556" s="149"/>
      <c r="O556" s="149" t="s">
        <v>2878</v>
      </c>
      <c r="P556" s="151" t="s">
        <v>2880</v>
      </c>
    </row>
    <row r="557" spans="2:16" s="153" customFormat="1" ht="75" x14ac:dyDescent="0.25">
      <c r="B557" s="113" t="str">
        <f t="shared" si="42"/>
        <v>1</v>
      </c>
      <c r="C557" s="113" t="str">
        <f t="shared" si="43"/>
        <v>7</v>
      </c>
      <c r="D557" s="113" t="str">
        <f t="shared" si="44"/>
        <v>1</v>
      </c>
      <c r="E557" s="113" t="str">
        <f t="shared" si="45"/>
        <v>8</v>
      </c>
      <c r="F557" s="113" t="str">
        <f t="shared" si="46"/>
        <v>10</v>
      </c>
      <c r="G557" s="113" t="str">
        <f t="shared" si="47"/>
        <v>0</v>
      </c>
      <c r="H557" s="113" t="str">
        <f t="shared" si="48"/>
        <v>0</v>
      </c>
      <c r="I557" s="112">
        <v>17181000</v>
      </c>
      <c r="J557" s="113" t="s">
        <v>1334</v>
      </c>
      <c r="K557" s="113" t="s">
        <v>1335</v>
      </c>
      <c r="L557" s="110"/>
      <c r="M557" s="113"/>
      <c r="N557" s="113"/>
      <c r="O557" s="113" t="s">
        <v>2878</v>
      </c>
      <c r="P557" s="163" t="s">
        <v>2880</v>
      </c>
    </row>
    <row r="558" spans="2:16" s="153" customFormat="1" ht="75" x14ac:dyDescent="0.25">
      <c r="B558" s="130" t="str">
        <f t="shared" si="42"/>
        <v>1</v>
      </c>
      <c r="C558" s="130" t="str">
        <f t="shared" si="43"/>
        <v>7</v>
      </c>
      <c r="D558" s="130" t="str">
        <f t="shared" si="44"/>
        <v>1</v>
      </c>
      <c r="E558" s="130" t="str">
        <f t="shared" si="45"/>
        <v>8</v>
      </c>
      <c r="F558" s="130" t="str">
        <f t="shared" si="46"/>
        <v>10</v>
      </c>
      <c r="G558" s="130" t="str">
        <f t="shared" si="47"/>
        <v>1</v>
      </c>
      <c r="H558" s="130" t="str">
        <f t="shared" si="48"/>
        <v>0</v>
      </c>
      <c r="I558" s="129">
        <v>17181010</v>
      </c>
      <c r="J558" s="130" t="s">
        <v>1336</v>
      </c>
      <c r="K558" s="130" t="s">
        <v>1337</v>
      </c>
      <c r="L558" s="116"/>
      <c r="M558" s="130"/>
      <c r="N558" s="130"/>
      <c r="O558" s="130" t="s">
        <v>2878</v>
      </c>
      <c r="P558" s="152" t="s">
        <v>2880</v>
      </c>
    </row>
    <row r="559" spans="2:16" s="153" customFormat="1" ht="30" x14ac:dyDescent="0.25">
      <c r="B559" s="130" t="str">
        <f t="shared" si="42"/>
        <v>1</v>
      </c>
      <c r="C559" s="130" t="str">
        <f t="shared" si="43"/>
        <v>7</v>
      </c>
      <c r="D559" s="130" t="str">
        <f t="shared" si="44"/>
        <v>1</v>
      </c>
      <c r="E559" s="130" t="str">
        <f t="shared" si="45"/>
        <v>8</v>
      </c>
      <c r="F559" s="130" t="str">
        <f t="shared" si="46"/>
        <v>10</v>
      </c>
      <c r="G559" s="130" t="str">
        <f t="shared" si="47"/>
        <v>2</v>
      </c>
      <c r="H559" s="130" t="str">
        <f t="shared" si="48"/>
        <v>0</v>
      </c>
      <c r="I559" s="129">
        <v>17181020</v>
      </c>
      <c r="J559" s="130" t="s">
        <v>1338</v>
      </c>
      <c r="K559" s="130" t="s">
        <v>1339</v>
      </c>
      <c r="L559" s="116"/>
      <c r="M559" s="130"/>
      <c r="N559" s="130"/>
      <c r="O559" s="130" t="s">
        <v>2878</v>
      </c>
      <c r="P559" s="152" t="s">
        <v>2880</v>
      </c>
    </row>
    <row r="560" spans="2:16" s="153" customFormat="1" ht="60" x14ac:dyDescent="0.25">
      <c r="B560" s="130" t="str">
        <f t="shared" si="42"/>
        <v>1</v>
      </c>
      <c r="C560" s="130" t="str">
        <f t="shared" si="43"/>
        <v>7</v>
      </c>
      <c r="D560" s="130" t="str">
        <f t="shared" si="44"/>
        <v>1</v>
      </c>
      <c r="E560" s="130" t="str">
        <f t="shared" si="45"/>
        <v>8</v>
      </c>
      <c r="F560" s="130" t="str">
        <f t="shared" si="46"/>
        <v>10</v>
      </c>
      <c r="G560" s="130" t="str">
        <f t="shared" si="47"/>
        <v>3</v>
      </c>
      <c r="H560" s="130" t="str">
        <f t="shared" si="48"/>
        <v>0</v>
      </c>
      <c r="I560" s="129">
        <v>17181030</v>
      </c>
      <c r="J560" s="130" t="s">
        <v>1340</v>
      </c>
      <c r="K560" s="130" t="s">
        <v>1341</v>
      </c>
      <c r="L560" s="116"/>
      <c r="M560" s="130"/>
      <c r="N560" s="130"/>
      <c r="O560" s="130" t="s">
        <v>2878</v>
      </c>
      <c r="P560" s="152" t="s">
        <v>2880</v>
      </c>
    </row>
    <row r="561" spans="2:16" s="153" customFormat="1" ht="30" x14ac:dyDescent="0.25">
      <c r="B561" s="130" t="str">
        <f t="shared" si="42"/>
        <v>1</v>
      </c>
      <c r="C561" s="130" t="str">
        <f t="shared" si="43"/>
        <v>7</v>
      </c>
      <c r="D561" s="130" t="str">
        <f t="shared" si="44"/>
        <v>1</v>
      </c>
      <c r="E561" s="130" t="str">
        <f t="shared" si="45"/>
        <v>8</v>
      </c>
      <c r="F561" s="130" t="str">
        <f t="shared" si="46"/>
        <v>10</v>
      </c>
      <c r="G561" s="130" t="str">
        <f t="shared" si="47"/>
        <v>4</v>
      </c>
      <c r="H561" s="130" t="str">
        <f t="shared" si="48"/>
        <v>0</v>
      </c>
      <c r="I561" s="129">
        <v>17181040</v>
      </c>
      <c r="J561" s="130" t="s">
        <v>1342</v>
      </c>
      <c r="K561" s="130" t="s">
        <v>1343</v>
      </c>
      <c r="L561" s="116"/>
      <c r="M561" s="130"/>
      <c r="N561" s="130"/>
      <c r="O561" s="130" t="s">
        <v>2878</v>
      </c>
      <c r="P561" s="152" t="s">
        <v>2880</v>
      </c>
    </row>
    <row r="562" spans="2:16" s="153" customFormat="1" ht="30" x14ac:dyDescent="0.25">
      <c r="B562" s="130" t="str">
        <f t="shared" si="42"/>
        <v>1</v>
      </c>
      <c r="C562" s="130" t="str">
        <f t="shared" si="43"/>
        <v>7</v>
      </c>
      <c r="D562" s="130" t="str">
        <f t="shared" si="44"/>
        <v>1</v>
      </c>
      <c r="E562" s="130" t="str">
        <f t="shared" si="45"/>
        <v>8</v>
      </c>
      <c r="F562" s="130" t="str">
        <f t="shared" si="46"/>
        <v>10</v>
      </c>
      <c r="G562" s="130" t="str">
        <f t="shared" si="47"/>
        <v>5</v>
      </c>
      <c r="H562" s="130" t="str">
        <f t="shared" si="48"/>
        <v>0</v>
      </c>
      <c r="I562" s="129">
        <v>17181050</v>
      </c>
      <c r="J562" s="130" t="s">
        <v>1344</v>
      </c>
      <c r="K562" s="130" t="s">
        <v>1345</v>
      </c>
      <c r="L562" s="116"/>
      <c r="M562" s="130"/>
      <c r="N562" s="130"/>
      <c r="O562" s="130" t="s">
        <v>2878</v>
      </c>
      <c r="P562" s="152" t="s">
        <v>2880</v>
      </c>
    </row>
    <row r="563" spans="2:16" s="153" customFormat="1" ht="30" x14ac:dyDescent="0.25">
      <c r="B563" s="130" t="str">
        <f t="shared" si="42"/>
        <v>1</v>
      </c>
      <c r="C563" s="130" t="str">
        <f t="shared" si="43"/>
        <v>7</v>
      </c>
      <c r="D563" s="130" t="str">
        <f t="shared" si="44"/>
        <v>1</v>
      </c>
      <c r="E563" s="130" t="str">
        <f t="shared" si="45"/>
        <v>8</v>
      </c>
      <c r="F563" s="130" t="str">
        <f t="shared" si="46"/>
        <v>10</v>
      </c>
      <c r="G563" s="130" t="str">
        <f t="shared" si="47"/>
        <v>9</v>
      </c>
      <c r="H563" s="130" t="str">
        <f t="shared" si="48"/>
        <v>0</v>
      </c>
      <c r="I563" s="129">
        <v>17181090</v>
      </c>
      <c r="J563" s="130" t="s">
        <v>1346</v>
      </c>
      <c r="K563" s="130" t="s">
        <v>1347</v>
      </c>
      <c r="L563" s="116"/>
      <c r="M563" s="130"/>
      <c r="N563" s="130"/>
      <c r="O563" s="130" t="s">
        <v>2878</v>
      </c>
      <c r="P563" s="152" t="s">
        <v>2880</v>
      </c>
    </row>
    <row r="564" spans="2:16" s="153" customFormat="1" ht="45" x14ac:dyDescent="0.25">
      <c r="B564" s="113" t="str">
        <f t="shared" si="42"/>
        <v>1</v>
      </c>
      <c r="C564" s="113" t="str">
        <f t="shared" si="43"/>
        <v>7</v>
      </c>
      <c r="D564" s="113" t="str">
        <f t="shared" si="44"/>
        <v>1</v>
      </c>
      <c r="E564" s="113" t="str">
        <f t="shared" si="45"/>
        <v>8</v>
      </c>
      <c r="F564" s="113" t="str">
        <f t="shared" si="46"/>
        <v>11</v>
      </c>
      <c r="G564" s="113" t="str">
        <f t="shared" si="47"/>
        <v>0</v>
      </c>
      <c r="H564" s="113" t="str">
        <f t="shared" si="48"/>
        <v>0</v>
      </c>
      <c r="I564" s="112">
        <v>17181100</v>
      </c>
      <c r="J564" s="113" t="s">
        <v>5108</v>
      </c>
      <c r="K564" s="113" t="s">
        <v>5109</v>
      </c>
      <c r="L564" s="110"/>
      <c r="M564" s="113"/>
      <c r="N564" s="113"/>
      <c r="O564" s="113"/>
      <c r="P564" s="163" t="s">
        <v>2880</v>
      </c>
    </row>
    <row r="565" spans="2:16" s="153" customFormat="1" ht="45" x14ac:dyDescent="0.25">
      <c r="B565" s="130" t="str">
        <f t="shared" si="42"/>
        <v>1</v>
      </c>
      <c r="C565" s="130" t="str">
        <f t="shared" si="43"/>
        <v>7</v>
      </c>
      <c r="D565" s="130" t="str">
        <f t="shared" si="44"/>
        <v>1</v>
      </c>
      <c r="E565" s="130" t="str">
        <f t="shared" si="45"/>
        <v>8</v>
      </c>
      <c r="F565" s="130" t="str">
        <f t="shared" si="46"/>
        <v>11</v>
      </c>
      <c r="G565" s="130" t="str">
        <f t="shared" si="47"/>
        <v>1</v>
      </c>
      <c r="H565" s="130" t="str">
        <f t="shared" si="48"/>
        <v>0</v>
      </c>
      <c r="I565" s="129">
        <v>17181110</v>
      </c>
      <c r="J565" s="130" t="s">
        <v>5110</v>
      </c>
      <c r="K565" s="130" t="s">
        <v>5111</v>
      </c>
      <c r="L565" s="116"/>
      <c r="M565" s="130"/>
      <c r="N565" s="130" t="s">
        <v>5112</v>
      </c>
      <c r="O565" s="130"/>
      <c r="P565" s="152" t="s">
        <v>2880</v>
      </c>
    </row>
    <row r="566" spans="2:16" s="148" customFormat="1" ht="45" x14ac:dyDescent="0.25">
      <c r="B566" s="145" t="str">
        <f t="shared" si="42"/>
        <v>1</v>
      </c>
      <c r="C566" s="145" t="str">
        <f t="shared" si="43"/>
        <v>7</v>
      </c>
      <c r="D566" s="145" t="str">
        <f t="shared" si="44"/>
        <v>1</v>
      </c>
      <c r="E566" s="145" t="str">
        <f t="shared" si="45"/>
        <v>8</v>
      </c>
      <c r="F566" s="145" t="str">
        <f t="shared" si="46"/>
        <v>12</v>
      </c>
      <c r="G566" s="145" t="str">
        <f t="shared" si="47"/>
        <v>0</v>
      </c>
      <c r="H566" s="145" t="str">
        <f t="shared" si="48"/>
        <v>0</v>
      </c>
      <c r="I566" s="143">
        <v>17181200</v>
      </c>
      <c r="J566" s="145" t="s">
        <v>1258</v>
      </c>
      <c r="K566" s="145" t="s">
        <v>5632</v>
      </c>
      <c r="L566" s="146"/>
      <c r="M566" s="145" t="s">
        <v>2878</v>
      </c>
      <c r="N566" s="145"/>
      <c r="O566" s="145" t="s">
        <v>2878</v>
      </c>
      <c r="P566" s="147" t="s">
        <v>2880</v>
      </c>
    </row>
    <row r="567" spans="2:16" s="148" customFormat="1" ht="45" x14ac:dyDescent="0.25">
      <c r="B567" s="149" t="str">
        <f t="shared" si="42"/>
        <v>1</v>
      </c>
      <c r="C567" s="149" t="str">
        <f t="shared" si="43"/>
        <v>7</v>
      </c>
      <c r="D567" s="149" t="str">
        <f t="shared" si="44"/>
        <v>1</v>
      </c>
      <c r="E567" s="149" t="str">
        <f t="shared" si="45"/>
        <v>8</v>
      </c>
      <c r="F567" s="149" t="str">
        <f t="shared" si="46"/>
        <v>12</v>
      </c>
      <c r="G567" s="149" t="str">
        <f t="shared" si="47"/>
        <v>1</v>
      </c>
      <c r="H567" s="149" t="str">
        <f t="shared" si="48"/>
        <v>0</v>
      </c>
      <c r="I567" s="144">
        <v>17181210</v>
      </c>
      <c r="J567" s="149" t="s">
        <v>1258</v>
      </c>
      <c r="K567" s="149" t="s">
        <v>5632</v>
      </c>
      <c r="L567" s="150"/>
      <c r="M567" s="149"/>
      <c r="N567" s="149"/>
      <c r="O567" s="149" t="s">
        <v>2878</v>
      </c>
      <c r="P567" s="151" t="s">
        <v>2880</v>
      </c>
    </row>
    <row r="568" spans="2:16" s="153" customFormat="1" ht="30" x14ac:dyDescent="0.25">
      <c r="B568" s="113" t="str">
        <f t="shared" si="42"/>
        <v>1</v>
      </c>
      <c r="C568" s="113" t="str">
        <f t="shared" si="43"/>
        <v>7</v>
      </c>
      <c r="D568" s="113" t="str">
        <f t="shared" si="44"/>
        <v>1</v>
      </c>
      <c r="E568" s="113" t="str">
        <f t="shared" si="45"/>
        <v>8</v>
      </c>
      <c r="F568" s="113" t="str">
        <f t="shared" si="46"/>
        <v>99</v>
      </c>
      <c r="G568" s="113" t="str">
        <f t="shared" si="47"/>
        <v>0</v>
      </c>
      <c r="H568" s="113" t="str">
        <f t="shared" si="48"/>
        <v>0</v>
      </c>
      <c r="I568" s="112">
        <v>17189900</v>
      </c>
      <c r="J568" s="113" t="s">
        <v>1277</v>
      </c>
      <c r="K568" s="113" t="s">
        <v>1278</v>
      </c>
      <c r="L568" s="110"/>
      <c r="M568" s="113"/>
      <c r="N568" s="113"/>
      <c r="O568" s="113" t="s">
        <v>2878</v>
      </c>
      <c r="P568" s="163" t="s">
        <v>2880</v>
      </c>
    </row>
    <row r="569" spans="2:16" s="153" customFormat="1" ht="30" x14ac:dyDescent="0.25">
      <c r="B569" s="130" t="str">
        <f t="shared" si="42"/>
        <v>1</v>
      </c>
      <c r="C569" s="130" t="str">
        <f t="shared" si="43"/>
        <v>7</v>
      </c>
      <c r="D569" s="130" t="str">
        <f t="shared" si="44"/>
        <v>1</v>
      </c>
      <c r="E569" s="130" t="str">
        <f t="shared" si="45"/>
        <v>8</v>
      </c>
      <c r="F569" s="130" t="str">
        <f t="shared" si="46"/>
        <v>99</v>
      </c>
      <c r="G569" s="130" t="str">
        <f t="shared" si="47"/>
        <v>1</v>
      </c>
      <c r="H569" s="130" t="str">
        <f t="shared" si="48"/>
        <v>0</v>
      </c>
      <c r="I569" s="129">
        <v>17189910</v>
      </c>
      <c r="J569" s="130" t="s">
        <v>1277</v>
      </c>
      <c r="K569" s="130" t="s">
        <v>1278</v>
      </c>
      <c r="L569" s="116"/>
      <c r="M569" s="130"/>
      <c r="N569" s="130"/>
      <c r="O569" s="130" t="s">
        <v>2878</v>
      </c>
      <c r="P569" s="152" t="s">
        <v>2880</v>
      </c>
    </row>
    <row r="570" spans="2:16" ht="60" hidden="1" x14ac:dyDescent="0.25">
      <c r="B570" s="126" t="str">
        <f t="shared" si="42"/>
        <v>1</v>
      </c>
      <c r="C570" s="126" t="str">
        <f t="shared" si="43"/>
        <v>7</v>
      </c>
      <c r="D570" s="126" t="str">
        <f t="shared" si="44"/>
        <v>2</v>
      </c>
      <c r="E570" s="126" t="str">
        <f t="shared" si="45"/>
        <v>0</v>
      </c>
      <c r="F570" s="126" t="str">
        <f t="shared" si="46"/>
        <v>00</v>
      </c>
      <c r="G570" s="126" t="str">
        <f t="shared" si="47"/>
        <v>0</v>
      </c>
      <c r="H570" s="126" t="str">
        <f t="shared" si="48"/>
        <v>0</v>
      </c>
      <c r="I570" s="127">
        <v>17200000</v>
      </c>
      <c r="J570" s="126" t="s">
        <v>4198</v>
      </c>
      <c r="K570" s="126" t="s">
        <v>4199</v>
      </c>
      <c r="L570" s="122"/>
      <c r="M570" s="126" t="s">
        <v>2878</v>
      </c>
      <c r="N570" s="126" t="s">
        <v>5016</v>
      </c>
      <c r="O570" s="126" t="s">
        <v>2878</v>
      </c>
      <c r="P570" s="128" t="s">
        <v>2880</v>
      </c>
    </row>
    <row r="571" spans="2:16" ht="60" hidden="1" x14ac:dyDescent="0.25">
      <c r="B571" s="114" t="str">
        <f t="shared" si="42"/>
        <v>1</v>
      </c>
      <c r="C571" s="114" t="str">
        <f t="shared" si="43"/>
        <v>7</v>
      </c>
      <c r="D571" s="114" t="str">
        <f t="shared" si="44"/>
        <v>2</v>
      </c>
      <c r="E571" s="114" t="str">
        <f t="shared" si="45"/>
        <v>0</v>
      </c>
      <c r="F571" s="114" t="str">
        <f t="shared" si="46"/>
        <v>00</v>
      </c>
      <c r="G571" s="114" t="str">
        <f t="shared" si="47"/>
        <v>1</v>
      </c>
      <c r="H571" s="114" t="str">
        <f t="shared" si="48"/>
        <v>0</v>
      </c>
      <c r="I571" s="115">
        <v>17200010</v>
      </c>
      <c r="J571" s="114" t="s">
        <v>4198</v>
      </c>
      <c r="K571" s="114" t="s">
        <v>4199</v>
      </c>
      <c r="L571" s="116"/>
      <c r="M571" s="114" t="s">
        <v>2878</v>
      </c>
      <c r="N571" s="114"/>
      <c r="O571" s="114" t="s">
        <v>2878</v>
      </c>
      <c r="P571" s="117" t="s">
        <v>2880</v>
      </c>
    </row>
    <row r="572" spans="2:16" s="153" customFormat="1" ht="45" x14ac:dyDescent="0.25">
      <c r="B572" s="155" t="str">
        <f t="shared" si="42"/>
        <v>1</v>
      </c>
      <c r="C572" s="155" t="str">
        <f t="shared" si="43"/>
        <v>7</v>
      </c>
      <c r="D572" s="155" t="str">
        <f t="shared" si="44"/>
        <v>2</v>
      </c>
      <c r="E572" s="155" t="str">
        <f t="shared" si="45"/>
        <v>8</v>
      </c>
      <c r="F572" s="155" t="str">
        <f t="shared" si="46"/>
        <v>00</v>
      </c>
      <c r="G572" s="155" t="str">
        <f t="shared" si="47"/>
        <v>0</v>
      </c>
      <c r="H572" s="155" t="str">
        <f t="shared" si="48"/>
        <v>0</v>
      </c>
      <c r="I572" s="161">
        <v>17280000</v>
      </c>
      <c r="J572" s="155" t="s">
        <v>5023</v>
      </c>
      <c r="K572" s="155" t="s">
        <v>1280</v>
      </c>
      <c r="L572" s="106"/>
      <c r="M572" s="155" t="s">
        <v>2878</v>
      </c>
      <c r="N572" s="155"/>
      <c r="O572" s="155" t="s">
        <v>5018</v>
      </c>
      <c r="P572" s="162" t="s">
        <v>2880</v>
      </c>
    </row>
    <row r="573" spans="2:16" s="153" customFormat="1" ht="120" x14ac:dyDescent="0.25">
      <c r="B573" s="113" t="str">
        <f t="shared" si="42"/>
        <v>1</v>
      </c>
      <c r="C573" s="113" t="str">
        <f t="shared" si="43"/>
        <v>7</v>
      </c>
      <c r="D573" s="113" t="str">
        <f t="shared" si="44"/>
        <v>2</v>
      </c>
      <c r="E573" s="113" t="str">
        <f t="shared" si="45"/>
        <v>8</v>
      </c>
      <c r="F573" s="113" t="str">
        <f t="shared" si="46"/>
        <v>01</v>
      </c>
      <c r="G573" s="113" t="str">
        <f t="shared" si="47"/>
        <v>0</v>
      </c>
      <c r="H573" s="113" t="str">
        <f t="shared" si="48"/>
        <v>0</v>
      </c>
      <c r="I573" s="112">
        <v>17280100</v>
      </c>
      <c r="J573" s="113" t="s">
        <v>1281</v>
      </c>
      <c r="K573" s="113" t="s">
        <v>1282</v>
      </c>
      <c r="L573" s="110"/>
      <c r="M573" s="113" t="s">
        <v>2878</v>
      </c>
      <c r="N573" s="113"/>
      <c r="O573" s="113" t="s">
        <v>2878</v>
      </c>
      <c r="P573" s="163" t="s">
        <v>2880</v>
      </c>
    </row>
    <row r="574" spans="2:16" s="153" customFormat="1" ht="45" x14ac:dyDescent="0.25">
      <c r="B574" s="130" t="str">
        <f t="shared" si="42"/>
        <v>1</v>
      </c>
      <c r="C574" s="130" t="str">
        <f t="shared" si="43"/>
        <v>7</v>
      </c>
      <c r="D574" s="130" t="str">
        <f t="shared" si="44"/>
        <v>2</v>
      </c>
      <c r="E574" s="130" t="str">
        <f t="shared" si="45"/>
        <v>8</v>
      </c>
      <c r="F574" s="130" t="str">
        <f t="shared" si="46"/>
        <v>01</v>
      </c>
      <c r="G574" s="130" t="str">
        <f t="shared" si="47"/>
        <v>1</v>
      </c>
      <c r="H574" s="130" t="str">
        <f t="shared" si="48"/>
        <v>0</v>
      </c>
      <c r="I574" s="129">
        <v>17280110</v>
      </c>
      <c r="J574" s="130" t="s">
        <v>1283</v>
      </c>
      <c r="K574" s="130" t="s">
        <v>1284</v>
      </c>
      <c r="L574" s="116"/>
      <c r="M574" s="130"/>
      <c r="N574" s="130"/>
      <c r="O574" s="130" t="s">
        <v>2878</v>
      </c>
      <c r="P574" s="152" t="s">
        <v>2880</v>
      </c>
    </row>
    <row r="575" spans="2:16" s="153" customFormat="1" ht="45" x14ac:dyDescent="0.25">
      <c r="B575" s="130" t="str">
        <f t="shared" si="42"/>
        <v>1</v>
      </c>
      <c r="C575" s="130" t="str">
        <f t="shared" si="43"/>
        <v>7</v>
      </c>
      <c r="D575" s="130" t="str">
        <f t="shared" si="44"/>
        <v>2</v>
      </c>
      <c r="E575" s="130" t="str">
        <f t="shared" si="45"/>
        <v>8</v>
      </c>
      <c r="F575" s="130" t="str">
        <f t="shared" si="46"/>
        <v>01</v>
      </c>
      <c r="G575" s="130" t="str">
        <f t="shared" si="47"/>
        <v>2</v>
      </c>
      <c r="H575" s="130" t="str">
        <f t="shared" si="48"/>
        <v>0</v>
      </c>
      <c r="I575" s="129">
        <v>17280120</v>
      </c>
      <c r="J575" s="130" t="s">
        <v>1285</v>
      </c>
      <c r="K575" s="130" t="s">
        <v>1286</v>
      </c>
      <c r="L575" s="116"/>
      <c r="M575" s="130"/>
      <c r="N575" s="130"/>
      <c r="O575" s="130" t="s">
        <v>2878</v>
      </c>
      <c r="P575" s="152" t="s">
        <v>2880</v>
      </c>
    </row>
    <row r="576" spans="2:16" s="153" customFormat="1" ht="45" x14ac:dyDescent="0.25">
      <c r="B576" s="130" t="str">
        <f t="shared" si="42"/>
        <v>1</v>
      </c>
      <c r="C576" s="130" t="str">
        <f t="shared" si="43"/>
        <v>7</v>
      </c>
      <c r="D576" s="130" t="str">
        <f t="shared" si="44"/>
        <v>2</v>
      </c>
      <c r="E576" s="130" t="str">
        <f t="shared" si="45"/>
        <v>8</v>
      </c>
      <c r="F576" s="130" t="str">
        <f t="shared" si="46"/>
        <v>01</v>
      </c>
      <c r="G576" s="130" t="str">
        <f t="shared" si="47"/>
        <v>3</v>
      </c>
      <c r="H576" s="130" t="str">
        <f t="shared" si="48"/>
        <v>0</v>
      </c>
      <c r="I576" s="129">
        <v>17280130</v>
      </c>
      <c r="J576" s="130" t="s">
        <v>1289</v>
      </c>
      <c r="K576" s="130" t="s">
        <v>1290</v>
      </c>
      <c r="L576" s="116"/>
      <c r="M576" s="130"/>
      <c r="N576" s="130"/>
      <c r="O576" s="130" t="s">
        <v>2878</v>
      </c>
      <c r="P576" s="152" t="s">
        <v>2880</v>
      </c>
    </row>
    <row r="577" spans="2:16" s="153" customFormat="1" ht="45" x14ac:dyDescent="0.25">
      <c r="B577" s="130" t="str">
        <f t="shared" si="42"/>
        <v>1</v>
      </c>
      <c r="C577" s="130" t="str">
        <f t="shared" si="43"/>
        <v>7</v>
      </c>
      <c r="D577" s="130" t="str">
        <f t="shared" si="44"/>
        <v>2</v>
      </c>
      <c r="E577" s="130" t="str">
        <f t="shared" si="45"/>
        <v>8</v>
      </c>
      <c r="F577" s="130" t="str">
        <f t="shared" si="46"/>
        <v>01</v>
      </c>
      <c r="G577" s="130" t="str">
        <f t="shared" si="47"/>
        <v>4</v>
      </c>
      <c r="H577" s="130" t="str">
        <f t="shared" si="48"/>
        <v>0</v>
      </c>
      <c r="I577" s="129">
        <v>17280140</v>
      </c>
      <c r="J577" s="130" t="s">
        <v>1236</v>
      </c>
      <c r="K577" s="130" t="s">
        <v>1291</v>
      </c>
      <c r="L577" s="116"/>
      <c r="M577" s="130"/>
      <c r="N577" s="130"/>
      <c r="O577" s="130" t="s">
        <v>2878</v>
      </c>
      <c r="P577" s="152" t="s">
        <v>2880</v>
      </c>
    </row>
    <row r="578" spans="2:16" s="153" customFormat="1" ht="30" x14ac:dyDescent="0.25">
      <c r="B578" s="130" t="str">
        <f t="shared" si="42"/>
        <v>1</v>
      </c>
      <c r="C578" s="130" t="str">
        <f t="shared" si="43"/>
        <v>7</v>
      </c>
      <c r="D578" s="130" t="str">
        <f t="shared" si="44"/>
        <v>2</v>
      </c>
      <c r="E578" s="130" t="str">
        <f t="shared" si="45"/>
        <v>8</v>
      </c>
      <c r="F578" s="130" t="str">
        <f t="shared" si="46"/>
        <v>01</v>
      </c>
      <c r="G578" s="130" t="str">
        <f t="shared" si="47"/>
        <v>5</v>
      </c>
      <c r="H578" s="130" t="str">
        <f t="shared" si="48"/>
        <v>0</v>
      </c>
      <c r="I578" s="129">
        <v>17280150</v>
      </c>
      <c r="J578" s="130" t="s">
        <v>1292</v>
      </c>
      <c r="K578" s="130" t="s">
        <v>1293</v>
      </c>
      <c r="L578" s="116"/>
      <c r="M578" s="130"/>
      <c r="N578" s="130"/>
      <c r="O578" s="130" t="s">
        <v>2878</v>
      </c>
      <c r="P578" s="152" t="s">
        <v>2880</v>
      </c>
    </row>
    <row r="579" spans="2:16" s="153" customFormat="1" ht="30" x14ac:dyDescent="0.25">
      <c r="B579" s="130" t="str">
        <f t="shared" si="42"/>
        <v>1</v>
      </c>
      <c r="C579" s="130" t="str">
        <f t="shared" si="43"/>
        <v>7</v>
      </c>
      <c r="D579" s="130" t="str">
        <f t="shared" si="44"/>
        <v>2</v>
      </c>
      <c r="E579" s="130" t="str">
        <f t="shared" si="45"/>
        <v>8</v>
      </c>
      <c r="F579" s="130" t="str">
        <f t="shared" si="46"/>
        <v>01</v>
      </c>
      <c r="G579" s="130" t="str">
        <f t="shared" si="47"/>
        <v>9</v>
      </c>
      <c r="H579" s="130" t="str">
        <f t="shared" si="48"/>
        <v>0</v>
      </c>
      <c r="I579" s="129">
        <v>17280190</v>
      </c>
      <c r="J579" s="130" t="s">
        <v>1294</v>
      </c>
      <c r="K579" s="130" t="s">
        <v>1295</v>
      </c>
      <c r="L579" s="116"/>
      <c r="M579" s="130"/>
      <c r="N579" s="130"/>
      <c r="O579" s="130" t="s">
        <v>2878</v>
      </c>
      <c r="P579" s="152" t="s">
        <v>2880</v>
      </c>
    </row>
    <row r="580" spans="2:16" s="153" customFormat="1" ht="30" x14ac:dyDescent="0.25">
      <c r="B580" s="113" t="str">
        <f t="shared" si="42"/>
        <v>1</v>
      </c>
      <c r="C580" s="113" t="str">
        <f t="shared" si="43"/>
        <v>7</v>
      </c>
      <c r="D580" s="113" t="str">
        <f t="shared" si="44"/>
        <v>2</v>
      </c>
      <c r="E580" s="113" t="str">
        <f t="shared" si="45"/>
        <v>8</v>
      </c>
      <c r="F580" s="113" t="str">
        <f t="shared" si="46"/>
        <v>02</v>
      </c>
      <c r="G580" s="113" t="str">
        <f t="shared" si="47"/>
        <v>0</v>
      </c>
      <c r="H580" s="113" t="str">
        <f t="shared" si="48"/>
        <v>0</v>
      </c>
      <c r="I580" s="112">
        <v>17280200</v>
      </c>
      <c r="J580" s="113" t="s">
        <v>1296</v>
      </c>
      <c r="K580" s="113" t="s">
        <v>1297</v>
      </c>
      <c r="L580" s="110"/>
      <c r="M580" s="113"/>
      <c r="N580" s="113"/>
      <c r="O580" s="113" t="s">
        <v>2878</v>
      </c>
      <c r="P580" s="163" t="s">
        <v>2880</v>
      </c>
    </row>
    <row r="581" spans="2:16" s="153" customFormat="1" ht="30" x14ac:dyDescent="0.25">
      <c r="B581" s="130" t="str">
        <f t="shared" si="42"/>
        <v>1</v>
      </c>
      <c r="C581" s="130" t="str">
        <f t="shared" si="43"/>
        <v>7</v>
      </c>
      <c r="D581" s="130" t="str">
        <f t="shared" si="44"/>
        <v>2</v>
      </c>
      <c r="E581" s="130" t="str">
        <f t="shared" si="45"/>
        <v>8</v>
      </c>
      <c r="F581" s="130" t="str">
        <f t="shared" si="46"/>
        <v>02</v>
      </c>
      <c r="G581" s="130" t="str">
        <f t="shared" si="47"/>
        <v>1</v>
      </c>
      <c r="H581" s="130" t="str">
        <f t="shared" si="48"/>
        <v>0</v>
      </c>
      <c r="I581" s="129">
        <v>17280210</v>
      </c>
      <c r="J581" s="130" t="s">
        <v>1242</v>
      </c>
      <c r="K581" s="130" t="s">
        <v>1298</v>
      </c>
      <c r="L581" s="116"/>
      <c r="M581" s="130"/>
      <c r="N581" s="130"/>
      <c r="O581" s="130" t="s">
        <v>2878</v>
      </c>
      <c r="P581" s="152" t="s">
        <v>2880</v>
      </c>
    </row>
    <row r="582" spans="2:16" s="153" customFormat="1" ht="30" x14ac:dyDescent="0.25">
      <c r="B582" s="130" t="str">
        <f t="shared" si="42"/>
        <v>1</v>
      </c>
      <c r="C582" s="130" t="str">
        <f t="shared" si="43"/>
        <v>7</v>
      </c>
      <c r="D582" s="130" t="str">
        <f t="shared" si="44"/>
        <v>2</v>
      </c>
      <c r="E582" s="130" t="str">
        <f t="shared" si="45"/>
        <v>8</v>
      </c>
      <c r="F582" s="130" t="str">
        <f t="shared" si="46"/>
        <v>02</v>
      </c>
      <c r="G582" s="130" t="str">
        <f t="shared" si="47"/>
        <v>2</v>
      </c>
      <c r="H582" s="130" t="str">
        <f t="shared" si="48"/>
        <v>0</v>
      </c>
      <c r="I582" s="129">
        <v>17280220</v>
      </c>
      <c r="J582" s="130" t="s">
        <v>1244</v>
      </c>
      <c r="K582" s="130" t="s">
        <v>1299</v>
      </c>
      <c r="L582" s="116"/>
      <c r="M582" s="130"/>
      <c r="N582" s="130"/>
      <c r="O582" s="130" t="s">
        <v>2878</v>
      </c>
      <c r="P582" s="152" t="s">
        <v>2880</v>
      </c>
    </row>
    <row r="583" spans="2:16" s="153" customFormat="1" ht="30" x14ac:dyDescent="0.25">
      <c r="B583" s="130" t="str">
        <f t="shared" si="42"/>
        <v>1</v>
      </c>
      <c r="C583" s="130" t="str">
        <f t="shared" si="43"/>
        <v>7</v>
      </c>
      <c r="D583" s="130" t="str">
        <f t="shared" si="44"/>
        <v>2</v>
      </c>
      <c r="E583" s="130" t="str">
        <f t="shared" si="45"/>
        <v>8</v>
      </c>
      <c r="F583" s="130" t="str">
        <f t="shared" si="46"/>
        <v>02</v>
      </c>
      <c r="G583" s="130" t="str">
        <f t="shared" si="47"/>
        <v>3</v>
      </c>
      <c r="H583" s="130" t="str">
        <f t="shared" si="48"/>
        <v>0</v>
      </c>
      <c r="I583" s="129">
        <v>17280230</v>
      </c>
      <c r="J583" s="130" t="s">
        <v>1300</v>
      </c>
      <c r="K583" s="130" t="s">
        <v>1301</v>
      </c>
      <c r="L583" s="116"/>
      <c r="M583" s="130"/>
      <c r="N583" s="130"/>
      <c r="O583" s="130" t="s">
        <v>2878</v>
      </c>
      <c r="P583" s="152" t="s">
        <v>2880</v>
      </c>
    </row>
    <row r="584" spans="2:16" s="153" customFormat="1" ht="30" x14ac:dyDescent="0.25">
      <c r="B584" s="130" t="str">
        <f t="shared" si="42"/>
        <v>1</v>
      </c>
      <c r="C584" s="130" t="str">
        <f t="shared" si="43"/>
        <v>7</v>
      </c>
      <c r="D584" s="130" t="str">
        <f t="shared" si="44"/>
        <v>2</v>
      </c>
      <c r="E584" s="130" t="str">
        <f t="shared" si="45"/>
        <v>8</v>
      </c>
      <c r="F584" s="130" t="str">
        <f t="shared" si="46"/>
        <v>02</v>
      </c>
      <c r="G584" s="130" t="str">
        <f t="shared" si="47"/>
        <v>9</v>
      </c>
      <c r="H584" s="130" t="str">
        <f t="shared" si="48"/>
        <v>0</v>
      </c>
      <c r="I584" s="129">
        <v>17280290</v>
      </c>
      <c r="J584" s="130" t="s">
        <v>1302</v>
      </c>
      <c r="K584" s="130" t="s">
        <v>1303</v>
      </c>
      <c r="L584" s="116"/>
      <c r="M584" s="130"/>
      <c r="N584" s="130"/>
      <c r="O584" s="130" t="s">
        <v>2878</v>
      </c>
      <c r="P584" s="152" t="s">
        <v>2880</v>
      </c>
    </row>
    <row r="585" spans="2:16" s="153" customFormat="1" ht="90" x14ac:dyDescent="0.25">
      <c r="B585" s="113" t="str">
        <f t="shared" si="42"/>
        <v>1</v>
      </c>
      <c r="C585" s="113" t="str">
        <f t="shared" si="43"/>
        <v>7</v>
      </c>
      <c r="D585" s="113" t="str">
        <f t="shared" si="44"/>
        <v>2</v>
      </c>
      <c r="E585" s="113" t="str">
        <f t="shared" si="45"/>
        <v>8</v>
      </c>
      <c r="F585" s="113" t="str">
        <f t="shared" si="46"/>
        <v>03</v>
      </c>
      <c r="G585" s="113" t="str">
        <f t="shared" si="47"/>
        <v>0</v>
      </c>
      <c r="H585" s="113" t="str">
        <f t="shared" si="48"/>
        <v>0</v>
      </c>
      <c r="I585" s="112">
        <v>17280300</v>
      </c>
      <c r="J585" s="113" t="s">
        <v>1304</v>
      </c>
      <c r="K585" s="113" t="s">
        <v>1305</v>
      </c>
      <c r="L585" s="110"/>
      <c r="M585" s="113"/>
      <c r="N585" s="113"/>
      <c r="O585" s="113" t="s">
        <v>2878</v>
      </c>
      <c r="P585" s="163" t="s">
        <v>2880</v>
      </c>
    </row>
    <row r="586" spans="2:16" s="153" customFormat="1" ht="90" x14ac:dyDescent="0.25">
      <c r="B586" s="130" t="str">
        <f t="shared" si="42"/>
        <v>1</v>
      </c>
      <c r="C586" s="130" t="str">
        <f t="shared" si="43"/>
        <v>7</v>
      </c>
      <c r="D586" s="130" t="str">
        <f t="shared" si="44"/>
        <v>2</v>
      </c>
      <c r="E586" s="130" t="str">
        <f t="shared" si="45"/>
        <v>8</v>
      </c>
      <c r="F586" s="130" t="str">
        <f t="shared" si="46"/>
        <v>03</v>
      </c>
      <c r="G586" s="130" t="str">
        <f t="shared" si="47"/>
        <v>1</v>
      </c>
      <c r="H586" s="130" t="str">
        <f t="shared" si="48"/>
        <v>0</v>
      </c>
      <c r="I586" s="129">
        <v>17280310</v>
      </c>
      <c r="J586" s="130" t="s">
        <v>1304</v>
      </c>
      <c r="K586" s="130" t="s">
        <v>1305</v>
      </c>
      <c r="L586" s="116"/>
      <c r="M586" s="130"/>
      <c r="N586" s="130"/>
      <c r="O586" s="130" t="s">
        <v>2878</v>
      </c>
      <c r="P586" s="152" t="s">
        <v>2880</v>
      </c>
    </row>
    <row r="587" spans="2:16" s="153" customFormat="1" ht="30" x14ac:dyDescent="0.25">
      <c r="B587" s="113" t="str">
        <f t="shared" si="42"/>
        <v>1</v>
      </c>
      <c r="C587" s="113" t="str">
        <f t="shared" si="43"/>
        <v>7</v>
      </c>
      <c r="D587" s="113" t="str">
        <f t="shared" si="44"/>
        <v>2</v>
      </c>
      <c r="E587" s="113" t="str">
        <f t="shared" si="45"/>
        <v>8</v>
      </c>
      <c r="F587" s="113" t="str">
        <f t="shared" si="46"/>
        <v>04</v>
      </c>
      <c r="G587" s="113" t="str">
        <f t="shared" si="47"/>
        <v>0</v>
      </c>
      <c r="H587" s="113" t="str">
        <f t="shared" si="48"/>
        <v>0</v>
      </c>
      <c r="I587" s="112">
        <v>17280400</v>
      </c>
      <c r="J587" s="113" t="s">
        <v>1307</v>
      </c>
      <c r="K587" s="113" t="s">
        <v>1306</v>
      </c>
      <c r="L587" s="110"/>
      <c r="M587" s="113"/>
      <c r="N587" s="113"/>
      <c r="O587" s="113" t="s">
        <v>2878</v>
      </c>
      <c r="P587" s="163" t="s">
        <v>2880</v>
      </c>
    </row>
    <row r="588" spans="2:16" s="153" customFormat="1" ht="30" x14ac:dyDescent="0.25">
      <c r="B588" s="130" t="str">
        <f t="shared" si="42"/>
        <v>1</v>
      </c>
      <c r="C588" s="130" t="str">
        <f t="shared" si="43"/>
        <v>7</v>
      </c>
      <c r="D588" s="130" t="str">
        <f t="shared" si="44"/>
        <v>2</v>
      </c>
      <c r="E588" s="130" t="str">
        <f t="shared" si="45"/>
        <v>8</v>
      </c>
      <c r="F588" s="130" t="str">
        <f t="shared" si="46"/>
        <v>04</v>
      </c>
      <c r="G588" s="130" t="str">
        <f t="shared" si="47"/>
        <v>1</v>
      </c>
      <c r="H588" s="130" t="str">
        <f t="shared" si="48"/>
        <v>0</v>
      </c>
      <c r="I588" s="129">
        <v>17280410</v>
      </c>
      <c r="J588" s="130" t="s">
        <v>1307</v>
      </c>
      <c r="K588" s="130" t="s">
        <v>1306</v>
      </c>
      <c r="L588" s="116"/>
      <c r="M588" s="130"/>
      <c r="N588" s="130"/>
      <c r="O588" s="130" t="s">
        <v>2878</v>
      </c>
      <c r="P588" s="152" t="s">
        <v>2880</v>
      </c>
    </row>
    <row r="589" spans="2:16" s="153" customFormat="1" ht="30" x14ac:dyDescent="0.25">
      <c r="B589" s="113" t="str">
        <f t="shared" si="42"/>
        <v>1</v>
      </c>
      <c r="C589" s="113" t="str">
        <f t="shared" si="43"/>
        <v>7</v>
      </c>
      <c r="D589" s="113" t="str">
        <f t="shared" si="44"/>
        <v>2</v>
      </c>
      <c r="E589" s="113" t="str">
        <f t="shared" si="45"/>
        <v>8</v>
      </c>
      <c r="F589" s="113" t="str">
        <f t="shared" si="46"/>
        <v>07</v>
      </c>
      <c r="G589" s="113" t="str">
        <f t="shared" si="47"/>
        <v>0</v>
      </c>
      <c r="H589" s="113" t="str">
        <f t="shared" si="48"/>
        <v>0</v>
      </c>
      <c r="I589" s="112">
        <v>17280700</v>
      </c>
      <c r="J589" s="113" t="s">
        <v>5114</v>
      </c>
      <c r="K589" s="113" t="s">
        <v>5115</v>
      </c>
      <c r="L589" s="110"/>
      <c r="M589" s="113"/>
      <c r="N589" s="113"/>
      <c r="O589" s="113" t="s">
        <v>2878</v>
      </c>
      <c r="P589" s="163" t="s">
        <v>2880</v>
      </c>
    </row>
    <row r="590" spans="2:16" s="153" customFormat="1" ht="30" x14ac:dyDescent="0.25">
      <c r="B590" s="130" t="str">
        <f t="shared" si="42"/>
        <v>1</v>
      </c>
      <c r="C590" s="130" t="str">
        <f t="shared" si="43"/>
        <v>7</v>
      </c>
      <c r="D590" s="130" t="str">
        <f t="shared" si="44"/>
        <v>2</v>
      </c>
      <c r="E590" s="130" t="str">
        <f t="shared" si="45"/>
        <v>8</v>
      </c>
      <c r="F590" s="130" t="str">
        <f t="shared" si="46"/>
        <v>07</v>
      </c>
      <c r="G590" s="130" t="str">
        <f t="shared" si="47"/>
        <v>1</v>
      </c>
      <c r="H590" s="130" t="str">
        <f t="shared" si="48"/>
        <v>0</v>
      </c>
      <c r="I590" s="129">
        <v>17280710</v>
      </c>
      <c r="J590" s="130" t="s">
        <v>5114</v>
      </c>
      <c r="K590" s="130" t="s">
        <v>5115</v>
      </c>
      <c r="L590" s="116"/>
      <c r="M590" s="130"/>
      <c r="N590" s="130"/>
      <c r="O590" s="130" t="s">
        <v>2878</v>
      </c>
      <c r="P590" s="152" t="s">
        <v>2880</v>
      </c>
    </row>
    <row r="591" spans="2:16" s="153" customFormat="1" ht="60" x14ac:dyDescent="0.25">
      <c r="B591" s="113" t="str">
        <f t="shared" si="42"/>
        <v>1</v>
      </c>
      <c r="C591" s="113" t="str">
        <f t="shared" si="43"/>
        <v>7</v>
      </c>
      <c r="D591" s="113" t="str">
        <f t="shared" si="44"/>
        <v>2</v>
      </c>
      <c r="E591" s="113" t="str">
        <f t="shared" si="45"/>
        <v>8</v>
      </c>
      <c r="F591" s="113" t="str">
        <f t="shared" si="46"/>
        <v>10</v>
      </c>
      <c r="G591" s="113" t="str">
        <f t="shared" si="47"/>
        <v>0</v>
      </c>
      <c r="H591" s="113" t="str">
        <f t="shared" si="48"/>
        <v>0</v>
      </c>
      <c r="I591" s="112">
        <v>17281000</v>
      </c>
      <c r="J591" s="113" t="s">
        <v>1348</v>
      </c>
      <c r="K591" s="113" t="s">
        <v>1349</v>
      </c>
      <c r="L591" s="110"/>
      <c r="M591" s="113"/>
      <c r="N591" s="113"/>
      <c r="O591" s="113" t="s">
        <v>2878</v>
      </c>
      <c r="P591" s="163" t="s">
        <v>2880</v>
      </c>
    </row>
    <row r="592" spans="2:16" s="153" customFormat="1" ht="60" x14ac:dyDescent="0.25">
      <c r="B592" s="130" t="str">
        <f t="shared" si="42"/>
        <v>1</v>
      </c>
      <c r="C592" s="130" t="str">
        <f t="shared" si="43"/>
        <v>7</v>
      </c>
      <c r="D592" s="130" t="str">
        <f t="shared" si="44"/>
        <v>2</v>
      </c>
      <c r="E592" s="130" t="str">
        <f t="shared" si="45"/>
        <v>8</v>
      </c>
      <c r="F592" s="130" t="str">
        <f t="shared" si="46"/>
        <v>10</v>
      </c>
      <c r="G592" s="130" t="str">
        <f t="shared" si="47"/>
        <v>1</v>
      </c>
      <c r="H592" s="130" t="str">
        <f t="shared" si="48"/>
        <v>0</v>
      </c>
      <c r="I592" s="129">
        <v>17281010</v>
      </c>
      <c r="J592" s="130" t="s">
        <v>1350</v>
      </c>
      <c r="K592" s="130" t="s">
        <v>1351</v>
      </c>
      <c r="L592" s="116"/>
      <c r="M592" s="130"/>
      <c r="N592" s="130"/>
      <c r="O592" s="130" t="s">
        <v>2878</v>
      </c>
      <c r="P592" s="152" t="s">
        <v>2880</v>
      </c>
    </row>
    <row r="593" spans="2:16" s="153" customFormat="1" ht="60" x14ac:dyDescent="0.25">
      <c r="B593" s="130" t="str">
        <f t="shared" si="42"/>
        <v>1</v>
      </c>
      <c r="C593" s="130" t="str">
        <f t="shared" si="43"/>
        <v>7</v>
      </c>
      <c r="D593" s="130" t="str">
        <f t="shared" si="44"/>
        <v>2</v>
      </c>
      <c r="E593" s="130" t="str">
        <f t="shared" si="45"/>
        <v>8</v>
      </c>
      <c r="F593" s="130" t="str">
        <f t="shared" si="46"/>
        <v>10</v>
      </c>
      <c r="G593" s="130" t="str">
        <f t="shared" si="47"/>
        <v>2</v>
      </c>
      <c r="H593" s="130" t="str">
        <f t="shared" si="48"/>
        <v>0</v>
      </c>
      <c r="I593" s="129">
        <v>17281020</v>
      </c>
      <c r="J593" s="130" t="s">
        <v>1352</v>
      </c>
      <c r="K593" s="130" t="s">
        <v>1353</v>
      </c>
      <c r="L593" s="116"/>
      <c r="M593" s="130"/>
      <c r="N593" s="130"/>
      <c r="O593" s="130" t="s">
        <v>2878</v>
      </c>
      <c r="P593" s="152" t="s">
        <v>2880</v>
      </c>
    </row>
    <row r="594" spans="2:16" s="153" customFormat="1" ht="75" x14ac:dyDescent="0.25">
      <c r="B594" s="130" t="str">
        <f t="shared" si="42"/>
        <v>1</v>
      </c>
      <c r="C594" s="130" t="str">
        <f t="shared" si="43"/>
        <v>7</v>
      </c>
      <c r="D594" s="130" t="str">
        <f t="shared" si="44"/>
        <v>2</v>
      </c>
      <c r="E594" s="130" t="str">
        <f t="shared" si="45"/>
        <v>8</v>
      </c>
      <c r="F594" s="130" t="str">
        <f t="shared" si="46"/>
        <v>10</v>
      </c>
      <c r="G594" s="130" t="str">
        <f t="shared" si="47"/>
        <v>9</v>
      </c>
      <c r="H594" s="130" t="str">
        <f t="shared" si="48"/>
        <v>0</v>
      </c>
      <c r="I594" s="129">
        <v>17281090</v>
      </c>
      <c r="J594" s="130" t="s">
        <v>1354</v>
      </c>
      <c r="K594" s="130" t="s">
        <v>1355</v>
      </c>
      <c r="L594" s="116"/>
      <c r="M594" s="130"/>
      <c r="N594" s="130"/>
      <c r="O594" s="130" t="s">
        <v>2878</v>
      </c>
      <c r="P594" s="152" t="s">
        <v>2880</v>
      </c>
    </row>
    <row r="595" spans="2:16" s="153" customFormat="1" ht="45" x14ac:dyDescent="0.25">
      <c r="B595" s="113" t="str">
        <f t="shared" si="42"/>
        <v>1</v>
      </c>
      <c r="C595" s="113" t="str">
        <f t="shared" si="43"/>
        <v>7</v>
      </c>
      <c r="D595" s="113" t="str">
        <f t="shared" si="44"/>
        <v>2</v>
      </c>
      <c r="E595" s="113" t="str">
        <f t="shared" si="45"/>
        <v>8</v>
      </c>
      <c r="F595" s="113" t="str">
        <f t="shared" si="46"/>
        <v>99</v>
      </c>
      <c r="G595" s="113" t="str">
        <f t="shared" si="47"/>
        <v>0</v>
      </c>
      <c r="H595" s="113" t="str">
        <f t="shared" si="48"/>
        <v>0</v>
      </c>
      <c r="I595" s="112">
        <v>17289900</v>
      </c>
      <c r="J595" s="113" t="s">
        <v>1294</v>
      </c>
      <c r="K595" s="113" t="s">
        <v>1308</v>
      </c>
      <c r="L595" s="110"/>
      <c r="M595" s="113"/>
      <c r="N595" s="113"/>
      <c r="O595" s="113" t="s">
        <v>2878</v>
      </c>
      <c r="P595" s="163" t="s">
        <v>2880</v>
      </c>
    </row>
    <row r="596" spans="2:16" s="153" customFormat="1" ht="45" x14ac:dyDescent="0.25">
      <c r="B596" s="130" t="str">
        <f t="shared" si="42"/>
        <v>1</v>
      </c>
      <c r="C596" s="130" t="str">
        <f t="shared" si="43"/>
        <v>7</v>
      </c>
      <c r="D596" s="130" t="str">
        <f t="shared" si="44"/>
        <v>2</v>
      </c>
      <c r="E596" s="130" t="str">
        <f t="shared" si="45"/>
        <v>8</v>
      </c>
      <c r="F596" s="130" t="str">
        <f t="shared" si="46"/>
        <v>99</v>
      </c>
      <c r="G596" s="130" t="str">
        <f t="shared" si="47"/>
        <v>1</v>
      </c>
      <c r="H596" s="130" t="str">
        <f t="shared" si="48"/>
        <v>0</v>
      </c>
      <c r="I596" s="129">
        <v>17289910</v>
      </c>
      <c r="J596" s="130" t="s">
        <v>1294</v>
      </c>
      <c r="K596" s="130" t="s">
        <v>1308</v>
      </c>
      <c r="L596" s="116"/>
      <c r="M596" s="130"/>
      <c r="N596" s="130"/>
      <c r="O596" s="130" t="s">
        <v>2878</v>
      </c>
      <c r="P596" s="152" t="s">
        <v>2880</v>
      </c>
    </row>
    <row r="597" spans="2:16" ht="60" hidden="1" x14ac:dyDescent="0.25">
      <c r="B597" s="126" t="str">
        <f t="shared" si="42"/>
        <v>1</v>
      </c>
      <c r="C597" s="126" t="str">
        <f t="shared" si="43"/>
        <v>7</v>
      </c>
      <c r="D597" s="126" t="str">
        <f t="shared" si="44"/>
        <v>3</v>
      </c>
      <c r="E597" s="126" t="str">
        <f t="shared" si="45"/>
        <v>0</v>
      </c>
      <c r="F597" s="126" t="str">
        <f t="shared" si="46"/>
        <v>00</v>
      </c>
      <c r="G597" s="126" t="str">
        <f t="shared" si="47"/>
        <v>0</v>
      </c>
      <c r="H597" s="126" t="str">
        <f t="shared" si="48"/>
        <v>0</v>
      </c>
      <c r="I597" s="127">
        <v>17300000</v>
      </c>
      <c r="J597" s="126" t="s">
        <v>4200</v>
      </c>
      <c r="K597" s="126" t="s">
        <v>4201</v>
      </c>
      <c r="L597" s="122"/>
      <c r="M597" s="126" t="s">
        <v>2878</v>
      </c>
      <c r="N597" s="126" t="s">
        <v>5016</v>
      </c>
      <c r="O597" s="126" t="s">
        <v>2878</v>
      </c>
      <c r="P597" s="128" t="s">
        <v>2880</v>
      </c>
    </row>
    <row r="598" spans="2:16" ht="60" hidden="1" x14ac:dyDescent="0.25">
      <c r="B598" s="114" t="str">
        <f t="shared" si="42"/>
        <v>1</v>
      </c>
      <c r="C598" s="114" t="str">
        <f t="shared" si="43"/>
        <v>7</v>
      </c>
      <c r="D598" s="114" t="str">
        <f t="shared" si="44"/>
        <v>3</v>
      </c>
      <c r="E598" s="114" t="str">
        <f t="shared" si="45"/>
        <v>0</v>
      </c>
      <c r="F598" s="114" t="str">
        <f t="shared" si="46"/>
        <v>00</v>
      </c>
      <c r="G598" s="114" t="str">
        <f t="shared" si="47"/>
        <v>1</v>
      </c>
      <c r="H598" s="114" t="str">
        <f t="shared" si="48"/>
        <v>0</v>
      </c>
      <c r="I598" s="115">
        <v>17300010</v>
      </c>
      <c r="J598" s="114" t="s">
        <v>4200</v>
      </c>
      <c r="K598" s="114" t="s">
        <v>4201</v>
      </c>
      <c r="L598" s="116"/>
      <c r="M598" s="114" t="s">
        <v>2878</v>
      </c>
      <c r="N598" s="114"/>
      <c r="O598" s="114" t="s">
        <v>2878</v>
      </c>
      <c r="P598" s="117" t="s">
        <v>2880</v>
      </c>
    </row>
    <row r="599" spans="2:16" s="153" customFormat="1" ht="60" x14ac:dyDescent="0.25">
      <c r="B599" s="155" t="str">
        <f t="shared" si="42"/>
        <v>1</v>
      </c>
      <c r="C599" s="155" t="str">
        <f t="shared" si="43"/>
        <v>7</v>
      </c>
      <c r="D599" s="155" t="str">
        <f t="shared" si="44"/>
        <v>3</v>
      </c>
      <c r="E599" s="155" t="str">
        <f t="shared" si="45"/>
        <v>8</v>
      </c>
      <c r="F599" s="155" t="str">
        <f t="shared" si="46"/>
        <v>00</v>
      </c>
      <c r="G599" s="155" t="str">
        <f t="shared" si="47"/>
        <v>0</v>
      </c>
      <c r="H599" s="155" t="str">
        <f t="shared" si="48"/>
        <v>0</v>
      </c>
      <c r="I599" s="161">
        <v>17380000</v>
      </c>
      <c r="J599" s="155" t="s">
        <v>5024</v>
      </c>
      <c r="K599" s="155" t="s">
        <v>5033</v>
      </c>
      <c r="L599" s="106"/>
      <c r="M599" s="155" t="s">
        <v>2878</v>
      </c>
      <c r="N599" s="155"/>
      <c r="O599" s="155" t="s">
        <v>5018</v>
      </c>
      <c r="P599" s="162" t="s">
        <v>2880</v>
      </c>
    </row>
    <row r="600" spans="2:16" s="153" customFormat="1" ht="45" x14ac:dyDescent="0.25">
      <c r="B600" s="113" t="str">
        <f t="shared" si="42"/>
        <v>1</v>
      </c>
      <c r="C600" s="113" t="str">
        <f t="shared" si="43"/>
        <v>7</v>
      </c>
      <c r="D600" s="113" t="str">
        <f t="shared" si="44"/>
        <v>3</v>
      </c>
      <c r="E600" s="113" t="str">
        <f t="shared" si="45"/>
        <v>8</v>
      </c>
      <c r="F600" s="113" t="str">
        <f t="shared" si="46"/>
        <v>01</v>
      </c>
      <c r="G600" s="113" t="str">
        <f t="shared" si="47"/>
        <v>0</v>
      </c>
      <c r="H600" s="113" t="str">
        <f t="shared" si="48"/>
        <v>0</v>
      </c>
      <c r="I600" s="112">
        <v>17380100</v>
      </c>
      <c r="J600" s="113" t="s">
        <v>1311</v>
      </c>
      <c r="K600" s="113" t="s">
        <v>1312</v>
      </c>
      <c r="L600" s="110"/>
      <c r="M600" s="113"/>
      <c r="N600" s="113"/>
      <c r="O600" s="113" t="s">
        <v>2878</v>
      </c>
      <c r="P600" s="163" t="s">
        <v>2880</v>
      </c>
    </row>
    <row r="601" spans="2:16" s="153" customFormat="1" ht="45" x14ac:dyDescent="0.25">
      <c r="B601" s="130" t="str">
        <f t="shared" si="42"/>
        <v>1</v>
      </c>
      <c r="C601" s="130" t="str">
        <f t="shared" si="43"/>
        <v>7</v>
      </c>
      <c r="D601" s="130" t="str">
        <f t="shared" si="44"/>
        <v>3</v>
      </c>
      <c r="E601" s="130" t="str">
        <f t="shared" si="45"/>
        <v>8</v>
      </c>
      <c r="F601" s="130" t="str">
        <f t="shared" si="46"/>
        <v>01</v>
      </c>
      <c r="G601" s="130" t="str">
        <f t="shared" si="47"/>
        <v>1</v>
      </c>
      <c r="H601" s="130" t="str">
        <f t="shared" si="48"/>
        <v>0</v>
      </c>
      <c r="I601" s="129">
        <v>17380110</v>
      </c>
      <c r="J601" s="130" t="s">
        <v>1311</v>
      </c>
      <c r="K601" s="130" t="s">
        <v>1312</v>
      </c>
      <c r="L601" s="116"/>
      <c r="M601" s="130"/>
      <c r="N601" s="130"/>
      <c r="O601" s="130" t="s">
        <v>2878</v>
      </c>
      <c r="P601" s="152" t="s">
        <v>2880</v>
      </c>
    </row>
    <row r="602" spans="2:16" s="153" customFormat="1" ht="30" x14ac:dyDescent="0.25">
      <c r="B602" s="113" t="str">
        <f t="shared" si="42"/>
        <v>1</v>
      </c>
      <c r="C602" s="113" t="str">
        <f t="shared" si="43"/>
        <v>7</v>
      </c>
      <c r="D602" s="113" t="str">
        <f t="shared" si="44"/>
        <v>3</v>
      </c>
      <c r="E602" s="113" t="str">
        <f t="shared" si="45"/>
        <v>8</v>
      </c>
      <c r="F602" s="113" t="str">
        <f t="shared" si="46"/>
        <v>02</v>
      </c>
      <c r="G602" s="113" t="str">
        <f t="shared" si="47"/>
        <v>0</v>
      </c>
      <c r="H602" s="113" t="str">
        <f t="shared" si="48"/>
        <v>0</v>
      </c>
      <c r="I602" s="112">
        <v>17380200</v>
      </c>
      <c r="J602" s="113" t="s">
        <v>1314</v>
      </c>
      <c r="K602" s="113" t="s">
        <v>1313</v>
      </c>
      <c r="L602" s="110"/>
      <c r="M602" s="113"/>
      <c r="N602" s="113"/>
      <c r="O602" s="113" t="s">
        <v>2878</v>
      </c>
      <c r="P602" s="163" t="s">
        <v>2880</v>
      </c>
    </row>
    <row r="603" spans="2:16" s="153" customFormat="1" ht="30" x14ac:dyDescent="0.25">
      <c r="B603" s="130" t="str">
        <f t="shared" si="42"/>
        <v>1</v>
      </c>
      <c r="C603" s="130" t="str">
        <f t="shared" si="43"/>
        <v>7</v>
      </c>
      <c r="D603" s="130" t="str">
        <f t="shared" si="44"/>
        <v>3</v>
      </c>
      <c r="E603" s="130" t="str">
        <f t="shared" si="45"/>
        <v>8</v>
      </c>
      <c r="F603" s="130" t="str">
        <f t="shared" si="46"/>
        <v>02</v>
      </c>
      <c r="G603" s="130" t="str">
        <f t="shared" si="47"/>
        <v>1</v>
      </c>
      <c r="H603" s="130" t="str">
        <f t="shared" si="48"/>
        <v>0</v>
      </c>
      <c r="I603" s="129">
        <v>17380210</v>
      </c>
      <c r="J603" s="130" t="s">
        <v>1314</v>
      </c>
      <c r="K603" s="130" t="s">
        <v>1313</v>
      </c>
      <c r="L603" s="116"/>
      <c r="M603" s="130"/>
      <c r="N603" s="130"/>
      <c r="O603" s="130" t="s">
        <v>2878</v>
      </c>
      <c r="P603" s="152" t="s">
        <v>2880</v>
      </c>
    </row>
    <row r="604" spans="2:16" s="153" customFormat="1" ht="60" x14ac:dyDescent="0.25">
      <c r="B604" s="113" t="str">
        <f t="shared" si="42"/>
        <v>1</v>
      </c>
      <c r="C604" s="113" t="str">
        <f t="shared" si="43"/>
        <v>7</v>
      </c>
      <c r="D604" s="113" t="str">
        <f t="shared" si="44"/>
        <v>3</v>
      </c>
      <c r="E604" s="113" t="str">
        <f t="shared" si="45"/>
        <v>8</v>
      </c>
      <c r="F604" s="113" t="str">
        <f t="shared" si="46"/>
        <v>10</v>
      </c>
      <c r="G604" s="113" t="str">
        <f t="shared" si="47"/>
        <v>0</v>
      </c>
      <c r="H604" s="113" t="str">
        <f t="shared" si="48"/>
        <v>0</v>
      </c>
      <c r="I604" s="112">
        <v>17381000</v>
      </c>
      <c r="J604" s="113" t="s">
        <v>1356</v>
      </c>
      <c r="K604" s="113" t="s">
        <v>1357</v>
      </c>
      <c r="L604" s="110"/>
      <c r="M604" s="113"/>
      <c r="N604" s="113"/>
      <c r="O604" s="113" t="s">
        <v>2878</v>
      </c>
      <c r="P604" s="163" t="s">
        <v>2880</v>
      </c>
    </row>
    <row r="605" spans="2:16" s="153" customFormat="1" ht="60" x14ac:dyDescent="0.25">
      <c r="B605" s="130" t="str">
        <f t="shared" si="42"/>
        <v>1</v>
      </c>
      <c r="C605" s="130" t="str">
        <f t="shared" si="43"/>
        <v>7</v>
      </c>
      <c r="D605" s="130" t="str">
        <f t="shared" si="44"/>
        <v>3</v>
      </c>
      <c r="E605" s="130" t="str">
        <f t="shared" si="45"/>
        <v>8</v>
      </c>
      <c r="F605" s="130" t="str">
        <f t="shared" si="46"/>
        <v>10</v>
      </c>
      <c r="G605" s="130" t="str">
        <f t="shared" si="47"/>
        <v>1</v>
      </c>
      <c r="H605" s="130" t="str">
        <f t="shared" si="48"/>
        <v>0</v>
      </c>
      <c r="I605" s="129">
        <v>17381010</v>
      </c>
      <c r="J605" s="130" t="s">
        <v>1358</v>
      </c>
      <c r="K605" s="130" t="s">
        <v>1359</v>
      </c>
      <c r="L605" s="116"/>
      <c r="M605" s="130"/>
      <c r="N605" s="130"/>
      <c r="O605" s="130" t="s">
        <v>2878</v>
      </c>
      <c r="P605" s="152" t="s">
        <v>2880</v>
      </c>
    </row>
    <row r="606" spans="2:16" s="153" customFormat="1" ht="60" x14ac:dyDescent="0.25">
      <c r="B606" s="130" t="str">
        <f t="shared" si="42"/>
        <v>1</v>
      </c>
      <c r="C606" s="130" t="str">
        <f t="shared" si="43"/>
        <v>7</v>
      </c>
      <c r="D606" s="130" t="str">
        <f t="shared" si="44"/>
        <v>3</v>
      </c>
      <c r="E606" s="130" t="str">
        <f t="shared" si="45"/>
        <v>8</v>
      </c>
      <c r="F606" s="130" t="str">
        <f t="shared" si="46"/>
        <v>10</v>
      </c>
      <c r="G606" s="130" t="str">
        <f t="shared" si="47"/>
        <v>2</v>
      </c>
      <c r="H606" s="130" t="str">
        <f t="shared" si="48"/>
        <v>0</v>
      </c>
      <c r="I606" s="129">
        <v>17381020</v>
      </c>
      <c r="J606" s="130" t="s">
        <v>1360</v>
      </c>
      <c r="K606" s="130" t="s">
        <v>1361</v>
      </c>
      <c r="L606" s="116"/>
      <c r="M606" s="130"/>
      <c r="N606" s="130"/>
      <c r="O606" s="130" t="s">
        <v>2878</v>
      </c>
      <c r="P606" s="152" t="s">
        <v>2880</v>
      </c>
    </row>
    <row r="607" spans="2:16" s="153" customFormat="1" ht="60" x14ac:dyDescent="0.25">
      <c r="B607" s="130" t="str">
        <f t="shared" si="42"/>
        <v>1</v>
      </c>
      <c r="C607" s="130" t="str">
        <f t="shared" si="43"/>
        <v>7</v>
      </c>
      <c r="D607" s="130" t="str">
        <f t="shared" si="44"/>
        <v>3</v>
      </c>
      <c r="E607" s="130" t="str">
        <f t="shared" si="45"/>
        <v>8</v>
      </c>
      <c r="F607" s="130" t="str">
        <f t="shared" si="46"/>
        <v>10</v>
      </c>
      <c r="G607" s="130" t="str">
        <f t="shared" si="47"/>
        <v>9</v>
      </c>
      <c r="H607" s="130" t="str">
        <f t="shared" si="48"/>
        <v>0</v>
      </c>
      <c r="I607" s="129">
        <v>17381090</v>
      </c>
      <c r="J607" s="130" t="s">
        <v>1362</v>
      </c>
      <c r="K607" s="130" t="s">
        <v>1363</v>
      </c>
      <c r="L607" s="116"/>
      <c r="M607" s="130"/>
      <c r="N607" s="130"/>
      <c r="O607" s="130" t="s">
        <v>2878</v>
      </c>
      <c r="P607" s="152" t="s">
        <v>2880</v>
      </c>
    </row>
    <row r="608" spans="2:16" s="153" customFormat="1" ht="60" x14ac:dyDescent="0.25">
      <c r="B608" s="113" t="str">
        <f t="shared" si="42"/>
        <v>1</v>
      </c>
      <c r="C608" s="113" t="str">
        <f t="shared" si="43"/>
        <v>7</v>
      </c>
      <c r="D608" s="113" t="str">
        <f t="shared" si="44"/>
        <v>3</v>
      </c>
      <c r="E608" s="113" t="str">
        <f t="shared" si="45"/>
        <v>8</v>
      </c>
      <c r="F608" s="113" t="str">
        <f t="shared" si="46"/>
        <v>99</v>
      </c>
      <c r="G608" s="113" t="str">
        <f t="shared" si="47"/>
        <v>0</v>
      </c>
      <c r="H608" s="113" t="str">
        <f t="shared" si="48"/>
        <v>0</v>
      </c>
      <c r="I608" s="112">
        <v>17389900</v>
      </c>
      <c r="J608" s="113" t="s">
        <v>1315</v>
      </c>
      <c r="K608" s="113" t="s">
        <v>1316</v>
      </c>
      <c r="L608" s="110"/>
      <c r="M608" s="113"/>
      <c r="N608" s="113" t="s">
        <v>1317</v>
      </c>
      <c r="O608" s="113" t="s">
        <v>2878</v>
      </c>
      <c r="P608" s="163" t="s">
        <v>2880</v>
      </c>
    </row>
    <row r="609" spans="2:16" s="153" customFormat="1" ht="60" x14ac:dyDescent="0.25">
      <c r="B609" s="130" t="str">
        <f t="shared" si="42"/>
        <v>1</v>
      </c>
      <c r="C609" s="130" t="str">
        <f t="shared" si="43"/>
        <v>7</v>
      </c>
      <c r="D609" s="130" t="str">
        <f t="shared" si="44"/>
        <v>3</v>
      </c>
      <c r="E609" s="130" t="str">
        <f t="shared" si="45"/>
        <v>8</v>
      </c>
      <c r="F609" s="130" t="str">
        <f t="shared" si="46"/>
        <v>99</v>
      </c>
      <c r="G609" s="130" t="str">
        <f t="shared" si="47"/>
        <v>1</v>
      </c>
      <c r="H609" s="130" t="str">
        <f t="shared" si="48"/>
        <v>0</v>
      </c>
      <c r="I609" s="129">
        <v>17389910</v>
      </c>
      <c r="J609" s="130" t="s">
        <v>1315</v>
      </c>
      <c r="K609" s="130" t="s">
        <v>1316</v>
      </c>
      <c r="L609" s="116"/>
      <c r="M609" s="130"/>
      <c r="N609" s="130" t="s">
        <v>1317</v>
      </c>
      <c r="O609" s="130" t="s">
        <v>2878</v>
      </c>
      <c r="P609" s="152" t="s">
        <v>2880</v>
      </c>
    </row>
    <row r="610" spans="2:16" ht="60" hidden="1" x14ac:dyDescent="0.25">
      <c r="B610" s="126" t="str">
        <f t="shared" si="42"/>
        <v>1</v>
      </c>
      <c r="C610" s="126" t="str">
        <f t="shared" si="43"/>
        <v>7</v>
      </c>
      <c r="D610" s="126" t="str">
        <f t="shared" si="44"/>
        <v>4</v>
      </c>
      <c r="E610" s="126" t="str">
        <f t="shared" si="45"/>
        <v>0</v>
      </c>
      <c r="F610" s="126" t="str">
        <f t="shared" si="46"/>
        <v>00</v>
      </c>
      <c r="G610" s="126" t="str">
        <f t="shared" si="47"/>
        <v>0</v>
      </c>
      <c r="H610" s="126" t="str">
        <f t="shared" si="48"/>
        <v>0</v>
      </c>
      <c r="I610" s="127">
        <v>17400000</v>
      </c>
      <c r="J610" s="126" t="s">
        <v>1326</v>
      </c>
      <c r="K610" s="126" t="s">
        <v>4202</v>
      </c>
      <c r="L610" s="122"/>
      <c r="M610" s="126" t="s">
        <v>2878</v>
      </c>
      <c r="N610" s="126" t="s">
        <v>5016</v>
      </c>
      <c r="O610" s="126" t="s">
        <v>2878</v>
      </c>
      <c r="P610" s="128" t="s">
        <v>2880</v>
      </c>
    </row>
    <row r="611" spans="2:16" ht="60" hidden="1" x14ac:dyDescent="0.25">
      <c r="B611" s="114" t="str">
        <f t="shared" si="42"/>
        <v>1</v>
      </c>
      <c r="C611" s="114" t="str">
        <f t="shared" si="43"/>
        <v>7</v>
      </c>
      <c r="D611" s="114" t="str">
        <f t="shared" si="44"/>
        <v>4</v>
      </c>
      <c r="E611" s="114" t="str">
        <f t="shared" si="45"/>
        <v>0</v>
      </c>
      <c r="F611" s="114" t="str">
        <f t="shared" si="46"/>
        <v>00</v>
      </c>
      <c r="G611" s="114" t="str">
        <f t="shared" si="47"/>
        <v>1</v>
      </c>
      <c r="H611" s="114" t="str">
        <f t="shared" si="48"/>
        <v>0</v>
      </c>
      <c r="I611" s="115">
        <v>17400010</v>
      </c>
      <c r="J611" s="114" t="s">
        <v>1326</v>
      </c>
      <c r="K611" s="114" t="s">
        <v>4202</v>
      </c>
      <c r="L611" s="116"/>
      <c r="M611" s="114" t="s">
        <v>2878</v>
      </c>
      <c r="N611" s="114"/>
      <c r="O611" s="114" t="s">
        <v>2878</v>
      </c>
      <c r="P611" s="117" t="s">
        <v>2880</v>
      </c>
    </row>
    <row r="612" spans="2:16" s="153" customFormat="1" ht="75" x14ac:dyDescent="0.25">
      <c r="B612" s="155" t="str">
        <f t="shared" si="42"/>
        <v>1</v>
      </c>
      <c r="C612" s="155" t="str">
        <f t="shared" si="43"/>
        <v>7</v>
      </c>
      <c r="D612" s="155" t="str">
        <f t="shared" si="44"/>
        <v>4</v>
      </c>
      <c r="E612" s="155" t="str">
        <f t="shared" si="45"/>
        <v>8</v>
      </c>
      <c r="F612" s="155" t="str">
        <f t="shared" si="46"/>
        <v>00</v>
      </c>
      <c r="G612" s="155" t="str">
        <f t="shared" si="47"/>
        <v>0</v>
      </c>
      <c r="H612" s="155" t="str">
        <f t="shared" si="48"/>
        <v>0</v>
      </c>
      <c r="I612" s="161">
        <v>17480000</v>
      </c>
      <c r="J612" s="155" t="s">
        <v>5025</v>
      </c>
      <c r="K612" s="155" t="s">
        <v>5034</v>
      </c>
      <c r="L612" s="106"/>
      <c r="M612" s="155" t="s">
        <v>2878</v>
      </c>
      <c r="N612" s="155" t="s">
        <v>2879</v>
      </c>
      <c r="O612" s="155" t="s">
        <v>5018</v>
      </c>
      <c r="P612" s="162" t="s">
        <v>2880</v>
      </c>
    </row>
    <row r="613" spans="2:16" s="148" customFormat="1" ht="60" x14ac:dyDescent="0.25">
      <c r="B613" s="145" t="str">
        <f t="shared" si="42"/>
        <v>1</v>
      </c>
      <c r="C613" s="145" t="str">
        <f t="shared" si="43"/>
        <v>7</v>
      </c>
      <c r="D613" s="145" t="str">
        <f t="shared" si="44"/>
        <v>4</v>
      </c>
      <c r="E613" s="145" t="str">
        <f t="shared" si="45"/>
        <v>8</v>
      </c>
      <c r="F613" s="145" t="str">
        <f t="shared" si="46"/>
        <v>01</v>
      </c>
      <c r="G613" s="145" t="str">
        <f t="shared" si="47"/>
        <v>0</v>
      </c>
      <c r="H613" s="145" t="str">
        <f t="shared" si="48"/>
        <v>0</v>
      </c>
      <c r="I613" s="143">
        <v>17480100</v>
      </c>
      <c r="J613" s="145" t="s">
        <v>5180</v>
      </c>
      <c r="K613" s="145" t="s">
        <v>5182</v>
      </c>
      <c r="L613" s="146"/>
      <c r="M613" s="145" t="s">
        <v>2878</v>
      </c>
      <c r="N613" s="145"/>
      <c r="O613" s="145" t="s">
        <v>2878</v>
      </c>
      <c r="P613" s="147" t="s">
        <v>2880</v>
      </c>
    </row>
    <row r="614" spans="2:16" s="148" customFormat="1" ht="75" x14ac:dyDescent="0.25">
      <c r="B614" s="149" t="str">
        <f t="shared" si="42"/>
        <v>1</v>
      </c>
      <c r="C614" s="149" t="str">
        <f t="shared" si="43"/>
        <v>7</v>
      </c>
      <c r="D614" s="149" t="str">
        <f t="shared" si="44"/>
        <v>4</v>
      </c>
      <c r="E614" s="149" t="str">
        <f t="shared" si="45"/>
        <v>8</v>
      </c>
      <c r="F614" s="149" t="str">
        <f t="shared" si="46"/>
        <v>01</v>
      </c>
      <c r="G614" s="149" t="str">
        <f t="shared" si="47"/>
        <v>1</v>
      </c>
      <c r="H614" s="149" t="str">
        <f t="shared" si="48"/>
        <v>0</v>
      </c>
      <c r="I614" s="144">
        <v>17480110</v>
      </c>
      <c r="J614" s="149" t="s">
        <v>5181</v>
      </c>
      <c r="K614" s="149" t="s">
        <v>5183</v>
      </c>
      <c r="L614" s="150"/>
      <c r="M614" s="149" t="s">
        <v>2878</v>
      </c>
      <c r="N614" s="149"/>
      <c r="O614" s="149" t="s">
        <v>2878</v>
      </c>
      <c r="P614" s="151" t="s">
        <v>2880</v>
      </c>
    </row>
    <row r="615" spans="2:16" s="148" customFormat="1" ht="45" x14ac:dyDescent="0.25">
      <c r="B615" s="145" t="str">
        <f t="shared" si="42"/>
        <v>1</v>
      </c>
      <c r="C615" s="145" t="str">
        <f t="shared" si="43"/>
        <v>7</v>
      </c>
      <c r="D615" s="145" t="str">
        <f t="shared" si="44"/>
        <v>4</v>
      </c>
      <c r="E615" s="145" t="str">
        <f t="shared" si="45"/>
        <v>8</v>
      </c>
      <c r="F615" s="145" t="str">
        <f t="shared" si="46"/>
        <v>10</v>
      </c>
      <c r="G615" s="145" t="str">
        <f t="shared" si="47"/>
        <v>0</v>
      </c>
      <c r="H615" s="145" t="str">
        <f t="shared" si="48"/>
        <v>0</v>
      </c>
      <c r="I615" s="143">
        <v>17481000</v>
      </c>
      <c r="J615" s="145" t="s">
        <v>5178</v>
      </c>
      <c r="K615" s="145" t="s">
        <v>5179</v>
      </c>
      <c r="L615" s="146"/>
      <c r="M615" s="145" t="s">
        <v>2878</v>
      </c>
      <c r="N615" s="145"/>
      <c r="O615" s="145" t="s">
        <v>2878</v>
      </c>
      <c r="P615" s="147" t="s">
        <v>2880</v>
      </c>
    </row>
    <row r="616" spans="2:16" s="148" customFormat="1" ht="45" x14ac:dyDescent="0.25">
      <c r="B616" s="149" t="str">
        <f t="shared" si="42"/>
        <v>1</v>
      </c>
      <c r="C616" s="149" t="str">
        <f t="shared" si="43"/>
        <v>7</v>
      </c>
      <c r="D616" s="149" t="str">
        <f t="shared" si="44"/>
        <v>4</v>
      </c>
      <c r="E616" s="149" t="str">
        <f t="shared" si="45"/>
        <v>8</v>
      </c>
      <c r="F616" s="149" t="str">
        <f t="shared" si="46"/>
        <v>10</v>
      </c>
      <c r="G616" s="149" t="str">
        <f t="shared" si="47"/>
        <v>1</v>
      </c>
      <c r="H616" s="149" t="str">
        <f t="shared" si="48"/>
        <v>0</v>
      </c>
      <c r="I616" s="144">
        <v>17481010</v>
      </c>
      <c r="J616" s="149" t="s">
        <v>5178</v>
      </c>
      <c r="K616" s="149" t="s">
        <v>5179</v>
      </c>
      <c r="L616" s="150"/>
      <c r="M616" s="149" t="s">
        <v>2878</v>
      </c>
      <c r="N616" s="149"/>
      <c r="O616" s="149" t="s">
        <v>2878</v>
      </c>
      <c r="P616" s="151" t="s">
        <v>2880</v>
      </c>
    </row>
    <row r="617" spans="2:16" ht="60" hidden="1" x14ac:dyDescent="0.25">
      <c r="B617" s="126" t="str">
        <f t="shared" si="42"/>
        <v>1</v>
      </c>
      <c r="C617" s="126" t="str">
        <f t="shared" si="43"/>
        <v>7</v>
      </c>
      <c r="D617" s="126" t="str">
        <f t="shared" si="44"/>
        <v>5</v>
      </c>
      <c r="E617" s="126" t="str">
        <f t="shared" si="45"/>
        <v>0</v>
      </c>
      <c r="F617" s="126" t="str">
        <f t="shared" si="46"/>
        <v>00</v>
      </c>
      <c r="G617" s="126" t="str">
        <f t="shared" si="47"/>
        <v>0</v>
      </c>
      <c r="H617" s="126" t="str">
        <f t="shared" si="48"/>
        <v>0</v>
      </c>
      <c r="I617" s="127">
        <v>17500000</v>
      </c>
      <c r="J617" s="126" t="s">
        <v>4204</v>
      </c>
      <c r="K617" s="126" t="s">
        <v>4205</v>
      </c>
      <c r="L617" s="122"/>
      <c r="M617" s="126" t="s">
        <v>2878</v>
      </c>
      <c r="N617" s="126" t="s">
        <v>5016</v>
      </c>
      <c r="O617" s="126" t="s">
        <v>2878</v>
      </c>
      <c r="P617" s="128" t="s">
        <v>2880</v>
      </c>
    </row>
    <row r="618" spans="2:16" ht="60" hidden="1" x14ac:dyDescent="0.25">
      <c r="B618" s="114" t="str">
        <f t="shared" si="42"/>
        <v>1</v>
      </c>
      <c r="C618" s="114" t="str">
        <f t="shared" si="43"/>
        <v>7</v>
      </c>
      <c r="D618" s="114" t="str">
        <f t="shared" si="44"/>
        <v>5</v>
      </c>
      <c r="E618" s="114" t="str">
        <f t="shared" si="45"/>
        <v>0</v>
      </c>
      <c r="F618" s="114" t="str">
        <f t="shared" si="46"/>
        <v>00</v>
      </c>
      <c r="G618" s="114" t="str">
        <f t="shared" si="47"/>
        <v>1</v>
      </c>
      <c r="H618" s="114" t="str">
        <f t="shared" si="48"/>
        <v>0</v>
      </c>
      <c r="I618" s="115">
        <v>17500010</v>
      </c>
      <c r="J618" s="114" t="s">
        <v>4204</v>
      </c>
      <c r="K618" s="114" t="s">
        <v>4205</v>
      </c>
      <c r="L618" s="116"/>
      <c r="M618" s="114" t="s">
        <v>2878</v>
      </c>
      <c r="N618" s="114"/>
      <c r="O618" s="114" t="s">
        <v>2878</v>
      </c>
      <c r="P618" s="117" t="s">
        <v>2880</v>
      </c>
    </row>
    <row r="619" spans="2:16" s="153" customFormat="1" ht="75" x14ac:dyDescent="0.25">
      <c r="B619" s="155" t="str">
        <f t="shared" si="42"/>
        <v>1</v>
      </c>
      <c r="C619" s="155" t="str">
        <f t="shared" si="43"/>
        <v>7</v>
      </c>
      <c r="D619" s="155" t="str">
        <f t="shared" si="44"/>
        <v>5</v>
      </c>
      <c r="E619" s="155" t="str">
        <f t="shared" si="45"/>
        <v>8</v>
      </c>
      <c r="F619" s="155" t="str">
        <f t="shared" si="46"/>
        <v>00</v>
      </c>
      <c r="G619" s="155" t="str">
        <f t="shared" si="47"/>
        <v>0</v>
      </c>
      <c r="H619" s="155" t="str">
        <f t="shared" si="48"/>
        <v>0</v>
      </c>
      <c r="I619" s="161">
        <v>17580000</v>
      </c>
      <c r="J619" s="155" t="s">
        <v>5026</v>
      </c>
      <c r="K619" s="155" t="s">
        <v>5035</v>
      </c>
      <c r="L619" s="106"/>
      <c r="M619" s="155" t="s">
        <v>2878</v>
      </c>
      <c r="N619" s="155" t="s">
        <v>2879</v>
      </c>
      <c r="O619" s="155" t="s">
        <v>5018</v>
      </c>
      <c r="P619" s="162" t="s">
        <v>2880</v>
      </c>
    </row>
    <row r="620" spans="2:16" s="153" customFormat="1" ht="45" x14ac:dyDescent="0.25">
      <c r="B620" s="113" t="str">
        <f t="shared" ref="B620:B683" si="49">MID($I620,1,1)</f>
        <v>1</v>
      </c>
      <c r="C620" s="113" t="str">
        <f t="shared" ref="C620:C683" si="50">MID($I620,2,1)</f>
        <v>7</v>
      </c>
      <c r="D620" s="113" t="str">
        <f t="shared" ref="D620:D683" si="51">MID($I620,3,1)</f>
        <v>5</v>
      </c>
      <c r="E620" s="113" t="str">
        <f t="shared" ref="E620:E683" si="52">MID($I620,4,1)</f>
        <v>8</v>
      </c>
      <c r="F620" s="113" t="str">
        <f t="shared" ref="F620:F683" si="53">MID($I620,5,2)</f>
        <v>01</v>
      </c>
      <c r="G620" s="113" t="str">
        <f t="shared" ref="G620:G683" si="54">MID($I620,7,1)</f>
        <v>0</v>
      </c>
      <c r="H620" s="113" t="str">
        <f t="shared" ref="H620:H683" si="55">MID($I620,8,1)</f>
        <v>0</v>
      </c>
      <c r="I620" s="112">
        <v>17580100</v>
      </c>
      <c r="J620" s="113" t="s">
        <v>1320</v>
      </c>
      <c r="K620" s="113" t="s">
        <v>1321</v>
      </c>
      <c r="L620" s="110"/>
      <c r="M620" s="113"/>
      <c r="N620" s="113"/>
      <c r="O620" s="113" t="s">
        <v>2878</v>
      </c>
      <c r="P620" s="163" t="s">
        <v>2880</v>
      </c>
    </row>
    <row r="621" spans="2:16" s="153" customFormat="1" ht="45" x14ac:dyDescent="0.25">
      <c r="B621" s="130" t="str">
        <f t="shared" si="49"/>
        <v>1</v>
      </c>
      <c r="C621" s="130" t="str">
        <f t="shared" si="50"/>
        <v>7</v>
      </c>
      <c r="D621" s="130" t="str">
        <f t="shared" si="51"/>
        <v>5</v>
      </c>
      <c r="E621" s="130" t="str">
        <f t="shared" si="52"/>
        <v>8</v>
      </c>
      <c r="F621" s="130" t="str">
        <f t="shared" si="53"/>
        <v>01</v>
      </c>
      <c r="G621" s="130" t="str">
        <f t="shared" si="54"/>
        <v>1</v>
      </c>
      <c r="H621" s="130" t="str">
        <f t="shared" si="55"/>
        <v>0</v>
      </c>
      <c r="I621" s="129">
        <v>17580110</v>
      </c>
      <c r="J621" s="130" t="s">
        <v>1320</v>
      </c>
      <c r="K621" s="130" t="s">
        <v>1321</v>
      </c>
      <c r="L621" s="116"/>
      <c r="M621" s="130"/>
      <c r="N621" s="130"/>
      <c r="O621" s="130" t="s">
        <v>2878</v>
      </c>
      <c r="P621" s="152" t="s">
        <v>2880</v>
      </c>
    </row>
    <row r="622" spans="2:16" s="172" customFormat="1" ht="45" x14ac:dyDescent="0.25">
      <c r="B622" s="168" t="str">
        <f t="shared" si="49"/>
        <v>1</v>
      </c>
      <c r="C622" s="168" t="str">
        <f t="shared" si="50"/>
        <v>7</v>
      </c>
      <c r="D622" s="168" t="str">
        <f t="shared" si="51"/>
        <v>5</v>
      </c>
      <c r="E622" s="168" t="str">
        <f t="shared" si="52"/>
        <v>8</v>
      </c>
      <c r="F622" s="168" t="str">
        <f t="shared" si="53"/>
        <v>01</v>
      </c>
      <c r="G622" s="168" t="str">
        <f t="shared" si="54"/>
        <v>2</v>
      </c>
      <c r="H622" s="168" t="str">
        <f t="shared" si="55"/>
        <v>0</v>
      </c>
      <c r="I622" s="169">
        <v>17580120</v>
      </c>
      <c r="J622" s="168" t="s">
        <v>1322</v>
      </c>
      <c r="K622" s="168" t="s">
        <v>1323</v>
      </c>
      <c r="L622" s="170"/>
      <c r="M622" s="168"/>
      <c r="N622" s="168"/>
      <c r="O622" s="168" t="s">
        <v>2878</v>
      </c>
      <c r="P622" s="171" t="s">
        <v>2880</v>
      </c>
    </row>
    <row r="623" spans="2:16" s="153" customFormat="1" ht="30" x14ac:dyDescent="0.25">
      <c r="B623" s="113" t="str">
        <f t="shared" si="49"/>
        <v>1</v>
      </c>
      <c r="C623" s="113" t="str">
        <f t="shared" si="50"/>
        <v>7</v>
      </c>
      <c r="D623" s="113" t="str">
        <f t="shared" si="51"/>
        <v>5</v>
      </c>
      <c r="E623" s="113" t="str">
        <f t="shared" si="52"/>
        <v>8</v>
      </c>
      <c r="F623" s="113" t="str">
        <f t="shared" si="53"/>
        <v>99</v>
      </c>
      <c r="G623" s="113" t="str">
        <f t="shared" si="54"/>
        <v>0</v>
      </c>
      <c r="H623" s="113" t="str">
        <f t="shared" si="55"/>
        <v>0</v>
      </c>
      <c r="I623" s="112">
        <v>17589900</v>
      </c>
      <c r="J623" s="113" t="s">
        <v>1324</v>
      </c>
      <c r="K623" s="113" t="s">
        <v>1325</v>
      </c>
      <c r="L623" s="110"/>
      <c r="M623" s="113"/>
      <c r="N623" s="113"/>
      <c r="O623" s="113" t="s">
        <v>2878</v>
      </c>
      <c r="P623" s="163" t="s">
        <v>2880</v>
      </c>
    </row>
    <row r="624" spans="2:16" s="153" customFormat="1" ht="30" x14ac:dyDescent="0.25">
      <c r="B624" s="130" t="str">
        <f t="shared" si="49"/>
        <v>1</v>
      </c>
      <c r="C624" s="130" t="str">
        <f t="shared" si="50"/>
        <v>7</v>
      </c>
      <c r="D624" s="130" t="str">
        <f t="shared" si="51"/>
        <v>5</v>
      </c>
      <c r="E624" s="130" t="str">
        <f t="shared" si="52"/>
        <v>8</v>
      </c>
      <c r="F624" s="130" t="str">
        <f t="shared" si="53"/>
        <v>99</v>
      </c>
      <c r="G624" s="130" t="str">
        <f t="shared" si="54"/>
        <v>1</v>
      </c>
      <c r="H624" s="130" t="str">
        <f t="shared" si="55"/>
        <v>0</v>
      </c>
      <c r="I624" s="129">
        <v>17589910</v>
      </c>
      <c r="J624" s="130" t="s">
        <v>1324</v>
      </c>
      <c r="K624" s="130" t="s">
        <v>1325</v>
      </c>
      <c r="L624" s="116"/>
      <c r="M624" s="130"/>
      <c r="N624" s="130"/>
      <c r="O624" s="130" t="s">
        <v>2878</v>
      </c>
      <c r="P624" s="152" t="s">
        <v>2880</v>
      </c>
    </row>
    <row r="625" spans="2:16" ht="45" hidden="1" x14ac:dyDescent="0.25">
      <c r="B625" s="126" t="str">
        <f t="shared" si="49"/>
        <v>1</v>
      </c>
      <c r="C625" s="126" t="str">
        <f t="shared" si="50"/>
        <v>7</v>
      </c>
      <c r="D625" s="126" t="str">
        <f t="shared" si="51"/>
        <v>6</v>
      </c>
      <c r="E625" s="126" t="str">
        <f t="shared" si="52"/>
        <v>0</v>
      </c>
      <c r="F625" s="126" t="str">
        <f t="shared" si="53"/>
        <v>00</v>
      </c>
      <c r="G625" s="126" t="str">
        <f t="shared" si="54"/>
        <v>0</v>
      </c>
      <c r="H625" s="126" t="str">
        <f t="shared" si="55"/>
        <v>0</v>
      </c>
      <c r="I625" s="127">
        <v>17600000</v>
      </c>
      <c r="J625" s="126" t="s">
        <v>1328</v>
      </c>
      <c r="K625" s="126" t="s">
        <v>4207</v>
      </c>
      <c r="L625" s="122"/>
      <c r="M625" s="126" t="s">
        <v>2878</v>
      </c>
      <c r="N625" s="126" t="s">
        <v>5016</v>
      </c>
      <c r="O625" s="126" t="s">
        <v>2878</v>
      </c>
      <c r="P625" s="128" t="s">
        <v>2880</v>
      </c>
    </row>
    <row r="626" spans="2:16" ht="45" hidden="1" x14ac:dyDescent="0.25">
      <c r="B626" s="114" t="str">
        <f t="shared" si="49"/>
        <v>1</v>
      </c>
      <c r="C626" s="114" t="str">
        <f t="shared" si="50"/>
        <v>7</v>
      </c>
      <c r="D626" s="114" t="str">
        <f t="shared" si="51"/>
        <v>6</v>
      </c>
      <c r="E626" s="114" t="str">
        <f t="shared" si="52"/>
        <v>0</v>
      </c>
      <c r="F626" s="114" t="str">
        <f t="shared" si="53"/>
        <v>00</v>
      </c>
      <c r="G626" s="114" t="str">
        <f t="shared" si="54"/>
        <v>1</v>
      </c>
      <c r="H626" s="114" t="str">
        <f t="shared" si="55"/>
        <v>0</v>
      </c>
      <c r="I626" s="115">
        <v>17600010</v>
      </c>
      <c r="J626" s="114" t="s">
        <v>1328</v>
      </c>
      <c r="K626" s="114" t="s">
        <v>4207</v>
      </c>
      <c r="L626" s="116"/>
      <c r="M626" s="114" t="s">
        <v>2878</v>
      </c>
      <c r="N626" s="114"/>
      <c r="O626" s="114" t="s">
        <v>2878</v>
      </c>
      <c r="P626" s="117" t="s">
        <v>2880</v>
      </c>
    </row>
    <row r="627" spans="2:16" s="153" customFormat="1" ht="60" x14ac:dyDescent="0.25">
      <c r="B627" s="155" t="str">
        <f t="shared" si="49"/>
        <v>1</v>
      </c>
      <c r="C627" s="155" t="str">
        <f t="shared" si="50"/>
        <v>7</v>
      </c>
      <c r="D627" s="155" t="str">
        <f t="shared" si="51"/>
        <v>6</v>
      </c>
      <c r="E627" s="155" t="str">
        <f t="shared" si="52"/>
        <v>8</v>
      </c>
      <c r="F627" s="155" t="str">
        <f t="shared" si="53"/>
        <v>00</v>
      </c>
      <c r="G627" s="155" t="str">
        <f t="shared" si="54"/>
        <v>0</v>
      </c>
      <c r="H627" s="155" t="str">
        <f t="shared" si="55"/>
        <v>0</v>
      </c>
      <c r="I627" s="161">
        <v>17680000</v>
      </c>
      <c r="J627" s="155" t="s">
        <v>5027</v>
      </c>
      <c r="K627" s="155" t="s">
        <v>5036</v>
      </c>
      <c r="L627" s="106"/>
      <c r="M627" s="155" t="s">
        <v>2878</v>
      </c>
      <c r="N627" s="155" t="s">
        <v>2879</v>
      </c>
      <c r="O627" s="155" t="s">
        <v>5018</v>
      </c>
      <c r="P627" s="162" t="s">
        <v>2880</v>
      </c>
    </row>
    <row r="628" spans="2:16" s="148" customFormat="1" ht="45" x14ac:dyDescent="0.25">
      <c r="B628" s="145" t="str">
        <f t="shared" si="49"/>
        <v>1</v>
      </c>
      <c r="C628" s="145" t="str">
        <f t="shared" si="50"/>
        <v>7</v>
      </c>
      <c r="D628" s="145" t="str">
        <f t="shared" si="51"/>
        <v>6</v>
      </c>
      <c r="E628" s="145" t="str">
        <f t="shared" si="52"/>
        <v>8</v>
      </c>
      <c r="F628" s="145" t="str">
        <f t="shared" si="53"/>
        <v>01</v>
      </c>
      <c r="G628" s="145" t="str">
        <f t="shared" si="54"/>
        <v>0</v>
      </c>
      <c r="H628" s="145" t="str">
        <f t="shared" si="55"/>
        <v>0</v>
      </c>
      <c r="I628" s="143">
        <v>17680100</v>
      </c>
      <c r="J628" s="145" t="s">
        <v>1366</v>
      </c>
      <c r="K628" s="145" t="s">
        <v>5192</v>
      </c>
      <c r="L628" s="146"/>
      <c r="M628" s="145" t="s">
        <v>2878</v>
      </c>
      <c r="N628" s="145"/>
      <c r="O628" s="145" t="s">
        <v>2878</v>
      </c>
      <c r="P628" s="147" t="s">
        <v>2880</v>
      </c>
    </row>
    <row r="629" spans="2:16" s="148" customFormat="1" ht="45" x14ac:dyDescent="0.25">
      <c r="B629" s="149" t="str">
        <f t="shared" si="49"/>
        <v>1</v>
      </c>
      <c r="C629" s="149" t="str">
        <f t="shared" si="50"/>
        <v>7</v>
      </c>
      <c r="D629" s="149" t="str">
        <f t="shared" si="51"/>
        <v>6</v>
      </c>
      <c r="E629" s="149" t="str">
        <f t="shared" si="52"/>
        <v>8</v>
      </c>
      <c r="F629" s="149" t="str">
        <f t="shared" si="53"/>
        <v>01</v>
      </c>
      <c r="G629" s="149" t="str">
        <f t="shared" si="54"/>
        <v>1</v>
      </c>
      <c r="H629" s="149" t="str">
        <f t="shared" si="55"/>
        <v>0</v>
      </c>
      <c r="I629" s="144">
        <v>17680110</v>
      </c>
      <c r="J629" s="149" t="s">
        <v>5191</v>
      </c>
      <c r="K629" s="149" t="s">
        <v>5193</v>
      </c>
      <c r="L629" s="150"/>
      <c r="M629" s="149" t="s">
        <v>2878</v>
      </c>
      <c r="N629" s="149"/>
      <c r="O629" s="149" t="s">
        <v>2878</v>
      </c>
      <c r="P629" s="151" t="s">
        <v>2880</v>
      </c>
    </row>
    <row r="630" spans="2:16" s="148" customFormat="1" ht="45" x14ac:dyDescent="0.25">
      <c r="B630" s="149" t="str">
        <f t="shared" si="49"/>
        <v>1</v>
      </c>
      <c r="C630" s="149" t="str">
        <f t="shared" si="50"/>
        <v>7</v>
      </c>
      <c r="D630" s="149" t="str">
        <f t="shared" si="51"/>
        <v>6</v>
      </c>
      <c r="E630" s="149" t="str">
        <f t="shared" si="52"/>
        <v>8</v>
      </c>
      <c r="F630" s="149" t="str">
        <f t="shared" si="53"/>
        <v>10</v>
      </c>
      <c r="G630" s="149" t="str">
        <f t="shared" si="54"/>
        <v>1</v>
      </c>
      <c r="H630" s="149" t="str">
        <f t="shared" si="55"/>
        <v>0</v>
      </c>
      <c r="I630" s="144">
        <v>17681010</v>
      </c>
      <c r="J630" s="149" t="s">
        <v>5189</v>
      </c>
      <c r="K630" s="149" t="s">
        <v>5190</v>
      </c>
      <c r="L630" s="150"/>
      <c r="M630" s="149" t="s">
        <v>2878</v>
      </c>
      <c r="N630" s="149"/>
      <c r="O630" s="149" t="s">
        <v>2878</v>
      </c>
      <c r="P630" s="151" t="s">
        <v>2880</v>
      </c>
    </row>
    <row r="631" spans="2:16" ht="60" hidden="1" x14ac:dyDescent="0.25">
      <c r="B631" s="126" t="str">
        <f t="shared" si="49"/>
        <v>1</v>
      </c>
      <c r="C631" s="126" t="str">
        <f t="shared" si="50"/>
        <v>7</v>
      </c>
      <c r="D631" s="126" t="str">
        <f t="shared" si="51"/>
        <v>7</v>
      </c>
      <c r="E631" s="126" t="str">
        <f t="shared" si="52"/>
        <v>0</v>
      </c>
      <c r="F631" s="126" t="str">
        <f t="shared" si="53"/>
        <v>00</v>
      </c>
      <c r="G631" s="126" t="str">
        <f t="shared" si="54"/>
        <v>0</v>
      </c>
      <c r="H631" s="126" t="str">
        <f t="shared" si="55"/>
        <v>0</v>
      </c>
      <c r="I631" s="127">
        <v>17700000</v>
      </c>
      <c r="J631" s="126" t="s">
        <v>4209</v>
      </c>
      <c r="K631" s="126" t="s">
        <v>4210</v>
      </c>
      <c r="L631" s="122"/>
      <c r="M631" s="126" t="s">
        <v>2878</v>
      </c>
      <c r="N631" s="126" t="s">
        <v>5016</v>
      </c>
      <c r="O631" s="126" t="s">
        <v>2878</v>
      </c>
      <c r="P631" s="128" t="s">
        <v>2880</v>
      </c>
    </row>
    <row r="632" spans="2:16" ht="60" hidden="1" x14ac:dyDescent="0.25">
      <c r="B632" s="114" t="str">
        <f t="shared" si="49"/>
        <v>1</v>
      </c>
      <c r="C632" s="114" t="str">
        <f t="shared" si="50"/>
        <v>7</v>
      </c>
      <c r="D632" s="114" t="str">
        <f t="shared" si="51"/>
        <v>7</v>
      </c>
      <c r="E632" s="114" t="str">
        <f t="shared" si="52"/>
        <v>0</v>
      </c>
      <c r="F632" s="114" t="str">
        <f t="shared" si="53"/>
        <v>00</v>
      </c>
      <c r="G632" s="114" t="str">
        <f t="shared" si="54"/>
        <v>1</v>
      </c>
      <c r="H632" s="114" t="str">
        <f t="shared" si="55"/>
        <v>0</v>
      </c>
      <c r="I632" s="115">
        <v>17700010</v>
      </c>
      <c r="J632" s="114" t="s">
        <v>4209</v>
      </c>
      <c r="K632" s="114" t="s">
        <v>4210</v>
      </c>
      <c r="L632" s="116"/>
      <c r="M632" s="114" t="s">
        <v>2878</v>
      </c>
      <c r="N632" s="114"/>
      <c r="O632" s="114"/>
      <c r="P632" s="117" t="s">
        <v>2880</v>
      </c>
    </row>
    <row r="633" spans="2:16" s="148" customFormat="1" ht="60" x14ac:dyDescent="0.25">
      <c r="B633" s="164" t="str">
        <f t="shared" si="49"/>
        <v>1</v>
      </c>
      <c r="C633" s="164" t="str">
        <f t="shared" si="50"/>
        <v>7</v>
      </c>
      <c r="D633" s="164" t="str">
        <f t="shared" si="51"/>
        <v>7</v>
      </c>
      <c r="E633" s="164" t="str">
        <f t="shared" si="52"/>
        <v>8</v>
      </c>
      <c r="F633" s="164" t="str">
        <f t="shared" si="53"/>
        <v>00</v>
      </c>
      <c r="G633" s="164" t="str">
        <f t="shared" si="54"/>
        <v>0</v>
      </c>
      <c r="H633" s="164" t="str">
        <f t="shared" si="55"/>
        <v>0</v>
      </c>
      <c r="I633" s="165">
        <v>17780000</v>
      </c>
      <c r="J633" s="164" t="s">
        <v>5028</v>
      </c>
      <c r="K633" s="164" t="s">
        <v>5197</v>
      </c>
      <c r="L633" s="166"/>
      <c r="M633" s="164" t="s">
        <v>2878</v>
      </c>
      <c r="N633" s="164" t="s">
        <v>2879</v>
      </c>
      <c r="O633" s="164" t="s">
        <v>5018</v>
      </c>
      <c r="P633" s="167" t="s">
        <v>2880</v>
      </c>
    </row>
    <row r="634" spans="2:16" s="148" customFormat="1" ht="60" x14ac:dyDescent="0.25">
      <c r="B634" s="145" t="str">
        <f t="shared" si="49"/>
        <v>1</v>
      </c>
      <c r="C634" s="145" t="str">
        <f t="shared" si="50"/>
        <v>7</v>
      </c>
      <c r="D634" s="145" t="str">
        <f t="shared" si="51"/>
        <v>7</v>
      </c>
      <c r="E634" s="145" t="str">
        <f t="shared" si="52"/>
        <v>8</v>
      </c>
      <c r="F634" s="145" t="str">
        <f t="shared" si="53"/>
        <v>01</v>
      </c>
      <c r="G634" s="145" t="str">
        <f t="shared" si="54"/>
        <v>0</v>
      </c>
      <c r="H634" s="145" t="str">
        <f t="shared" si="55"/>
        <v>0</v>
      </c>
      <c r="I634" s="143">
        <v>17780100</v>
      </c>
      <c r="J634" s="145" t="s">
        <v>5196</v>
      </c>
      <c r="K634" s="145" t="s">
        <v>5197</v>
      </c>
      <c r="L634" s="146"/>
      <c r="M634" s="145" t="s">
        <v>2878</v>
      </c>
      <c r="N634" s="145"/>
      <c r="O634" s="145" t="s">
        <v>2878</v>
      </c>
      <c r="P634" s="147" t="s">
        <v>2880</v>
      </c>
    </row>
    <row r="635" spans="2:16" s="148" customFormat="1" ht="45" x14ac:dyDescent="0.25">
      <c r="B635" s="149" t="str">
        <f t="shared" si="49"/>
        <v>1</v>
      </c>
      <c r="C635" s="149" t="str">
        <f t="shared" si="50"/>
        <v>7</v>
      </c>
      <c r="D635" s="149" t="str">
        <f t="shared" si="51"/>
        <v>7</v>
      </c>
      <c r="E635" s="149" t="str">
        <f t="shared" si="52"/>
        <v>8</v>
      </c>
      <c r="F635" s="149" t="str">
        <f t="shared" si="53"/>
        <v>01</v>
      </c>
      <c r="G635" s="149" t="str">
        <f t="shared" si="54"/>
        <v>1</v>
      </c>
      <c r="H635" s="149" t="str">
        <f t="shared" si="55"/>
        <v>0</v>
      </c>
      <c r="I635" s="144">
        <v>17780110</v>
      </c>
      <c r="J635" s="149" t="s">
        <v>5195</v>
      </c>
      <c r="K635" s="149" t="s">
        <v>5193</v>
      </c>
      <c r="L635" s="150"/>
      <c r="M635" s="149" t="s">
        <v>2878</v>
      </c>
      <c r="N635" s="149"/>
      <c r="O635" s="149" t="s">
        <v>2878</v>
      </c>
      <c r="P635" s="151" t="s">
        <v>2880</v>
      </c>
    </row>
    <row r="636" spans="2:16" s="148" customFormat="1" ht="75" x14ac:dyDescent="0.25">
      <c r="B636" s="149" t="str">
        <f t="shared" si="49"/>
        <v>1</v>
      </c>
      <c r="C636" s="149" t="str">
        <f t="shared" si="50"/>
        <v>7</v>
      </c>
      <c r="D636" s="149" t="str">
        <f t="shared" si="51"/>
        <v>7</v>
      </c>
      <c r="E636" s="149" t="str">
        <f t="shared" si="52"/>
        <v>8</v>
      </c>
      <c r="F636" s="149" t="str">
        <f t="shared" si="53"/>
        <v>10</v>
      </c>
      <c r="G636" s="149" t="str">
        <f t="shared" si="54"/>
        <v>1</v>
      </c>
      <c r="H636" s="149" t="str">
        <f t="shared" si="55"/>
        <v>0</v>
      </c>
      <c r="I636" s="144">
        <v>17781010</v>
      </c>
      <c r="J636" s="149" t="s">
        <v>5194</v>
      </c>
      <c r="K636" s="149" t="s">
        <v>5198</v>
      </c>
      <c r="L636" s="150"/>
      <c r="M636" s="149" t="s">
        <v>2878</v>
      </c>
      <c r="N636" s="149"/>
      <c r="O636" s="149" t="s">
        <v>2878</v>
      </c>
      <c r="P636" s="151" t="s">
        <v>2880</v>
      </c>
    </row>
    <row r="637" spans="2:16" ht="30" hidden="1" x14ac:dyDescent="0.25">
      <c r="B637" s="126" t="str">
        <f t="shared" si="49"/>
        <v>1</v>
      </c>
      <c r="C637" s="126" t="str">
        <f t="shared" si="50"/>
        <v>7</v>
      </c>
      <c r="D637" s="126" t="str">
        <f t="shared" si="51"/>
        <v>8</v>
      </c>
      <c r="E637" s="126" t="str">
        <f t="shared" si="52"/>
        <v>0</v>
      </c>
      <c r="F637" s="126" t="str">
        <f t="shared" si="53"/>
        <v>00</v>
      </c>
      <c r="G637" s="126" t="str">
        <f t="shared" si="54"/>
        <v>0</v>
      </c>
      <c r="H637" s="126" t="str">
        <f t="shared" si="55"/>
        <v>0</v>
      </c>
      <c r="I637" s="127">
        <v>17800000</v>
      </c>
      <c r="J637" s="126" t="s">
        <v>4212</v>
      </c>
      <c r="K637" s="126" t="s">
        <v>4213</v>
      </c>
      <c r="L637" s="122"/>
      <c r="M637" s="126" t="s">
        <v>2878</v>
      </c>
      <c r="N637" s="126" t="s">
        <v>5016</v>
      </c>
      <c r="O637" s="126" t="s">
        <v>2878</v>
      </c>
      <c r="P637" s="128" t="s">
        <v>2880</v>
      </c>
    </row>
    <row r="638" spans="2:16" ht="30" hidden="1" x14ac:dyDescent="0.25">
      <c r="B638" s="114" t="str">
        <f t="shared" si="49"/>
        <v>1</v>
      </c>
      <c r="C638" s="114" t="str">
        <f t="shared" si="50"/>
        <v>7</v>
      </c>
      <c r="D638" s="114" t="str">
        <f t="shared" si="51"/>
        <v>8</v>
      </c>
      <c r="E638" s="114" t="str">
        <f t="shared" si="52"/>
        <v>0</v>
      </c>
      <c r="F638" s="114" t="str">
        <f t="shared" si="53"/>
        <v>00</v>
      </c>
      <c r="G638" s="114" t="str">
        <f t="shared" si="54"/>
        <v>1</v>
      </c>
      <c r="H638" s="114" t="str">
        <f t="shared" si="55"/>
        <v>0</v>
      </c>
      <c r="I638" s="115">
        <v>17800010</v>
      </c>
      <c r="J638" s="114" t="s">
        <v>4212</v>
      </c>
      <c r="K638" s="114" t="s">
        <v>4213</v>
      </c>
      <c r="L638" s="116"/>
      <c r="M638" s="114" t="s">
        <v>2878</v>
      </c>
      <c r="N638" s="114" t="s">
        <v>2879</v>
      </c>
      <c r="O638" s="114" t="s">
        <v>2878</v>
      </c>
      <c r="P638" s="117" t="s">
        <v>2880</v>
      </c>
    </row>
    <row r="639" spans="2:16" ht="30" hidden="1" x14ac:dyDescent="0.25">
      <c r="B639" s="123" t="str">
        <f t="shared" si="49"/>
        <v>1</v>
      </c>
      <c r="C639" s="123" t="str">
        <f t="shared" si="50"/>
        <v>9</v>
      </c>
      <c r="D639" s="123" t="str">
        <f t="shared" si="51"/>
        <v>0</v>
      </c>
      <c r="E639" s="123" t="str">
        <f t="shared" si="52"/>
        <v>0</v>
      </c>
      <c r="F639" s="123" t="str">
        <f t="shared" si="53"/>
        <v>00</v>
      </c>
      <c r="G639" s="123" t="str">
        <f t="shared" si="54"/>
        <v>0</v>
      </c>
      <c r="H639" s="123" t="str">
        <f t="shared" si="55"/>
        <v>0</v>
      </c>
      <c r="I639" s="124">
        <v>19000000</v>
      </c>
      <c r="J639" s="123" t="s">
        <v>1378</v>
      </c>
      <c r="K639" s="123" t="s">
        <v>4216</v>
      </c>
      <c r="L639" s="103"/>
      <c r="M639" s="123" t="s">
        <v>2878</v>
      </c>
      <c r="N639" s="123" t="s">
        <v>5016</v>
      </c>
      <c r="O639" s="123" t="s">
        <v>2878</v>
      </c>
      <c r="P639" s="125" t="s">
        <v>2880</v>
      </c>
    </row>
    <row r="640" spans="2:16" ht="30" hidden="1" x14ac:dyDescent="0.25">
      <c r="B640" s="126" t="str">
        <f t="shared" si="49"/>
        <v>1</v>
      </c>
      <c r="C640" s="126" t="str">
        <f t="shared" si="50"/>
        <v>9</v>
      </c>
      <c r="D640" s="126" t="str">
        <f t="shared" si="51"/>
        <v>1</v>
      </c>
      <c r="E640" s="126" t="str">
        <f t="shared" si="52"/>
        <v>0</v>
      </c>
      <c r="F640" s="126" t="str">
        <f t="shared" si="53"/>
        <v>00</v>
      </c>
      <c r="G640" s="126" t="str">
        <f t="shared" si="54"/>
        <v>0</v>
      </c>
      <c r="H640" s="126" t="str">
        <f t="shared" si="55"/>
        <v>0</v>
      </c>
      <c r="I640" s="127">
        <v>19100000</v>
      </c>
      <c r="J640" s="126" t="s">
        <v>4217</v>
      </c>
      <c r="K640" s="126" t="s">
        <v>4218</v>
      </c>
      <c r="L640" s="122"/>
      <c r="M640" s="126" t="s">
        <v>2878</v>
      </c>
      <c r="N640" s="126" t="s">
        <v>5016</v>
      </c>
      <c r="O640" s="126" t="s">
        <v>2878</v>
      </c>
      <c r="P640" s="128" t="s">
        <v>2880</v>
      </c>
    </row>
    <row r="641" spans="2:16" ht="75" hidden="1" x14ac:dyDescent="0.25">
      <c r="B641" s="108" t="str">
        <f t="shared" si="49"/>
        <v>1</v>
      </c>
      <c r="C641" s="108" t="str">
        <f t="shared" si="50"/>
        <v>9</v>
      </c>
      <c r="D641" s="108" t="str">
        <f t="shared" si="51"/>
        <v>1</v>
      </c>
      <c r="E641" s="108" t="str">
        <f t="shared" si="52"/>
        <v>0</v>
      </c>
      <c r="F641" s="108" t="str">
        <f t="shared" si="53"/>
        <v>01</v>
      </c>
      <c r="G641" s="108" t="str">
        <f t="shared" si="54"/>
        <v>0</v>
      </c>
      <c r="H641" s="108" t="str">
        <f t="shared" si="55"/>
        <v>0</v>
      </c>
      <c r="I641" s="109">
        <v>19100100</v>
      </c>
      <c r="J641" s="108" t="s">
        <v>4219</v>
      </c>
      <c r="K641" s="108" t="s">
        <v>4220</v>
      </c>
      <c r="L641" s="110"/>
      <c r="M641" s="108" t="s">
        <v>2878</v>
      </c>
      <c r="N641" s="108" t="s">
        <v>2879</v>
      </c>
      <c r="O641" s="108" t="s">
        <v>2878</v>
      </c>
      <c r="P641" s="111" t="s">
        <v>2880</v>
      </c>
    </row>
    <row r="642" spans="2:16" ht="79.5" hidden="1" customHeight="1" x14ac:dyDescent="0.25">
      <c r="B642" s="114" t="str">
        <f t="shared" si="49"/>
        <v>1</v>
      </c>
      <c r="C642" s="114" t="str">
        <f t="shared" si="50"/>
        <v>9</v>
      </c>
      <c r="D642" s="114" t="str">
        <f t="shared" si="51"/>
        <v>1</v>
      </c>
      <c r="E642" s="114" t="str">
        <f t="shared" si="52"/>
        <v>0</v>
      </c>
      <c r="F642" s="114" t="str">
        <f t="shared" si="53"/>
        <v>01</v>
      </c>
      <c r="G642" s="114" t="str">
        <f t="shared" si="54"/>
        <v>1</v>
      </c>
      <c r="H642" s="114" t="str">
        <f t="shared" si="55"/>
        <v>0</v>
      </c>
      <c r="I642" s="115">
        <v>19100110</v>
      </c>
      <c r="J642" s="114" t="s">
        <v>4219</v>
      </c>
      <c r="K642" s="114" t="s">
        <v>4220</v>
      </c>
      <c r="L642" s="116"/>
      <c r="M642" s="114" t="s">
        <v>2878</v>
      </c>
      <c r="N642" s="114" t="s">
        <v>2879</v>
      </c>
      <c r="O642" s="114" t="s">
        <v>2878</v>
      </c>
      <c r="P642" s="117" t="s">
        <v>2880</v>
      </c>
    </row>
    <row r="643" spans="2:16" ht="45" hidden="1" x14ac:dyDescent="0.25">
      <c r="B643" s="108" t="str">
        <f t="shared" si="49"/>
        <v>1</v>
      </c>
      <c r="C643" s="108" t="str">
        <f t="shared" si="50"/>
        <v>9</v>
      </c>
      <c r="D643" s="108" t="str">
        <f t="shared" si="51"/>
        <v>1</v>
      </c>
      <c r="E643" s="108" t="str">
        <f t="shared" si="52"/>
        <v>0</v>
      </c>
      <c r="F643" s="108" t="str">
        <f t="shared" si="53"/>
        <v>02</v>
      </c>
      <c r="G643" s="108" t="str">
        <f t="shared" si="54"/>
        <v>0</v>
      </c>
      <c r="H643" s="108" t="str">
        <f t="shared" si="55"/>
        <v>0</v>
      </c>
      <c r="I643" s="109">
        <v>19100200</v>
      </c>
      <c r="J643" s="108" t="s">
        <v>2032</v>
      </c>
      <c r="K643" s="108" t="s">
        <v>4227</v>
      </c>
      <c r="L643" s="110"/>
      <c r="M643" s="108" t="s">
        <v>2878</v>
      </c>
      <c r="N643" s="108" t="s">
        <v>2879</v>
      </c>
      <c r="O643" s="108" t="s">
        <v>2878</v>
      </c>
      <c r="P643" s="111" t="s">
        <v>2880</v>
      </c>
    </row>
    <row r="644" spans="2:16" ht="45" hidden="1" x14ac:dyDescent="0.25">
      <c r="B644" s="114" t="str">
        <f t="shared" si="49"/>
        <v>1</v>
      </c>
      <c r="C644" s="114" t="str">
        <f t="shared" si="50"/>
        <v>9</v>
      </c>
      <c r="D644" s="114" t="str">
        <f t="shared" si="51"/>
        <v>1</v>
      </c>
      <c r="E644" s="114" t="str">
        <f t="shared" si="52"/>
        <v>0</v>
      </c>
      <c r="F644" s="114" t="str">
        <f t="shared" si="53"/>
        <v>02</v>
      </c>
      <c r="G644" s="114" t="str">
        <f t="shared" si="54"/>
        <v>1</v>
      </c>
      <c r="H644" s="114" t="str">
        <f t="shared" si="55"/>
        <v>0</v>
      </c>
      <c r="I644" s="115">
        <v>19100210</v>
      </c>
      <c r="J644" s="114" t="s">
        <v>2032</v>
      </c>
      <c r="K644" s="114" t="s">
        <v>4227</v>
      </c>
      <c r="L644" s="116"/>
      <c r="M644" s="114" t="s">
        <v>2878</v>
      </c>
      <c r="N644" s="114" t="s">
        <v>2879</v>
      </c>
      <c r="O644" s="114" t="s">
        <v>2878</v>
      </c>
      <c r="P644" s="117" t="s">
        <v>2880</v>
      </c>
    </row>
    <row r="645" spans="2:16" ht="30" hidden="1" x14ac:dyDescent="0.25">
      <c r="B645" s="108" t="str">
        <f t="shared" si="49"/>
        <v>1</v>
      </c>
      <c r="C645" s="108" t="str">
        <f t="shared" si="50"/>
        <v>9</v>
      </c>
      <c r="D645" s="108" t="str">
        <f t="shared" si="51"/>
        <v>1</v>
      </c>
      <c r="E645" s="108" t="str">
        <f t="shared" si="52"/>
        <v>0</v>
      </c>
      <c r="F645" s="108" t="str">
        <f t="shared" si="53"/>
        <v>03</v>
      </c>
      <c r="G645" s="108" t="str">
        <f t="shared" si="54"/>
        <v>0</v>
      </c>
      <c r="H645" s="108" t="str">
        <f t="shared" si="55"/>
        <v>0</v>
      </c>
      <c r="I645" s="109">
        <v>19100300</v>
      </c>
      <c r="J645" s="108" t="s">
        <v>2044</v>
      </c>
      <c r="K645" s="108" t="s">
        <v>4235</v>
      </c>
      <c r="L645" s="110"/>
      <c r="M645" s="108" t="s">
        <v>2878</v>
      </c>
      <c r="N645" s="108" t="s">
        <v>2879</v>
      </c>
      <c r="O645" s="108" t="s">
        <v>2878</v>
      </c>
      <c r="P645" s="111" t="s">
        <v>2880</v>
      </c>
    </row>
    <row r="646" spans="2:16" ht="30" hidden="1" x14ac:dyDescent="0.25">
      <c r="B646" s="114" t="str">
        <f t="shared" si="49"/>
        <v>1</v>
      </c>
      <c r="C646" s="114" t="str">
        <f t="shared" si="50"/>
        <v>9</v>
      </c>
      <c r="D646" s="114" t="str">
        <f t="shared" si="51"/>
        <v>1</v>
      </c>
      <c r="E646" s="114" t="str">
        <f t="shared" si="52"/>
        <v>0</v>
      </c>
      <c r="F646" s="114" t="str">
        <f t="shared" si="53"/>
        <v>03</v>
      </c>
      <c r="G646" s="114" t="str">
        <f t="shared" si="54"/>
        <v>1</v>
      </c>
      <c r="H646" s="114" t="str">
        <f t="shared" si="55"/>
        <v>0</v>
      </c>
      <c r="I646" s="115">
        <v>19100310</v>
      </c>
      <c r="J646" s="114" t="s">
        <v>2044</v>
      </c>
      <c r="K646" s="114" t="s">
        <v>4235</v>
      </c>
      <c r="L646" s="116"/>
      <c r="M646" s="114" t="s">
        <v>2878</v>
      </c>
      <c r="N646" s="114" t="s">
        <v>2879</v>
      </c>
      <c r="O646" s="114" t="s">
        <v>2878</v>
      </c>
      <c r="P646" s="117" t="s">
        <v>2880</v>
      </c>
    </row>
    <row r="647" spans="2:16" ht="30" hidden="1" x14ac:dyDescent="0.25">
      <c r="B647" s="108" t="str">
        <f t="shared" si="49"/>
        <v>1</v>
      </c>
      <c r="C647" s="108" t="str">
        <f t="shared" si="50"/>
        <v>9</v>
      </c>
      <c r="D647" s="108" t="str">
        <f t="shared" si="51"/>
        <v>1</v>
      </c>
      <c r="E647" s="108" t="str">
        <f t="shared" si="52"/>
        <v>0</v>
      </c>
      <c r="F647" s="108" t="str">
        <f t="shared" si="53"/>
        <v>04</v>
      </c>
      <c r="G647" s="108" t="str">
        <f t="shared" si="54"/>
        <v>0</v>
      </c>
      <c r="H647" s="108" t="str">
        <f t="shared" si="55"/>
        <v>0</v>
      </c>
      <c r="I647" s="109">
        <v>19100400</v>
      </c>
      <c r="J647" s="108" t="s">
        <v>2052</v>
      </c>
      <c r="K647" s="108" t="s">
        <v>4239</v>
      </c>
      <c r="L647" s="110"/>
      <c r="M647" s="108" t="s">
        <v>2878</v>
      </c>
      <c r="N647" s="108" t="s">
        <v>2879</v>
      </c>
      <c r="O647" s="108" t="s">
        <v>2878</v>
      </c>
      <c r="P647" s="111" t="s">
        <v>2880</v>
      </c>
    </row>
    <row r="648" spans="2:16" ht="30" hidden="1" x14ac:dyDescent="0.25">
      <c r="B648" s="114" t="str">
        <f t="shared" si="49"/>
        <v>1</v>
      </c>
      <c r="C648" s="114" t="str">
        <f t="shared" si="50"/>
        <v>9</v>
      </c>
      <c r="D648" s="114" t="str">
        <f t="shared" si="51"/>
        <v>1</v>
      </c>
      <c r="E648" s="114" t="str">
        <f t="shared" si="52"/>
        <v>0</v>
      </c>
      <c r="F648" s="114" t="str">
        <f t="shared" si="53"/>
        <v>04</v>
      </c>
      <c r="G648" s="114" t="str">
        <f t="shared" si="54"/>
        <v>1</v>
      </c>
      <c r="H648" s="114" t="str">
        <f t="shared" si="55"/>
        <v>0</v>
      </c>
      <c r="I648" s="115">
        <v>19100410</v>
      </c>
      <c r="J648" s="114" t="s">
        <v>2052</v>
      </c>
      <c r="K648" s="114" t="s">
        <v>4239</v>
      </c>
      <c r="L648" s="116"/>
      <c r="M648" s="114" t="s">
        <v>2878</v>
      </c>
      <c r="N648" s="114" t="s">
        <v>2879</v>
      </c>
      <c r="O648" s="114" t="s">
        <v>2878</v>
      </c>
      <c r="P648" s="117" t="s">
        <v>2880</v>
      </c>
    </row>
    <row r="649" spans="2:16" ht="30" hidden="1" x14ac:dyDescent="0.25">
      <c r="B649" s="108" t="str">
        <f t="shared" si="49"/>
        <v>1</v>
      </c>
      <c r="C649" s="108" t="str">
        <f t="shared" si="50"/>
        <v>9</v>
      </c>
      <c r="D649" s="108" t="str">
        <f t="shared" si="51"/>
        <v>1</v>
      </c>
      <c r="E649" s="108" t="str">
        <f t="shared" si="52"/>
        <v>0</v>
      </c>
      <c r="F649" s="108" t="str">
        <f t="shared" si="53"/>
        <v>05</v>
      </c>
      <c r="G649" s="108" t="str">
        <f t="shared" si="54"/>
        <v>0</v>
      </c>
      <c r="H649" s="108" t="str">
        <f t="shared" si="55"/>
        <v>0</v>
      </c>
      <c r="I649" s="109">
        <v>19100500</v>
      </c>
      <c r="J649" s="108" t="s">
        <v>4244</v>
      </c>
      <c r="K649" s="108" t="s">
        <v>4245</v>
      </c>
      <c r="L649" s="110"/>
      <c r="M649" s="108" t="s">
        <v>2878</v>
      </c>
      <c r="N649" s="108" t="s">
        <v>2879</v>
      </c>
      <c r="O649" s="108" t="s">
        <v>2878</v>
      </c>
      <c r="P649" s="111" t="s">
        <v>2880</v>
      </c>
    </row>
    <row r="650" spans="2:16" ht="30" hidden="1" x14ac:dyDescent="0.25">
      <c r="B650" s="114" t="str">
        <f t="shared" si="49"/>
        <v>1</v>
      </c>
      <c r="C650" s="114" t="str">
        <f t="shared" si="50"/>
        <v>9</v>
      </c>
      <c r="D650" s="114" t="str">
        <f t="shared" si="51"/>
        <v>1</v>
      </c>
      <c r="E650" s="114" t="str">
        <f t="shared" si="52"/>
        <v>0</v>
      </c>
      <c r="F650" s="114" t="str">
        <f t="shared" si="53"/>
        <v>05</v>
      </c>
      <c r="G650" s="114" t="str">
        <f t="shared" si="54"/>
        <v>1</v>
      </c>
      <c r="H650" s="114" t="str">
        <f t="shared" si="55"/>
        <v>0</v>
      </c>
      <c r="I650" s="115">
        <v>19100510</v>
      </c>
      <c r="J650" s="114" t="s">
        <v>4244</v>
      </c>
      <c r="K650" s="114" t="s">
        <v>4245</v>
      </c>
      <c r="L650" s="116"/>
      <c r="M650" s="114" t="s">
        <v>2878</v>
      </c>
      <c r="N650" s="114" t="s">
        <v>2879</v>
      </c>
      <c r="O650" s="114" t="s">
        <v>2878</v>
      </c>
      <c r="P650" s="117" t="s">
        <v>2880</v>
      </c>
    </row>
    <row r="651" spans="2:16" ht="30" hidden="1" x14ac:dyDescent="0.25">
      <c r="B651" s="108" t="str">
        <f t="shared" si="49"/>
        <v>1</v>
      </c>
      <c r="C651" s="108" t="str">
        <f t="shared" si="50"/>
        <v>9</v>
      </c>
      <c r="D651" s="108" t="str">
        <f t="shared" si="51"/>
        <v>1</v>
      </c>
      <c r="E651" s="108" t="str">
        <f t="shared" si="52"/>
        <v>0</v>
      </c>
      <c r="F651" s="108" t="str">
        <f t="shared" si="53"/>
        <v>06</v>
      </c>
      <c r="G651" s="108" t="str">
        <f t="shared" si="54"/>
        <v>0</v>
      </c>
      <c r="H651" s="108" t="str">
        <f t="shared" si="55"/>
        <v>0</v>
      </c>
      <c r="I651" s="109">
        <v>19100600</v>
      </c>
      <c r="J651" s="108" t="s">
        <v>2079</v>
      </c>
      <c r="K651" s="108" t="s">
        <v>4249</v>
      </c>
      <c r="L651" s="110"/>
      <c r="M651" s="108" t="s">
        <v>2878</v>
      </c>
      <c r="N651" s="108" t="s">
        <v>2879</v>
      </c>
      <c r="O651" s="108" t="s">
        <v>2878</v>
      </c>
      <c r="P651" s="111" t="s">
        <v>2880</v>
      </c>
    </row>
    <row r="652" spans="2:16" ht="30" hidden="1" x14ac:dyDescent="0.25">
      <c r="B652" s="114" t="str">
        <f t="shared" si="49"/>
        <v>1</v>
      </c>
      <c r="C652" s="114" t="str">
        <f t="shared" si="50"/>
        <v>9</v>
      </c>
      <c r="D652" s="114" t="str">
        <f t="shared" si="51"/>
        <v>1</v>
      </c>
      <c r="E652" s="114" t="str">
        <f t="shared" si="52"/>
        <v>0</v>
      </c>
      <c r="F652" s="114" t="str">
        <f t="shared" si="53"/>
        <v>06</v>
      </c>
      <c r="G652" s="114" t="str">
        <f t="shared" si="54"/>
        <v>1</v>
      </c>
      <c r="H652" s="114" t="str">
        <f t="shared" si="55"/>
        <v>0</v>
      </c>
      <c r="I652" s="115">
        <v>19100610</v>
      </c>
      <c r="J652" s="114" t="s">
        <v>2081</v>
      </c>
      <c r="K652" s="114" t="s">
        <v>4250</v>
      </c>
      <c r="L652" s="116"/>
      <c r="M652" s="114" t="s">
        <v>2878</v>
      </c>
      <c r="N652" s="114" t="s">
        <v>2879</v>
      </c>
      <c r="O652" s="114" t="s">
        <v>2878</v>
      </c>
      <c r="P652" s="117" t="s">
        <v>2880</v>
      </c>
    </row>
    <row r="653" spans="2:16" ht="30" hidden="1" x14ac:dyDescent="0.25">
      <c r="B653" s="114" t="str">
        <f t="shared" si="49"/>
        <v>1</v>
      </c>
      <c r="C653" s="114" t="str">
        <f t="shared" si="50"/>
        <v>9</v>
      </c>
      <c r="D653" s="114" t="str">
        <f t="shared" si="51"/>
        <v>1</v>
      </c>
      <c r="E653" s="114" t="str">
        <f t="shared" si="52"/>
        <v>0</v>
      </c>
      <c r="F653" s="114" t="str">
        <f t="shared" si="53"/>
        <v>06</v>
      </c>
      <c r="G653" s="114" t="str">
        <f t="shared" si="54"/>
        <v>2</v>
      </c>
      <c r="H653" s="114" t="str">
        <f t="shared" si="55"/>
        <v>0</v>
      </c>
      <c r="I653" s="115">
        <v>19100620</v>
      </c>
      <c r="J653" s="114" t="s">
        <v>2083</v>
      </c>
      <c r="K653" s="114" t="s">
        <v>4256</v>
      </c>
      <c r="L653" s="116"/>
      <c r="M653" s="114" t="s">
        <v>2878</v>
      </c>
      <c r="N653" s="114" t="s">
        <v>2879</v>
      </c>
      <c r="O653" s="114" t="s">
        <v>2878</v>
      </c>
      <c r="P653" s="117" t="s">
        <v>2880</v>
      </c>
    </row>
    <row r="654" spans="2:16" ht="30" hidden="1" x14ac:dyDescent="0.25">
      <c r="B654" s="108" t="str">
        <f t="shared" si="49"/>
        <v>1</v>
      </c>
      <c r="C654" s="108" t="str">
        <f t="shared" si="50"/>
        <v>9</v>
      </c>
      <c r="D654" s="108" t="str">
        <f t="shared" si="51"/>
        <v>1</v>
      </c>
      <c r="E654" s="108" t="str">
        <f t="shared" si="52"/>
        <v>0</v>
      </c>
      <c r="F654" s="108" t="str">
        <f t="shared" si="53"/>
        <v>07</v>
      </c>
      <c r="G654" s="108" t="str">
        <f t="shared" si="54"/>
        <v>0</v>
      </c>
      <c r="H654" s="108" t="str">
        <f t="shared" si="55"/>
        <v>0</v>
      </c>
      <c r="I654" s="109">
        <v>19100700</v>
      </c>
      <c r="J654" s="108" t="s">
        <v>2093</v>
      </c>
      <c r="K654" s="108" t="s">
        <v>4261</v>
      </c>
      <c r="L654" s="110"/>
      <c r="M654" s="108" t="s">
        <v>2878</v>
      </c>
      <c r="N654" s="108" t="s">
        <v>2879</v>
      </c>
      <c r="O654" s="108" t="s">
        <v>2878</v>
      </c>
      <c r="P654" s="111" t="s">
        <v>2880</v>
      </c>
    </row>
    <row r="655" spans="2:16" ht="30" hidden="1" x14ac:dyDescent="0.25">
      <c r="B655" s="114" t="str">
        <f t="shared" si="49"/>
        <v>1</v>
      </c>
      <c r="C655" s="114" t="str">
        <f t="shared" si="50"/>
        <v>9</v>
      </c>
      <c r="D655" s="114" t="str">
        <f t="shared" si="51"/>
        <v>1</v>
      </c>
      <c r="E655" s="114" t="str">
        <f t="shared" si="52"/>
        <v>0</v>
      </c>
      <c r="F655" s="114" t="str">
        <f t="shared" si="53"/>
        <v>07</v>
      </c>
      <c r="G655" s="114" t="str">
        <f t="shared" si="54"/>
        <v>1</v>
      </c>
      <c r="H655" s="114" t="str">
        <f t="shared" si="55"/>
        <v>0</v>
      </c>
      <c r="I655" s="115">
        <v>19100710</v>
      </c>
      <c r="J655" s="114" t="s">
        <v>2093</v>
      </c>
      <c r="K655" s="114" t="s">
        <v>4261</v>
      </c>
      <c r="L655" s="116"/>
      <c r="M655" s="114" t="s">
        <v>2878</v>
      </c>
      <c r="N655" s="114" t="s">
        <v>2879</v>
      </c>
      <c r="O655" s="114" t="s">
        <v>2878</v>
      </c>
      <c r="P655" s="117" t="s">
        <v>2880</v>
      </c>
    </row>
    <row r="656" spans="2:16" ht="30" hidden="1" x14ac:dyDescent="0.25">
      <c r="B656" s="108" t="str">
        <f t="shared" si="49"/>
        <v>1</v>
      </c>
      <c r="C656" s="108" t="str">
        <f t="shared" si="50"/>
        <v>9</v>
      </c>
      <c r="D656" s="108" t="str">
        <f t="shared" si="51"/>
        <v>1</v>
      </c>
      <c r="E656" s="108" t="str">
        <f t="shared" si="52"/>
        <v>0</v>
      </c>
      <c r="F656" s="108" t="str">
        <f t="shared" si="53"/>
        <v>08</v>
      </c>
      <c r="G656" s="108" t="str">
        <f t="shared" si="54"/>
        <v>0</v>
      </c>
      <c r="H656" s="108" t="str">
        <f t="shared" si="55"/>
        <v>0</v>
      </c>
      <c r="I656" s="109">
        <v>19100800</v>
      </c>
      <c r="J656" s="108" t="s">
        <v>2073</v>
      </c>
      <c r="K656" s="108" t="s">
        <v>4265</v>
      </c>
      <c r="L656" s="110"/>
      <c r="M656" s="108" t="s">
        <v>2878</v>
      </c>
      <c r="N656" s="108" t="s">
        <v>2879</v>
      </c>
      <c r="O656" s="108" t="s">
        <v>2878</v>
      </c>
      <c r="P656" s="111" t="s">
        <v>2880</v>
      </c>
    </row>
    <row r="657" spans="2:16" ht="30" hidden="1" x14ac:dyDescent="0.25">
      <c r="B657" s="114" t="str">
        <f t="shared" si="49"/>
        <v>1</v>
      </c>
      <c r="C657" s="114" t="str">
        <f t="shared" si="50"/>
        <v>9</v>
      </c>
      <c r="D657" s="114" t="str">
        <f t="shared" si="51"/>
        <v>1</v>
      </c>
      <c r="E657" s="114" t="str">
        <f t="shared" si="52"/>
        <v>0</v>
      </c>
      <c r="F657" s="114" t="str">
        <f t="shared" si="53"/>
        <v>08</v>
      </c>
      <c r="G657" s="114" t="str">
        <f t="shared" si="54"/>
        <v>1</v>
      </c>
      <c r="H657" s="114" t="str">
        <f t="shared" si="55"/>
        <v>0</v>
      </c>
      <c r="I657" s="115">
        <v>19100810</v>
      </c>
      <c r="J657" s="114" t="s">
        <v>2073</v>
      </c>
      <c r="K657" s="114" t="s">
        <v>4265</v>
      </c>
      <c r="L657" s="116"/>
      <c r="M657" s="114" t="s">
        <v>2878</v>
      </c>
      <c r="N657" s="114" t="s">
        <v>2879</v>
      </c>
      <c r="O657" s="114" t="s">
        <v>2878</v>
      </c>
      <c r="P657" s="117" t="s">
        <v>2880</v>
      </c>
    </row>
    <row r="658" spans="2:16" ht="45" hidden="1" x14ac:dyDescent="0.25">
      <c r="B658" s="108" t="str">
        <f t="shared" si="49"/>
        <v>1</v>
      </c>
      <c r="C658" s="108" t="str">
        <f t="shared" si="50"/>
        <v>9</v>
      </c>
      <c r="D658" s="108" t="str">
        <f t="shared" si="51"/>
        <v>1</v>
      </c>
      <c r="E658" s="108" t="str">
        <f t="shared" si="52"/>
        <v>0</v>
      </c>
      <c r="F658" s="108" t="str">
        <f t="shared" si="53"/>
        <v>09</v>
      </c>
      <c r="G658" s="108" t="str">
        <f t="shared" si="54"/>
        <v>0</v>
      </c>
      <c r="H658" s="108" t="str">
        <f t="shared" si="55"/>
        <v>0</v>
      </c>
      <c r="I658" s="109">
        <v>19100900</v>
      </c>
      <c r="J658" s="108" t="s">
        <v>2058</v>
      </c>
      <c r="K658" s="108" t="s">
        <v>4271</v>
      </c>
      <c r="L658" s="110"/>
      <c r="M658" s="108" t="s">
        <v>2878</v>
      </c>
      <c r="N658" s="108" t="s">
        <v>2879</v>
      </c>
      <c r="O658" s="108" t="s">
        <v>2878</v>
      </c>
      <c r="P658" s="111" t="s">
        <v>2880</v>
      </c>
    </row>
    <row r="659" spans="2:16" ht="45" hidden="1" x14ac:dyDescent="0.25">
      <c r="B659" s="114" t="str">
        <f t="shared" si="49"/>
        <v>1</v>
      </c>
      <c r="C659" s="114" t="str">
        <f t="shared" si="50"/>
        <v>9</v>
      </c>
      <c r="D659" s="114" t="str">
        <f t="shared" si="51"/>
        <v>1</v>
      </c>
      <c r="E659" s="114" t="str">
        <f t="shared" si="52"/>
        <v>0</v>
      </c>
      <c r="F659" s="114" t="str">
        <f t="shared" si="53"/>
        <v>09</v>
      </c>
      <c r="G659" s="114" t="str">
        <f t="shared" si="54"/>
        <v>1</v>
      </c>
      <c r="H659" s="114" t="str">
        <f t="shared" si="55"/>
        <v>0</v>
      </c>
      <c r="I659" s="115">
        <v>19100910</v>
      </c>
      <c r="J659" s="114" t="s">
        <v>2058</v>
      </c>
      <c r="K659" s="114" t="s">
        <v>4271</v>
      </c>
      <c r="L659" s="116"/>
      <c r="M659" s="114" t="s">
        <v>2878</v>
      </c>
      <c r="N659" s="114" t="s">
        <v>2879</v>
      </c>
      <c r="O659" s="114" t="s">
        <v>2878</v>
      </c>
      <c r="P659" s="117" t="s">
        <v>2880</v>
      </c>
    </row>
    <row r="660" spans="2:16" ht="45" hidden="1" x14ac:dyDescent="0.25">
      <c r="B660" s="108" t="str">
        <f t="shared" si="49"/>
        <v>1</v>
      </c>
      <c r="C660" s="108" t="str">
        <f t="shared" si="50"/>
        <v>9</v>
      </c>
      <c r="D660" s="108" t="str">
        <f t="shared" si="51"/>
        <v>1</v>
      </c>
      <c r="E660" s="108" t="str">
        <f t="shared" si="52"/>
        <v>0</v>
      </c>
      <c r="F660" s="108" t="str">
        <f t="shared" si="53"/>
        <v>10</v>
      </c>
      <c r="G660" s="108" t="str">
        <f t="shared" si="54"/>
        <v>0</v>
      </c>
      <c r="H660" s="108" t="str">
        <f t="shared" si="55"/>
        <v>0</v>
      </c>
      <c r="I660" s="109">
        <v>19101000</v>
      </c>
      <c r="J660" s="108" t="s">
        <v>2095</v>
      </c>
      <c r="K660" s="108" t="s">
        <v>4275</v>
      </c>
      <c r="L660" s="110"/>
      <c r="M660" s="108" t="s">
        <v>2878</v>
      </c>
      <c r="N660" s="108" t="s">
        <v>2879</v>
      </c>
      <c r="O660" s="108" t="s">
        <v>2878</v>
      </c>
      <c r="P660" s="111" t="s">
        <v>2880</v>
      </c>
    </row>
    <row r="661" spans="2:16" ht="45" hidden="1" x14ac:dyDescent="0.25">
      <c r="B661" s="114" t="str">
        <f t="shared" si="49"/>
        <v>1</v>
      </c>
      <c r="C661" s="114" t="str">
        <f t="shared" si="50"/>
        <v>9</v>
      </c>
      <c r="D661" s="114" t="str">
        <f t="shared" si="51"/>
        <v>1</v>
      </c>
      <c r="E661" s="114" t="str">
        <f t="shared" si="52"/>
        <v>0</v>
      </c>
      <c r="F661" s="114" t="str">
        <f t="shared" si="53"/>
        <v>10</v>
      </c>
      <c r="G661" s="114" t="str">
        <f t="shared" si="54"/>
        <v>1</v>
      </c>
      <c r="H661" s="114" t="str">
        <f t="shared" si="55"/>
        <v>0</v>
      </c>
      <c r="I661" s="115">
        <v>19101010</v>
      </c>
      <c r="J661" s="114" t="s">
        <v>2095</v>
      </c>
      <c r="K661" s="114" t="s">
        <v>4275</v>
      </c>
      <c r="L661" s="116"/>
      <c r="M661" s="114" t="s">
        <v>2878</v>
      </c>
      <c r="N661" s="114" t="s">
        <v>2879</v>
      </c>
      <c r="O661" s="114" t="s">
        <v>2878</v>
      </c>
      <c r="P661" s="117" t="s">
        <v>2880</v>
      </c>
    </row>
    <row r="662" spans="2:16" ht="210" hidden="1" x14ac:dyDescent="0.25">
      <c r="B662" s="108" t="str">
        <f t="shared" si="49"/>
        <v>1</v>
      </c>
      <c r="C662" s="108" t="str">
        <f t="shared" si="50"/>
        <v>9</v>
      </c>
      <c r="D662" s="108" t="str">
        <f t="shared" si="51"/>
        <v>1</v>
      </c>
      <c r="E662" s="108" t="str">
        <f t="shared" si="52"/>
        <v>0</v>
      </c>
      <c r="F662" s="108" t="str">
        <f t="shared" si="53"/>
        <v>11</v>
      </c>
      <c r="G662" s="108" t="str">
        <f t="shared" si="54"/>
        <v>0</v>
      </c>
      <c r="H662" s="108" t="str">
        <f t="shared" si="55"/>
        <v>0</v>
      </c>
      <c r="I662" s="109">
        <v>19101100</v>
      </c>
      <c r="J662" s="108" t="s">
        <v>4283</v>
      </c>
      <c r="K662" s="108" t="s">
        <v>4284</v>
      </c>
      <c r="L662" s="110"/>
      <c r="M662" s="108" t="s">
        <v>2878</v>
      </c>
      <c r="N662" s="108" t="s">
        <v>2879</v>
      </c>
      <c r="O662" s="108" t="s">
        <v>2878</v>
      </c>
      <c r="P662" s="111" t="s">
        <v>2880</v>
      </c>
    </row>
    <row r="663" spans="2:16" ht="210" hidden="1" x14ac:dyDescent="0.25">
      <c r="B663" s="114" t="str">
        <f t="shared" si="49"/>
        <v>1</v>
      </c>
      <c r="C663" s="114" t="str">
        <f t="shared" si="50"/>
        <v>9</v>
      </c>
      <c r="D663" s="114" t="str">
        <f t="shared" si="51"/>
        <v>1</v>
      </c>
      <c r="E663" s="114" t="str">
        <f t="shared" si="52"/>
        <v>0</v>
      </c>
      <c r="F663" s="114" t="str">
        <f t="shared" si="53"/>
        <v>11</v>
      </c>
      <c r="G663" s="114" t="str">
        <f t="shared" si="54"/>
        <v>1</v>
      </c>
      <c r="H663" s="114" t="str">
        <f t="shared" si="55"/>
        <v>0</v>
      </c>
      <c r="I663" s="115">
        <v>19101110</v>
      </c>
      <c r="J663" s="114" t="s">
        <v>4283</v>
      </c>
      <c r="K663" s="114" t="s">
        <v>4284</v>
      </c>
      <c r="L663" s="116"/>
      <c r="M663" s="114" t="s">
        <v>2878</v>
      </c>
      <c r="N663" s="114" t="s">
        <v>2879</v>
      </c>
      <c r="O663" s="114" t="s">
        <v>2878</v>
      </c>
      <c r="P663" s="117" t="s">
        <v>2880</v>
      </c>
    </row>
    <row r="664" spans="2:16" s="148" customFormat="1" ht="60" hidden="1" x14ac:dyDescent="0.25">
      <c r="B664" s="145" t="str">
        <f t="shared" si="49"/>
        <v>1</v>
      </c>
      <c r="C664" s="145" t="str">
        <f t="shared" si="50"/>
        <v>9</v>
      </c>
      <c r="D664" s="145" t="str">
        <f t="shared" si="51"/>
        <v>1</v>
      </c>
      <c r="E664" s="145" t="str">
        <f t="shared" si="52"/>
        <v>0</v>
      </c>
      <c r="F664" s="145" t="str">
        <f t="shared" si="53"/>
        <v>12</v>
      </c>
      <c r="G664" s="145" t="str">
        <f t="shared" si="54"/>
        <v>0</v>
      </c>
      <c r="H664" s="145" t="str">
        <f t="shared" si="55"/>
        <v>0</v>
      </c>
      <c r="I664" s="143">
        <v>19101200</v>
      </c>
      <c r="J664" s="145" t="s">
        <v>5588</v>
      </c>
      <c r="K664" s="145" t="s">
        <v>5589</v>
      </c>
      <c r="L664" s="146"/>
      <c r="M664" s="145" t="s">
        <v>2878</v>
      </c>
      <c r="N664" s="145" t="s">
        <v>5590</v>
      </c>
      <c r="O664" s="145" t="s">
        <v>2878</v>
      </c>
      <c r="P664" s="147" t="s">
        <v>2880</v>
      </c>
    </row>
    <row r="665" spans="2:16" s="148" customFormat="1" ht="60" hidden="1" x14ac:dyDescent="0.25">
      <c r="B665" s="149" t="str">
        <f t="shared" si="49"/>
        <v>1</v>
      </c>
      <c r="C665" s="149" t="str">
        <f t="shared" si="50"/>
        <v>9</v>
      </c>
      <c r="D665" s="149" t="str">
        <f t="shared" si="51"/>
        <v>1</v>
      </c>
      <c r="E665" s="149" t="str">
        <f t="shared" si="52"/>
        <v>0</v>
      </c>
      <c r="F665" s="149" t="str">
        <f t="shared" si="53"/>
        <v>12</v>
      </c>
      <c r="G665" s="149" t="str">
        <f t="shared" si="54"/>
        <v>1</v>
      </c>
      <c r="H665" s="149" t="str">
        <f t="shared" si="55"/>
        <v>0</v>
      </c>
      <c r="I665" s="144">
        <v>19101210</v>
      </c>
      <c r="J665" s="149" t="s">
        <v>5588</v>
      </c>
      <c r="K665" s="149" t="s">
        <v>5589</v>
      </c>
      <c r="L665" s="150"/>
      <c r="M665" s="149" t="s">
        <v>2878</v>
      </c>
      <c r="N665" s="149" t="s">
        <v>5590</v>
      </c>
      <c r="O665" s="149" t="s">
        <v>2878</v>
      </c>
      <c r="P665" s="151" t="s">
        <v>2880</v>
      </c>
    </row>
    <row r="666" spans="2:16" s="148" customFormat="1" ht="45" hidden="1" x14ac:dyDescent="0.25">
      <c r="B666" s="145" t="str">
        <f t="shared" si="49"/>
        <v>1</v>
      </c>
      <c r="C666" s="145" t="str">
        <f t="shared" si="50"/>
        <v>9</v>
      </c>
      <c r="D666" s="145" t="str">
        <f t="shared" si="51"/>
        <v>1</v>
      </c>
      <c r="E666" s="145" t="str">
        <f t="shared" si="52"/>
        <v>0</v>
      </c>
      <c r="F666" s="145" t="str">
        <f t="shared" si="53"/>
        <v>13</v>
      </c>
      <c r="G666" s="145" t="str">
        <f t="shared" si="54"/>
        <v>0</v>
      </c>
      <c r="H666" s="145" t="str">
        <f t="shared" si="55"/>
        <v>0</v>
      </c>
      <c r="I666" s="143">
        <v>19101300</v>
      </c>
      <c r="J666" s="145" t="s">
        <v>5591</v>
      </c>
      <c r="K666" s="145" t="s">
        <v>5594</v>
      </c>
      <c r="L666" s="146"/>
      <c r="M666" s="145" t="s">
        <v>2878</v>
      </c>
      <c r="N666" s="145" t="s">
        <v>5587</v>
      </c>
      <c r="O666" s="145" t="s">
        <v>5596</v>
      </c>
      <c r="P666" s="147" t="s">
        <v>2880</v>
      </c>
    </row>
    <row r="667" spans="2:16" s="148" customFormat="1" ht="60" hidden="1" x14ac:dyDescent="0.25">
      <c r="B667" s="149" t="str">
        <f t="shared" si="49"/>
        <v>1</v>
      </c>
      <c r="C667" s="149" t="str">
        <f t="shared" si="50"/>
        <v>9</v>
      </c>
      <c r="D667" s="149" t="str">
        <f t="shared" si="51"/>
        <v>1</v>
      </c>
      <c r="E667" s="149" t="str">
        <f t="shared" si="52"/>
        <v>0</v>
      </c>
      <c r="F667" s="149" t="str">
        <f t="shared" si="53"/>
        <v>13</v>
      </c>
      <c r="G667" s="149" t="str">
        <f t="shared" si="54"/>
        <v>1</v>
      </c>
      <c r="H667" s="149" t="str">
        <f t="shared" si="55"/>
        <v>0</v>
      </c>
      <c r="I667" s="144">
        <v>19101310</v>
      </c>
      <c r="J667" s="149" t="s">
        <v>5592</v>
      </c>
      <c r="K667" s="149" t="s">
        <v>5593</v>
      </c>
      <c r="L667" s="150"/>
      <c r="M667" s="149" t="s">
        <v>2878</v>
      </c>
      <c r="N667" s="149" t="s">
        <v>5587</v>
      </c>
      <c r="O667" s="149" t="s">
        <v>5596</v>
      </c>
      <c r="P667" s="151" t="s">
        <v>2880</v>
      </c>
    </row>
    <row r="668" spans="2:16" s="148" customFormat="1" ht="60" hidden="1" x14ac:dyDescent="0.25">
      <c r="B668" s="149" t="str">
        <f t="shared" si="49"/>
        <v>1</v>
      </c>
      <c r="C668" s="149" t="str">
        <f t="shared" si="50"/>
        <v>9</v>
      </c>
      <c r="D668" s="149" t="str">
        <f t="shared" si="51"/>
        <v>1</v>
      </c>
      <c r="E668" s="149" t="str">
        <f t="shared" si="52"/>
        <v>0</v>
      </c>
      <c r="F668" s="149" t="str">
        <f t="shared" si="53"/>
        <v>13</v>
      </c>
      <c r="G668" s="149" t="str">
        <f t="shared" si="54"/>
        <v>2</v>
      </c>
      <c r="H668" s="149" t="str">
        <f t="shared" si="55"/>
        <v>0</v>
      </c>
      <c r="I668" s="144">
        <v>19101320</v>
      </c>
      <c r="J668" s="149" t="s">
        <v>2095</v>
      </c>
      <c r="K668" s="149" t="s">
        <v>5595</v>
      </c>
      <c r="L668" s="150"/>
      <c r="M668" s="149" t="s">
        <v>2878</v>
      </c>
      <c r="N668" s="149" t="s">
        <v>5587</v>
      </c>
      <c r="O668" s="149" t="s">
        <v>5596</v>
      </c>
      <c r="P668" s="151" t="s">
        <v>2880</v>
      </c>
    </row>
    <row r="669" spans="2:16" ht="30" hidden="1" x14ac:dyDescent="0.25">
      <c r="B669" s="126" t="str">
        <f t="shared" si="49"/>
        <v>1</v>
      </c>
      <c r="C669" s="126" t="str">
        <f t="shared" si="50"/>
        <v>9</v>
      </c>
      <c r="D669" s="126" t="str">
        <f t="shared" si="51"/>
        <v>2</v>
      </c>
      <c r="E669" s="126" t="str">
        <f t="shared" si="52"/>
        <v>0</v>
      </c>
      <c r="F669" s="126" t="str">
        <f t="shared" si="53"/>
        <v>00</v>
      </c>
      <c r="G669" s="126" t="str">
        <f t="shared" si="54"/>
        <v>0</v>
      </c>
      <c r="H669" s="126" t="str">
        <f t="shared" si="55"/>
        <v>0</v>
      </c>
      <c r="I669" s="127">
        <v>19200000</v>
      </c>
      <c r="J669" s="126" t="s">
        <v>4288</v>
      </c>
      <c r="K669" s="126" t="s">
        <v>4289</v>
      </c>
      <c r="L669" s="122"/>
      <c r="M669" s="126" t="s">
        <v>2878</v>
      </c>
      <c r="N669" s="126" t="s">
        <v>5016</v>
      </c>
      <c r="O669" s="126" t="s">
        <v>2878</v>
      </c>
      <c r="P669" s="128" t="s">
        <v>2880</v>
      </c>
    </row>
    <row r="670" spans="2:16" ht="30" hidden="1" x14ac:dyDescent="0.25">
      <c r="B670" s="104" t="str">
        <f t="shared" si="49"/>
        <v>1</v>
      </c>
      <c r="C670" s="104" t="str">
        <f t="shared" si="50"/>
        <v>9</v>
      </c>
      <c r="D670" s="104" t="str">
        <f t="shared" si="51"/>
        <v>2</v>
      </c>
      <c r="E670" s="104" t="str">
        <f t="shared" si="52"/>
        <v>1</v>
      </c>
      <c r="F670" s="104" t="str">
        <f t="shared" si="53"/>
        <v>00</v>
      </c>
      <c r="G670" s="104" t="str">
        <f t="shared" si="54"/>
        <v>0</v>
      </c>
      <c r="H670" s="104" t="str">
        <f t="shared" si="55"/>
        <v>0</v>
      </c>
      <c r="I670" s="105">
        <v>19210000</v>
      </c>
      <c r="J670" s="104" t="s">
        <v>2129</v>
      </c>
      <c r="K670" s="104" t="s">
        <v>4290</v>
      </c>
      <c r="L670" s="106"/>
      <c r="M670" s="104" t="s">
        <v>2878</v>
      </c>
      <c r="N670" s="104" t="s">
        <v>2879</v>
      </c>
      <c r="O670" s="104" t="s">
        <v>2878</v>
      </c>
      <c r="P670" s="107" t="s">
        <v>2880</v>
      </c>
    </row>
    <row r="671" spans="2:16" ht="30" hidden="1" x14ac:dyDescent="0.25">
      <c r="B671" s="108" t="str">
        <f t="shared" si="49"/>
        <v>1</v>
      </c>
      <c r="C671" s="108" t="str">
        <f t="shared" si="50"/>
        <v>9</v>
      </c>
      <c r="D671" s="108" t="str">
        <f t="shared" si="51"/>
        <v>2</v>
      </c>
      <c r="E671" s="108" t="str">
        <f t="shared" si="52"/>
        <v>1</v>
      </c>
      <c r="F671" s="108" t="str">
        <f t="shared" si="53"/>
        <v>01</v>
      </c>
      <c r="G671" s="108" t="str">
        <f t="shared" si="54"/>
        <v>0</v>
      </c>
      <c r="H671" s="108" t="str">
        <f t="shared" si="55"/>
        <v>0</v>
      </c>
      <c r="I671" s="109">
        <v>19210100</v>
      </c>
      <c r="J671" s="108" t="s">
        <v>2134</v>
      </c>
      <c r="K671" s="108" t="s">
        <v>4291</v>
      </c>
      <c r="L671" s="110"/>
      <c r="M671" s="108" t="s">
        <v>2878</v>
      </c>
      <c r="N671" s="108" t="s">
        <v>2879</v>
      </c>
      <c r="O671" s="108" t="s">
        <v>2878</v>
      </c>
      <c r="P671" s="111" t="s">
        <v>2880</v>
      </c>
    </row>
    <row r="672" spans="2:16" ht="30" hidden="1" x14ac:dyDescent="0.25">
      <c r="B672" s="114" t="str">
        <f t="shared" si="49"/>
        <v>1</v>
      </c>
      <c r="C672" s="114" t="str">
        <f t="shared" si="50"/>
        <v>9</v>
      </c>
      <c r="D672" s="114" t="str">
        <f t="shared" si="51"/>
        <v>2</v>
      </c>
      <c r="E672" s="114" t="str">
        <f t="shared" si="52"/>
        <v>1</v>
      </c>
      <c r="F672" s="114" t="str">
        <f t="shared" si="53"/>
        <v>01</v>
      </c>
      <c r="G672" s="114" t="str">
        <f t="shared" si="54"/>
        <v>1</v>
      </c>
      <c r="H672" s="114" t="str">
        <f t="shared" si="55"/>
        <v>0</v>
      </c>
      <c r="I672" s="115">
        <v>19210110</v>
      </c>
      <c r="J672" s="114" t="s">
        <v>2134</v>
      </c>
      <c r="K672" s="114" t="s">
        <v>4291</v>
      </c>
      <c r="L672" s="116"/>
      <c r="M672" s="114" t="s">
        <v>2878</v>
      </c>
      <c r="N672" s="114" t="s">
        <v>2879</v>
      </c>
      <c r="O672" s="114" t="s">
        <v>2878</v>
      </c>
      <c r="P672" s="117" t="s">
        <v>2880</v>
      </c>
    </row>
    <row r="673" spans="2:16" ht="30" hidden="1" x14ac:dyDescent="0.25">
      <c r="B673" s="108" t="str">
        <f t="shared" si="49"/>
        <v>1</v>
      </c>
      <c r="C673" s="108" t="str">
        <f t="shared" si="50"/>
        <v>9</v>
      </c>
      <c r="D673" s="108" t="str">
        <f t="shared" si="51"/>
        <v>2</v>
      </c>
      <c r="E673" s="108" t="str">
        <f t="shared" si="52"/>
        <v>1</v>
      </c>
      <c r="F673" s="108" t="str">
        <f t="shared" si="53"/>
        <v>02</v>
      </c>
      <c r="G673" s="108" t="str">
        <f t="shared" si="54"/>
        <v>0</v>
      </c>
      <c r="H673" s="108" t="str">
        <f t="shared" si="55"/>
        <v>0</v>
      </c>
      <c r="I673" s="109">
        <v>19210200</v>
      </c>
      <c r="J673" s="108" t="s">
        <v>4296</v>
      </c>
      <c r="K673" s="108" t="s">
        <v>4297</v>
      </c>
      <c r="L673" s="110"/>
      <c r="M673" s="108" t="s">
        <v>2878</v>
      </c>
      <c r="N673" s="108" t="s">
        <v>2879</v>
      </c>
      <c r="O673" s="108" t="s">
        <v>2878</v>
      </c>
      <c r="P673" s="111" t="s">
        <v>2880</v>
      </c>
    </row>
    <row r="674" spans="2:16" ht="30" hidden="1" x14ac:dyDescent="0.25">
      <c r="B674" s="114" t="str">
        <f t="shared" si="49"/>
        <v>1</v>
      </c>
      <c r="C674" s="114" t="str">
        <f t="shared" si="50"/>
        <v>9</v>
      </c>
      <c r="D674" s="114" t="str">
        <f t="shared" si="51"/>
        <v>2</v>
      </c>
      <c r="E674" s="114" t="str">
        <f t="shared" si="52"/>
        <v>1</v>
      </c>
      <c r="F674" s="114" t="str">
        <f t="shared" si="53"/>
        <v>02</v>
      </c>
      <c r="G674" s="114" t="str">
        <f t="shared" si="54"/>
        <v>1</v>
      </c>
      <c r="H674" s="114" t="str">
        <f t="shared" si="55"/>
        <v>0</v>
      </c>
      <c r="I674" s="115">
        <v>19210210</v>
      </c>
      <c r="J674" s="114" t="s">
        <v>4296</v>
      </c>
      <c r="K674" s="114" t="s">
        <v>4297</v>
      </c>
      <c r="L674" s="116"/>
      <c r="M674" s="114" t="s">
        <v>2878</v>
      </c>
      <c r="N674" s="114" t="s">
        <v>2879</v>
      </c>
      <c r="O674" s="114" t="s">
        <v>2878</v>
      </c>
      <c r="P674" s="117" t="s">
        <v>2880</v>
      </c>
    </row>
    <row r="675" spans="2:16" ht="75" hidden="1" x14ac:dyDescent="0.25">
      <c r="B675" s="108" t="str">
        <f t="shared" si="49"/>
        <v>1</v>
      </c>
      <c r="C675" s="108" t="str">
        <f t="shared" si="50"/>
        <v>9</v>
      </c>
      <c r="D675" s="108" t="str">
        <f t="shared" si="51"/>
        <v>2</v>
      </c>
      <c r="E675" s="108" t="str">
        <f t="shared" si="52"/>
        <v>1</v>
      </c>
      <c r="F675" s="108" t="str">
        <f t="shared" si="53"/>
        <v>03</v>
      </c>
      <c r="G675" s="108" t="str">
        <f t="shared" si="54"/>
        <v>0</v>
      </c>
      <c r="H675" s="108" t="str">
        <f t="shared" si="55"/>
        <v>0</v>
      </c>
      <c r="I675" s="109">
        <v>19210300</v>
      </c>
      <c r="J675" s="108" t="s">
        <v>4301</v>
      </c>
      <c r="K675" s="108" t="s">
        <v>4302</v>
      </c>
      <c r="L675" s="110"/>
      <c r="M675" s="108" t="s">
        <v>2878</v>
      </c>
      <c r="N675" s="108" t="s">
        <v>2879</v>
      </c>
      <c r="O675" s="108" t="s">
        <v>2878</v>
      </c>
      <c r="P675" s="111" t="s">
        <v>2880</v>
      </c>
    </row>
    <row r="676" spans="2:16" ht="75" hidden="1" x14ac:dyDescent="0.25">
      <c r="B676" s="114" t="str">
        <f t="shared" si="49"/>
        <v>1</v>
      </c>
      <c r="C676" s="114" t="str">
        <f t="shared" si="50"/>
        <v>9</v>
      </c>
      <c r="D676" s="114" t="str">
        <f t="shared" si="51"/>
        <v>2</v>
      </c>
      <c r="E676" s="114" t="str">
        <f t="shared" si="52"/>
        <v>1</v>
      </c>
      <c r="F676" s="114" t="str">
        <f t="shared" si="53"/>
        <v>03</v>
      </c>
      <c r="G676" s="114" t="str">
        <f t="shared" si="54"/>
        <v>1</v>
      </c>
      <c r="H676" s="114" t="str">
        <f t="shared" si="55"/>
        <v>0</v>
      </c>
      <c r="I676" s="115">
        <v>19210310</v>
      </c>
      <c r="J676" s="114" t="s">
        <v>4301</v>
      </c>
      <c r="K676" s="114" t="s">
        <v>4302</v>
      </c>
      <c r="L676" s="116"/>
      <c r="M676" s="114" t="s">
        <v>2878</v>
      </c>
      <c r="N676" s="114" t="s">
        <v>2879</v>
      </c>
      <c r="O676" s="114" t="s">
        <v>2878</v>
      </c>
      <c r="P676" s="117" t="s">
        <v>2880</v>
      </c>
    </row>
    <row r="677" spans="2:16" ht="30" hidden="1" x14ac:dyDescent="0.25">
      <c r="B677" s="108" t="str">
        <f t="shared" si="49"/>
        <v>1</v>
      </c>
      <c r="C677" s="108" t="str">
        <f t="shared" si="50"/>
        <v>9</v>
      </c>
      <c r="D677" s="108" t="str">
        <f t="shared" si="51"/>
        <v>2</v>
      </c>
      <c r="E677" s="108" t="str">
        <f t="shared" si="52"/>
        <v>1</v>
      </c>
      <c r="F677" s="108" t="str">
        <f t="shared" si="53"/>
        <v>99</v>
      </c>
      <c r="G677" s="108" t="str">
        <f t="shared" si="54"/>
        <v>0</v>
      </c>
      <c r="H677" s="108" t="str">
        <f t="shared" si="55"/>
        <v>0</v>
      </c>
      <c r="I677" s="109">
        <v>19219900</v>
      </c>
      <c r="J677" s="108" t="s">
        <v>2138</v>
      </c>
      <c r="K677" s="108" t="s">
        <v>4306</v>
      </c>
      <c r="L677" s="110"/>
      <c r="M677" s="108" t="s">
        <v>2878</v>
      </c>
      <c r="N677" s="108" t="s">
        <v>2879</v>
      </c>
      <c r="O677" s="108" t="s">
        <v>2878</v>
      </c>
      <c r="P677" s="111" t="s">
        <v>2880</v>
      </c>
    </row>
    <row r="678" spans="2:16" ht="30" hidden="1" x14ac:dyDescent="0.25">
      <c r="B678" s="114" t="str">
        <f t="shared" si="49"/>
        <v>1</v>
      </c>
      <c r="C678" s="114" t="str">
        <f t="shared" si="50"/>
        <v>9</v>
      </c>
      <c r="D678" s="114" t="str">
        <f t="shared" si="51"/>
        <v>2</v>
      </c>
      <c r="E678" s="114" t="str">
        <f t="shared" si="52"/>
        <v>1</v>
      </c>
      <c r="F678" s="114" t="str">
        <f t="shared" si="53"/>
        <v>99</v>
      </c>
      <c r="G678" s="114" t="str">
        <f t="shared" si="54"/>
        <v>1</v>
      </c>
      <c r="H678" s="114" t="str">
        <f t="shared" si="55"/>
        <v>0</v>
      </c>
      <c r="I678" s="115">
        <v>19219910</v>
      </c>
      <c r="J678" s="114" t="s">
        <v>2138</v>
      </c>
      <c r="K678" s="114" t="s">
        <v>4306</v>
      </c>
      <c r="L678" s="116"/>
      <c r="M678" s="114" t="s">
        <v>2878</v>
      </c>
      <c r="N678" s="114" t="s">
        <v>2879</v>
      </c>
      <c r="O678" s="114" t="s">
        <v>2878</v>
      </c>
      <c r="P678" s="117" t="s">
        <v>2880</v>
      </c>
    </row>
    <row r="679" spans="2:16" ht="45" hidden="1" x14ac:dyDescent="0.25">
      <c r="B679" s="104" t="str">
        <f t="shared" si="49"/>
        <v>1</v>
      </c>
      <c r="C679" s="104" t="str">
        <f t="shared" si="50"/>
        <v>9</v>
      </c>
      <c r="D679" s="104" t="str">
        <f t="shared" si="51"/>
        <v>2</v>
      </c>
      <c r="E679" s="104" t="str">
        <f t="shared" si="52"/>
        <v>2</v>
      </c>
      <c r="F679" s="104" t="str">
        <f t="shared" si="53"/>
        <v>00</v>
      </c>
      <c r="G679" s="104" t="str">
        <f t="shared" si="54"/>
        <v>0</v>
      </c>
      <c r="H679" s="104" t="str">
        <f t="shared" si="55"/>
        <v>0</v>
      </c>
      <c r="I679" s="105">
        <v>19220000</v>
      </c>
      <c r="J679" s="104" t="s">
        <v>2140</v>
      </c>
      <c r="K679" s="104" t="s">
        <v>4310</v>
      </c>
      <c r="L679" s="106"/>
      <c r="M679" s="104" t="s">
        <v>2878</v>
      </c>
      <c r="N679" s="104" t="s">
        <v>2879</v>
      </c>
      <c r="O679" s="104" t="s">
        <v>2878</v>
      </c>
      <c r="P679" s="107" t="s">
        <v>2880</v>
      </c>
    </row>
    <row r="680" spans="2:16" ht="60" hidden="1" x14ac:dyDescent="0.25">
      <c r="B680" s="108" t="str">
        <f t="shared" si="49"/>
        <v>1</v>
      </c>
      <c r="C680" s="108" t="str">
        <f t="shared" si="50"/>
        <v>9</v>
      </c>
      <c r="D680" s="108" t="str">
        <f t="shared" si="51"/>
        <v>2</v>
      </c>
      <c r="E680" s="108" t="str">
        <f t="shared" si="52"/>
        <v>2</v>
      </c>
      <c r="F680" s="108" t="str">
        <f t="shared" si="53"/>
        <v>01</v>
      </c>
      <c r="G680" s="108" t="str">
        <f t="shared" si="54"/>
        <v>0</v>
      </c>
      <c r="H680" s="108" t="str">
        <f t="shared" si="55"/>
        <v>0</v>
      </c>
      <c r="I680" s="109">
        <v>19220100</v>
      </c>
      <c r="J680" s="108" t="s">
        <v>4311</v>
      </c>
      <c r="K680" s="108" t="s">
        <v>4312</v>
      </c>
      <c r="L680" s="110"/>
      <c r="M680" s="108" t="s">
        <v>2878</v>
      </c>
      <c r="N680" s="108" t="s">
        <v>2144</v>
      </c>
      <c r="O680" s="108" t="s">
        <v>2878</v>
      </c>
      <c r="P680" s="111" t="s">
        <v>2880</v>
      </c>
    </row>
    <row r="681" spans="2:16" ht="60" hidden="1" x14ac:dyDescent="0.25">
      <c r="B681" s="114" t="str">
        <f t="shared" si="49"/>
        <v>1</v>
      </c>
      <c r="C681" s="114" t="str">
        <f t="shared" si="50"/>
        <v>9</v>
      </c>
      <c r="D681" s="114" t="str">
        <f t="shared" si="51"/>
        <v>2</v>
      </c>
      <c r="E681" s="114" t="str">
        <f t="shared" si="52"/>
        <v>2</v>
      </c>
      <c r="F681" s="114" t="str">
        <f t="shared" si="53"/>
        <v>01</v>
      </c>
      <c r="G681" s="114" t="str">
        <f t="shared" si="54"/>
        <v>1</v>
      </c>
      <c r="H681" s="114" t="str">
        <f t="shared" si="55"/>
        <v>0</v>
      </c>
      <c r="I681" s="115">
        <v>19220110</v>
      </c>
      <c r="J681" s="114" t="s">
        <v>4313</v>
      </c>
      <c r="K681" s="114" t="s">
        <v>4314</v>
      </c>
      <c r="L681" s="116"/>
      <c r="M681" s="114" t="s">
        <v>2878</v>
      </c>
      <c r="N681" s="114" t="s">
        <v>2879</v>
      </c>
      <c r="O681" s="114" t="s">
        <v>2878</v>
      </c>
      <c r="P681" s="117" t="s">
        <v>2880</v>
      </c>
    </row>
    <row r="682" spans="2:16" ht="60" hidden="1" x14ac:dyDescent="0.25">
      <c r="B682" s="114" t="str">
        <f t="shared" si="49"/>
        <v>1</v>
      </c>
      <c r="C682" s="114" t="str">
        <f t="shared" si="50"/>
        <v>9</v>
      </c>
      <c r="D682" s="114" t="str">
        <f t="shared" si="51"/>
        <v>2</v>
      </c>
      <c r="E682" s="114" t="str">
        <f t="shared" si="52"/>
        <v>2</v>
      </c>
      <c r="F682" s="114" t="str">
        <f t="shared" si="53"/>
        <v>01</v>
      </c>
      <c r="G682" s="114" t="str">
        <f t="shared" si="54"/>
        <v>2</v>
      </c>
      <c r="H682" s="114" t="str">
        <f t="shared" si="55"/>
        <v>0</v>
      </c>
      <c r="I682" s="115">
        <v>19220120</v>
      </c>
      <c r="J682" s="114" t="s">
        <v>4318</v>
      </c>
      <c r="K682" s="114" t="s">
        <v>4314</v>
      </c>
      <c r="L682" s="116"/>
      <c r="M682" s="114" t="s">
        <v>2878</v>
      </c>
      <c r="N682" s="114" t="s">
        <v>2879</v>
      </c>
      <c r="O682" s="114" t="s">
        <v>2878</v>
      </c>
      <c r="P682" s="117" t="s">
        <v>2880</v>
      </c>
    </row>
    <row r="683" spans="2:16" ht="45" hidden="1" x14ac:dyDescent="0.25">
      <c r="B683" s="108" t="str">
        <f t="shared" si="49"/>
        <v>1</v>
      </c>
      <c r="C683" s="108" t="str">
        <f t="shared" si="50"/>
        <v>9</v>
      </c>
      <c r="D683" s="108" t="str">
        <f t="shared" si="51"/>
        <v>2</v>
      </c>
      <c r="E683" s="108" t="str">
        <f t="shared" si="52"/>
        <v>2</v>
      </c>
      <c r="F683" s="108" t="str">
        <f t="shared" si="53"/>
        <v>02</v>
      </c>
      <c r="G683" s="108" t="str">
        <f t="shared" si="54"/>
        <v>0</v>
      </c>
      <c r="H683" s="108" t="str">
        <f t="shared" si="55"/>
        <v>0</v>
      </c>
      <c r="I683" s="109">
        <v>19220200</v>
      </c>
      <c r="J683" s="108" t="s">
        <v>4321</v>
      </c>
      <c r="K683" s="108" t="s">
        <v>4322</v>
      </c>
      <c r="L683" s="110"/>
      <c r="M683" s="108" t="s">
        <v>2878</v>
      </c>
      <c r="N683" s="108" t="s">
        <v>2879</v>
      </c>
      <c r="O683" s="108" t="s">
        <v>2878</v>
      </c>
      <c r="P683" s="111" t="s">
        <v>2880</v>
      </c>
    </row>
    <row r="684" spans="2:16" ht="45" hidden="1" x14ac:dyDescent="0.25">
      <c r="B684" s="114" t="str">
        <f t="shared" ref="B684:B747" si="56">MID($I684,1,1)</f>
        <v>1</v>
      </c>
      <c r="C684" s="114" t="str">
        <f t="shared" ref="C684:C747" si="57">MID($I684,2,1)</f>
        <v>9</v>
      </c>
      <c r="D684" s="114" t="str">
        <f t="shared" ref="D684:D747" si="58">MID($I684,3,1)</f>
        <v>2</v>
      </c>
      <c r="E684" s="114" t="str">
        <f t="shared" ref="E684:E747" si="59">MID($I684,4,1)</f>
        <v>2</v>
      </c>
      <c r="F684" s="114" t="str">
        <f t="shared" ref="F684:F747" si="60">MID($I684,5,2)</f>
        <v>02</v>
      </c>
      <c r="G684" s="114" t="str">
        <f t="shared" ref="G684:G747" si="61">MID($I684,7,1)</f>
        <v>1</v>
      </c>
      <c r="H684" s="114" t="str">
        <f t="shared" ref="H684:H747" si="62">MID($I684,8,1)</f>
        <v>0</v>
      </c>
      <c r="I684" s="115">
        <v>19220210</v>
      </c>
      <c r="J684" s="114" t="s">
        <v>4321</v>
      </c>
      <c r="K684" s="114" t="s">
        <v>4322</v>
      </c>
      <c r="L684" s="116"/>
      <c r="M684" s="114" t="s">
        <v>2878</v>
      </c>
      <c r="N684" s="114" t="s">
        <v>2152</v>
      </c>
      <c r="O684" s="114" t="s">
        <v>2878</v>
      </c>
      <c r="P684" s="117" t="s">
        <v>2880</v>
      </c>
    </row>
    <row r="685" spans="2:16" ht="30" hidden="1" x14ac:dyDescent="0.25">
      <c r="B685" s="108" t="str">
        <f t="shared" si="56"/>
        <v>1</v>
      </c>
      <c r="C685" s="108" t="str">
        <f t="shared" si="57"/>
        <v>9</v>
      </c>
      <c r="D685" s="108" t="str">
        <f t="shared" si="58"/>
        <v>2</v>
      </c>
      <c r="E685" s="108" t="str">
        <f t="shared" si="59"/>
        <v>2</v>
      </c>
      <c r="F685" s="108" t="str">
        <f t="shared" si="60"/>
        <v>03</v>
      </c>
      <c r="G685" s="108" t="str">
        <f t="shared" si="61"/>
        <v>0</v>
      </c>
      <c r="H685" s="108" t="str">
        <f t="shared" si="62"/>
        <v>0</v>
      </c>
      <c r="I685" s="109">
        <v>19220300</v>
      </c>
      <c r="J685" s="108" t="s">
        <v>4327</v>
      </c>
      <c r="K685" s="108" t="s">
        <v>4328</v>
      </c>
      <c r="L685" s="110"/>
      <c r="M685" s="108" t="s">
        <v>2878</v>
      </c>
      <c r="N685" s="108" t="s">
        <v>2879</v>
      </c>
      <c r="O685" s="108" t="s">
        <v>2878</v>
      </c>
      <c r="P685" s="111" t="s">
        <v>2880</v>
      </c>
    </row>
    <row r="686" spans="2:16" ht="30" hidden="1" x14ac:dyDescent="0.25">
      <c r="B686" s="114" t="str">
        <f t="shared" si="56"/>
        <v>1</v>
      </c>
      <c r="C686" s="114" t="str">
        <f t="shared" si="57"/>
        <v>9</v>
      </c>
      <c r="D686" s="114" t="str">
        <f t="shared" si="58"/>
        <v>2</v>
      </c>
      <c r="E686" s="114" t="str">
        <f t="shared" si="59"/>
        <v>2</v>
      </c>
      <c r="F686" s="114" t="str">
        <f t="shared" si="60"/>
        <v>03</v>
      </c>
      <c r="G686" s="114" t="str">
        <f t="shared" si="61"/>
        <v>1</v>
      </c>
      <c r="H686" s="114" t="str">
        <f t="shared" si="62"/>
        <v>0</v>
      </c>
      <c r="I686" s="115">
        <v>19220310</v>
      </c>
      <c r="J686" s="114" t="s">
        <v>4327</v>
      </c>
      <c r="K686" s="114" t="s">
        <v>4328</v>
      </c>
      <c r="L686" s="116"/>
      <c r="M686" s="114" t="s">
        <v>2878</v>
      </c>
      <c r="N686" s="114" t="s">
        <v>2879</v>
      </c>
      <c r="O686" s="114" t="s">
        <v>2878</v>
      </c>
      <c r="P686" s="117" t="s">
        <v>2880</v>
      </c>
    </row>
    <row r="687" spans="2:16" ht="60" hidden="1" x14ac:dyDescent="0.25">
      <c r="B687" s="108" t="str">
        <f t="shared" si="56"/>
        <v>1</v>
      </c>
      <c r="C687" s="108" t="str">
        <f t="shared" si="57"/>
        <v>9</v>
      </c>
      <c r="D687" s="108" t="str">
        <f t="shared" si="58"/>
        <v>2</v>
      </c>
      <c r="E687" s="108" t="str">
        <f t="shared" si="59"/>
        <v>2</v>
      </c>
      <c r="F687" s="108" t="str">
        <f t="shared" si="60"/>
        <v>04</v>
      </c>
      <c r="G687" s="108" t="str">
        <f t="shared" si="61"/>
        <v>0</v>
      </c>
      <c r="H687" s="108" t="str">
        <f t="shared" si="62"/>
        <v>0</v>
      </c>
      <c r="I687" s="109">
        <v>19220400</v>
      </c>
      <c r="J687" s="108" t="s">
        <v>4332</v>
      </c>
      <c r="K687" s="108" t="s">
        <v>4333</v>
      </c>
      <c r="L687" s="110"/>
      <c r="M687" s="108" t="s">
        <v>2878</v>
      </c>
      <c r="N687" s="108" t="s">
        <v>2879</v>
      </c>
      <c r="O687" s="108" t="s">
        <v>2878</v>
      </c>
      <c r="P687" s="111" t="s">
        <v>2880</v>
      </c>
    </row>
    <row r="688" spans="2:16" ht="60" hidden="1" x14ac:dyDescent="0.25">
      <c r="B688" s="114" t="str">
        <f t="shared" si="56"/>
        <v>1</v>
      </c>
      <c r="C688" s="114" t="str">
        <f t="shared" si="57"/>
        <v>9</v>
      </c>
      <c r="D688" s="114" t="str">
        <f t="shared" si="58"/>
        <v>2</v>
      </c>
      <c r="E688" s="114" t="str">
        <f t="shared" si="59"/>
        <v>2</v>
      </c>
      <c r="F688" s="114" t="str">
        <f t="shared" si="60"/>
        <v>04</v>
      </c>
      <c r="G688" s="114" t="str">
        <f t="shared" si="61"/>
        <v>1</v>
      </c>
      <c r="H688" s="114" t="str">
        <f t="shared" si="62"/>
        <v>0</v>
      </c>
      <c r="I688" s="115">
        <v>19220410</v>
      </c>
      <c r="J688" s="114" t="s">
        <v>4332</v>
      </c>
      <c r="K688" s="114" t="s">
        <v>4333</v>
      </c>
      <c r="L688" s="116"/>
      <c r="M688" s="114" t="s">
        <v>2878</v>
      </c>
      <c r="N688" s="114" t="s">
        <v>2879</v>
      </c>
      <c r="O688" s="114" t="s">
        <v>2878</v>
      </c>
      <c r="P688" s="117" t="s">
        <v>2880</v>
      </c>
    </row>
    <row r="689" spans="2:16" ht="45" hidden="1" x14ac:dyDescent="0.25">
      <c r="B689" s="108" t="str">
        <f t="shared" si="56"/>
        <v>1</v>
      </c>
      <c r="C689" s="108" t="str">
        <f t="shared" si="57"/>
        <v>9</v>
      </c>
      <c r="D689" s="108" t="str">
        <f t="shared" si="58"/>
        <v>2</v>
      </c>
      <c r="E689" s="108" t="str">
        <f t="shared" si="59"/>
        <v>2</v>
      </c>
      <c r="F689" s="108" t="str">
        <f t="shared" si="60"/>
        <v>05</v>
      </c>
      <c r="G689" s="108" t="str">
        <f t="shared" si="61"/>
        <v>0</v>
      </c>
      <c r="H689" s="108" t="str">
        <f t="shared" si="62"/>
        <v>0</v>
      </c>
      <c r="I689" s="109">
        <v>19220500</v>
      </c>
      <c r="J689" s="108" t="s">
        <v>2177</v>
      </c>
      <c r="K689" s="108" t="s">
        <v>4337</v>
      </c>
      <c r="L689" s="110"/>
      <c r="M689" s="108" t="s">
        <v>2878</v>
      </c>
      <c r="N689" s="108" t="s">
        <v>2879</v>
      </c>
      <c r="O689" s="108" t="s">
        <v>2878</v>
      </c>
      <c r="P689" s="111" t="s">
        <v>2880</v>
      </c>
    </row>
    <row r="690" spans="2:16" ht="45" hidden="1" x14ac:dyDescent="0.25">
      <c r="B690" s="114" t="str">
        <f t="shared" si="56"/>
        <v>1</v>
      </c>
      <c r="C690" s="114" t="str">
        <f t="shared" si="57"/>
        <v>9</v>
      </c>
      <c r="D690" s="114" t="str">
        <f t="shared" si="58"/>
        <v>2</v>
      </c>
      <c r="E690" s="114" t="str">
        <f t="shared" si="59"/>
        <v>2</v>
      </c>
      <c r="F690" s="114" t="str">
        <f t="shared" si="60"/>
        <v>05</v>
      </c>
      <c r="G690" s="114" t="str">
        <f t="shared" si="61"/>
        <v>1</v>
      </c>
      <c r="H690" s="114" t="str">
        <f t="shared" si="62"/>
        <v>0</v>
      </c>
      <c r="I690" s="115">
        <v>19220510</v>
      </c>
      <c r="J690" s="114" t="s">
        <v>2177</v>
      </c>
      <c r="K690" s="114" t="s">
        <v>4337</v>
      </c>
      <c r="L690" s="116"/>
      <c r="M690" s="114" t="s">
        <v>2878</v>
      </c>
      <c r="N690" s="114" t="s">
        <v>2879</v>
      </c>
      <c r="O690" s="114" t="s">
        <v>2878</v>
      </c>
      <c r="P690" s="117" t="s">
        <v>2880</v>
      </c>
    </row>
    <row r="691" spans="2:16" ht="60" hidden="1" x14ac:dyDescent="0.25">
      <c r="B691" s="108" t="str">
        <f t="shared" si="56"/>
        <v>1</v>
      </c>
      <c r="C691" s="108" t="str">
        <f t="shared" si="57"/>
        <v>9</v>
      </c>
      <c r="D691" s="108" t="str">
        <f t="shared" si="58"/>
        <v>2</v>
      </c>
      <c r="E691" s="108" t="str">
        <f t="shared" si="59"/>
        <v>2</v>
      </c>
      <c r="F691" s="108" t="str">
        <f t="shared" si="60"/>
        <v>06</v>
      </c>
      <c r="G691" s="108" t="str">
        <f t="shared" si="61"/>
        <v>0</v>
      </c>
      <c r="H691" s="108" t="str">
        <f t="shared" si="62"/>
        <v>0</v>
      </c>
      <c r="I691" s="109">
        <v>19220600</v>
      </c>
      <c r="J691" s="108" t="s">
        <v>4342</v>
      </c>
      <c r="K691" s="108" t="s">
        <v>4343</v>
      </c>
      <c r="L691" s="110"/>
      <c r="M691" s="108" t="s">
        <v>2878</v>
      </c>
      <c r="N691" s="108" t="s">
        <v>2879</v>
      </c>
      <c r="O691" s="108" t="s">
        <v>2878</v>
      </c>
      <c r="P691" s="111" t="s">
        <v>2880</v>
      </c>
    </row>
    <row r="692" spans="2:16" ht="60" hidden="1" x14ac:dyDescent="0.25">
      <c r="B692" s="114" t="str">
        <f t="shared" si="56"/>
        <v>1</v>
      </c>
      <c r="C692" s="114" t="str">
        <f t="shared" si="57"/>
        <v>9</v>
      </c>
      <c r="D692" s="114" t="str">
        <f t="shared" si="58"/>
        <v>2</v>
      </c>
      <c r="E692" s="114" t="str">
        <f t="shared" si="59"/>
        <v>2</v>
      </c>
      <c r="F692" s="114" t="str">
        <f t="shared" si="60"/>
        <v>06</v>
      </c>
      <c r="G692" s="114" t="str">
        <f t="shared" si="61"/>
        <v>1</v>
      </c>
      <c r="H692" s="114" t="str">
        <f t="shared" si="62"/>
        <v>0</v>
      </c>
      <c r="I692" s="115">
        <v>19220610</v>
      </c>
      <c r="J692" s="114" t="s">
        <v>4342</v>
      </c>
      <c r="K692" s="114" t="s">
        <v>4343</v>
      </c>
      <c r="L692" s="116"/>
      <c r="M692" s="114" t="s">
        <v>2878</v>
      </c>
      <c r="N692" s="114" t="s">
        <v>2879</v>
      </c>
      <c r="O692" s="114" t="s">
        <v>2878</v>
      </c>
      <c r="P692" s="117" t="s">
        <v>2880</v>
      </c>
    </row>
    <row r="693" spans="2:16" ht="90" hidden="1" x14ac:dyDescent="0.25">
      <c r="B693" s="108" t="str">
        <f t="shared" si="56"/>
        <v>1</v>
      </c>
      <c r="C693" s="108" t="str">
        <f t="shared" si="57"/>
        <v>9</v>
      </c>
      <c r="D693" s="108" t="str">
        <f t="shared" si="58"/>
        <v>2</v>
      </c>
      <c r="E693" s="108" t="str">
        <f t="shared" si="59"/>
        <v>2</v>
      </c>
      <c r="F693" s="108" t="str">
        <f t="shared" si="60"/>
        <v>07</v>
      </c>
      <c r="G693" s="108" t="str">
        <f t="shared" si="61"/>
        <v>0</v>
      </c>
      <c r="H693" s="108" t="str">
        <f t="shared" si="62"/>
        <v>0</v>
      </c>
      <c r="I693" s="109">
        <v>19220700</v>
      </c>
      <c r="J693" s="108" t="s">
        <v>2197</v>
      </c>
      <c r="K693" s="108" t="s">
        <v>4348</v>
      </c>
      <c r="L693" s="110"/>
      <c r="M693" s="108" t="s">
        <v>2878</v>
      </c>
      <c r="N693" s="108" t="s">
        <v>2879</v>
      </c>
      <c r="O693" s="108" t="s">
        <v>2878</v>
      </c>
      <c r="P693" s="111" t="s">
        <v>2880</v>
      </c>
    </row>
    <row r="694" spans="2:16" ht="90" hidden="1" x14ac:dyDescent="0.25">
      <c r="B694" s="114" t="str">
        <f t="shared" si="56"/>
        <v>1</v>
      </c>
      <c r="C694" s="114" t="str">
        <f t="shared" si="57"/>
        <v>9</v>
      </c>
      <c r="D694" s="114" t="str">
        <f t="shared" si="58"/>
        <v>2</v>
      </c>
      <c r="E694" s="114" t="str">
        <f t="shared" si="59"/>
        <v>2</v>
      </c>
      <c r="F694" s="114" t="str">
        <f t="shared" si="60"/>
        <v>07</v>
      </c>
      <c r="G694" s="114" t="str">
        <f t="shared" si="61"/>
        <v>1</v>
      </c>
      <c r="H694" s="114" t="str">
        <f t="shared" si="62"/>
        <v>0</v>
      </c>
      <c r="I694" s="115">
        <v>19220710</v>
      </c>
      <c r="J694" s="114" t="s">
        <v>2197</v>
      </c>
      <c r="K694" s="114" t="s">
        <v>4348</v>
      </c>
      <c r="L694" s="116"/>
      <c r="M694" s="114" t="s">
        <v>2878</v>
      </c>
      <c r="N694" s="114" t="s">
        <v>2879</v>
      </c>
      <c r="O694" s="114" t="s">
        <v>2878</v>
      </c>
      <c r="P694" s="117" t="s">
        <v>2880</v>
      </c>
    </row>
    <row r="695" spans="2:16" ht="75" hidden="1" x14ac:dyDescent="0.25">
      <c r="B695" s="108" t="str">
        <f t="shared" si="56"/>
        <v>1</v>
      </c>
      <c r="C695" s="108" t="str">
        <f t="shared" si="57"/>
        <v>9</v>
      </c>
      <c r="D695" s="108" t="str">
        <f t="shared" si="58"/>
        <v>2</v>
      </c>
      <c r="E695" s="108" t="str">
        <f t="shared" si="59"/>
        <v>2</v>
      </c>
      <c r="F695" s="108" t="str">
        <f t="shared" si="60"/>
        <v>08</v>
      </c>
      <c r="G695" s="108" t="str">
        <f t="shared" si="61"/>
        <v>0</v>
      </c>
      <c r="H695" s="108" t="str">
        <f t="shared" si="62"/>
        <v>0</v>
      </c>
      <c r="I695" s="109">
        <v>19220800</v>
      </c>
      <c r="J695" s="108" t="s">
        <v>4351</v>
      </c>
      <c r="K695" s="108" t="s">
        <v>4352</v>
      </c>
      <c r="L695" s="110"/>
      <c r="M695" s="108" t="s">
        <v>2878</v>
      </c>
      <c r="N695" s="108" t="s">
        <v>2879</v>
      </c>
      <c r="O695" s="108" t="s">
        <v>2878</v>
      </c>
      <c r="P695" s="111" t="s">
        <v>2880</v>
      </c>
    </row>
    <row r="696" spans="2:16" ht="75" hidden="1" x14ac:dyDescent="0.25">
      <c r="B696" s="114" t="str">
        <f t="shared" si="56"/>
        <v>1</v>
      </c>
      <c r="C696" s="114" t="str">
        <f t="shared" si="57"/>
        <v>9</v>
      </c>
      <c r="D696" s="114" t="str">
        <f t="shared" si="58"/>
        <v>2</v>
      </c>
      <c r="E696" s="114" t="str">
        <f t="shared" si="59"/>
        <v>2</v>
      </c>
      <c r="F696" s="114" t="str">
        <f t="shared" si="60"/>
        <v>08</v>
      </c>
      <c r="G696" s="114" t="str">
        <f t="shared" si="61"/>
        <v>1</v>
      </c>
      <c r="H696" s="114" t="str">
        <f t="shared" si="62"/>
        <v>0</v>
      </c>
      <c r="I696" s="115">
        <v>19220810</v>
      </c>
      <c r="J696" s="114" t="s">
        <v>4351</v>
      </c>
      <c r="K696" s="114" t="s">
        <v>4352</v>
      </c>
      <c r="L696" s="116"/>
      <c r="M696" s="114" t="s">
        <v>2878</v>
      </c>
      <c r="N696" s="114" t="s">
        <v>2879</v>
      </c>
      <c r="O696" s="114" t="s">
        <v>2878</v>
      </c>
      <c r="P696" s="117" t="s">
        <v>2880</v>
      </c>
    </row>
    <row r="697" spans="2:16" ht="75" hidden="1" x14ac:dyDescent="0.25">
      <c r="B697" s="108" t="str">
        <f t="shared" si="56"/>
        <v>1</v>
      </c>
      <c r="C697" s="108" t="str">
        <f t="shared" si="57"/>
        <v>9</v>
      </c>
      <c r="D697" s="108" t="str">
        <f t="shared" si="58"/>
        <v>2</v>
      </c>
      <c r="E697" s="108" t="str">
        <f t="shared" si="59"/>
        <v>2</v>
      </c>
      <c r="F697" s="108" t="str">
        <f t="shared" si="60"/>
        <v>09</v>
      </c>
      <c r="G697" s="108" t="str">
        <f t="shared" si="61"/>
        <v>0</v>
      </c>
      <c r="H697" s="108" t="str">
        <f t="shared" si="62"/>
        <v>0</v>
      </c>
      <c r="I697" s="109">
        <v>19220900</v>
      </c>
      <c r="J697" s="108" t="s">
        <v>2205</v>
      </c>
      <c r="K697" s="108" t="s">
        <v>4356</v>
      </c>
      <c r="L697" s="110"/>
      <c r="M697" s="108" t="s">
        <v>2878</v>
      </c>
      <c r="N697" s="108" t="s">
        <v>2879</v>
      </c>
      <c r="O697" s="108" t="s">
        <v>2878</v>
      </c>
      <c r="P697" s="111" t="s">
        <v>2880</v>
      </c>
    </row>
    <row r="698" spans="2:16" ht="75" hidden="1" x14ac:dyDescent="0.25">
      <c r="B698" s="114" t="str">
        <f t="shared" si="56"/>
        <v>1</v>
      </c>
      <c r="C698" s="114" t="str">
        <f t="shared" si="57"/>
        <v>9</v>
      </c>
      <c r="D698" s="114" t="str">
        <f t="shared" si="58"/>
        <v>2</v>
      </c>
      <c r="E698" s="114" t="str">
        <f t="shared" si="59"/>
        <v>2</v>
      </c>
      <c r="F698" s="114" t="str">
        <f t="shared" si="60"/>
        <v>09</v>
      </c>
      <c r="G698" s="114" t="str">
        <f t="shared" si="61"/>
        <v>1</v>
      </c>
      <c r="H698" s="114" t="str">
        <f t="shared" si="62"/>
        <v>0</v>
      </c>
      <c r="I698" s="115">
        <v>19220910</v>
      </c>
      <c r="J698" s="114" t="s">
        <v>2205</v>
      </c>
      <c r="K698" s="114" t="s">
        <v>4356</v>
      </c>
      <c r="L698" s="116"/>
      <c r="M698" s="114" t="s">
        <v>2878</v>
      </c>
      <c r="N698" s="114" t="s">
        <v>2879</v>
      </c>
      <c r="O698" s="114" t="s">
        <v>2878</v>
      </c>
      <c r="P698" s="117" t="s">
        <v>2880</v>
      </c>
    </row>
    <row r="699" spans="2:16" ht="75" hidden="1" x14ac:dyDescent="0.25">
      <c r="B699" s="108" t="str">
        <f t="shared" si="56"/>
        <v>1</v>
      </c>
      <c r="C699" s="108" t="str">
        <f t="shared" si="57"/>
        <v>9</v>
      </c>
      <c r="D699" s="108" t="str">
        <f t="shared" si="58"/>
        <v>2</v>
      </c>
      <c r="E699" s="108" t="str">
        <f t="shared" si="59"/>
        <v>2</v>
      </c>
      <c r="F699" s="108" t="str">
        <f t="shared" si="60"/>
        <v>10</v>
      </c>
      <c r="G699" s="108" t="str">
        <f t="shared" si="61"/>
        <v>0</v>
      </c>
      <c r="H699" s="108" t="str">
        <f t="shared" si="62"/>
        <v>0</v>
      </c>
      <c r="I699" s="109">
        <v>19221000</v>
      </c>
      <c r="J699" s="108" t="s">
        <v>4362</v>
      </c>
      <c r="K699" s="108" t="s">
        <v>4363</v>
      </c>
      <c r="L699" s="110"/>
      <c r="M699" s="108" t="s">
        <v>2878</v>
      </c>
      <c r="N699" s="108" t="s">
        <v>2555</v>
      </c>
      <c r="O699" s="108" t="s">
        <v>2878</v>
      </c>
      <c r="P699" s="111" t="s">
        <v>2880</v>
      </c>
    </row>
    <row r="700" spans="2:16" ht="75" hidden="1" x14ac:dyDescent="0.25">
      <c r="B700" s="114" t="str">
        <f t="shared" si="56"/>
        <v>1</v>
      </c>
      <c r="C700" s="114" t="str">
        <f t="shared" si="57"/>
        <v>9</v>
      </c>
      <c r="D700" s="114" t="str">
        <f t="shared" si="58"/>
        <v>2</v>
      </c>
      <c r="E700" s="114" t="str">
        <f t="shared" si="59"/>
        <v>2</v>
      </c>
      <c r="F700" s="114" t="str">
        <f t="shared" si="60"/>
        <v>10</v>
      </c>
      <c r="G700" s="114" t="str">
        <f t="shared" si="61"/>
        <v>1</v>
      </c>
      <c r="H700" s="114" t="str">
        <f t="shared" si="62"/>
        <v>0</v>
      </c>
      <c r="I700" s="115">
        <v>19221010</v>
      </c>
      <c r="J700" s="114" t="s">
        <v>4364</v>
      </c>
      <c r="K700" s="114" t="s">
        <v>4363</v>
      </c>
      <c r="L700" s="116"/>
      <c r="M700" s="114" t="s">
        <v>2878</v>
      </c>
      <c r="N700" s="114" t="s">
        <v>2879</v>
      </c>
      <c r="O700" s="114" t="s">
        <v>2878</v>
      </c>
      <c r="P700" s="117" t="s">
        <v>2880</v>
      </c>
    </row>
    <row r="701" spans="2:16" ht="75" hidden="1" x14ac:dyDescent="0.25">
      <c r="B701" s="114" t="str">
        <f t="shared" si="56"/>
        <v>1</v>
      </c>
      <c r="C701" s="114" t="str">
        <f t="shared" si="57"/>
        <v>9</v>
      </c>
      <c r="D701" s="114" t="str">
        <f t="shared" si="58"/>
        <v>2</v>
      </c>
      <c r="E701" s="114" t="str">
        <f t="shared" si="59"/>
        <v>2</v>
      </c>
      <c r="F701" s="114" t="str">
        <f t="shared" si="60"/>
        <v>10</v>
      </c>
      <c r="G701" s="114" t="str">
        <f t="shared" si="61"/>
        <v>2</v>
      </c>
      <c r="H701" s="114" t="str">
        <f t="shared" si="62"/>
        <v>0</v>
      </c>
      <c r="I701" s="115">
        <v>19221020</v>
      </c>
      <c r="J701" s="114" t="s">
        <v>4369</v>
      </c>
      <c r="K701" s="114" t="s">
        <v>4370</v>
      </c>
      <c r="L701" s="116"/>
      <c r="M701" s="114" t="s">
        <v>2878</v>
      </c>
      <c r="N701" s="114" t="s">
        <v>2879</v>
      </c>
      <c r="O701" s="114" t="s">
        <v>2878</v>
      </c>
      <c r="P701" s="117" t="s">
        <v>2880</v>
      </c>
    </row>
    <row r="702" spans="2:16" ht="60" hidden="1" x14ac:dyDescent="0.25">
      <c r="B702" s="108" t="str">
        <f t="shared" si="56"/>
        <v>1</v>
      </c>
      <c r="C702" s="108" t="str">
        <f t="shared" si="57"/>
        <v>9</v>
      </c>
      <c r="D702" s="108" t="str">
        <f t="shared" si="58"/>
        <v>2</v>
      </c>
      <c r="E702" s="108" t="str">
        <f t="shared" si="59"/>
        <v>2</v>
      </c>
      <c r="F702" s="108" t="str">
        <f t="shared" si="60"/>
        <v>11</v>
      </c>
      <c r="G702" s="108" t="str">
        <f t="shared" si="61"/>
        <v>0</v>
      </c>
      <c r="H702" s="108" t="str">
        <f t="shared" si="62"/>
        <v>0</v>
      </c>
      <c r="I702" s="109">
        <v>19221100</v>
      </c>
      <c r="J702" s="108" t="s">
        <v>4377</v>
      </c>
      <c r="K702" s="108" t="s">
        <v>4378</v>
      </c>
      <c r="L702" s="110"/>
      <c r="M702" s="108" t="s">
        <v>2878</v>
      </c>
      <c r="N702" s="108" t="s">
        <v>3462</v>
      </c>
      <c r="O702" s="108" t="s">
        <v>2878</v>
      </c>
      <c r="P702" s="111" t="s">
        <v>2880</v>
      </c>
    </row>
    <row r="703" spans="2:16" ht="60" hidden="1" x14ac:dyDescent="0.25">
      <c r="B703" s="114" t="str">
        <f t="shared" si="56"/>
        <v>1</v>
      </c>
      <c r="C703" s="114" t="str">
        <f t="shared" si="57"/>
        <v>9</v>
      </c>
      <c r="D703" s="114" t="str">
        <f t="shared" si="58"/>
        <v>2</v>
      </c>
      <c r="E703" s="114" t="str">
        <f t="shared" si="59"/>
        <v>2</v>
      </c>
      <c r="F703" s="114" t="str">
        <f t="shared" si="60"/>
        <v>11</v>
      </c>
      <c r="G703" s="114" t="str">
        <f t="shared" si="61"/>
        <v>1</v>
      </c>
      <c r="H703" s="114" t="str">
        <f t="shared" si="62"/>
        <v>0</v>
      </c>
      <c r="I703" s="115">
        <v>19221110</v>
      </c>
      <c r="J703" s="114" t="s">
        <v>4377</v>
      </c>
      <c r="K703" s="114" t="s">
        <v>4378</v>
      </c>
      <c r="L703" s="116"/>
      <c r="M703" s="114" t="s">
        <v>2878</v>
      </c>
      <c r="N703" s="114" t="s">
        <v>3462</v>
      </c>
      <c r="O703" s="114" t="s">
        <v>2878</v>
      </c>
      <c r="P703" s="117" t="s">
        <v>2880</v>
      </c>
    </row>
    <row r="704" spans="2:16" ht="15.75" hidden="1" x14ac:dyDescent="0.25">
      <c r="B704" s="108" t="str">
        <f t="shared" si="56"/>
        <v>1</v>
      </c>
      <c r="C704" s="108" t="str">
        <f t="shared" si="57"/>
        <v>9</v>
      </c>
      <c r="D704" s="108" t="str">
        <f t="shared" si="58"/>
        <v>2</v>
      </c>
      <c r="E704" s="108" t="str">
        <f t="shared" si="59"/>
        <v>2</v>
      </c>
      <c r="F704" s="108" t="str">
        <f t="shared" si="60"/>
        <v>12</v>
      </c>
      <c r="G704" s="108" t="str">
        <f t="shared" si="61"/>
        <v>0</v>
      </c>
      <c r="H704" s="108" t="str">
        <f t="shared" si="62"/>
        <v>0</v>
      </c>
      <c r="I704" s="109">
        <v>19221200</v>
      </c>
      <c r="J704" s="108" t="s">
        <v>5117</v>
      </c>
      <c r="K704" s="108"/>
      <c r="L704" s="110"/>
      <c r="M704" s="108"/>
      <c r="N704" s="108" t="s">
        <v>5118</v>
      </c>
      <c r="O704" s="108"/>
      <c r="P704" s="111" t="s">
        <v>2880</v>
      </c>
    </row>
    <row r="705" spans="2:16" ht="15.75" hidden="1" x14ac:dyDescent="0.25">
      <c r="B705" s="114" t="str">
        <f t="shared" si="56"/>
        <v>1</v>
      </c>
      <c r="C705" s="114" t="str">
        <f t="shared" si="57"/>
        <v>9</v>
      </c>
      <c r="D705" s="114" t="str">
        <f t="shared" si="58"/>
        <v>2</v>
      </c>
      <c r="E705" s="114" t="str">
        <f t="shared" si="59"/>
        <v>2</v>
      </c>
      <c r="F705" s="114" t="str">
        <f t="shared" si="60"/>
        <v>12</v>
      </c>
      <c r="G705" s="114" t="str">
        <f t="shared" si="61"/>
        <v>1</v>
      </c>
      <c r="H705" s="114" t="str">
        <f t="shared" si="62"/>
        <v>0</v>
      </c>
      <c r="I705" s="115">
        <v>19221210</v>
      </c>
      <c r="J705" s="114" t="s">
        <v>5117</v>
      </c>
      <c r="K705" s="114"/>
      <c r="L705" s="116"/>
      <c r="M705" s="114"/>
      <c r="N705" s="114" t="s">
        <v>5118</v>
      </c>
      <c r="O705" s="114"/>
      <c r="P705" s="117" t="s">
        <v>2890</v>
      </c>
    </row>
    <row r="706" spans="2:16" ht="30" hidden="1" x14ac:dyDescent="0.25">
      <c r="B706" s="108" t="str">
        <f t="shared" si="56"/>
        <v>1</v>
      </c>
      <c r="C706" s="108" t="str">
        <f t="shared" si="57"/>
        <v>9</v>
      </c>
      <c r="D706" s="108" t="str">
        <f t="shared" si="58"/>
        <v>2</v>
      </c>
      <c r="E706" s="108" t="str">
        <f t="shared" si="59"/>
        <v>2</v>
      </c>
      <c r="F706" s="108" t="str">
        <f t="shared" si="60"/>
        <v>99</v>
      </c>
      <c r="G706" s="108" t="str">
        <f t="shared" si="61"/>
        <v>0</v>
      </c>
      <c r="H706" s="108" t="str">
        <f t="shared" si="62"/>
        <v>0</v>
      </c>
      <c r="I706" s="109">
        <v>19229900</v>
      </c>
      <c r="J706" s="108" t="s">
        <v>2212</v>
      </c>
      <c r="K706" s="108" t="s">
        <v>4385</v>
      </c>
      <c r="L706" s="110"/>
      <c r="M706" s="108" t="s">
        <v>2878</v>
      </c>
      <c r="N706" s="108" t="s">
        <v>2879</v>
      </c>
      <c r="O706" s="108" t="s">
        <v>2878</v>
      </c>
      <c r="P706" s="111" t="s">
        <v>2880</v>
      </c>
    </row>
    <row r="707" spans="2:16" ht="30" hidden="1" x14ac:dyDescent="0.25">
      <c r="B707" s="114" t="str">
        <f t="shared" si="56"/>
        <v>1</v>
      </c>
      <c r="C707" s="114" t="str">
        <f t="shared" si="57"/>
        <v>9</v>
      </c>
      <c r="D707" s="114" t="str">
        <f t="shared" si="58"/>
        <v>2</v>
      </c>
      <c r="E707" s="114" t="str">
        <f t="shared" si="59"/>
        <v>2</v>
      </c>
      <c r="F707" s="114" t="str">
        <f t="shared" si="60"/>
        <v>99</v>
      </c>
      <c r="G707" s="114" t="str">
        <f t="shared" si="61"/>
        <v>1</v>
      </c>
      <c r="H707" s="114" t="str">
        <f t="shared" si="62"/>
        <v>0</v>
      </c>
      <c r="I707" s="115">
        <v>19229910</v>
      </c>
      <c r="J707" s="114" t="s">
        <v>2212</v>
      </c>
      <c r="K707" s="114" t="s">
        <v>4385</v>
      </c>
      <c r="L707" s="116"/>
      <c r="M707" s="114" t="s">
        <v>2878</v>
      </c>
      <c r="N707" s="114" t="s">
        <v>2879</v>
      </c>
      <c r="O707" s="114" t="s">
        <v>2878</v>
      </c>
      <c r="P707" s="117" t="s">
        <v>2880</v>
      </c>
    </row>
    <row r="708" spans="2:16" ht="30" hidden="1" x14ac:dyDescent="0.25">
      <c r="B708" s="104" t="str">
        <f t="shared" si="56"/>
        <v>1</v>
      </c>
      <c r="C708" s="104" t="str">
        <f t="shared" si="57"/>
        <v>9</v>
      </c>
      <c r="D708" s="104" t="str">
        <f t="shared" si="58"/>
        <v>2</v>
      </c>
      <c r="E708" s="104" t="str">
        <f t="shared" si="59"/>
        <v>3</v>
      </c>
      <c r="F708" s="104" t="str">
        <f t="shared" si="60"/>
        <v>00</v>
      </c>
      <c r="G708" s="104" t="str">
        <f t="shared" si="61"/>
        <v>0</v>
      </c>
      <c r="H708" s="104" t="str">
        <f t="shared" si="62"/>
        <v>0</v>
      </c>
      <c r="I708" s="105">
        <v>19230000</v>
      </c>
      <c r="J708" s="104" t="s">
        <v>4390</v>
      </c>
      <c r="K708" s="104" t="s">
        <v>4391</v>
      </c>
      <c r="L708" s="106"/>
      <c r="M708" s="104" t="s">
        <v>2878</v>
      </c>
      <c r="N708" s="104" t="s">
        <v>2879</v>
      </c>
      <c r="O708" s="104" t="s">
        <v>2878</v>
      </c>
      <c r="P708" s="107" t="s">
        <v>2880</v>
      </c>
    </row>
    <row r="709" spans="2:16" ht="30" hidden="1" x14ac:dyDescent="0.25">
      <c r="B709" s="108" t="str">
        <f t="shared" si="56"/>
        <v>1</v>
      </c>
      <c r="C709" s="108" t="str">
        <f t="shared" si="57"/>
        <v>9</v>
      </c>
      <c r="D709" s="108" t="str">
        <f t="shared" si="58"/>
        <v>2</v>
      </c>
      <c r="E709" s="108" t="str">
        <f t="shared" si="59"/>
        <v>3</v>
      </c>
      <c r="F709" s="108" t="str">
        <f t="shared" si="60"/>
        <v>01</v>
      </c>
      <c r="G709" s="108" t="str">
        <f t="shared" si="61"/>
        <v>0</v>
      </c>
      <c r="H709" s="108" t="str">
        <f t="shared" si="62"/>
        <v>0</v>
      </c>
      <c r="I709" s="109">
        <v>19230100</v>
      </c>
      <c r="J709" s="108" t="s">
        <v>4392</v>
      </c>
      <c r="K709" s="108" t="s">
        <v>4393</v>
      </c>
      <c r="L709" s="110"/>
      <c r="M709" s="108" t="s">
        <v>2878</v>
      </c>
      <c r="N709" s="108" t="s">
        <v>2879</v>
      </c>
      <c r="O709" s="108" t="s">
        <v>2878</v>
      </c>
      <c r="P709" s="111" t="s">
        <v>2880</v>
      </c>
    </row>
    <row r="710" spans="2:16" ht="30" hidden="1" x14ac:dyDescent="0.25">
      <c r="B710" s="114" t="str">
        <f t="shared" si="56"/>
        <v>1</v>
      </c>
      <c r="C710" s="114" t="str">
        <f t="shared" si="57"/>
        <v>9</v>
      </c>
      <c r="D710" s="114" t="str">
        <f t="shared" si="58"/>
        <v>2</v>
      </c>
      <c r="E710" s="114" t="str">
        <f t="shared" si="59"/>
        <v>3</v>
      </c>
      <c r="F710" s="114" t="str">
        <f t="shared" si="60"/>
        <v>01</v>
      </c>
      <c r="G710" s="114" t="str">
        <f t="shared" si="61"/>
        <v>1</v>
      </c>
      <c r="H710" s="114" t="str">
        <f t="shared" si="62"/>
        <v>0</v>
      </c>
      <c r="I710" s="115">
        <v>19230110</v>
      </c>
      <c r="J710" s="114" t="s">
        <v>4392</v>
      </c>
      <c r="K710" s="114" t="s">
        <v>4393</v>
      </c>
      <c r="L710" s="116"/>
      <c r="M710" s="114" t="s">
        <v>2878</v>
      </c>
      <c r="N710" s="114" t="s">
        <v>2879</v>
      </c>
      <c r="O710" s="114" t="s">
        <v>2878</v>
      </c>
      <c r="P710" s="117" t="s">
        <v>2880</v>
      </c>
    </row>
    <row r="711" spans="2:16" ht="30" hidden="1" x14ac:dyDescent="0.25">
      <c r="B711" s="108" t="str">
        <f t="shared" si="56"/>
        <v>1</v>
      </c>
      <c r="C711" s="108" t="str">
        <f t="shared" si="57"/>
        <v>9</v>
      </c>
      <c r="D711" s="108" t="str">
        <f t="shared" si="58"/>
        <v>2</v>
      </c>
      <c r="E711" s="108" t="str">
        <f t="shared" si="59"/>
        <v>3</v>
      </c>
      <c r="F711" s="108" t="str">
        <f t="shared" si="60"/>
        <v>02</v>
      </c>
      <c r="G711" s="108" t="str">
        <f t="shared" si="61"/>
        <v>0</v>
      </c>
      <c r="H711" s="108" t="str">
        <f t="shared" si="62"/>
        <v>0</v>
      </c>
      <c r="I711" s="109">
        <v>19230200</v>
      </c>
      <c r="J711" s="108" t="s">
        <v>4399</v>
      </c>
      <c r="K711" s="108" t="s">
        <v>4400</v>
      </c>
      <c r="L711" s="110"/>
      <c r="M711" s="108" t="s">
        <v>2878</v>
      </c>
      <c r="N711" s="108" t="s">
        <v>2879</v>
      </c>
      <c r="O711" s="108" t="s">
        <v>2878</v>
      </c>
      <c r="P711" s="111" t="s">
        <v>2880</v>
      </c>
    </row>
    <row r="712" spans="2:16" ht="30" hidden="1" x14ac:dyDescent="0.25">
      <c r="B712" s="114" t="str">
        <f t="shared" si="56"/>
        <v>1</v>
      </c>
      <c r="C712" s="114" t="str">
        <f t="shared" si="57"/>
        <v>9</v>
      </c>
      <c r="D712" s="114" t="str">
        <f t="shared" si="58"/>
        <v>2</v>
      </c>
      <c r="E712" s="114" t="str">
        <f t="shared" si="59"/>
        <v>3</v>
      </c>
      <c r="F712" s="114" t="str">
        <f t="shared" si="60"/>
        <v>02</v>
      </c>
      <c r="G712" s="114" t="str">
        <f t="shared" si="61"/>
        <v>1</v>
      </c>
      <c r="H712" s="114" t="str">
        <f t="shared" si="62"/>
        <v>0</v>
      </c>
      <c r="I712" s="115">
        <v>19230210</v>
      </c>
      <c r="J712" s="114" t="s">
        <v>4399</v>
      </c>
      <c r="K712" s="114" t="s">
        <v>4400</v>
      </c>
      <c r="L712" s="116"/>
      <c r="M712" s="114" t="s">
        <v>2878</v>
      </c>
      <c r="N712" s="114" t="s">
        <v>2879</v>
      </c>
      <c r="O712" s="114" t="s">
        <v>2878</v>
      </c>
      <c r="P712" s="117" t="s">
        <v>2880</v>
      </c>
    </row>
    <row r="713" spans="2:16" ht="45" hidden="1" x14ac:dyDescent="0.25">
      <c r="B713" s="108" t="str">
        <f t="shared" si="56"/>
        <v>1</v>
      </c>
      <c r="C713" s="108" t="str">
        <f t="shared" si="57"/>
        <v>9</v>
      </c>
      <c r="D713" s="108" t="str">
        <f t="shared" si="58"/>
        <v>2</v>
      </c>
      <c r="E713" s="108" t="str">
        <f t="shared" si="59"/>
        <v>3</v>
      </c>
      <c r="F713" s="108" t="str">
        <f t="shared" si="60"/>
        <v>03</v>
      </c>
      <c r="G713" s="108" t="str">
        <f t="shared" si="61"/>
        <v>0</v>
      </c>
      <c r="H713" s="108" t="str">
        <f t="shared" si="62"/>
        <v>0</v>
      </c>
      <c r="I713" s="109">
        <v>19230300</v>
      </c>
      <c r="J713" s="108" t="s">
        <v>4404</v>
      </c>
      <c r="K713" s="108" t="s">
        <v>4405</v>
      </c>
      <c r="L713" s="110"/>
      <c r="M713" s="108" t="s">
        <v>2878</v>
      </c>
      <c r="N713" s="108" t="s">
        <v>2879</v>
      </c>
      <c r="O713" s="108" t="s">
        <v>2878</v>
      </c>
      <c r="P713" s="111" t="s">
        <v>2880</v>
      </c>
    </row>
    <row r="714" spans="2:16" ht="45" hidden="1" x14ac:dyDescent="0.25">
      <c r="B714" s="114" t="str">
        <f t="shared" si="56"/>
        <v>1</v>
      </c>
      <c r="C714" s="114" t="str">
        <f t="shared" si="57"/>
        <v>9</v>
      </c>
      <c r="D714" s="114" t="str">
        <f t="shared" si="58"/>
        <v>2</v>
      </c>
      <c r="E714" s="114" t="str">
        <f t="shared" si="59"/>
        <v>3</v>
      </c>
      <c r="F714" s="114" t="str">
        <f t="shared" si="60"/>
        <v>03</v>
      </c>
      <c r="G714" s="114" t="str">
        <f t="shared" si="61"/>
        <v>1</v>
      </c>
      <c r="H714" s="114" t="str">
        <f t="shared" si="62"/>
        <v>0</v>
      </c>
      <c r="I714" s="115">
        <v>19230310</v>
      </c>
      <c r="J714" s="114" t="s">
        <v>4404</v>
      </c>
      <c r="K714" s="114" t="s">
        <v>4405</v>
      </c>
      <c r="L714" s="116"/>
      <c r="M714" s="114" t="s">
        <v>2878</v>
      </c>
      <c r="N714" s="114" t="s">
        <v>2879</v>
      </c>
      <c r="O714" s="114" t="s">
        <v>2878</v>
      </c>
      <c r="P714" s="117" t="s">
        <v>2880</v>
      </c>
    </row>
    <row r="715" spans="2:16" ht="30" hidden="1" x14ac:dyDescent="0.25">
      <c r="B715" s="108" t="str">
        <f t="shared" si="56"/>
        <v>1</v>
      </c>
      <c r="C715" s="108" t="str">
        <f t="shared" si="57"/>
        <v>9</v>
      </c>
      <c r="D715" s="108" t="str">
        <f t="shared" si="58"/>
        <v>2</v>
      </c>
      <c r="E715" s="108" t="str">
        <f t="shared" si="59"/>
        <v>3</v>
      </c>
      <c r="F715" s="108" t="str">
        <f t="shared" si="60"/>
        <v>04</v>
      </c>
      <c r="G715" s="108" t="str">
        <f t="shared" si="61"/>
        <v>0</v>
      </c>
      <c r="H715" s="108" t="str">
        <f t="shared" si="62"/>
        <v>0</v>
      </c>
      <c r="I715" s="109">
        <v>19230400</v>
      </c>
      <c r="J715" s="108" t="s">
        <v>4409</v>
      </c>
      <c r="K715" s="108" t="s">
        <v>4410</v>
      </c>
      <c r="L715" s="110"/>
      <c r="M715" s="108" t="s">
        <v>2878</v>
      </c>
      <c r="N715" s="108" t="s">
        <v>2879</v>
      </c>
      <c r="O715" s="108" t="s">
        <v>2878</v>
      </c>
      <c r="P715" s="111" t="s">
        <v>2880</v>
      </c>
    </row>
    <row r="716" spans="2:16" ht="30" hidden="1" x14ac:dyDescent="0.25">
      <c r="B716" s="114" t="str">
        <f t="shared" si="56"/>
        <v>1</v>
      </c>
      <c r="C716" s="114" t="str">
        <f t="shared" si="57"/>
        <v>9</v>
      </c>
      <c r="D716" s="114" t="str">
        <f t="shared" si="58"/>
        <v>2</v>
      </c>
      <c r="E716" s="114" t="str">
        <f t="shared" si="59"/>
        <v>3</v>
      </c>
      <c r="F716" s="114" t="str">
        <f t="shared" si="60"/>
        <v>04</v>
      </c>
      <c r="G716" s="114" t="str">
        <f t="shared" si="61"/>
        <v>1</v>
      </c>
      <c r="H716" s="114" t="str">
        <f t="shared" si="62"/>
        <v>0</v>
      </c>
      <c r="I716" s="115">
        <v>19230410</v>
      </c>
      <c r="J716" s="114" t="s">
        <v>4409</v>
      </c>
      <c r="K716" s="114" t="s">
        <v>4410</v>
      </c>
      <c r="L716" s="116"/>
      <c r="M716" s="114" t="s">
        <v>2878</v>
      </c>
      <c r="N716" s="114" t="s">
        <v>2879</v>
      </c>
      <c r="O716" s="114" t="s">
        <v>2878</v>
      </c>
      <c r="P716" s="117" t="s">
        <v>2880</v>
      </c>
    </row>
    <row r="717" spans="2:16" ht="30" hidden="1" x14ac:dyDescent="0.25">
      <c r="B717" s="108" t="str">
        <f t="shared" si="56"/>
        <v>1</v>
      </c>
      <c r="C717" s="108" t="str">
        <f t="shared" si="57"/>
        <v>9</v>
      </c>
      <c r="D717" s="108" t="str">
        <f t="shared" si="58"/>
        <v>2</v>
      </c>
      <c r="E717" s="108" t="str">
        <f t="shared" si="59"/>
        <v>3</v>
      </c>
      <c r="F717" s="108" t="str">
        <f t="shared" si="60"/>
        <v>99</v>
      </c>
      <c r="G717" s="108" t="str">
        <f t="shared" si="61"/>
        <v>0</v>
      </c>
      <c r="H717" s="108" t="str">
        <f t="shared" si="62"/>
        <v>0</v>
      </c>
      <c r="I717" s="109">
        <v>19239900</v>
      </c>
      <c r="J717" s="108" t="s">
        <v>4414</v>
      </c>
      <c r="K717" s="108" t="s">
        <v>4415</v>
      </c>
      <c r="L717" s="110"/>
      <c r="M717" s="108" t="s">
        <v>2878</v>
      </c>
      <c r="N717" s="108" t="s">
        <v>2879</v>
      </c>
      <c r="O717" s="108" t="s">
        <v>2878</v>
      </c>
      <c r="P717" s="111" t="s">
        <v>2880</v>
      </c>
    </row>
    <row r="718" spans="2:16" ht="30" hidden="1" x14ac:dyDescent="0.25">
      <c r="B718" s="114" t="str">
        <f t="shared" si="56"/>
        <v>1</v>
      </c>
      <c r="C718" s="114" t="str">
        <f t="shared" si="57"/>
        <v>9</v>
      </c>
      <c r="D718" s="114" t="str">
        <f t="shared" si="58"/>
        <v>2</v>
      </c>
      <c r="E718" s="114" t="str">
        <f t="shared" si="59"/>
        <v>3</v>
      </c>
      <c r="F718" s="114" t="str">
        <f t="shared" si="60"/>
        <v>99</v>
      </c>
      <c r="G718" s="114" t="str">
        <f t="shared" si="61"/>
        <v>1</v>
      </c>
      <c r="H718" s="114" t="str">
        <f t="shared" si="62"/>
        <v>0</v>
      </c>
      <c r="I718" s="115">
        <v>19239910</v>
      </c>
      <c r="J718" s="114" t="s">
        <v>4414</v>
      </c>
      <c r="K718" s="114" t="s">
        <v>4415</v>
      </c>
      <c r="L718" s="116"/>
      <c r="M718" s="114" t="s">
        <v>2878</v>
      </c>
      <c r="N718" s="114" t="s">
        <v>2879</v>
      </c>
      <c r="O718" s="114" t="s">
        <v>2878</v>
      </c>
      <c r="P718" s="117" t="s">
        <v>2880</v>
      </c>
    </row>
    <row r="719" spans="2:16" s="148" customFormat="1" ht="30" x14ac:dyDescent="0.25">
      <c r="B719" s="164" t="str">
        <f t="shared" si="56"/>
        <v>1</v>
      </c>
      <c r="C719" s="164" t="str">
        <f t="shared" si="57"/>
        <v>9</v>
      </c>
      <c r="D719" s="164" t="str">
        <f t="shared" si="58"/>
        <v>2</v>
      </c>
      <c r="E719" s="164" t="str">
        <f t="shared" si="59"/>
        <v>8</v>
      </c>
      <c r="F719" s="164" t="str">
        <f t="shared" si="60"/>
        <v>00</v>
      </c>
      <c r="G719" s="164" t="str">
        <f t="shared" si="61"/>
        <v>0</v>
      </c>
      <c r="H719" s="164" t="str">
        <f t="shared" si="62"/>
        <v>0</v>
      </c>
      <c r="I719" s="165">
        <v>19280000</v>
      </c>
      <c r="J719" s="164" t="s">
        <v>5199</v>
      </c>
      <c r="K719" s="164" t="s">
        <v>5200</v>
      </c>
      <c r="L719" s="166"/>
      <c r="M719" s="164" t="s">
        <v>2878</v>
      </c>
      <c r="N719" s="164"/>
      <c r="O719" s="164"/>
      <c r="P719" s="167" t="s">
        <v>2880</v>
      </c>
    </row>
    <row r="720" spans="2:16" s="148" customFormat="1" ht="30" x14ac:dyDescent="0.25">
      <c r="B720" s="145" t="str">
        <f t="shared" si="56"/>
        <v>1</v>
      </c>
      <c r="C720" s="145" t="str">
        <f t="shared" si="57"/>
        <v>9</v>
      </c>
      <c r="D720" s="145" t="str">
        <f t="shared" si="58"/>
        <v>2</v>
      </c>
      <c r="E720" s="145" t="str">
        <f t="shared" si="59"/>
        <v>8</v>
      </c>
      <c r="F720" s="145" t="str">
        <f t="shared" si="60"/>
        <v>01</v>
      </c>
      <c r="G720" s="145" t="str">
        <f t="shared" si="61"/>
        <v>0</v>
      </c>
      <c r="H720" s="145" t="str">
        <f t="shared" si="62"/>
        <v>0</v>
      </c>
      <c r="I720" s="143">
        <v>19280100</v>
      </c>
      <c r="J720" s="145" t="s">
        <v>5201</v>
      </c>
      <c r="K720" s="145" t="s">
        <v>5208</v>
      </c>
      <c r="L720" s="146"/>
      <c r="M720" s="145" t="s">
        <v>2878</v>
      </c>
      <c r="N720" s="145"/>
      <c r="O720" s="145"/>
      <c r="P720" s="147" t="s">
        <v>2880</v>
      </c>
    </row>
    <row r="721" spans="2:16" s="148" customFormat="1" ht="30" x14ac:dyDescent="0.25">
      <c r="B721" s="149" t="str">
        <f t="shared" si="56"/>
        <v>1</v>
      </c>
      <c r="C721" s="149" t="str">
        <f t="shared" si="57"/>
        <v>9</v>
      </c>
      <c r="D721" s="149" t="str">
        <f t="shared" si="58"/>
        <v>2</v>
      </c>
      <c r="E721" s="149" t="str">
        <f t="shared" si="59"/>
        <v>8</v>
      </c>
      <c r="F721" s="149" t="str">
        <f t="shared" si="60"/>
        <v>01</v>
      </c>
      <c r="G721" s="149" t="str">
        <f t="shared" si="61"/>
        <v>1</v>
      </c>
      <c r="H721" s="149" t="str">
        <f t="shared" si="62"/>
        <v>0</v>
      </c>
      <c r="I721" s="144">
        <v>19280110</v>
      </c>
      <c r="J721" s="149" t="s">
        <v>5202</v>
      </c>
      <c r="K721" s="149" t="s">
        <v>5208</v>
      </c>
      <c r="L721" s="150"/>
      <c r="M721" s="149" t="s">
        <v>2878</v>
      </c>
      <c r="N721" s="149"/>
      <c r="O721" s="149"/>
      <c r="P721" s="151" t="s">
        <v>2880</v>
      </c>
    </row>
    <row r="722" spans="2:16" s="148" customFormat="1" ht="30" x14ac:dyDescent="0.25">
      <c r="B722" s="145" t="str">
        <f t="shared" si="56"/>
        <v>1</v>
      </c>
      <c r="C722" s="145" t="str">
        <f t="shared" si="57"/>
        <v>9</v>
      </c>
      <c r="D722" s="145" t="str">
        <f t="shared" si="58"/>
        <v>2</v>
      </c>
      <c r="E722" s="145" t="str">
        <f t="shared" si="59"/>
        <v>8</v>
      </c>
      <c r="F722" s="145" t="str">
        <f t="shared" si="60"/>
        <v>02</v>
      </c>
      <c r="G722" s="145" t="str">
        <f t="shared" si="61"/>
        <v>0</v>
      </c>
      <c r="H722" s="145" t="str">
        <f t="shared" si="62"/>
        <v>0</v>
      </c>
      <c r="I722" s="143">
        <v>19280200</v>
      </c>
      <c r="J722" s="145" t="s">
        <v>5203</v>
      </c>
      <c r="K722" s="145" t="s">
        <v>5209</v>
      </c>
      <c r="L722" s="146"/>
      <c r="M722" s="145" t="s">
        <v>2878</v>
      </c>
      <c r="N722" s="145"/>
      <c r="O722" s="145"/>
      <c r="P722" s="147" t="s">
        <v>2880</v>
      </c>
    </row>
    <row r="723" spans="2:16" s="148" customFormat="1" ht="30" x14ac:dyDescent="0.25">
      <c r="B723" s="149" t="str">
        <f t="shared" si="56"/>
        <v>1</v>
      </c>
      <c r="C723" s="149" t="str">
        <f t="shared" si="57"/>
        <v>9</v>
      </c>
      <c r="D723" s="149" t="str">
        <f t="shared" si="58"/>
        <v>2</v>
      </c>
      <c r="E723" s="149" t="str">
        <f t="shared" si="59"/>
        <v>8</v>
      </c>
      <c r="F723" s="149" t="str">
        <f t="shared" si="60"/>
        <v>02</v>
      </c>
      <c r="G723" s="149" t="str">
        <f t="shared" si="61"/>
        <v>1</v>
      </c>
      <c r="H723" s="149" t="str">
        <f t="shared" si="62"/>
        <v>0</v>
      </c>
      <c r="I723" s="144">
        <v>19280210</v>
      </c>
      <c r="J723" s="149" t="s">
        <v>5207</v>
      </c>
      <c r="K723" s="149" t="s">
        <v>5209</v>
      </c>
      <c r="L723" s="150"/>
      <c r="M723" s="149" t="s">
        <v>2878</v>
      </c>
      <c r="N723" s="149"/>
      <c r="O723" s="149"/>
      <c r="P723" s="151" t="s">
        <v>2880</v>
      </c>
    </row>
    <row r="724" spans="2:16" s="148" customFormat="1" ht="30" x14ac:dyDescent="0.25">
      <c r="B724" s="149" t="str">
        <f t="shared" si="56"/>
        <v>1</v>
      </c>
      <c r="C724" s="149" t="str">
        <f t="shared" si="57"/>
        <v>9</v>
      </c>
      <c r="D724" s="149" t="str">
        <f t="shared" si="58"/>
        <v>2</v>
      </c>
      <c r="E724" s="149" t="str">
        <f t="shared" si="59"/>
        <v>8</v>
      </c>
      <c r="F724" s="149" t="str">
        <f t="shared" si="60"/>
        <v>02</v>
      </c>
      <c r="G724" s="149" t="str">
        <f t="shared" si="61"/>
        <v>9</v>
      </c>
      <c r="H724" s="149" t="str">
        <f t="shared" si="62"/>
        <v>0</v>
      </c>
      <c r="I724" s="144">
        <v>19280290</v>
      </c>
      <c r="J724" s="149" t="s">
        <v>5206</v>
      </c>
      <c r="K724" s="149" t="s">
        <v>5210</v>
      </c>
      <c r="L724" s="150"/>
      <c r="M724" s="149" t="s">
        <v>2878</v>
      </c>
      <c r="N724" s="149"/>
      <c r="O724" s="149"/>
      <c r="P724" s="151" t="s">
        <v>2880</v>
      </c>
    </row>
    <row r="725" spans="2:16" s="148" customFormat="1" ht="30" x14ac:dyDescent="0.25">
      <c r="B725" s="145" t="str">
        <f t="shared" si="56"/>
        <v>1</v>
      </c>
      <c r="C725" s="145" t="str">
        <f t="shared" si="57"/>
        <v>9</v>
      </c>
      <c r="D725" s="145" t="str">
        <f t="shared" si="58"/>
        <v>2</v>
      </c>
      <c r="E725" s="145" t="str">
        <f t="shared" si="59"/>
        <v>8</v>
      </c>
      <c r="F725" s="145" t="str">
        <f t="shared" si="60"/>
        <v>03</v>
      </c>
      <c r="G725" s="145" t="str">
        <f t="shared" si="61"/>
        <v>0</v>
      </c>
      <c r="H725" s="145" t="str">
        <f t="shared" si="62"/>
        <v>0</v>
      </c>
      <c r="I725" s="143">
        <v>19280300</v>
      </c>
      <c r="J725" s="145" t="s">
        <v>5204</v>
      </c>
      <c r="K725" s="145" t="s">
        <v>5211</v>
      </c>
      <c r="L725" s="146"/>
      <c r="M725" s="145" t="s">
        <v>2878</v>
      </c>
      <c r="N725" s="145"/>
      <c r="O725" s="145"/>
      <c r="P725" s="147" t="s">
        <v>2880</v>
      </c>
    </row>
    <row r="726" spans="2:16" s="148" customFormat="1" ht="30" x14ac:dyDescent="0.25">
      <c r="B726" s="149" t="str">
        <f t="shared" si="56"/>
        <v>1</v>
      </c>
      <c r="C726" s="149" t="str">
        <f t="shared" si="57"/>
        <v>9</v>
      </c>
      <c r="D726" s="149" t="str">
        <f t="shared" si="58"/>
        <v>2</v>
      </c>
      <c r="E726" s="149" t="str">
        <f t="shared" si="59"/>
        <v>8</v>
      </c>
      <c r="F726" s="149" t="str">
        <f t="shared" si="60"/>
        <v>03</v>
      </c>
      <c r="G726" s="149" t="str">
        <f t="shared" si="61"/>
        <v>1</v>
      </c>
      <c r="H726" s="149" t="str">
        <f t="shared" si="62"/>
        <v>0</v>
      </c>
      <c r="I726" s="144">
        <v>19280310</v>
      </c>
      <c r="J726" s="149" t="s">
        <v>5205</v>
      </c>
      <c r="K726" s="149" t="s">
        <v>5211</v>
      </c>
      <c r="L726" s="150"/>
      <c r="M726" s="149" t="s">
        <v>2878</v>
      </c>
      <c r="N726" s="149"/>
      <c r="O726" s="149"/>
      <c r="P726" s="151" t="s">
        <v>2880</v>
      </c>
    </row>
    <row r="727" spans="2:16" ht="30" hidden="1" x14ac:dyDescent="0.25">
      <c r="B727" s="126" t="str">
        <f t="shared" si="56"/>
        <v>1</v>
      </c>
      <c r="C727" s="126" t="str">
        <f t="shared" si="57"/>
        <v>9</v>
      </c>
      <c r="D727" s="126" t="str">
        <f t="shared" si="58"/>
        <v>3</v>
      </c>
      <c r="E727" s="126" t="str">
        <f t="shared" si="59"/>
        <v>0</v>
      </c>
      <c r="F727" s="126" t="str">
        <f t="shared" si="60"/>
        <v>00</v>
      </c>
      <c r="G727" s="126" t="str">
        <f t="shared" si="61"/>
        <v>0</v>
      </c>
      <c r="H727" s="126" t="str">
        <f t="shared" si="62"/>
        <v>0</v>
      </c>
      <c r="I727" s="127">
        <v>19300000</v>
      </c>
      <c r="J727" s="126" t="s">
        <v>4420</v>
      </c>
      <c r="K727" s="126" t="s">
        <v>4421</v>
      </c>
      <c r="L727" s="122"/>
      <c r="M727" s="126" t="s">
        <v>2878</v>
      </c>
      <c r="N727" s="126" t="s">
        <v>5016</v>
      </c>
      <c r="O727" s="126" t="s">
        <v>2878</v>
      </c>
      <c r="P727" s="128" t="s">
        <v>2880</v>
      </c>
    </row>
    <row r="728" spans="2:16" ht="30" hidden="1" x14ac:dyDescent="0.25">
      <c r="B728" s="108" t="str">
        <f t="shared" si="56"/>
        <v>1</v>
      </c>
      <c r="C728" s="108" t="str">
        <f t="shared" si="57"/>
        <v>9</v>
      </c>
      <c r="D728" s="108" t="str">
        <f t="shared" si="58"/>
        <v>3</v>
      </c>
      <c r="E728" s="108" t="str">
        <f t="shared" si="59"/>
        <v>0</v>
      </c>
      <c r="F728" s="108" t="str">
        <f t="shared" si="60"/>
        <v>01</v>
      </c>
      <c r="G728" s="108" t="str">
        <f t="shared" si="61"/>
        <v>0</v>
      </c>
      <c r="H728" s="108" t="str">
        <f t="shared" si="62"/>
        <v>0</v>
      </c>
      <c r="I728" s="109">
        <v>19300100</v>
      </c>
      <c r="J728" s="108" t="s">
        <v>4422</v>
      </c>
      <c r="K728" s="108" t="s">
        <v>4423</v>
      </c>
      <c r="L728" s="110"/>
      <c r="M728" s="108" t="s">
        <v>2878</v>
      </c>
      <c r="N728" s="108" t="s">
        <v>2879</v>
      </c>
      <c r="O728" s="108" t="s">
        <v>2878</v>
      </c>
      <c r="P728" s="111" t="s">
        <v>2880</v>
      </c>
    </row>
    <row r="729" spans="2:16" ht="30" hidden="1" x14ac:dyDescent="0.25">
      <c r="B729" s="114" t="str">
        <f t="shared" si="56"/>
        <v>1</v>
      </c>
      <c r="C729" s="114" t="str">
        <f t="shared" si="57"/>
        <v>9</v>
      </c>
      <c r="D729" s="114" t="str">
        <f t="shared" si="58"/>
        <v>3</v>
      </c>
      <c r="E729" s="114" t="str">
        <f t="shared" si="59"/>
        <v>0</v>
      </c>
      <c r="F729" s="114" t="str">
        <f t="shared" si="60"/>
        <v>01</v>
      </c>
      <c r="G729" s="114" t="str">
        <f t="shared" si="61"/>
        <v>1</v>
      </c>
      <c r="H729" s="114" t="str">
        <f t="shared" si="62"/>
        <v>0</v>
      </c>
      <c r="I729" s="115">
        <v>19300110</v>
      </c>
      <c r="J729" s="114" t="s">
        <v>4422</v>
      </c>
      <c r="K729" s="114" t="s">
        <v>4424</v>
      </c>
      <c r="L729" s="116"/>
      <c r="M729" s="114" t="s">
        <v>2878</v>
      </c>
      <c r="N729" s="114" t="s">
        <v>2879</v>
      </c>
      <c r="O729" s="114" t="s">
        <v>2878</v>
      </c>
      <c r="P729" s="117" t="s">
        <v>2880</v>
      </c>
    </row>
    <row r="730" spans="2:16" ht="30" hidden="1" x14ac:dyDescent="0.25">
      <c r="B730" s="108" t="str">
        <f t="shared" si="56"/>
        <v>1</v>
      </c>
      <c r="C730" s="108" t="str">
        <f t="shared" si="57"/>
        <v>9</v>
      </c>
      <c r="D730" s="108" t="str">
        <f t="shared" si="58"/>
        <v>3</v>
      </c>
      <c r="E730" s="108" t="str">
        <f t="shared" si="59"/>
        <v>0</v>
      </c>
      <c r="F730" s="108" t="str">
        <f t="shared" si="60"/>
        <v>02</v>
      </c>
      <c r="G730" s="108" t="str">
        <f t="shared" si="61"/>
        <v>0</v>
      </c>
      <c r="H730" s="108" t="str">
        <f t="shared" si="62"/>
        <v>0</v>
      </c>
      <c r="I730" s="109">
        <v>19300200</v>
      </c>
      <c r="J730" s="108" t="s">
        <v>4429</v>
      </c>
      <c r="K730" s="108" t="s">
        <v>4430</v>
      </c>
      <c r="L730" s="110"/>
      <c r="M730" s="108" t="s">
        <v>2878</v>
      </c>
      <c r="N730" s="108" t="s">
        <v>2879</v>
      </c>
      <c r="O730" s="108" t="s">
        <v>2878</v>
      </c>
      <c r="P730" s="111" t="s">
        <v>2880</v>
      </c>
    </row>
    <row r="731" spans="2:16" ht="30" hidden="1" x14ac:dyDescent="0.25">
      <c r="B731" s="114" t="str">
        <f t="shared" si="56"/>
        <v>1</v>
      </c>
      <c r="C731" s="114" t="str">
        <f t="shared" si="57"/>
        <v>9</v>
      </c>
      <c r="D731" s="114" t="str">
        <f t="shared" si="58"/>
        <v>3</v>
      </c>
      <c r="E731" s="114" t="str">
        <f t="shared" si="59"/>
        <v>0</v>
      </c>
      <c r="F731" s="114" t="str">
        <f t="shared" si="60"/>
        <v>02</v>
      </c>
      <c r="G731" s="114" t="str">
        <f t="shared" si="61"/>
        <v>1</v>
      </c>
      <c r="H731" s="114" t="str">
        <f t="shared" si="62"/>
        <v>0</v>
      </c>
      <c r="I731" s="115">
        <v>19300210</v>
      </c>
      <c r="J731" s="114" t="s">
        <v>4431</v>
      </c>
      <c r="K731" s="114" t="s">
        <v>4432</v>
      </c>
      <c r="L731" s="116"/>
      <c r="M731" s="114" t="s">
        <v>2878</v>
      </c>
      <c r="N731" s="114" t="s">
        <v>2879</v>
      </c>
      <c r="O731" s="114" t="s">
        <v>2878</v>
      </c>
      <c r="P731" s="117" t="s">
        <v>2880</v>
      </c>
    </row>
    <row r="732" spans="2:16" ht="60" hidden="1" x14ac:dyDescent="0.25">
      <c r="B732" s="114" t="str">
        <f t="shared" si="56"/>
        <v>1</v>
      </c>
      <c r="C732" s="114" t="str">
        <f t="shared" si="57"/>
        <v>9</v>
      </c>
      <c r="D732" s="114" t="str">
        <f t="shared" si="58"/>
        <v>3</v>
      </c>
      <c r="E732" s="114" t="str">
        <f t="shared" si="59"/>
        <v>0</v>
      </c>
      <c r="F732" s="114" t="str">
        <f t="shared" si="60"/>
        <v>02</v>
      </c>
      <c r="G732" s="114" t="str">
        <f t="shared" si="61"/>
        <v>2</v>
      </c>
      <c r="H732" s="114" t="str">
        <f t="shared" si="62"/>
        <v>0</v>
      </c>
      <c r="I732" s="115">
        <v>19300220</v>
      </c>
      <c r="J732" s="114" t="s">
        <v>4438</v>
      </c>
      <c r="K732" s="114" t="s">
        <v>4439</v>
      </c>
      <c r="L732" s="116"/>
      <c r="M732" s="114" t="s">
        <v>2878</v>
      </c>
      <c r="N732" s="114" t="s">
        <v>2879</v>
      </c>
      <c r="O732" s="114" t="s">
        <v>2878</v>
      </c>
      <c r="P732" s="117" t="s">
        <v>2880</v>
      </c>
    </row>
    <row r="733" spans="2:16" ht="135" hidden="1" x14ac:dyDescent="0.25">
      <c r="B733" s="108" t="str">
        <f t="shared" si="56"/>
        <v>1</v>
      </c>
      <c r="C733" s="108" t="str">
        <f t="shared" si="57"/>
        <v>9</v>
      </c>
      <c r="D733" s="108" t="str">
        <f t="shared" si="58"/>
        <v>3</v>
      </c>
      <c r="E733" s="108" t="str">
        <f t="shared" si="59"/>
        <v>0</v>
      </c>
      <c r="F733" s="108" t="str">
        <f t="shared" si="60"/>
        <v>03</v>
      </c>
      <c r="G733" s="108" t="str">
        <f t="shared" si="61"/>
        <v>0</v>
      </c>
      <c r="H733" s="108" t="str">
        <f t="shared" si="62"/>
        <v>0</v>
      </c>
      <c r="I733" s="109">
        <v>19300300</v>
      </c>
      <c r="J733" s="108" t="s">
        <v>4444</v>
      </c>
      <c r="K733" s="108" t="s">
        <v>4445</v>
      </c>
      <c r="L733" s="110"/>
      <c r="M733" s="108" t="s">
        <v>2878</v>
      </c>
      <c r="N733" s="108" t="s">
        <v>2879</v>
      </c>
      <c r="O733" s="108" t="s">
        <v>2878</v>
      </c>
      <c r="P733" s="111" t="s">
        <v>2880</v>
      </c>
    </row>
    <row r="734" spans="2:16" ht="135" hidden="1" x14ac:dyDescent="0.25">
      <c r="B734" s="114" t="str">
        <f t="shared" si="56"/>
        <v>1</v>
      </c>
      <c r="C734" s="114" t="str">
        <f t="shared" si="57"/>
        <v>9</v>
      </c>
      <c r="D734" s="114" t="str">
        <f t="shared" si="58"/>
        <v>3</v>
      </c>
      <c r="E734" s="114" t="str">
        <f t="shared" si="59"/>
        <v>0</v>
      </c>
      <c r="F734" s="114" t="str">
        <f t="shared" si="60"/>
        <v>03</v>
      </c>
      <c r="G734" s="114" t="str">
        <f t="shared" si="61"/>
        <v>1</v>
      </c>
      <c r="H734" s="114" t="str">
        <f t="shared" si="62"/>
        <v>0</v>
      </c>
      <c r="I734" s="115">
        <v>19300310</v>
      </c>
      <c r="J734" s="114" t="s">
        <v>4444</v>
      </c>
      <c r="K734" s="114" t="s">
        <v>4445</v>
      </c>
      <c r="L734" s="116"/>
      <c r="M734" s="114" t="s">
        <v>2878</v>
      </c>
      <c r="N734" s="114" t="s">
        <v>2879</v>
      </c>
      <c r="O734" s="114" t="s">
        <v>2878</v>
      </c>
      <c r="P734" s="117" t="s">
        <v>2880</v>
      </c>
    </row>
    <row r="735" spans="2:16" ht="30" hidden="1" x14ac:dyDescent="0.25">
      <c r="B735" s="108" t="str">
        <f t="shared" si="56"/>
        <v>1</v>
      </c>
      <c r="C735" s="108" t="str">
        <f t="shared" si="57"/>
        <v>9</v>
      </c>
      <c r="D735" s="108" t="str">
        <f t="shared" si="58"/>
        <v>3</v>
      </c>
      <c r="E735" s="108" t="str">
        <f t="shared" si="59"/>
        <v>0</v>
      </c>
      <c r="F735" s="108" t="str">
        <f t="shared" si="60"/>
        <v>04</v>
      </c>
      <c r="G735" s="108" t="str">
        <f t="shared" si="61"/>
        <v>0</v>
      </c>
      <c r="H735" s="108" t="str">
        <f t="shared" si="62"/>
        <v>0</v>
      </c>
      <c r="I735" s="109">
        <v>19300400</v>
      </c>
      <c r="J735" s="108" t="s">
        <v>4450</v>
      </c>
      <c r="K735" s="108" t="s">
        <v>4451</v>
      </c>
      <c r="L735" s="110"/>
      <c r="M735" s="108" t="s">
        <v>2878</v>
      </c>
      <c r="N735" s="108" t="s">
        <v>2879</v>
      </c>
      <c r="O735" s="108" t="s">
        <v>2878</v>
      </c>
      <c r="P735" s="111" t="s">
        <v>2880</v>
      </c>
    </row>
    <row r="736" spans="2:16" ht="30" hidden="1" x14ac:dyDescent="0.25">
      <c r="B736" s="114" t="str">
        <f t="shared" si="56"/>
        <v>1</v>
      </c>
      <c r="C736" s="114" t="str">
        <f t="shared" si="57"/>
        <v>9</v>
      </c>
      <c r="D736" s="114" t="str">
        <f t="shared" si="58"/>
        <v>3</v>
      </c>
      <c r="E736" s="114" t="str">
        <f t="shared" si="59"/>
        <v>0</v>
      </c>
      <c r="F736" s="114" t="str">
        <f t="shared" si="60"/>
        <v>04</v>
      </c>
      <c r="G736" s="114" t="str">
        <f t="shared" si="61"/>
        <v>1</v>
      </c>
      <c r="H736" s="114" t="str">
        <f t="shared" si="62"/>
        <v>0</v>
      </c>
      <c r="I736" s="115">
        <v>19300410</v>
      </c>
      <c r="J736" s="114" t="s">
        <v>4450</v>
      </c>
      <c r="K736" s="114" t="s">
        <v>4451</v>
      </c>
      <c r="L736" s="116"/>
      <c r="M736" s="114" t="s">
        <v>2878</v>
      </c>
      <c r="N736" s="114" t="s">
        <v>2879</v>
      </c>
      <c r="O736" s="114" t="s">
        <v>2878</v>
      </c>
      <c r="P736" s="117" t="s">
        <v>2880</v>
      </c>
    </row>
    <row r="737" spans="2:16" s="148" customFormat="1" ht="45" hidden="1" x14ac:dyDescent="0.25">
      <c r="B737" s="145" t="str">
        <f t="shared" si="56"/>
        <v>1</v>
      </c>
      <c r="C737" s="145" t="str">
        <f t="shared" si="57"/>
        <v>9</v>
      </c>
      <c r="D737" s="145" t="str">
        <f t="shared" si="58"/>
        <v>3</v>
      </c>
      <c r="E737" s="145" t="str">
        <f t="shared" si="59"/>
        <v>0</v>
      </c>
      <c r="F737" s="145" t="str">
        <f t="shared" si="60"/>
        <v>05</v>
      </c>
      <c r="G737" s="145" t="str">
        <f t="shared" si="61"/>
        <v>0</v>
      </c>
      <c r="H737" s="145" t="str">
        <f t="shared" si="62"/>
        <v>0</v>
      </c>
      <c r="I737" s="143">
        <v>19300500</v>
      </c>
      <c r="J737" s="145" t="s">
        <v>5597</v>
      </c>
      <c r="K737" s="145" t="s">
        <v>5598</v>
      </c>
      <c r="L737" s="146"/>
      <c r="M737" s="145" t="s">
        <v>2878</v>
      </c>
      <c r="N737" s="145" t="s">
        <v>5587</v>
      </c>
      <c r="O737" s="145" t="s">
        <v>2878</v>
      </c>
      <c r="P737" s="147" t="s">
        <v>2880</v>
      </c>
    </row>
    <row r="738" spans="2:16" s="148" customFormat="1" ht="45" hidden="1" x14ac:dyDescent="0.25">
      <c r="B738" s="149" t="str">
        <f t="shared" si="56"/>
        <v>1</v>
      </c>
      <c r="C738" s="149" t="str">
        <f t="shared" si="57"/>
        <v>9</v>
      </c>
      <c r="D738" s="149" t="str">
        <f t="shared" si="58"/>
        <v>3</v>
      </c>
      <c r="E738" s="149" t="str">
        <f t="shared" si="59"/>
        <v>0</v>
      </c>
      <c r="F738" s="149" t="str">
        <f t="shared" si="60"/>
        <v>05</v>
      </c>
      <c r="G738" s="149" t="str">
        <f t="shared" si="61"/>
        <v>1</v>
      </c>
      <c r="H738" s="149" t="str">
        <f t="shared" si="62"/>
        <v>0</v>
      </c>
      <c r="I738" s="144">
        <v>19300510</v>
      </c>
      <c r="J738" s="149" t="s">
        <v>5597</v>
      </c>
      <c r="K738" s="149" t="s">
        <v>5598</v>
      </c>
      <c r="L738" s="150"/>
      <c r="M738" s="149" t="s">
        <v>5600</v>
      </c>
      <c r="N738" s="149" t="s">
        <v>5587</v>
      </c>
      <c r="O738" s="149" t="s">
        <v>5599</v>
      </c>
      <c r="P738" s="151" t="s">
        <v>2880</v>
      </c>
    </row>
    <row r="739" spans="2:16" ht="30" hidden="1" x14ac:dyDescent="0.25">
      <c r="B739" s="126" t="str">
        <f t="shared" si="56"/>
        <v>1</v>
      </c>
      <c r="C739" s="126" t="str">
        <f t="shared" si="57"/>
        <v>9</v>
      </c>
      <c r="D739" s="126" t="str">
        <f t="shared" si="58"/>
        <v>9</v>
      </c>
      <c r="E739" s="126" t="str">
        <f t="shared" si="59"/>
        <v>0</v>
      </c>
      <c r="F739" s="126" t="str">
        <f t="shared" si="60"/>
        <v>00</v>
      </c>
      <c r="G739" s="126" t="str">
        <f t="shared" si="61"/>
        <v>0</v>
      </c>
      <c r="H739" s="126" t="str">
        <f t="shared" si="62"/>
        <v>0</v>
      </c>
      <c r="I739" s="127">
        <v>19900000</v>
      </c>
      <c r="J739" s="126" t="s">
        <v>4459</v>
      </c>
      <c r="K739" s="126" t="s">
        <v>4460</v>
      </c>
      <c r="L739" s="122"/>
      <c r="M739" s="126" t="s">
        <v>2878</v>
      </c>
      <c r="N739" s="126" t="s">
        <v>5016</v>
      </c>
      <c r="O739" s="126" t="s">
        <v>2878</v>
      </c>
      <c r="P739" s="128" t="s">
        <v>2880</v>
      </c>
    </row>
    <row r="740" spans="2:16" ht="60" hidden="1" x14ac:dyDescent="0.25">
      <c r="B740" s="108" t="str">
        <f t="shared" si="56"/>
        <v>1</v>
      </c>
      <c r="C740" s="108" t="str">
        <f t="shared" si="57"/>
        <v>9</v>
      </c>
      <c r="D740" s="108" t="str">
        <f t="shared" si="58"/>
        <v>9</v>
      </c>
      <c r="E740" s="108" t="str">
        <f t="shared" si="59"/>
        <v>0</v>
      </c>
      <c r="F740" s="108" t="str">
        <f t="shared" si="60"/>
        <v>01</v>
      </c>
      <c r="G740" s="108" t="str">
        <f t="shared" si="61"/>
        <v>0</v>
      </c>
      <c r="H740" s="108" t="str">
        <f t="shared" si="62"/>
        <v>0</v>
      </c>
      <c r="I740" s="109">
        <v>19900100</v>
      </c>
      <c r="J740" s="108" t="s">
        <v>4461</v>
      </c>
      <c r="K740" s="108" t="s">
        <v>4462</v>
      </c>
      <c r="L740" s="110"/>
      <c r="M740" s="108" t="s">
        <v>2878</v>
      </c>
      <c r="N740" s="108" t="s">
        <v>2879</v>
      </c>
      <c r="O740" s="108" t="s">
        <v>2878</v>
      </c>
      <c r="P740" s="111" t="s">
        <v>2880</v>
      </c>
    </row>
    <row r="741" spans="2:16" ht="60" hidden="1" x14ac:dyDescent="0.25">
      <c r="B741" s="114" t="str">
        <f t="shared" si="56"/>
        <v>1</v>
      </c>
      <c r="C741" s="114" t="str">
        <f t="shared" si="57"/>
        <v>9</v>
      </c>
      <c r="D741" s="114" t="str">
        <f t="shared" si="58"/>
        <v>9</v>
      </c>
      <c r="E741" s="114" t="str">
        <f t="shared" si="59"/>
        <v>0</v>
      </c>
      <c r="F741" s="114" t="str">
        <f t="shared" si="60"/>
        <v>01</v>
      </c>
      <c r="G741" s="114" t="str">
        <f t="shared" si="61"/>
        <v>1</v>
      </c>
      <c r="H741" s="114" t="str">
        <f t="shared" si="62"/>
        <v>0</v>
      </c>
      <c r="I741" s="115">
        <v>19900110</v>
      </c>
      <c r="J741" s="114" t="s">
        <v>4461</v>
      </c>
      <c r="K741" s="114" t="s">
        <v>4462</v>
      </c>
      <c r="L741" s="116"/>
      <c r="M741" s="114" t="s">
        <v>2878</v>
      </c>
      <c r="N741" s="114" t="s">
        <v>2879</v>
      </c>
      <c r="O741" s="114" t="s">
        <v>2878</v>
      </c>
      <c r="P741" s="117" t="s">
        <v>2880</v>
      </c>
    </row>
    <row r="742" spans="2:16" ht="45" hidden="1" x14ac:dyDescent="0.25">
      <c r="B742" s="108" t="str">
        <f t="shared" si="56"/>
        <v>1</v>
      </c>
      <c r="C742" s="108" t="str">
        <f t="shared" si="57"/>
        <v>9</v>
      </c>
      <c r="D742" s="108" t="str">
        <f t="shared" si="58"/>
        <v>9</v>
      </c>
      <c r="E742" s="108" t="str">
        <f t="shared" si="59"/>
        <v>0</v>
      </c>
      <c r="F742" s="108" t="str">
        <f t="shared" si="60"/>
        <v>02</v>
      </c>
      <c r="G742" s="108" t="str">
        <f t="shared" si="61"/>
        <v>0</v>
      </c>
      <c r="H742" s="108" t="str">
        <f t="shared" si="62"/>
        <v>0</v>
      </c>
      <c r="I742" s="109">
        <v>19900200</v>
      </c>
      <c r="J742" s="108" t="s">
        <v>4466</v>
      </c>
      <c r="K742" s="108" t="s">
        <v>4467</v>
      </c>
      <c r="L742" s="110"/>
      <c r="M742" s="108" t="s">
        <v>2878</v>
      </c>
      <c r="N742" s="108" t="s">
        <v>2879</v>
      </c>
      <c r="O742" s="108" t="s">
        <v>2878</v>
      </c>
      <c r="P742" s="111" t="s">
        <v>2880</v>
      </c>
    </row>
    <row r="743" spans="2:16" ht="45" hidden="1" x14ac:dyDescent="0.25">
      <c r="B743" s="114" t="str">
        <f t="shared" si="56"/>
        <v>1</v>
      </c>
      <c r="C743" s="114" t="str">
        <f t="shared" si="57"/>
        <v>9</v>
      </c>
      <c r="D743" s="114" t="str">
        <f t="shared" si="58"/>
        <v>9</v>
      </c>
      <c r="E743" s="114" t="str">
        <f t="shared" si="59"/>
        <v>0</v>
      </c>
      <c r="F743" s="114" t="str">
        <f t="shared" si="60"/>
        <v>02</v>
      </c>
      <c r="G743" s="114" t="str">
        <f t="shared" si="61"/>
        <v>1</v>
      </c>
      <c r="H743" s="114" t="str">
        <f t="shared" si="62"/>
        <v>0</v>
      </c>
      <c r="I743" s="115">
        <v>19900210</v>
      </c>
      <c r="J743" s="114" t="s">
        <v>4466</v>
      </c>
      <c r="K743" s="114" t="s">
        <v>4467</v>
      </c>
      <c r="L743" s="116"/>
      <c r="M743" s="114" t="s">
        <v>2878</v>
      </c>
      <c r="N743" s="114" t="s">
        <v>2879</v>
      </c>
      <c r="O743" s="114" t="s">
        <v>2878</v>
      </c>
      <c r="P743" s="117" t="s">
        <v>2880</v>
      </c>
    </row>
    <row r="744" spans="2:16" ht="30" hidden="1" x14ac:dyDescent="0.25">
      <c r="B744" s="108" t="str">
        <f t="shared" si="56"/>
        <v>1</v>
      </c>
      <c r="C744" s="108" t="str">
        <f t="shared" si="57"/>
        <v>9</v>
      </c>
      <c r="D744" s="108" t="str">
        <f t="shared" si="58"/>
        <v>9</v>
      </c>
      <c r="E744" s="108" t="str">
        <f t="shared" si="59"/>
        <v>0</v>
      </c>
      <c r="F744" s="108" t="str">
        <f t="shared" si="60"/>
        <v>03</v>
      </c>
      <c r="G744" s="108" t="str">
        <f t="shared" si="61"/>
        <v>0</v>
      </c>
      <c r="H744" s="108" t="str">
        <f t="shared" si="62"/>
        <v>0</v>
      </c>
      <c r="I744" s="109">
        <v>19900300</v>
      </c>
      <c r="J744" s="108" t="s">
        <v>2191</v>
      </c>
      <c r="K744" s="108" t="s">
        <v>4470</v>
      </c>
      <c r="L744" s="110"/>
      <c r="M744" s="108" t="s">
        <v>2878</v>
      </c>
      <c r="N744" s="108" t="s">
        <v>2879</v>
      </c>
      <c r="O744" s="108" t="s">
        <v>2878</v>
      </c>
      <c r="P744" s="111" t="s">
        <v>2880</v>
      </c>
    </row>
    <row r="745" spans="2:16" ht="30" hidden="1" x14ac:dyDescent="0.25">
      <c r="B745" s="114" t="str">
        <f t="shared" si="56"/>
        <v>1</v>
      </c>
      <c r="C745" s="114" t="str">
        <f t="shared" si="57"/>
        <v>9</v>
      </c>
      <c r="D745" s="114" t="str">
        <f t="shared" si="58"/>
        <v>9</v>
      </c>
      <c r="E745" s="114" t="str">
        <f t="shared" si="59"/>
        <v>0</v>
      </c>
      <c r="F745" s="114" t="str">
        <f t="shared" si="60"/>
        <v>03</v>
      </c>
      <c r="G745" s="114" t="str">
        <f t="shared" si="61"/>
        <v>1</v>
      </c>
      <c r="H745" s="114" t="str">
        <f t="shared" si="62"/>
        <v>0</v>
      </c>
      <c r="I745" s="115">
        <v>19900310</v>
      </c>
      <c r="J745" s="114" t="s">
        <v>2191</v>
      </c>
      <c r="K745" s="114" t="s">
        <v>4470</v>
      </c>
      <c r="L745" s="116"/>
      <c r="M745" s="114" t="s">
        <v>2878</v>
      </c>
      <c r="N745" s="114" t="s">
        <v>2879</v>
      </c>
      <c r="O745" s="114" t="s">
        <v>2878</v>
      </c>
      <c r="P745" s="117" t="s">
        <v>2880</v>
      </c>
    </row>
    <row r="746" spans="2:16" ht="285" hidden="1" x14ac:dyDescent="0.25">
      <c r="B746" s="108" t="str">
        <f t="shared" si="56"/>
        <v>1</v>
      </c>
      <c r="C746" s="108" t="str">
        <f t="shared" si="57"/>
        <v>9</v>
      </c>
      <c r="D746" s="108" t="str">
        <f t="shared" si="58"/>
        <v>9</v>
      </c>
      <c r="E746" s="108" t="str">
        <f t="shared" si="59"/>
        <v>0</v>
      </c>
      <c r="F746" s="108" t="str">
        <f t="shared" si="60"/>
        <v>04</v>
      </c>
      <c r="G746" s="108" t="str">
        <f t="shared" si="61"/>
        <v>0</v>
      </c>
      <c r="H746" s="108" t="str">
        <f t="shared" si="62"/>
        <v>0</v>
      </c>
      <c r="I746" s="109">
        <v>19900400</v>
      </c>
      <c r="J746" s="108" t="s">
        <v>4478</v>
      </c>
      <c r="K746" s="108" t="s">
        <v>4479</v>
      </c>
      <c r="L746" s="110"/>
      <c r="M746" s="108" t="s">
        <v>2878</v>
      </c>
      <c r="N746" s="108" t="s">
        <v>2879</v>
      </c>
      <c r="O746" s="108" t="s">
        <v>2878</v>
      </c>
      <c r="P746" s="111" t="s">
        <v>2880</v>
      </c>
    </row>
    <row r="747" spans="2:16" ht="285" hidden="1" x14ac:dyDescent="0.25">
      <c r="B747" s="114" t="str">
        <f t="shared" si="56"/>
        <v>1</v>
      </c>
      <c r="C747" s="114" t="str">
        <f t="shared" si="57"/>
        <v>9</v>
      </c>
      <c r="D747" s="114" t="str">
        <f t="shared" si="58"/>
        <v>9</v>
      </c>
      <c r="E747" s="114" t="str">
        <f t="shared" si="59"/>
        <v>0</v>
      </c>
      <c r="F747" s="114" t="str">
        <f t="shared" si="60"/>
        <v>04</v>
      </c>
      <c r="G747" s="114" t="str">
        <f t="shared" si="61"/>
        <v>1</v>
      </c>
      <c r="H747" s="114" t="str">
        <f t="shared" si="62"/>
        <v>0</v>
      </c>
      <c r="I747" s="115">
        <v>19900410</v>
      </c>
      <c r="J747" s="114" t="s">
        <v>4478</v>
      </c>
      <c r="K747" s="114" t="s">
        <v>4479</v>
      </c>
      <c r="L747" s="116"/>
      <c r="M747" s="114" t="s">
        <v>2878</v>
      </c>
      <c r="N747" s="114" t="s">
        <v>2879</v>
      </c>
      <c r="O747" s="114" t="s">
        <v>2878</v>
      </c>
      <c r="P747" s="117" t="s">
        <v>2880</v>
      </c>
    </row>
    <row r="748" spans="2:16" ht="45" hidden="1" x14ac:dyDescent="0.25">
      <c r="B748" s="108" t="str">
        <f t="shared" ref="B748:B811" si="63">MID($I748,1,1)</f>
        <v>1</v>
      </c>
      <c r="C748" s="108" t="str">
        <f t="shared" ref="C748:C811" si="64">MID($I748,2,1)</f>
        <v>9</v>
      </c>
      <c r="D748" s="108" t="str">
        <f t="shared" ref="D748:D811" si="65">MID($I748,3,1)</f>
        <v>9</v>
      </c>
      <c r="E748" s="108" t="str">
        <f t="shared" ref="E748:E811" si="66">MID($I748,4,1)</f>
        <v>0</v>
      </c>
      <c r="F748" s="108" t="str">
        <f t="shared" ref="F748:F811" si="67">MID($I748,5,2)</f>
        <v>05</v>
      </c>
      <c r="G748" s="108" t="str">
        <f t="shared" ref="G748:G811" si="68">MID($I748,7,1)</f>
        <v>0</v>
      </c>
      <c r="H748" s="108" t="str">
        <f t="shared" ref="H748:H811" si="69">MID($I748,8,1)</f>
        <v>0</v>
      </c>
      <c r="I748" s="109">
        <v>19900500</v>
      </c>
      <c r="J748" s="108" t="s">
        <v>4484</v>
      </c>
      <c r="K748" s="108" t="s">
        <v>4485</v>
      </c>
      <c r="L748" s="110"/>
      <c r="M748" s="108" t="s">
        <v>2878</v>
      </c>
      <c r="N748" s="108" t="s">
        <v>2879</v>
      </c>
      <c r="O748" s="108" t="s">
        <v>2878</v>
      </c>
      <c r="P748" s="111" t="s">
        <v>2880</v>
      </c>
    </row>
    <row r="749" spans="2:16" ht="45" hidden="1" x14ac:dyDescent="0.25">
      <c r="B749" s="114" t="str">
        <f t="shared" si="63"/>
        <v>1</v>
      </c>
      <c r="C749" s="114" t="str">
        <f t="shared" si="64"/>
        <v>9</v>
      </c>
      <c r="D749" s="114" t="str">
        <f t="shared" si="65"/>
        <v>9</v>
      </c>
      <c r="E749" s="114" t="str">
        <f t="shared" si="66"/>
        <v>0</v>
      </c>
      <c r="F749" s="114" t="str">
        <f t="shared" si="67"/>
        <v>05</v>
      </c>
      <c r="G749" s="114" t="str">
        <f t="shared" si="68"/>
        <v>1</v>
      </c>
      <c r="H749" s="114" t="str">
        <f t="shared" si="69"/>
        <v>0</v>
      </c>
      <c r="I749" s="115">
        <v>19900510</v>
      </c>
      <c r="J749" s="114" t="s">
        <v>4484</v>
      </c>
      <c r="K749" s="114" t="s">
        <v>4485</v>
      </c>
      <c r="L749" s="116"/>
      <c r="M749" s="114" t="s">
        <v>2878</v>
      </c>
      <c r="N749" s="114" t="s">
        <v>2879</v>
      </c>
      <c r="O749" s="114" t="s">
        <v>2878</v>
      </c>
      <c r="P749" s="117" t="s">
        <v>2880</v>
      </c>
    </row>
    <row r="750" spans="2:16" ht="30" hidden="1" x14ac:dyDescent="0.25">
      <c r="B750" s="108" t="str">
        <f t="shared" si="63"/>
        <v>1</v>
      </c>
      <c r="C750" s="108" t="str">
        <f t="shared" si="64"/>
        <v>9</v>
      </c>
      <c r="D750" s="108" t="str">
        <f t="shared" si="65"/>
        <v>9</v>
      </c>
      <c r="E750" s="108" t="str">
        <f t="shared" si="66"/>
        <v>0</v>
      </c>
      <c r="F750" s="108" t="str">
        <f t="shared" si="67"/>
        <v>06</v>
      </c>
      <c r="G750" s="108" t="str">
        <f t="shared" si="68"/>
        <v>0</v>
      </c>
      <c r="H750" s="108" t="str">
        <f t="shared" si="69"/>
        <v>0</v>
      </c>
      <c r="I750" s="109">
        <v>19900600</v>
      </c>
      <c r="J750" s="108" t="s">
        <v>4491</v>
      </c>
      <c r="K750" s="108" t="s">
        <v>4492</v>
      </c>
      <c r="L750" s="110"/>
      <c r="M750" s="108" t="s">
        <v>2878</v>
      </c>
      <c r="N750" s="108" t="s">
        <v>2879</v>
      </c>
      <c r="O750" s="108" t="s">
        <v>2878</v>
      </c>
      <c r="P750" s="111" t="s">
        <v>2880</v>
      </c>
    </row>
    <row r="751" spans="2:16" ht="30" hidden="1" x14ac:dyDescent="0.25">
      <c r="B751" s="114" t="str">
        <f t="shared" si="63"/>
        <v>1</v>
      </c>
      <c r="C751" s="114" t="str">
        <f t="shared" si="64"/>
        <v>9</v>
      </c>
      <c r="D751" s="114" t="str">
        <f t="shared" si="65"/>
        <v>9</v>
      </c>
      <c r="E751" s="114" t="str">
        <f t="shared" si="66"/>
        <v>0</v>
      </c>
      <c r="F751" s="114" t="str">
        <f t="shared" si="67"/>
        <v>06</v>
      </c>
      <c r="G751" s="114" t="str">
        <f t="shared" si="68"/>
        <v>1</v>
      </c>
      <c r="H751" s="114" t="str">
        <f t="shared" si="69"/>
        <v>0</v>
      </c>
      <c r="I751" s="115">
        <v>19900610</v>
      </c>
      <c r="J751" s="114" t="s">
        <v>4491</v>
      </c>
      <c r="K751" s="114" t="s">
        <v>4492</v>
      </c>
      <c r="L751" s="116"/>
      <c r="M751" s="114" t="s">
        <v>2878</v>
      </c>
      <c r="N751" s="114" t="s">
        <v>2879</v>
      </c>
      <c r="O751" s="114" t="s">
        <v>2878</v>
      </c>
      <c r="P751" s="117" t="s">
        <v>2880</v>
      </c>
    </row>
    <row r="752" spans="2:16" ht="90" hidden="1" x14ac:dyDescent="0.25">
      <c r="B752" s="108" t="str">
        <f t="shared" si="63"/>
        <v>1</v>
      </c>
      <c r="C752" s="108" t="str">
        <f t="shared" si="64"/>
        <v>9</v>
      </c>
      <c r="D752" s="108" t="str">
        <f t="shared" si="65"/>
        <v>9</v>
      </c>
      <c r="E752" s="108" t="str">
        <f t="shared" si="66"/>
        <v>0</v>
      </c>
      <c r="F752" s="108" t="str">
        <f t="shared" si="67"/>
        <v>07</v>
      </c>
      <c r="G752" s="108" t="str">
        <f t="shared" si="68"/>
        <v>0</v>
      </c>
      <c r="H752" s="108" t="str">
        <f t="shared" si="69"/>
        <v>0</v>
      </c>
      <c r="I752" s="109">
        <v>19900700</v>
      </c>
      <c r="J752" s="108" t="s">
        <v>2593</v>
      </c>
      <c r="K752" s="108" t="s">
        <v>4496</v>
      </c>
      <c r="L752" s="110"/>
      <c r="M752" s="108" t="s">
        <v>2878</v>
      </c>
      <c r="N752" s="108" t="s">
        <v>2879</v>
      </c>
      <c r="O752" s="108" t="s">
        <v>2878</v>
      </c>
      <c r="P752" s="111" t="s">
        <v>2880</v>
      </c>
    </row>
    <row r="753" spans="2:16" ht="90" hidden="1" x14ac:dyDescent="0.25">
      <c r="B753" s="114" t="str">
        <f t="shared" si="63"/>
        <v>1</v>
      </c>
      <c r="C753" s="114" t="str">
        <f t="shared" si="64"/>
        <v>9</v>
      </c>
      <c r="D753" s="114" t="str">
        <f t="shared" si="65"/>
        <v>9</v>
      </c>
      <c r="E753" s="114" t="str">
        <f t="shared" si="66"/>
        <v>0</v>
      </c>
      <c r="F753" s="114" t="str">
        <f t="shared" si="67"/>
        <v>07</v>
      </c>
      <c r="G753" s="114" t="str">
        <f t="shared" si="68"/>
        <v>1</v>
      </c>
      <c r="H753" s="114" t="str">
        <f t="shared" si="69"/>
        <v>0</v>
      </c>
      <c r="I753" s="115">
        <v>19900710</v>
      </c>
      <c r="J753" s="114" t="s">
        <v>2593</v>
      </c>
      <c r="K753" s="114" t="s">
        <v>4496</v>
      </c>
      <c r="L753" s="116"/>
      <c r="M753" s="114" t="s">
        <v>2878</v>
      </c>
      <c r="N753" s="114" t="s">
        <v>2879</v>
      </c>
      <c r="O753" s="114" t="s">
        <v>2878</v>
      </c>
      <c r="P753" s="117" t="s">
        <v>2880</v>
      </c>
    </row>
    <row r="754" spans="2:16" ht="90" hidden="1" x14ac:dyDescent="0.25">
      <c r="B754" s="108" t="str">
        <f t="shared" si="63"/>
        <v>1</v>
      </c>
      <c r="C754" s="108" t="str">
        <f t="shared" si="64"/>
        <v>9</v>
      </c>
      <c r="D754" s="108" t="str">
        <f t="shared" si="65"/>
        <v>9</v>
      </c>
      <c r="E754" s="108" t="str">
        <f t="shared" si="66"/>
        <v>0</v>
      </c>
      <c r="F754" s="108" t="str">
        <f t="shared" si="67"/>
        <v>08</v>
      </c>
      <c r="G754" s="108" t="str">
        <f t="shared" si="68"/>
        <v>0</v>
      </c>
      <c r="H754" s="108" t="str">
        <f t="shared" si="69"/>
        <v>0</v>
      </c>
      <c r="I754" s="109">
        <v>19900800</v>
      </c>
      <c r="J754" s="108" t="s">
        <v>4500</v>
      </c>
      <c r="K754" s="108" t="s">
        <v>4501</v>
      </c>
      <c r="L754" s="110"/>
      <c r="M754" s="108" t="s">
        <v>2878</v>
      </c>
      <c r="N754" s="108" t="s">
        <v>2879</v>
      </c>
      <c r="O754" s="108" t="s">
        <v>2878</v>
      </c>
      <c r="P754" s="111" t="s">
        <v>2880</v>
      </c>
    </row>
    <row r="755" spans="2:16" ht="90" hidden="1" x14ac:dyDescent="0.25">
      <c r="B755" s="114" t="str">
        <f t="shared" si="63"/>
        <v>1</v>
      </c>
      <c r="C755" s="114" t="str">
        <f t="shared" si="64"/>
        <v>9</v>
      </c>
      <c r="D755" s="114" t="str">
        <f t="shared" si="65"/>
        <v>9</v>
      </c>
      <c r="E755" s="114" t="str">
        <f t="shared" si="66"/>
        <v>0</v>
      </c>
      <c r="F755" s="114" t="str">
        <f t="shared" si="67"/>
        <v>08</v>
      </c>
      <c r="G755" s="114" t="str">
        <f t="shared" si="68"/>
        <v>1</v>
      </c>
      <c r="H755" s="114" t="str">
        <f t="shared" si="69"/>
        <v>0</v>
      </c>
      <c r="I755" s="115">
        <v>19900810</v>
      </c>
      <c r="J755" s="114" t="s">
        <v>4500</v>
      </c>
      <c r="K755" s="114" t="s">
        <v>4501</v>
      </c>
      <c r="L755" s="116"/>
      <c r="M755" s="114" t="s">
        <v>2878</v>
      </c>
      <c r="N755" s="114" t="s">
        <v>2879</v>
      </c>
      <c r="O755" s="114" t="s">
        <v>2878</v>
      </c>
      <c r="P755" s="117" t="s">
        <v>2880</v>
      </c>
    </row>
    <row r="756" spans="2:16" ht="60" hidden="1" x14ac:dyDescent="0.25">
      <c r="B756" s="108" t="str">
        <f t="shared" si="63"/>
        <v>1</v>
      </c>
      <c r="C756" s="108" t="str">
        <f t="shared" si="64"/>
        <v>9</v>
      </c>
      <c r="D756" s="108" t="str">
        <f t="shared" si="65"/>
        <v>9</v>
      </c>
      <c r="E756" s="108" t="str">
        <f t="shared" si="66"/>
        <v>0</v>
      </c>
      <c r="F756" s="108" t="str">
        <f t="shared" si="67"/>
        <v>09</v>
      </c>
      <c r="G756" s="108" t="str">
        <f t="shared" si="68"/>
        <v>0</v>
      </c>
      <c r="H756" s="108" t="str">
        <f t="shared" si="69"/>
        <v>0</v>
      </c>
      <c r="I756" s="109">
        <v>19900900</v>
      </c>
      <c r="J756" s="108" t="s">
        <v>4506</v>
      </c>
      <c r="K756" s="108" t="s">
        <v>4507</v>
      </c>
      <c r="L756" s="110"/>
      <c r="M756" s="108" t="s">
        <v>2878</v>
      </c>
      <c r="N756" s="108" t="s">
        <v>2879</v>
      </c>
      <c r="O756" s="108" t="s">
        <v>2878</v>
      </c>
      <c r="P756" s="111" t="s">
        <v>2880</v>
      </c>
    </row>
    <row r="757" spans="2:16" ht="60" hidden="1" x14ac:dyDescent="0.25">
      <c r="B757" s="114" t="str">
        <f t="shared" si="63"/>
        <v>1</v>
      </c>
      <c r="C757" s="114" t="str">
        <f t="shared" si="64"/>
        <v>9</v>
      </c>
      <c r="D757" s="114" t="str">
        <f t="shared" si="65"/>
        <v>9</v>
      </c>
      <c r="E757" s="114" t="str">
        <f t="shared" si="66"/>
        <v>0</v>
      </c>
      <c r="F757" s="114" t="str">
        <f t="shared" si="67"/>
        <v>09</v>
      </c>
      <c r="G757" s="114" t="str">
        <f t="shared" si="68"/>
        <v>1</v>
      </c>
      <c r="H757" s="114" t="str">
        <f t="shared" si="69"/>
        <v>0</v>
      </c>
      <c r="I757" s="115">
        <v>19900910</v>
      </c>
      <c r="J757" s="114" t="s">
        <v>4506</v>
      </c>
      <c r="K757" s="114" t="s">
        <v>4507</v>
      </c>
      <c r="L757" s="116"/>
      <c r="M757" s="114" t="s">
        <v>2878</v>
      </c>
      <c r="N757" s="114" t="s">
        <v>2879</v>
      </c>
      <c r="O757" s="114" t="s">
        <v>2878</v>
      </c>
      <c r="P757" s="117" t="s">
        <v>2880</v>
      </c>
    </row>
    <row r="758" spans="2:16" ht="75" hidden="1" x14ac:dyDescent="0.25">
      <c r="B758" s="108" t="str">
        <f t="shared" si="63"/>
        <v>1</v>
      </c>
      <c r="C758" s="108" t="str">
        <f t="shared" si="64"/>
        <v>9</v>
      </c>
      <c r="D758" s="108" t="str">
        <f t="shared" si="65"/>
        <v>9</v>
      </c>
      <c r="E758" s="108" t="str">
        <f t="shared" si="66"/>
        <v>0</v>
      </c>
      <c r="F758" s="108" t="str">
        <f t="shared" si="67"/>
        <v>10</v>
      </c>
      <c r="G758" s="108" t="str">
        <f t="shared" si="68"/>
        <v>0</v>
      </c>
      <c r="H758" s="108" t="str">
        <f t="shared" si="69"/>
        <v>0</v>
      </c>
      <c r="I758" s="109">
        <v>19901000</v>
      </c>
      <c r="J758" s="108" t="s">
        <v>4511</v>
      </c>
      <c r="K758" s="108" t="s">
        <v>4512</v>
      </c>
      <c r="L758" s="110"/>
      <c r="M758" s="108" t="s">
        <v>2878</v>
      </c>
      <c r="N758" s="108" t="s">
        <v>2879</v>
      </c>
      <c r="O758" s="108" t="s">
        <v>2878</v>
      </c>
      <c r="P758" s="111" t="s">
        <v>2880</v>
      </c>
    </row>
    <row r="759" spans="2:16" ht="75" hidden="1" x14ac:dyDescent="0.25">
      <c r="B759" s="114" t="str">
        <f t="shared" si="63"/>
        <v>1</v>
      </c>
      <c r="C759" s="114" t="str">
        <f t="shared" si="64"/>
        <v>9</v>
      </c>
      <c r="D759" s="114" t="str">
        <f t="shared" si="65"/>
        <v>9</v>
      </c>
      <c r="E759" s="114" t="str">
        <f t="shared" si="66"/>
        <v>0</v>
      </c>
      <c r="F759" s="114" t="str">
        <f t="shared" si="67"/>
        <v>10</v>
      </c>
      <c r="G759" s="114" t="str">
        <f t="shared" si="68"/>
        <v>1</v>
      </c>
      <c r="H759" s="114" t="str">
        <f t="shared" si="69"/>
        <v>0</v>
      </c>
      <c r="I759" s="115">
        <v>19901010</v>
      </c>
      <c r="J759" s="114" t="s">
        <v>4511</v>
      </c>
      <c r="K759" s="114" t="s">
        <v>4512</v>
      </c>
      <c r="L759" s="116"/>
      <c r="M759" s="114" t="s">
        <v>2878</v>
      </c>
      <c r="N759" s="114" t="s">
        <v>2879</v>
      </c>
      <c r="O759" s="114" t="s">
        <v>2878</v>
      </c>
      <c r="P759" s="117" t="s">
        <v>2880</v>
      </c>
    </row>
    <row r="760" spans="2:16" ht="45" hidden="1" x14ac:dyDescent="0.25">
      <c r="B760" s="108" t="str">
        <f t="shared" si="63"/>
        <v>1</v>
      </c>
      <c r="C760" s="108" t="str">
        <f t="shared" si="64"/>
        <v>9</v>
      </c>
      <c r="D760" s="108" t="str">
        <f t="shared" si="65"/>
        <v>9</v>
      </c>
      <c r="E760" s="108" t="str">
        <f t="shared" si="66"/>
        <v>0</v>
      </c>
      <c r="F760" s="108" t="str">
        <f t="shared" si="67"/>
        <v>11</v>
      </c>
      <c r="G760" s="108" t="str">
        <f t="shared" si="68"/>
        <v>0</v>
      </c>
      <c r="H760" s="108" t="str">
        <f t="shared" si="69"/>
        <v>0</v>
      </c>
      <c r="I760" s="109">
        <v>19901100</v>
      </c>
      <c r="J760" s="108" t="s">
        <v>4516</v>
      </c>
      <c r="K760" s="108" t="s">
        <v>4517</v>
      </c>
      <c r="L760" s="110"/>
      <c r="M760" s="108" t="s">
        <v>2878</v>
      </c>
      <c r="N760" s="108" t="s">
        <v>2879</v>
      </c>
      <c r="O760" s="108" t="s">
        <v>2878</v>
      </c>
      <c r="P760" s="111" t="s">
        <v>2880</v>
      </c>
    </row>
    <row r="761" spans="2:16" ht="45" hidden="1" x14ac:dyDescent="0.25">
      <c r="B761" s="114" t="str">
        <f t="shared" si="63"/>
        <v>1</v>
      </c>
      <c r="C761" s="114" t="str">
        <f t="shared" si="64"/>
        <v>9</v>
      </c>
      <c r="D761" s="114" t="str">
        <f t="shared" si="65"/>
        <v>9</v>
      </c>
      <c r="E761" s="114" t="str">
        <f t="shared" si="66"/>
        <v>0</v>
      </c>
      <c r="F761" s="114" t="str">
        <f t="shared" si="67"/>
        <v>11</v>
      </c>
      <c r="G761" s="114" t="str">
        <f t="shared" si="68"/>
        <v>1</v>
      </c>
      <c r="H761" s="114" t="str">
        <f t="shared" si="69"/>
        <v>0</v>
      </c>
      <c r="I761" s="115">
        <v>19901110</v>
      </c>
      <c r="J761" s="114" t="s">
        <v>4516</v>
      </c>
      <c r="K761" s="114" t="s">
        <v>4517</v>
      </c>
      <c r="L761" s="116"/>
      <c r="M761" s="114" t="s">
        <v>2878</v>
      </c>
      <c r="N761" s="114" t="s">
        <v>2879</v>
      </c>
      <c r="O761" s="114" t="s">
        <v>2878</v>
      </c>
      <c r="P761" s="117" t="s">
        <v>2880</v>
      </c>
    </row>
    <row r="762" spans="2:16" ht="30" hidden="1" x14ac:dyDescent="0.25">
      <c r="B762" s="108" t="str">
        <f t="shared" si="63"/>
        <v>1</v>
      </c>
      <c r="C762" s="108" t="str">
        <f t="shared" si="64"/>
        <v>9</v>
      </c>
      <c r="D762" s="108" t="str">
        <f t="shared" si="65"/>
        <v>9</v>
      </c>
      <c r="E762" s="108" t="str">
        <f t="shared" si="66"/>
        <v>0</v>
      </c>
      <c r="F762" s="108" t="str">
        <f t="shared" si="67"/>
        <v>12</v>
      </c>
      <c r="G762" s="108" t="str">
        <f t="shared" si="68"/>
        <v>0</v>
      </c>
      <c r="H762" s="108" t="str">
        <f t="shared" si="69"/>
        <v>0</v>
      </c>
      <c r="I762" s="109">
        <v>19901200</v>
      </c>
      <c r="J762" s="108" t="s">
        <v>2525</v>
      </c>
      <c r="K762" s="108" t="s">
        <v>4522</v>
      </c>
      <c r="L762" s="110"/>
      <c r="M762" s="108" t="s">
        <v>2878</v>
      </c>
      <c r="N762" s="108" t="s">
        <v>2527</v>
      </c>
      <c r="O762" s="108" t="s">
        <v>2878</v>
      </c>
      <c r="P762" s="111" t="s">
        <v>2880</v>
      </c>
    </row>
    <row r="763" spans="2:16" ht="45" hidden="1" x14ac:dyDescent="0.25">
      <c r="B763" s="114" t="str">
        <f t="shared" si="63"/>
        <v>1</v>
      </c>
      <c r="C763" s="114" t="str">
        <f t="shared" si="64"/>
        <v>9</v>
      </c>
      <c r="D763" s="114" t="str">
        <f t="shared" si="65"/>
        <v>9</v>
      </c>
      <c r="E763" s="114" t="str">
        <f t="shared" si="66"/>
        <v>0</v>
      </c>
      <c r="F763" s="114" t="str">
        <f t="shared" si="67"/>
        <v>12</v>
      </c>
      <c r="G763" s="114" t="str">
        <f t="shared" si="68"/>
        <v>1</v>
      </c>
      <c r="H763" s="114" t="str">
        <f t="shared" si="69"/>
        <v>0</v>
      </c>
      <c r="I763" s="115">
        <v>19901210</v>
      </c>
      <c r="J763" s="114" t="s">
        <v>2528</v>
      </c>
      <c r="K763" s="114" t="s">
        <v>4523</v>
      </c>
      <c r="L763" s="116"/>
      <c r="M763" s="114" t="s">
        <v>2878</v>
      </c>
      <c r="N763" s="114" t="s">
        <v>2879</v>
      </c>
      <c r="O763" s="114" t="s">
        <v>2878</v>
      </c>
      <c r="P763" s="117" t="s">
        <v>2880</v>
      </c>
    </row>
    <row r="764" spans="2:16" ht="60" hidden="1" x14ac:dyDescent="0.25">
      <c r="B764" s="114" t="str">
        <f t="shared" si="63"/>
        <v>1</v>
      </c>
      <c r="C764" s="114" t="str">
        <f t="shared" si="64"/>
        <v>9</v>
      </c>
      <c r="D764" s="114" t="str">
        <f t="shared" si="65"/>
        <v>9</v>
      </c>
      <c r="E764" s="114" t="str">
        <f t="shared" si="66"/>
        <v>0</v>
      </c>
      <c r="F764" s="114" t="str">
        <f t="shared" si="67"/>
        <v>12</v>
      </c>
      <c r="G764" s="114" t="str">
        <f t="shared" si="68"/>
        <v>2</v>
      </c>
      <c r="H764" s="114" t="str">
        <f t="shared" si="69"/>
        <v>0</v>
      </c>
      <c r="I764" s="115">
        <v>19901220</v>
      </c>
      <c r="J764" s="114" t="s">
        <v>4527</v>
      </c>
      <c r="K764" s="114" t="s">
        <v>4528</v>
      </c>
      <c r="L764" s="116"/>
      <c r="M764" s="114" t="s">
        <v>2878</v>
      </c>
      <c r="N764" s="114" t="s">
        <v>2879</v>
      </c>
      <c r="O764" s="114" t="s">
        <v>2878</v>
      </c>
      <c r="P764" s="117" t="s">
        <v>2880</v>
      </c>
    </row>
    <row r="765" spans="2:16" s="148" customFormat="1" ht="45" hidden="1" x14ac:dyDescent="0.25">
      <c r="B765" s="145" t="str">
        <f t="shared" si="63"/>
        <v>1</v>
      </c>
      <c r="C765" s="145" t="str">
        <f t="shared" si="64"/>
        <v>9</v>
      </c>
      <c r="D765" s="145" t="str">
        <f t="shared" si="65"/>
        <v>9</v>
      </c>
      <c r="E765" s="145" t="str">
        <f t="shared" si="66"/>
        <v>0</v>
      </c>
      <c r="F765" s="145" t="str">
        <f t="shared" si="67"/>
        <v>13</v>
      </c>
      <c r="G765" s="145" t="str">
        <f t="shared" si="68"/>
        <v>0</v>
      </c>
      <c r="H765" s="145" t="str">
        <f t="shared" si="69"/>
        <v>0</v>
      </c>
      <c r="I765" s="143">
        <v>19901300</v>
      </c>
      <c r="J765" s="145" t="s">
        <v>5572</v>
      </c>
      <c r="K765" s="145" t="s">
        <v>5575</v>
      </c>
      <c r="L765" s="146"/>
      <c r="M765" s="145" t="s">
        <v>2878</v>
      </c>
      <c r="N765" s="145" t="s">
        <v>5576</v>
      </c>
      <c r="O765" s="145" t="s">
        <v>5579</v>
      </c>
      <c r="P765" s="147" t="s">
        <v>2880</v>
      </c>
    </row>
    <row r="766" spans="2:16" s="148" customFormat="1" ht="60" hidden="1" x14ac:dyDescent="0.25">
      <c r="B766" s="149" t="str">
        <f t="shared" si="63"/>
        <v>1</v>
      </c>
      <c r="C766" s="149" t="str">
        <f t="shared" si="64"/>
        <v>9</v>
      </c>
      <c r="D766" s="149" t="str">
        <f t="shared" si="65"/>
        <v>9</v>
      </c>
      <c r="E766" s="149" t="str">
        <f t="shared" si="66"/>
        <v>0</v>
      </c>
      <c r="F766" s="149" t="str">
        <f t="shared" si="67"/>
        <v>13</v>
      </c>
      <c r="G766" s="149" t="str">
        <f t="shared" si="68"/>
        <v>1</v>
      </c>
      <c r="H766" s="149" t="str">
        <f t="shared" si="69"/>
        <v>0</v>
      </c>
      <c r="I766" s="144">
        <v>19901310</v>
      </c>
      <c r="J766" s="149" t="s">
        <v>5573</v>
      </c>
      <c r="K766" s="149" t="s">
        <v>5577</v>
      </c>
      <c r="L766" s="150"/>
      <c r="M766" s="149" t="s">
        <v>5578</v>
      </c>
      <c r="N766" s="149" t="s">
        <v>5576</v>
      </c>
      <c r="O766" s="149" t="s">
        <v>5579</v>
      </c>
      <c r="P766" s="151" t="s">
        <v>2880</v>
      </c>
    </row>
    <row r="767" spans="2:16" s="148" customFormat="1" ht="30" hidden="1" x14ac:dyDescent="0.25">
      <c r="B767" s="145" t="str">
        <f t="shared" si="63"/>
        <v>1</v>
      </c>
      <c r="C767" s="145" t="str">
        <f t="shared" si="64"/>
        <v>9</v>
      </c>
      <c r="D767" s="145" t="str">
        <f t="shared" si="65"/>
        <v>9</v>
      </c>
      <c r="E767" s="145" t="str">
        <f t="shared" si="66"/>
        <v>0</v>
      </c>
      <c r="F767" s="145" t="str">
        <f t="shared" si="67"/>
        <v>14</v>
      </c>
      <c r="G767" s="145" t="str">
        <f t="shared" si="68"/>
        <v>0</v>
      </c>
      <c r="H767" s="145" t="str">
        <f t="shared" si="69"/>
        <v>0</v>
      </c>
      <c r="I767" s="143">
        <v>19901400</v>
      </c>
      <c r="J767" s="145" t="s">
        <v>5574</v>
      </c>
      <c r="K767" s="145" t="s">
        <v>5580</v>
      </c>
      <c r="L767" s="146"/>
      <c r="M767" s="145" t="s">
        <v>5581</v>
      </c>
      <c r="N767" s="145" t="s">
        <v>5576</v>
      </c>
      <c r="O767" s="145" t="s">
        <v>5582</v>
      </c>
      <c r="P767" s="147" t="s">
        <v>2880</v>
      </c>
    </row>
    <row r="768" spans="2:16" s="148" customFormat="1" ht="30" hidden="1" x14ac:dyDescent="0.25">
      <c r="B768" s="149" t="str">
        <f t="shared" si="63"/>
        <v>1</v>
      </c>
      <c r="C768" s="149" t="str">
        <f t="shared" si="64"/>
        <v>9</v>
      </c>
      <c r="D768" s="149" t="str">
        <f t="shared" si="65"/>
        <v>9</v>
      </c>
      <c r="E768" s="149" t="str">
        <f t="shared" si="66"/>
        <v>0</v>
      </c>
      <c r="F768" s="149" t="str">
        <f t="shared" si="67"/>
        <v>14</v>
      </c>
      <c r="G768" s="149" t="str">
        <f t="shared" si="68"/>
        <v>1</v>
      </c>
      <c r="H768" s="149" t="str">
        <f t="shared" si="69"/>
        <v>0</v>
      </c>
      <c r="I768" s="144">
        <v>19901410</v>
      </c>
      <c r="J768" s="149" t="s">
        <v>5574</v>
      </c>
      <c r="K768" s="149" t="s">
        <v>5580</v>
      </c>
      <c r="L768" s="150"/>
      <c r="M768" s="149" t="s">
        <v>5581</v>
      </c>
      <c r="N768" s="149" t="s">
        <v>5576</v>
      </c>
      <c r="O768" s="149" t="s">
        <v>5582</v>
      </c>
      <c r="P768" s="151" t="s">
        <v>2880</v>
      </c>
    </row>
    <row r="769" spans="2:16" ht="30" hidden="1" x14ac:dyDescent="0.25">
      <c r="B769" s="108" t="str">
        <f t="shared" si="63"/>
        <v>1</v>
      </c>
      <c r="C769" s="108" t="str">
        <f t="shared" si="64"/>
        <v>9</v>
      </c>
      <c r="D769" s="108" t="str">
        <f t="shared" si="65"/>
        <v>9</v>
      </c>
      <c r="E769" s="108" t="str">
        <f t="shared" si="66"/>
        <v>0</v>
      </c>
      <c r="F769" s="108" t="str">
        <f t="shared" si="67"/>
        <v>99</v>
      </c>
      <c r="G769" s="108" t="str">
        <f t="shared" si="68"/>
        <v>0</v>
      </c>
      <c r="H769" s="108" t="str">
        <f t="shared" si="69"/>
        <v>0</v>
      </c>
      <c r="I769" s="109">
        <v>19909900</v>
      </c>
      <c r="J769" s="108" t="s">
        <v>2601</v>
      </c>
      <c r="K769" s="108" t="s">
        <v>4533</v>
      </c>
      <c r="L769" s="110"/>
      <c r="M769" s="108" t="s">
        <v>2878</v>
      </c>
      <c r="N769" s="108" t="s">
        <v>2060</v>
      </c>
      <c r="O769" s="108" t="s">
        <v>2878</v>
      </c>
      <c r="P769" s="111" t="s">
        <v>2880</v>
      </c>
    </row>
    <row r="770" spans="2:16" ht="30" hidden="1" x14ac:dyDescent="0.25">
      <c r="B770" s="114" t="str">
        <f t="shared" si="63"/>
        <v>1</v>
      </c>
      <c r="C770" s="114" t="str">
        <f t="shared" si="64"/>
        <v>9</v>
      </c>
      <c r="D770" s="114" t="str">
        <f t="shared" si="65"/>
        <v>9</v>
      </c>
      <c r="E770" s="114" t="str">
        <f t="shared" si="66"/>
        <v>0</v>
      </c>
      <c r="F770" s="114" t="str">
        <f t="shared" si="67"/>
        <v>99</v>
      </c>
      <c r="G770" s="114" t="str">
        <f t="shared" si="68"/>
        <v>1</v>
      </c>
      <c r="H770" s="114" t="str">
        <f t="shared" si="69"/>
        <v>0</v>
      </c>
      <c r="I770" s="115">
        <v>19909910</v>
      </c>
      <c r="J770" s="114" t="s">
        <v>2603</v>
      </c>
      <c r="K770" s="114" t="s">
        <v>4534</v>
      </c>
      <c r="L770" s="116"/>
      <c r="M770" s="114" t="s">
        <v>2878</v>
      </c>
      <c r="N770" s="114" t="s">
        <v>2879</v>
      </c>
      <c r="O770" s="114" t="s">
        <v>2878</v>
      </c>
      <c r="P770" s="117" t="s">
        <v>2880</v>
      </c>
    </row>
    <row r="771" spans="2:16" ht="30" hidden="1" x14ac:dyDescent="0.25">
      <c r="B771" s="114" t="str">
        <f t="shared" si="63"/>
        <v>1</v>
      </c>
      <c r="C771" s="114" t="str">
        <f t="shared" si="64"/>
        <v>9</v>
      </c>
      <c r="D771" s="114" t="str">
        <f t="shared" si="65"/>
        <v>9</v>
      </c>
      <c r="E771" s="114" t="str">
        <f t="shared" si="66"/>
        <v>0</v>
      </c>
      <c r="F771" s="114" t="str">
        <f t="shared" si="67"/>
        <v>99</v>
      </c>
      <c r="G771" s="114" t="str">
        <f t="shared" si="68"/>
        <v>2</v>
      </c>
      <c r="H771" s="114" t="str">
        <f t="shared" si="69"/>
        <v>0</v>
      </c>
      <c r="I771" s="115">
        <v>19909920</v>
      </c>
      <c r="J771" s="114" t="s">
        <v>2606</v>
      </c>
      <c r="K771" s="114" t="s">
        <v>4541</v>
      </c>
      <c r="L771" s="116"/>
      <c r="M771" s="114" t="s">
        <v>2878</v>
      </c>
      <c r="N771" s="114" t="s">
        <v>2879</v>
      </c>
      <c r="O771" s="114" t="s">
        <v>2878</v>
      </c>
      <c r="P771" s="117" t="s">
        <v>2880</v>
      </c>
    </row>
    <row r="772" spans="2:16" ht="60" hidden="1" x14ac:dyDescent="0.25">
      <c r="B772" s="99" t="str">
        <f t="shared" si="63"/>
        <v>2</v>
      </c>
      <c r="C772" s="99" t="str">
        <f t="shared" si="64"/>
        <v>0</v>
      </c>
      <c r="D772" s="99" t="str">
        <f t="shared" si="65"/>
        <v>0</v>
      </c>
      <c r="E772" s="99" t="str">
        <f t="shared" si="66"/>
        <v>0</v>
      </c>
      <c r="F772" s="99" t="str">
        <f t="shared" si="67"/>
        <v>00</v>
      </c>
      <c r="G772" s="99" t="str">
        <f t="shared" si="68"/>
        <v>0</v>
      </c>
      <c r="H772" s="99" t="str">
        <f t="shared" si="69"/>
        <v>0</v>
      </c>
      <c r="I772" s="100">
        <v>20000000</v>
      </c>
      <c r="J772" s="99" t="s">
        <v>2608</v>
      </c>
      <c r="K772" s="99" t="s">
        <v>4545</v>
      </c>
      <c r="L772" s="101"/>
      <c r="M772" s="99" t="s">
        <v>2878</v>
      </c>
      <c r="N772" s="99" t="s">
        <v>5016</v>
      </c>
      <c r="O772" s="99" t="s">
        <v>17</v>
      </c>
      <c r="P772" s="102" t="s">
        <v>2880</v>
      </c>
    </row>
    <row r="773" spans="2:16" ht="105" hidden="1" x14ac:dyDescent="0.25">
      <c r="B773" s="123" t="str">
        <f t="shared" si="63"/>
        <v>2</v>
      </c>
      <c r="C773" s="123" t="str">
        <f t="shared" si="64"/>
        <v>1</v>
      </c>
      <c r="D773" s="123" t="str">
        <f t="shared" si="65"/>
        <v>0</v>
      </c>
      <c r="E773" s="123" t="str">
        <f t="shared" si="66"/>
        <v>0</v>
      </c>
      <c r="F773" s="123" t="str">
        <f t="shared" si="67"/>
        <v>00</v>
      </c>
      <c r="G773" s="123" t="str">
        <f t="shared" si="68"/>
        <v>0</v>
      </c>
      <c r="H773" s="123" t="str">
        <f t="shared" si="69"/>
        <v>0</v>
      </c>
      <c r="I773" s="124">
        <v>21000000</v>
      </c>
      <c r="J773" s="123" t="s">
        <v>2610</v>
      </c>
      <c r="K773" s="123" t="s">
        <v>4546</v>
      </c>
      <c r="L773" s="103"/>
      <c r="M773" s="123" t="s">
        <v>2878</v>
      </c>
      <c r="N773" s="123" t="s">
        <v>5016</v>
      </c>
      <c r="O773" s="123" t="s">
        <v>2878</v>
      </c>
      <c r="P773" s="125" t="s">
        <v>2880</v>
      </c>
    </row>
    <row r="774" spans="2:16" ht="45" hidden="1" x14ac:dyDescent="0.25">
      <c r="B774" s="126" t="str">
        <f t="shared" si="63"/>
        <v>2</v>
      </c>
      <c r="C774" s="126" t="str">
        <f t="shared" si="64"/>
        <v>1</v>
      </c>
      <c r="D774" s="126" t="str">
        <f t="shared" si="65"/>
        <v>1</v>
      </c>
      <c r="E774" s="126" t="str">
        <f t="shared" si="66"/>
        <v>0</v>
      </c>
      <c r="F774" s="126" t="str">
        <f t="shared" si="67"/>
        <v>00</v>
      </c>
      <c r="G774" s="126" t="str">
        <f t="shared" si="68"/>
        <v>0</v>
      </c>
      <c r="H774" s="126" t="str">
        <f t="shared" si="69"/>
        <v>0</v>
      </c>
      <c r="I774" s="127">
        <v>21100000</v>
      </c>
      <c r="J774" s="126" t="s">
        <v>4547</v>
      </c>
      <c r="K774" s="126" t="s">
        <v>4548</v>
      </c>
      <c r="L774" s="122"/>
      <c r="M774" s="126" t="s">
        <v>2878</v>
      </c>
      <c r="N774" s="126" t="s">
        <v>5016</v>
      </c>
      <c r="O774" s="126" t="s">
        <v>2878</v>
      </c>
      <c r="P774" s="128" t="s">
        <v>2880</v>
      </c>
    </row>
    <row r="775" spans="2:16" ht="135" hidden="1" x14ac:dyDescent="0.25">
      <c r="B775" s="104" t="str">
        <f t="shared" si="63"/>
        <v>2</v>
      </c>
      <c r="C775" s="104" t="str">
        <f t="shared" si="64"/>
        <v>1</v>
      </c>
      <c r="D775" s="104" t="str">
        <f t="shared" si="65"/>
        <v>1</v>
      </c>
      <c r="E775" s="104" t="str">
        <f t="shared" si="66"/>
        <v>1</v>
      </c>
      <c r="F775" s="104" t="str">
        <f t="shared" si="67"/>
        <v>00</v>
      </c>
      <c r="G775" s="104" t="str">
        <f t="shared" si="68"/>
        <v>0</v>
      </c>
      <c r="H775" s="104" t="str">
        <f t="shared" si="69"/>
        <v>0</v>
      </c>
      <c r="I775" s="105">
        <v>21110000</v>
      </c>
      <c r="J775" s="104" t="s">
        <v>4549</v>
      </c>
      <c r="K775" s="104" t="s">
        <v>4550</v>
      </c>
      <c r="L775" s="106"/>
      <c r="M775" s="104" t="s">
        <v>2878</v>
      </c>
      <c r="N775" s="104" t="s">
        <v>2879</v>
      </c>
      <c r="O775" s="104" t="s">
        <v>2878</v>
      </c>
      <c r="P775" s="107" t="s">
        <v>2880</v>
      </c>
    </row>
    <row r="776" spans="2:16" ht="75" hidden="1" x14ac:dyDescent="0.25">
      <c r="B776" s="114" t="str">
        <f t="shared" si="63"/>
        <v>2</v>
      </c>
      <c r="C776" s="114" t="str">
        <f t="shared" si="64"/>
        <v>1</v>
      </c>
      <c r="D776" s="114" t="str">
        <f t="shared" si="65"/>
        <v>1</v>
      </c>
      <c r="E776" s="114" t="str">
        <f t="shared" si="66"/>
        <v>1</v>
      </c>
      <c r="F776" s="114" t="str">
        <f t="shared" si="67"/>
        <v>00</v>
      </c>
      <c r="G776" s="114" t="str">
        <f t="shared" si="68"/>
        <v>1</v>
      </c>
      <c r="H776" s="114" t="str">
        <f t="shared" si="69"/>
        <v>0</v>
      </c>
      <c r="I776" s="115">
        <v>21110010</v>
      </c>
      <c r="J776" s="114" t="s">
        <v>4549</v>
      </c>
      <c r="K776" s="114" t="s">
        <v>4551</v>
      </c>
      <c r="L776" s="116"/>
      <c r="M776" s="114" t="s">
        <v>2878</v>
      </c>
      <c r="N776" s="114" t="s">
        <v>2879</v>
      </c>
      <c r="O776" s="114" t="s">
        <v>2878</v>
      </c>
      <c r="P776" s="117" t="s">
        <v>2880</v>
      </c>
    </row>
    <row r="777" spans="2:16" ht="105" hidden="1" x14ac:dyDescent="0.25">
      <c r="B777" s="114" t="str">
        <f t="shared" si="63"/>
        <v>2</v>
      </c>
      <c r="C777" s="114" t="str">
        <f t="shared" si="64"/>
        <v>1</v>
      </c>
      <c r="D777" s="114" t="str">
        <f t="shared" si="65"/>
        <v>1</v>
      </c>
      <c r="E777" s="114" t="str">
        <f t="shared" si="66"/>
        <v>1</v>
      </c>
      <c r="F777" s="114" t="str">
        <f t="shared" si="67"/>
        <v>00</v>
      </c>
      <c r="G777" s="114" t="str">
        <f t="shared" si="68"/>
        <v>2</v>
      </c>
      <c r="H777" s="114" t="str">
        <f t="shared" si="69"/>
        <v>0</v>
      </c>
      <c r="I777" s="115">
        <v>21110020</v>
      </c>
      <c r="J777" s="114" t="s">
        <v>4556</v>
      </c>
      <c r="K777" s="114" t="s">
        <v>4557</v>
      </c>
      <c r="L777" s="116"/>
      <c r="M777" s="114" t="s">
        <v>2878</v>
      </c>
      <c r="N777" s="114" t="s">
        <v>2879</v>
      </c>
      <c r="O777" s="114" t="s">
        <v>2878</v>
      </c>
      <c r="P777" s="117" t="s">
        <v>2880</v>
      </c>
    </row>
    <row r="778" spans="2:16" ht="90" hidden="1" x14ac:dyDescent="0.25">
      <c r="B778" s="114" t="str">
        <f t="shared" si="63"/>
        <v>2</v>
      </c>
      <c r="C778" s="114" t="str">
        <f t="shared" si="64"/>
        <v>1</v>
      </c>
      <c r="D778" s="114" t="str">
        <f t="shared" si="65"/>
        <v>1</v>
      </c>
      <c r="E778" s="114" t="str">
        <f t="shared" si="66"/>
        <v>1</v>
      </c>
      <c r="F778" s="114" t="str">
        <f t="shared" si="67"/>
        <v>00</v>
      </c>
      <c r="G778" s="114" t="str">
        <f t="shared" si="68"/>
        <v>3</v>
      </c>
      <c r="H778" s="114" t="str">
        <f t="shared" si="69"/>
        <v>0</v>
      </c>
      <c r="I778" s="115">
        <v>21110030</v>
      </c>
      <c r="J778" s="114" t="s">
        <v>2618</v>
      </c>
      <c r="K778" s="114" t="s">
        <v>4562</v>
      </c>
      <c r="L778" s="116"/>
      <c r="M778" s="114" t="s">
        <v>2878</v>
      </c>
      <c r="N778" s="114" t="s">
        <v>2879</v>
      </c>
      <c r="O778" s="114" t="s">
        <v>2878</v>
      </c>
      <c r="P778" s="117" t="s">
        <v>2880</v>
      </c>
    </row>
    <row r="779" spans="2:16" ht="60" hidden="1" x14ac:dyDescent="0.25">
      <c r="B779" s="104" t="str">
        <f t="shared" si="63"/>
        <v>2</v>
      </c>
      <c r="C779" s="104" t="str">
        <f t="shared" si="64"/>
        <v>1</v>
      </c>
      <c r="D779" s="104" t="str">
        <f t="shared" si="65"/>
        <v>1</v>
      </c>
      <c r="E779" s="104" t="str">
        <f t="shared" si="66"/>
        <v>2</v>
      </c>
      <c r="F779" s="104" t="str">
        <f t="shared" si="67"/>
        <v>00</v>
      </c>
      <c r="G779" s="104" t="str">
        <f t="shared" si="68"/>
        <v>0</v>
      </c>
      <c r="H779" s="104" t="str">
        <f t="shared" si="69"/>
        <v>0</v>
      </c>
      <c r="I779" s="105">
        <v>21120000</v>
      </c>
      <c r="J779" s="104" t="s">
        <v>4567</v>
      </c>
      <c r="K779" s="104" t="s">
        <v>4568</v>
      </c>
      <c r="L779" s="106"/>
      <c r="M779" s="104" t="s">
        <v>2878</v>
      </c>
      <c r="N779" s="104" t="s">
        <v>2879</v>
      </c>
      <c r="O779" s="104" t="s">
        <v>2878</v>
      </c>
      <c r="P779" s="107" t="s">
        <v>2880</v>
      </c>
    </row>
    <row r="780" spans="2:16" ht="60" hidden="1" x14ac:dyDescent="0.25">
      <c r="B780" s="114" t="str">
        <f t="shared" si="63"/>
        <v>2</v>
      </c>
      <c r="C780" s="114" t="str">
        <f t="shared" si="64"/>
        <v>1</v>
      </c>
      <c r="D780" s="114" t="str">
        <f t="shared" si="65"/>
        <v>1</v>
      </c>
      <c r="E780" s="114" t="str">
        <f t="shared" si="66"/>
        <v>2</v>
      </c>
      <c r="F780" s="114" t="str">
        <f t="shared" si="67"/>
        <v>00</v>
      </c>
      <c r="G780" s="114" t="str">
        <f t="shared" si="68"/>
        <v>1</v>
      </c>
      <c r="H780" s="114" t="str">
        <f t="shared" si="69"/>
        <v>0</v>
      </c>
      <c r="I780" s="115">
        <v>21120010</v>
      </c>
      <c r="J780" s="114" t="s">
        <v>4567</v>
      </c>
      <c r="K780" s="114" t="s">
        <v>4568</v>
      </c>
      <c r="L780" s="116"/>
      <c r="M780" s="114" t="s">
        <v>2878</v>
      </c>
      <c r="N780" s="114" t="s">
        <v>2879</v>
      </c>
      <c r="O780" s="114" t="s">
        <v>2878</v>
      </c>
      <c r="P780" s="117" t="s">
        <v>2880</v>
      </c>
    </row>
    <row r="781" spans="2:16" ht="75" hidden="1" x14ac:dyDescent="0.25">
      <c r="B781" s="104" t="str">
        <f t="shared" si="63"/>
        <v>2</v>
      </c>
      <c r="C781" s="104" t="str">
        <f t="shared" si="64"/>
        <v>1</v>
      </c>
      <c r="D781" s="104" t="str">
        <f t="shared" si="65"/>
        <v>1</v>
      </c>
      <c r="E781" s="104" t="str">
        <f t="shared" si="66"/>
        <v>3</v>
      </c>
      <c r="F781" s="104" t="str">
        <f t="shared" si="67"/>
        <v>00</v>
      </c>
      <c r="G781" s="104" t="str">
        <f t="shared" si="68"/>
        <v>0</v>
      </c>
      <c r="H781" s="104" t="str">
        <f t="shared" si="69"/>
        <v>0</v>
      </c>
      <c r="I781" s="105">
        <v>21130000</v>
      </c>
      <c r="J781" s="104" t="s">
        <v>2624</v>
      </c>
      <c r="K781" s="104" t="s">
        <v>4573</v>
      </c>
      <c r="L781" s="106"/>
      <c r="M781" s="104" t="s">
        <v>2878</v>
      </c>
      <c r="N781" s="104" t="s">
        <v>2879</v>
      </c>
      <c r="O781" s="104" t="s">
        <v>2878</v>
      </c>
      <c r="P781" s="107" t="s">
        <v>2880</v>
      </c>
    </row>
    <row r="782" spans="2:16" ht="75" hidden="1" x14ac:dyDescent="0.25">
      <c r="B782" s="114" t="str">
        <f t="shared" si="63"/>
        <v>2</v>
      </c>
      <c r="C782" s="114" t="str">
        <f t="shared" si="64"/>
        <v>1</v>
      </c>
      <c r="D782" s="114" t="str">
        <f t="shared" si="65"/>
        <v>1</v>
      </c>
      <c r="E782" s="114" t="str">
        <f t="shared" si="66"/>
        <v>3</v>
      </c>
      <c r="F782" s="114" t="str">
        <f t="shared" si="67"/>
        <v>00</v>
      </c>
      <c r="G782" s="114" t="str">
        <f t="shared" si="68"/>
        <v>1</v>
      </c>
      <c r="H782" s="114" t="str">
        <f t="shared" si="69"/>
        <v>0</v>
      </c>
      <c r="I782" s="115">
        <v>21130010</v>
      </c>
      <c r="J782" s="114" t="s">
        <v>2624</v>
      </c>
      <c r="K782" s="114" t="s">
        <v>4573</v>
      </c>
      <c r="L782" s="116"/>
      <c r="M782" s="114" t="s">
        <v>2878</v>
      </c>
      <c r="N782" s="114" t="s">
        <v>2879</v>
      </c>
      <c r="O782" s="114" t="s">
        <v>2878</v>
      </c>
      <c r="P782" s="117" t="s">
        <v>2880</v>
      </c>
    </row>
    <row r="783" spans="2:16" ht="75" x14ac:dyDescent="0.25">
      <c r="B783" s="104" t="str">
        <f t="shared" si="63"/>
        <v>2</v>
      </c>
      <c r="C783" s="104" t="str">
        <f t="shared" si="64"/>
        <v>1</v>
      </c>
      <c r="D783" s="104" t="str">
        <f t="shared" si="65"/>
        <v>1</v>
      </c>
      <c r="E783" s="104" t="str">
        <f t="shared" si="66"/>
        <v>8</v>
      </c>
      <c r="F783" s="104" t="str">
        <f t="shared" si="67"/>
        <v>00</v>
      </c>
      <c r="G783" s="104" t="str">
        <f t="shared" si="68"/>
        <v>0</v>
      </c>
      <c r="H783" s="104" t="str">
        <f t="shared" si="69"/>
        <v>0</v>
      </c>
      <c r="I783" s="105">
        <v>21180000</v>
      </c>
      <c r="J783" s="104" t="s">
        <v>4896</v>
      </c>
      <c r="K783" s="104" t="s">
        <v>5037</v>
      </c>
      <c r="L783" s="106"/>
      <c r="M783" s="104" t="s">
        <v>2878</v>
      </c>
      <c r="N783" s="104"/>
      <c r="O783" s="104" t="s">
        <v>5018</v>
      </c>
      <c r="P783" s="107" t="s">
        <v>2880</v>
      </c>
    </row>
    <row r="784" spans="2:16" ht="30" x14ac:dyDescent="0.25">
      <c r="B784" s="108" t="str">
        <f t="shared" si="63"/>
        <v>2</v>
      </c>
      <c r="C784" s="108" t="str">
        <f t="shared" si="64"/>
        <v>1</v>
      </c>
      <c r="D784" s="108" t="str">
        <f t="shared" si="65"/>
        <v>1</v>
      </c>
      <c r="E784" s="108" t="str">
        <f t="shared" si="66"/>
        <v>8</v>
      </c>
      <c r="F784" s="108" t="str">
        <f t="shared" si="67"/>
        <v>01</v>
      </c>
      <c r="G784" s="108" t="str">
        <f t="shared" si="68"/>
        <v>0</v>
      </c>
      <c r="H784" s="108" t="str">
        <f t="shared" si="69"/>
        <v>0</v>
      </c>
      <c r="I784" s="109">
        <v>21180100</v>
      </c>
      <c r="J784" s="108" t="s">
        <v>4894</v>
      </c>
      <c r="K784" s="108" t="s">
        <v>5119</v>
      </c>
      <c r="L784" s="110"/>
      <c r="M784" s="108"/>
      <c r="N784" s="108"/>
      <c r="O784" s="108" t="s">
        <v>2878</v>
      </c>
      <c r="P784" s="111" t="s">
        <v>2880</v>
      </c>
    </row>
    <row r="785" spans="2:16" ht="30" x14ac:dyDescent="0.25">
      <c r="B785" s="114" t="str">
        <f t="shared" si="63"/>
        <v>2</v>
      </c>
      <c r="C785" s="114" t="str">
        <f t="shared" si="64"/>
        <v>1</v>
      </c>
      <c r="D785" s="114" t="str">
        <f t="shared" si="65"/>
        <v>1</v>
      </c>
      <c r="E785" s="114" t="str">
        <f t="shared" si="66"/>
        <v>8</v>
      </c>
      <c r="F785" s="114" t="str">
        <f t="shared" si="67"/>
        <v>01</v>
      </c>
      <c r="G785" s="114" t="str">
        <f t="shared" si="68"/>
        <v>1</v>
      </c>
      <c r="H785" s="114" t="str">
        <f t="shared" si="69"/>
        <v>0</v>
      </c>
      <c r="I785" s="115">
        <v>21180110</v>
      </c>
      <c r="J785" s="114" t="s">
        <v>2628</v>
      </c>
      <c r="K785" s="114" t="s">
        <v>2629</v>
      </c>
      <c r="L785" s="116"/>
      <c r="M785" s="114"/>
      <c r="N785" s="114"/>
      <c r="O785" s="114" t="s">
        <v>2878</v>
      </c>
      <c r="P785" s="117" t="s">
        <v>2880</v>
      </c>
    </row>
    <row r="786" spans="2:16" ht="30" x14ac:dyDescent="0.25">
      <c r="B786" s="114" t="str">
        <f t="shared" si="63"/>
        <v>2</v>
      </c>
      <c r="C786" s="114" t="str">
        <f t="shared" si="64"/>
        <v>1</v>
      </c>
      <c r="D786" s="114" t="str">
        <f t="shared" si="65"/>
        <v>1</v>
      </c>
      <c r="E786" s="114" t="str">
        <f t="shared" si="66"/>
        <v>8</v>
      </c>
      <c r="F786" s="114" t="str">
        <f t="shared" si="67"/>
        <v>01</v>
      </c>
      <c r="G786" s="114" t="str">
        <f t="shared" si="68"/>
        <v>2</v>
      </c>
      <c r="H786" s="114" t="str">
        <f t="shared" si="69"/>
        <v>0</v>
      </c>
      <c r="I786" s="115">
        <v>21180120</v>
      </c>
      <c r="J786" s="114" t="s">
        <v>2630</v>
      </c>
      <c r="K786" s="114" t="s">
        <v>2631</v>
      </c>
      <c r="L786" s="116"/>
      <c r="M786" s="114"/>
      <c r="N786" s="114"/>
      <c r="O786" s="114" t="s">
        <v>2878</v>
      </c>
      <c r="P786" s="117" t="s">
        <v>2880</v>
      </c>
    </row>
    <row r="787" spans="2:16" ht="30" x14ac:dyDescent="0.25">
      <c r="B787" s="114" t="str">
        <f t="shared" si="63"/>
        <v>2</v>
      </c>
      <c r="C787" s="114" t="str">
        <f t="shared" si="64"/>
        <v>1</v>
      </c>
      <c r="D787" s="114" t="str">
        <f t="shared" si="65"/>
        <v>1</v>
      </c>
      <c r="E787" s="114" t="str">
        <f t="shared" si="66"/>
        <v>8</v>
      </c>
      <c r="F787" s="114" t="str">
        <f t="shared" si="67"/>
        <v>01</v>
      </c>
      <c r="G787" s="114" t="str">
        <f t="shared" si="68"/>
        <v>3</v>
      </c>
      <c r="H787" s="114" t="str">
        <f t="shared" si="69"/>
        <v>0</v>
      </c>
      <c r="I787" s="115">
        <v>21180130</v>
      </c>
      <c r="J787" s="114" t="s">
        <v>2632</v>
      </c>
      <c r="K787" s="114" t="s">
        <v>2633</v>
      </c>
      <c r="L787" s="116"/>
      <c r="M787" s="114"/>
      <c r="N787" s="114"/>
      <c r="O787" s="114" t="s">
        <v>2878</v>
      </c>
      <c r="P787" s="117" t="s">
        <v>2880</v>
      </c>
    </row>
    <row r="788" spans="2:16" ht="30" x14ac:dyDescent="0.25">
      <c r="B788" s="114" t="str">
        <f t="shared" si="63"/>
        <v>2</v>
      </c>
      <c r="C788" s="114" t="str">
        <f t="shared" si="64"/>
        <v>1</v>
      </c>
      <c r="D788" s="114" t="str">
        <f t="shared" si="65"/>
        <v>1</v>
      </c>
      <c r="E788" s="114" t="str">
        <f t="shared" si="66"/>
        <v>8</v>
      </c>
      <c r="F788" s="114" t="str">
        <f t="shared" si="67"/>
        <v>01</v>
      </c>
      <c r="G788" s="114" t="str">
        <f t="shared" si="68"/>
        <v>4</v>
      </c>
      <c r="H788" s="114" t="str">
        <f t="shared" si="69"/>
        <v>0</v>
      </c>
      <c r="I788" s="115">
        <v>21180140</v>
      </c>
      <c r="J788" s="114" t="s">
        <v>2634</v>
      </c>
      <c r="K788" s="114" t="s">
        <v>2635</v>
      </c>
      <c r="L788" s="116"/>
      <c r="M788" s="114"/>
      <c r="N788" s="114"/>
      <c r="O788" s="114" t="s">
        <v>2878</v>
      </c>
      <c r="P788" s="117" t="s">
        <v>2880</v>
      </c>
    </row>
    <row r="789" spans="2:16" ht="30" x14ac:dyDescent="0.25">
      <c r="B789" s="114" t="str">
        <f t="shared" si="63"/>
        <v>2</v>
      </c>
      <c r="C789" s="114" t="str">
        <f t="shared" si="64"/>
        <v>1</v>
      </c>
      <c r="D789" s="114" t="str">
        <f t="shared" si="65"/>
        <v>1</v>
      </c>
      <c r="E789" s="114" t="str">
        <f t="shared" si="66"/>
        <v>8</v>
      </c>
      <c r="F789" s="114" t="str">
        <f t="shared" si="67"/>
        <v>01</v>
      </c>
      <c r="G789" s="114" t="str">
        <f t="shared" si="68"/>
        <v>5</v>
      </c>
      <c r="H789" s="114" t="str">
        <f t="shared" si="69"/>
        <v>0</v>
      </c>
      <c r="I789" s="115">
        <v>21180150</v>
      </c>
      <c r="J789" s="114" t="s">
        <v>2636</v>
      </c>
      <c r="K789" s="114" t="s">
        <v>2637</v>
      </c>
      <c r="L789" s="116"/>
      <c r="M789" s="114"/>
      <c r="N789" s="114"/>
      <c r="O789" s="114" t="s">
        <v>2878</v>
      </c>
      <c r="P789" s="117" t="s">
        <v>2880</v>
      </c>
    </row>
    <row r="790" spans="2:16" ht="30" x14ac:dyDescent="0.25">
      <c r="B790" s="114" t="str">
        <f t="shared" si="63"/>
        <v>2</v>
      </c>
      <c r="C790" s="114" t="str">
        <f t="shared" si="64"/>
        <v>1</v>
      </c>
      <c r="D790" s="114" t="str">
        <f t="shared" si="65"/>
        <v>1</v>
      </c>
      <c r="E790" s="114" t="str">
        <f t="shared" si="66"/>
        <v>8</v>
      </c>
      <c r="F790" s="114" t="str">
        <f t="shared" si="67"/>
        <v>01</v>
      </c>
      <c r="G790" s="114" t="str">
        <f t="shared" si="68"/>
        <v>6</v>
      </c>
      <c r="H790" s="114" t="str">
        <f t="shared" si="69"/>
        <v>0</v>
      </c>
      <c r="I790" s="115">
        <v>21180160</v>
      </c>
      <c r="J790" s="114" t="s">
        <v>2638</v>
      </c>
      <c r="K790" s="114" t="s">
        <v>2639</v>
      </c>
      <c r="L790" s="116"/>
      <c r="M790" s="114"/>
      <c r="N790" s="114"/>
      <c r="O790" s="114" t="s">
        <v>2878</v>
      </c>
      <c r="P790" s="117" t="s">
        <v>2880</v>
      </c>
    </row>
    <row r="791" spans="2:16" ht="30" x14ac:dyDescent="0.25">
      <c r="B791" s="114" t="str">
        <f t="shared" si="63"/>
        <v>2</v>
      </c>
      <c r="C791" s="114" t="str">
        <f t="shared" si="64"/>
        <v>1</v>
      </c>
      <c r="D791" s="114" t="str">
        <f t="shared" si="65"/>
        <v>1</v>
      </c>
      <c r="E791" s="114" t="str">
        <f t="shared" si="66"/>
        <v>8</v>
      </c>
      <c r="F791" s="114" t="str">
        <f t="shared" si="67"/>
        <v>01</v>
      </c>
      <c r="G791" s="114" t="str">
        <f t="shared" si="68"/>
        <v>7</v>
      </c>
      <c r="H791" s="114" t="str">
        <f t="shared" si="69"/>
        <v>0</v>
      </c>
      <c r="I791" s="115">
        <v>21180170</v>
      </c>
      <c r="J791" s="114" t="s">
        <v>2640</v>
      </c>
      <c r="K791" s="114" t="s">
        <v>2641</v>
      </c>
      <c r="L791" s="116"/>
      <c r="M791" s="114"/>
      <c r="N791" s="114"/>
      <c r="O791" s="114" t="s">
        <v>2878</v>
      </c>
      <c r="P791" s="117" t="s">
        <v>2880</v>
      </c>
    </row>
    <row r="792" spans="2:16" ht="30" hidden="1" x14ac:dyDescent="0.25">
      <c r="B792" s="104" t="str">
        <f t="shared" si="63"/>
        <v>2</v>
      </c>
      <c r="C792" s="104" t="str">
        <f t="shared" si="64"/>
        <v>1</v>
      </c>
      <c r="D792" s="104" t="str">
        <f t="shared" si="65"/>
        <v>1</v>
      </c>
      <c r="E792" s="104" t="str">
        <f t="shared" si="66"/>
        <v>9</v>
      </c>
      <c r="F792" s="104" t="str">
        <f t="shared" si="67"/>
        <v>00</v>
      </c>
      <c r="G792" s="104" t="str">
        <f t="shared" si="68"/>
        <v>0</v>
      </c>
      <c r="H792" s="104" t="str">
        <f t="shared" si="69"/>
        <v>0</v>
      </c>
      <c r="I792" s="105">
        <v>21190000</v>
      </c>
      <c r="J792" s="104" t="s">
        <v>4577</v>
      </c>
      <c r="K792" s="104" t="s">
        <v>4578</v>
      </c>
      <c r="L792" s="106"/>
      <c r="M792" s="104" t="s">
        <v>2878</v>
      </c>
      <c r="N792" s="104" t="s">
        <v>2879</v>
      </c>
      <c r="O792" s="104" t="s">
        <v>2878</v>
      </c>
      <c r="P792" s="107" t="s">
        <v>2880</v>
      </c>
    </row>
    <row r="793" spans="2:16" ht="30" hidden="1" x14ac:dyDescent="0.25">
      <c r="B793" s="114" t="str">
        <f t="shared" si="63"/>
        <v>2</v>
      </c>
      <c r="C793" s="114" t="str">
        <f t="shared" si="64"/>
        <v>1</v>
      </c>
      <c r="D793" s="114" t="str">
        <f t="shared" si="65"/>
        <v>1</v>
      </c>
      <c r="E793" s="114" t="str">
        <f t="shared" si="66"/>
        <v>9</v>
      </c>
      <c r="F793" s="114" t="str">
        <f t="shared" si="67"/>
        <v>00</v>
      </c>
      <c r="G793" s="114" t="str">
        <f t="shared" si="68"/>
        <v>1</v>
      </c>
      <c r="H793" s="114" t="str">
        <f t="shared" si="69"/>
        <v>0</v>
      </c>
      <c r="I793" s="115">
        <v>21190010</v>
      </c>
      <c r="J793" s="114" t="s">
        <v>4577</v>
      </c>
      <c r="K793" s="114" t="s">
        <v>4578</v>
      </c>
      <c r="L793" s="116"/>
      <c r="M793" s="114" t="s">
        <v>2878</v>
      </c>
      <c r="N793" s="114" t="s">
        <v>2879</v>
      </c>
      <c r="O793" s="114" t="s">
        <v>2878</v>
      </c>
      <c r="P793" s="117" t="s">
        <v>2880</v>
      </c>
    </row>
    <row r="794" spans="2:16" ht="45" hidden="1" x14ac:dyDescent="0.25">
      <c r="B794" s="126" t="str">
        <f t="shared" si="63"/>
        <v>2</v>
      </c>
      <c r="C794" s="126" t="str">
        <f t="shared" si="64"/>
        <v>1</v>
      </c>
      <c r="D794" s="126" t="str">
        <f t="shared" si="65"/>
        <v>2</v>
      </c>
      <c r="E794" s="126" t="str">
        <f t="shared" si="66"/>
        <v>0</v>
      </c>
      <c r="F794" s="126" t="str">
        <f t="shared" si="67"/>
        <v>00</v>
      </c>
      <c r="G794" s="126" t="str">
        <f t="shared" si="68"/>
        <v>0</v>
      </c>
      <c r="H794" s="126" t="str">
        <f t="shared" si="69"/>
        <v>0</v>
      </c>
      <c r="I794" s="127">
        <v>21200000</v>
      </c>
      <c r="J794" s="126" t="s">
        <v>4582</v>
      </c>
      <c r="K794" s="126" t="s">
        <v>4583</v>
      </c>
      <c r="L794" s="122"/>
      <c r="M794" s="126" t="s">
        <v>2878</v>
      </c>
      <c r="N794" s="126" t="s">
        <v>5016</v>
      </c>
      <c r="O794" s="126" t="s">
        <v>2878</v>
      </c>
      <c r="P794" s="128" t="s">
        <v>2880</v>
      </c>
    </row>
    <row r="795" spans="2:16" ht="135" hidden="1" x14ac:dyDescent="0.25">
      <c r="B795" s="104" t="str">
        <f t="shared" si="63"/>
        <v>2</v>
      </c>
      <c r="C795" s="104" t="str">
        <f t="shared" si="64"/>
        <v>1</v>
      </c>
      <c r="D795" s="104" t="str">
        <f t="shared" si="65"/>
        <v>2</v>
      </c>
      <c r="E795" s="104" t="str">
        <f t="shared" si="66"/>
        <v>1</v>
      </c>
      <c r="F795" s="104" t="str">
        <f t="shared" si="67"/>
        <v>00</v>
      </c>
      <c r="G795" s="104" t="str">
        <f t="shared" si="68"/>
        <v>0</v>
      </c>
      <c r="H795" s="104" t="str">
        <f t="shared" si="69"/>
        <v>0</v>
      </c>
      <c r="I795" s="105">
        <v>21210000</v>
      </c>
      <c r="J795" s="104" t="s">
        <v>4584</v>
      </c>
      <c r="K795" s="104" t="s">
        <v>4585</v>
      </c>
      <c r="L795" s="106"/>
      <c r="M795" s="104" t="s">
        <v>2878</v>
      </c>
      <c r="N795" s="104" t="s">
        <v>2879</v>
      </c>
      <c r="O795" s="104" t="s">
        <v>2878</v>
      </c>
      <c r="P795" s="107" t="s">
        <v>2880</v>
      </c>
    </row>
    <row r="796" spans="2:16" ht="90" hidden="1" x14ac:dyDescent="0.25">
      <c r="B796" s="114" t="str">
        <f t="shared" si="63"/>
        <v>2</v>
      </c>
      <c r="C796" s="114" t="str">
        <f t="shared" si="64"/>
        <v>1</v>
      </c>
      <c r="D796" s="114" t="str">
        <f t="shared" si="65"/>
        <v>2</v>
      </c>
      <c r="E796" s="114" t="str">
        <f t="shared" si="66"/>
        <v>1</v>
      </c>
      <c r="F796" s="114" t="str">
        <f t="shared" si="67"/>
        <v>00</v>
      </c>
      <c r="G796" s="114" t="str">
        <f t="shared" si="68"/>
        <v>1</v>
      </c>
      <c r="H796" s="114" t="str">
        <f t="shared" si="69"/>
        <v>0</v>
      </c>
      <c r="I796" s="115">
        <v>21210010</v>
      </c>
      <c r="J796" s="114" t="s">
        <v>4584</v>
      </c>
      <c r="K796" s="114" t="s">
        <v>4586</v>
      </c>
      <c r="L796" s="116"/>
      <c r="M796" s="114" t="s">
        <v>2878</v>
      </c>
      <c r="N796" s="114" t="s">
        <v>2879</v>
      </c>
      <c r="O796" s="114" t="s">
        <v>2878</v>
      </c>
      <c r="P796" s="117" t="s">
        <v>2880</v>
      </c>
    </row>
    <row r="797" spans="2:16" ht="105" hidden="1" x14ac:dyDescent="0.25">
      <c r="B797" s="114" t="str">
        <f t="shared" si="63"/>
        <v>2</v>
      </c>
      <c r="C797" s="114" t="str">
        <f t="shared" si="64"/>
        <v>1</v>
      </c>
      <c r="D797" s="114" t="str">
        <f t="shared" si="65"/>
        <v>2</v>
      </c>
      <c r="E797" s="114" t="str">
        <f t="shared" si="66"/>
        <v>1</v>
      </c>
      <c r="F797" s="114" t="str">
        <f t="shared" si="67"/>
        <v>00</v>
      </c>
      <c r="G797" s="114" t="str">
        <f t="shared" si="68"/>
        <v>2</v>
      </c>
      <c r="H797" s="114" t="str">
        <f t="shared" si="69"/>
        <v>0</v>
      </c>
      <c r="I797" s="115">
        <v>21210020</v>
      </c>
      <c r="J797" s="114" t="s">
        <v>4591</v>
      </c>
      <c r="K797" s="114" t="s">
        <v>4592</v>
      </c>
      <c r="L797" s="116"/>
      <c r="M797" s="114" t="s">
        <v>2878</v>
      </c>
      <c r="N797" s="114" t="s">
        <v>2879</v>
      </c>
      <c r="O797" s="114" t="s">
        <v>2878</v>
      </c>
      <c r="P797" s="117" t="s">
        <v>2880</v>
      </c>
    </row>
    <row r="798" spans="2:16" ht="75" hidden="1" x14ac:dyDescent="0.25">
      <c r="B798" s="104" t="str">
        <f t="shared" si="63"/>
        <v>2</v>
      </c>
      <c r="C798" s="104" t="str">
        <f t="shared" si="64"/>
        <v>1</v>
      </c>
      <c r="D798" s="104" t="str">
        <f t="shared" si="65"/>
        <v>2</v>
      </c>
      <c r="E798" s="104" t="str">
        <f t="shared" si="66"/>
        <v>2</v>
      </c>
      <c r="F798" s="104" t="str">
        <f t="shared" si="67"/>
        <v>00</v>
      </c>
      <c r="G798" s="104" t="str">
        <f t="shared" si="68"/>
        <v>0</v>
      </c>
      <c r="H798" s="104" t="str">
        <f t="shared" si="69"/>
        <v>0</v>
      </c>
      <c r="I798" s="105">
        <v>21220000</v>
      </c>
      <c r="J798" s="104" t="s">
        <v>4596</v>
      </c>
      <c r="K798" s="104" t="s">
        <v>4597</v>
      </c>
      <c r="L798" s="106"/>
      <c r="M798" s="104" t="s">
        <v>2878</v>
      </c>
      <c r="N798" s="104" t="s">
        <v>2879</v>
      </c>
      <c r="O798" s="104" t="s">
        <v>2878</v>
      </c>
      <c r="P798" s="107" t="s">
        <v>2880</v>
      </c>
    </row>
    <row r="799" spans="2:16" ht="75" hidden="1" x14ac:dyDescent="0.25">
      <c r="B799" s="114" t="str">
        <f t="shared" si="63"/>
        <v>2</v>
      </c>
      <c r="C799" s="114" t="str">
        <f t="shared" si="64"/>
        <v>1</v>
      </c>
      <c r="D799" s="114" t="str">
        <f t="shared" si="65"/>
        <v>2</v>
      </c>
      <c r="E799" s="114" t="str">
        <f t="shared" si="66"/>
        <v>2</v>
      </c>
      <c r="F799" s="114" t="str">
        <f t="shared" si="67"/>
        <v>00</v>
      </c>
      <c r="G799" s="114" t="str">
        <f t="shared" si="68"/>
        <v>1</v>
      </c>
      <c r="H799" s="114" t="str">
        <f t="shared" si="69"/>
        <v>0</v>
      </c>
      <c r="I799" s="115">
        <v>21220010</v>
      </c>
      <c r="J799" s="114" t="s">
        <v>4596</v>
      </c>
      <c r="K799" s="114" t="s">
        <v>4597</v>
      </c>
      <c r="L799" s="116"/>
      <c r="M799" s="114" t="s">
        <v>2878</v>
      </c>
      <c r="N799" s="114" t="s">
        <v>2879</v>
      </c>
      <c r="O799" s="114" t="s">
        <v>2878</v>
      </c>
      <c r="P799" s="117" t="s">
        <v>2880</v>
      </c>
    </row>
    <row r="800" spans="2:16" ht="75" x14ac:dyDescent="0.25">
      <c r="B800" s="104" t="str">
        <f t="shared" si="63"/>
        <v>2</v>
      </c>
      <c r="C800" s="104" t="str">
        <f t="shared" si="64"/>
        <v>1</v>
      </c>
      <c r="D800" s="104" t="str">
        <f t="shared" si="65"/>
        <v>2</v>
      </c>
      <c r="E800" s="104" t="str">
        <f t="shared" si="66"/>
        <v>8</v>
      </c>
      <c r="F800" s="104" t="str">
        <f t="shared" si="67"/>
        <v>00</v>
      </c>
      <c r="G800" s="104" t="str">
        <f t="shared" si="68"/>
        <v>0</v>
      </c>
      <c r="H800" s="104" t="str">
        <f t="shared" si="69"/>
        <v>0</v>
      </c>
      <c r="I800" s="105">
        <v>21280000</v>
      </c>
      <c r="J800" s="104" t="s">
        <v>4897</v>
      </c>
      <c r="K800" s="104" t="s">
        <v>5038</v>
      </c>
      <c r="L800" s="106"/>
      <c r="M800" s="104" t="s">
        <v>2878</v>
      </c>
      <c r="N800" s="104"/>
      <c r="O800" s="104" t="s">
        <v>5018</v>
      </c>
      <c r="P800" s="107" t="s">
        <v>2880</v>
      </c>
    </row>
    <row r="801" spans="2:16" ht="30" x14ac:dyDescent="0.25">
      <c r="B801" s="108" t="str">
        <f t="shared" si="63"/>
        <v>2</v>
      </c>
      <c r="C801" s="108" t="str">
        <f t="shared" si="64"/>
        <v>1</v>
      </c>
      <c r="D801" s="108" t="str">
        <f t="shared" si="65"/>
        <v>2</v>
      </c>
      <c r="E801" s="108" t="str">
        <f t="shared" si="66"/>
        <v>8</v>
      </c>
      <c r="F801" s="108" t="str">
        <f t="shared" si="67"/>
        <v>01</v>
      </c>
      <c r="G801" s="108" t="str">
        <f t="shared" si="68"/>
        <v>0</v>
      </c>
      <c r="H801" s="108" t="str">
        <f t="shared" si="69"/>
        <v>0</v>
      </c>
      <c r="I801" s="109">
        <v>21280100</v>
      </c>
      <c r="J801" s="108" t="s">
        <v>4895</v>
      </c>
      <c r="K801" s="108" t="s">
        <v>5046</v>
      </c>
      <c r="L801" s="110"/>
      <c r="M801" s="108"/>
      <c r="N801" s="108"/>
      <c r="O801" s="108" t="s">
        <v>2878</v>
      </c>
      <c r="P801" s="111" t="s">
        <v>2880</v>
      </c>
    </row>
    <row r="802" spans="2:16" ht="30" x14ac:dyDescent="0.25">
      <c r="B802" s="114" t="str">
        <f t="shared" si="63"/>
        <v>2</v>
      </c>
      <c r="C802" s="114" t="str">
        <f t="shared" si="64"/>
        <v>1</v>
      </c>
      <c r="D802" s="114" t="str">
        <f t="shared" si="65"/>
        <v>2</v>
      </c>
      <c r="E802" s="114" t="str">
        <f t="shared" si="66"/>
        <v>8</v>
      </c>
      <c r="F802" s="114" t="str">
        <f t="shared" si="67"/>
        <v>01</v>
      </c>
      <c r="G802" s="114" t="str">
        <f t="shared" si="68"/>
        <v>1</v>
      </c>
      <c r="H802" s="114" t="str">
        <f t="shared" si="69"/>
        <v>0</v>
      </c>
      <c r="I802" s="115">
        <v>21280110</v>
      </c>
      <c r="J802" s="114" t="s">
        <v>2654</v>
      </c>
      <c r="K802" s="114" t="s">
        <v>2655</v>
      </c>
      <c r="L802" s="116"/>
      <c r="M802" s="114"/>
      <c r="N802" s="114"/>
      <c r="O802" s="114" t="s">
        <v>2878</v>
      </c>
      <c r="P802" s="117" t="s">
        <v>2880</v>
      </c>
    </row>
    <row r="803" spans="2:16" ht="30" x14ac:dyDescent="0.25">
      <c r="B803" s="114" t="str">
        <f t="shared" si="63"/>
        <v>2</v>
      </c>
      <c r="C803" s="114" t="str">
        <f t="shared" si="64"/>
        <v>1</v>
      </c>
      <c r="D803" s="114" t="str">
        <f t="shared" si="65"/>
        <v>2</v>
      </c>
      <c r="E803" s="114" t="str">
        <f t="shared" si="66"/>
        <v>8</v>
      </c>
      <c r="F803" s="114" t="str">
        <f t="shared" si="67"/>
        <v>01</v>
      </c>
      <c r="G803" s="114" t="str">
        <f t="shared" si="68"/>
        <v>2</v>
      </c>
      <c r="H803" s="114" t="str">
        <f t="shared" si="69"/>
        <v>0</v>
      </c>
      <c r="I803" s="115">
        <v>21280120</v>
      </c>
      <c r="J803" s="114" t="s">
        <v>2656</v>
      </c>
      <c r="K803" s="114" t="s">
        <v>2657</v>
      </c>
      <c r="L803" s="116"/>
      <c r="M803" s="114"/>
      <c r="N803" s="114"/>
      <c r="O803" s="114" t="s">
        <v>2878</v>
      </c>
      <c r="P803" s="117" t="s">
        <v>2880</v>
      </c>
    </row>
    <row r="804" spans="2:16" ht="30" x14ac:dyDescent="0.25">
      <c r="B804" s="114" t="str">
        <f t="shared" si="63"/>
        <v>2</v>
      </c>
      <c r="C804" s="114" t="str">
        <f t="shared" si="64"/>
        <v>1</v>
      </c>
      <c r="D804" s="114" t="str">
        <f t="shared" si="65"/>
        <v>2</v>
      </c>
      <c r="E804" s="114" t="str">
        <f t="shared" si="66"/>
        <v>8</v>
      </c>
      <c r="F804" s="114" t="str">
        <f t="shared" si="67"/>
        <v>01</v>
      </c>
      <c r="G804" s="114" t="str">
        <f t="shared" si="68"/>
        <v>3</v>
      </c>
      <c r="H804" s="114" t="str">
        <f t="shared" si="69"/>
        <v>0</v>
      </c>
      <c r="I804" s="115">
        <v>21280130</v>
      </c>
      <c r="J804" s="114" t="s">
        <v>2658</v>
      </c>
      <c r="K804" s="114" t="s">
        <v>2659</v>
      </c>
      <c r="L804" s="116"/>
      <c r="M804" s="114"/>
      <c r="N804" s="114"/>
      <c r="O804" s="114" t="s">
        <v>2878</v>
      </c>
      <c r="P804" s="117" t="s">
        <v>2880</v>
      </c>
    </row>
    <row r="805" spans="2:16" ht="30" x14ac:dyDescent="0.25">
      <c r="B805" s="114" t="str">
        <f t="shared" si="63"/>
        <v>2</v>
      </c>
      <c r="C805" s="114" t="str">
        <f t="shared" si="64"/>
        <v>1</v>
      </c>
      <c r="D805" s="114" t="str">
        <f t="shared" si="65"/>
        <v>2</v>
      </c>
      <c r="E805" s="114" t="str">
        <f t="shared" si="66"/>
        <v>8</v>
      </c>
      <c r="F805" s="114" t="str">
        <f t="shared" si="67"/>
        <v>01</v>
      </c>
      <c r="G805" s="114" t="str">
        <f t="shared" si="68"/>
        <v>4</v>
      </c>
      <c r="H805" s="114" t="str">
        <f t="shared" si="69"/>
        <v>0</v>
      </c>
      <c r="I805" s="115">
        <v>21280140</v>
      </c>
      <c r="J805" s="114" t="s">
        <v>2660</v>
      </c>
      <c r="K805" s="114" t="s">
        <v>2661</v>
      </c>
      <c r="L805" s="116"/>
      <c r="M805" s="114"/>
      <c r="N805" s="114"/>
      <c r="O805" s="114" t="s">
        <v>2878</v>
      </c>
      <c r="P805" s="117" t="s">
        <v>2880</v>
      </c>
    </row>
    <row r="806" spans="2:16" ht="30" x14ac:dyDescent="0.25">
      <c r="B806" s="114" t="str">
        <f t="shared" si="63"/>
        <v>2</v>
      </c>
      <c r="C806" s="114" t="str">
        <f t="shared" si="64"/>
        <v>1</v>
      </c>
      <c r="D806" s="114" t="str">
        <f t="shared" si="65"/>
        <v>2</v>
      </c>
      <c r="E806" s="114" t="str">
        <f t="shared" si="66"/>
        <v>8</v>
      </c>
      <c r="F806" s="114" t="str">
        <f t="shared" si="67"/>
        <v>01</v>
      </c>
      <c r="G806" s="114" t="str">
        <f t="shared" si="68"/>
        <v>5</v>
      </c>
      <c r="H806" s="114" t="str">
        <f t="shared" si="69"/>
        <v>0</v>
      </c>
      <c r="I806" s="115">
        <v>21280150</v>
      </c>
      <c r="J806" s="114" t="s">
        <v>2662</v>
      </c>
      <c r="K806" s="114" t="s">
        <v>2663</v>
      </c>
      <c r="L806" s="116"/>
      <c r="M806" s="114"/>
      <c r="N806" s="114"/>
      <c r="O806" s="114" t="s">
        <v>2878</v>
      </c>
      <c r="P806" s="117" t="s">
        <v>2880</v>
      </c>
    </row>
    <row r="807" spans="2:16" ht="30" x14ac:dyDescent="0.25">
      <c r="B807" s="114" t="str">
        <f t="shared" si="63"/>
        <v>2</v>
      </c>
      <c r="C807" s="114" t="str">
        <f t="shared" si="64"/>
        <v>1</v>
      </c>
      <c r="D807" s="114" t="str">
        <f t="shared" si="65"/>
        <v>2</v>
      </c>
      <c r="E807" s="114" t="str">
        <f t="shared" si="66"/>
        <v>8</v>
      </c>
      <c r="F807" s="114" t="str">
        <f t="shared" si="67"/>
        <v>01</v>
      </c>
      <c r="G807" s="114" t="str">
        <f t="shared" si="68"/>
        <v>6</v>
      </c>
      <c r="H807" s="114" t="str">
        <f t="shared" si="69"/>
        <v>0</v>
      </c>
      <c r="I807" s="115">
        <v>21280160</v>
      </c>
      <c r="J807" s="114" t="s">
        <v>2664</v>
      </c>
      <c r="K807" s="114" t="s">
        <v>2665</v>
      </c>
      <c r="L807" s="116"/>
      <c r="M807" s="114"/>
      <c r="N807" s="114"/>
      <c r="O807" s="114" t="s">
        <v>2878</v>
      </c>
      <c r="P807" s="117" t="s">
        <v>2880</v>
      </c>
    </row>
    <row r="808" spans="2:16" ht="30" hidden="1" x14ac:dyDescent="0.25">
      <c r="B808" s="104" t="str">
        <f t="shared" si="63"/>
        <v>2</v>
      </c>
      <c r="C808" s="104" t="str">
        <f t="shared" si="64"/>
        <v>1</v>
      </c>
      <c r="D808" s="104" t="str">
        <f t="shared" si="65"/>
        <v>2</v>
      </c>
      <c r="E808" s="104" t="str">
        <f t="shared" si="66"/>
        <v>9</v>
      </c>
      <c r="F808" s="104" t="str">
        <f t="shared" si="67"/>
        <v>00</v>
      </c>
      <c r="G808" s="104" t="str">
        <f t="shared" si="68"/>
        <v>0</v>
      </c>
      <c r="H808" s="104" t="str">
        <f t="shared" si="69"/>
        <v>0</v>
      </c>
      <c r="I808" s="105">
        <v>21290000</v>
      </c>
      <c r="J808" s="104" t="s">
        <v>4601</v>
      </c>
      <c r="K808" s="104" t="s">
        <v>4602</v>
      </c>
      <c r="L808" s="106"/>
      <c r="M808" s="104" t="s">
        <v>2878</v>
      </c>
      <c r="N808" s="104" t="s">
        <v>2879</v>
      </c>
      <c r="O808" s="104" t="s">
        <v>2878</v>
      </c>
      <c r="P808" s="107" t="s">
        <v>2880</v>
      </c>
    </row>
    <row r="809" spans="2:16" ht="30" hidden="1" x14ac:dyDescent="0.25">
      <c r="B809" s="114" t="str">
        <f t="shared" si="63"/>
        <v>2</v>
      </c>
      <c r="C809" s="114" t="str">
        <f t="shared" si="64"/>
        <v>1</v>
      </c>
      <c r="D809" s="114" t="str">
        <f t="shared" si="65"/>
        <v>2</v>
      </c>
      <c r="E809" s="114" t="str">
        <f t="shared" si="66"/>
        <v>9</v>
      </c>
      <c r="F809" s="114" t="str">
        <f t="shared" si="67"/>
        <v>00</v>
      </c>
      <c r="G809" s="114" t="str">
        <f t="shared" si="68"/>
        <v>1</v>
      </c>
      <c r="H809" s="114" t="str">
        <f t="shared" si="69"/>
        <v>0</v>
      </c>
      <c r="I809" s="115">
        <v>21290010</v>
      </c>
      <c r="J809" s="114" t="s">
        <v>4601</v>
      </c>
      <c r="K809" s="114" t="s">
        <v>4602</v>
      </c>
      <c r="L809" s="116"/>
      <c r="M809" s="114" t="s">
        <v>2878</v>
      </c>
      <c r="N809" s="114" t="s">
        <v>2879</v>
      </c>
      <c r="O809" s="114" t="s">
        <v>2878</v>
      </c>
      <c r="P809" s="117" t="s">
        <v>2880</v>
      </c>
    </row>
    <row r="810" spans="2:16" ht="30" hidden="1" x14ac:dyDescent="0.25">
      <c r="B810" s="123" t="str">
        <f t="shared" si="63"/>
        <v>2</v>
      </c>
      <c r="C810" s="123" t="str">
        <f t="shared" si="64"/>
        <v>2</v>
      </c>
      <c r="D810" s="123" t="str">
        <f t="shared" si="65"/>
        <v>0</v>
      </c>
      <c r="E810" s="123" t="str">
        <f t="shared" si="66"/>
        <v>0</v>
      </c>
      <c r="F810" s="123" t="str">
        <f t="shared" si="67"/>
        <v>00</v>
      </c>
      <c r="G810" s="123" t="str">
        <f t="shared" si="68"/>
        <v>0</v>
      </c>
      <c r="H810" s="123" t="str">
        <f t="shared" si="69"/>
        <v>0</v>
      </c>
      <c r="I810" s="124">
        <v>22000000</v>
      </c>
      <c r="J810" s="123" t="s">
        <v>2670</v>
      </c>
      <c r="K810" s="123" t="s">
        <v>4605</v>
      </c>
      <c r="L810" s="103"/>
      <c r="M810" s="123" t="s">
        <v>2878</v>
      </c>
      <c r="N810" s="123" t="s">
        <v>5016</v>
      </c>
      <c r="O810" s="123" t="s">
        <v>2878</v>
      </c>
      <c r="P810" s="125" t="s">
        <v>2880</v>
      </c>
    </row>
    <row r="811" spans="2:16" ht="30" hidden="1" x14ac:dyDescent="0.25">
      <c r="B811" s="126" t="str">
        <f t="shared" si="63"/>
        <v>2</v>
      </c>
      <c r="C811" s="126" t="str">
        <f t="shared" si="64"/>
        <v>2</v>
      </c>
      <c r="D811" s="126" t="str">
        <f t="shared" si="65"/>
        <v>1</v>
      </c>
      <c r="E811" s="126" t="str">
        <f t="shared" si="66"/>
        <v>0</v>
      </c>
      <c r="F811" s="126" t="str">
        <f t="shared" si="67"/>
        <v>00</v>
      </c>
      <c r="G811" s="126" t="str">
        <f t="shared" si="68"/>
        <v>0</v>
      </c>
      <c r="H811" s="126" t="str">
        <f t="shared" si="69"/>
        <v>0</v>
      </c>
      <c r="I811" s="127">
        <v>22100000</v>
      </c>
      <c r="J811" s="126" t="s">
        <v>2672</v>
      </c>
      <c r="K811" s="126" t="s">
        <v>4606</v>
      </c>
      <c r="L811" s="122"/>
      <c r="M811" s="126" t="s">
        <v>2878</v>
      </c>
      <c r="N811" s="126" t="s">
        <v>5016</v>
      </c>
      <c r="O811" s="126" t="s">
        <v>2878</v>
      </c>
      <c r="P811" s="128" t="s">
        <v>2880</v>
      </c>
    </row>
    <row r="812" spans="2:16" ht="30" hidden="1" x14ac:dyDescent="0.25">
      <c r="B812" s="104" t="str">
        <f t="shared" ref="B812:B875" si="70">MID($I812,1,1)</f>
        <v>2</v>
      </c>
      <c r="C812" s="104" t="str">
        <f t="shared" ref="C812:C875" si="71">MID($I812,2,1)</f>
        <v>2</v>
      </c>
      <c r="D812" s="104" t="str">
        <f t="shared" ref="D812:D875" si="72">MID($I812,3,1)</f>
        <v>1</v>
      </c>
      <c r="E812" s="104" t="str">
        <f t="shared" ref="E812:E875" si="73">MID($I812,4,1)</f>
        <v>1</v>
      </c>
      <c r="F812" s="104" t="str">
        <f t="shared" ref="F812:F875" si="74">MID($I812,5,2)</f>
        <v>00</v>
      </c>
      <c r="G812" s="104" t="str">
        <f t="shared" ref="G812:G875" si="75">MID($I812,7,1)</f>
        <v>0</v>
      </c>
      <c r="H812" s="104" t="str">
        <f t="shared" ref="H812:H875" si="76">MID($I812,8,1)</f>
        <v>0</v>
      </c>
      <c r="I812" s="105">
        <v>22110000</v>
      </c>
      <c r="J812" s="104" t="s">
        <v>2674</v>
      </c>
      <c r="K812" s="104" t="s">
        <v>4607</v>
      </c>
      <c r="L812" s="106"/>
      <c r="M812" s="104" t="s">
        <v>2878</v>
      </c>
      <c r="N812" s="104" t="s">
        <v>2879</v>
      </c>
      <c r="O812" s="104" t="s">
        <v>2878</v>
      </c>
      <c r="P812" s="107" t="s">
        <v>2880</v>
      </c>
    </row>
    <row r="813" spans="2:16" ht="30" hidden="1" x14ac:dyDescent="0.25">
      <c r="B813" s="114" t="str">
        <f t="shared" si="70"/>
        <v>2</v>
      </c>
      <c r="C813" s="114" t="str">
        <f t="shared" si="71"/>
        <v>2</v>
      </c>
      <c r="D813" s="114" t="str">
        <f t="shared" si="72"/>
        <v>1</v>
      </c>
      <c r="E813" s="114" t="str">
        <f t="shared" si="73"/>
        <v>1</v>
      </c>
      <c r="F813" s="114" t="str">
        <f t="shared" si="74"/>
        <v>00</v>
      </c>
      <c r="G813" s="114" t="str">
        <f t="shared" si="75"/>
        <v>1</v>
      </c>
      <c r="H813" s="114" t="str">
        <f t="shared" si="76"/>
        <v>0</v>
      </c>
      <c r="I813" s="115">
        <v>22110010</v>
      </c>
      <c r="J813" s="114" t="s">
        <v>2674</v>
      </c>
      <c r="K813" s="114" t="s">
        <v>4607</v>
      </c>
      <c r="L813" s="116"/>
      <c r="M813" s="114" t="s">
        <v>2878</v>
      </c>
      <c r="N813" s="114" t="s">
        <v>2879</v>
      </c>
      <c r="O813" s="114" t="s">
        <v>2878</v>
      </c>
      <c r="P813" s="117" t="s">
        <v>2880</v>
      </c>
    </row>
    <row r="814" spans="2:16" ht="30" hidden="1" x14ac:dyDescent="0.25">
      <c r="B814" s="104" t="str">
        <f t="shared" si="70"/>
        <v>2</v>
      </c>
      <c r="C814" s="104" t="str">
        <f t="shared" si="71"/>
        <v>2</v>
      </c>
      <c r="D814" s="104" t="str">
        <f t="shared" si="72"/>
        <v>1</v>
      </c>
      <c r="E814" s="104" t="str">
        <f t="shared" si="73"/>
        <v>2</v>
      </c>
      <c r="F814" s="104" t="str">
        <f t="shared" si="74"/>
        <v>00</v>
      </c>
      <c r="G814" s="104" t="str">
        <f t="shared" si="75"/>
        <v>0</v>
      </c>
      <c r="H814" s="104" t="str">
        <f t="shared" si="76"/>
        <v>0</v>
      </c>
      <c r="I814" s="105">
        <v>22120000</v>
      </c>
      <c r="J814" s="104" t="s">
        <v>2676</v>
      </c>
      <c r="K814" s="104" t="s">
        <v>4612</v>
      </c>
      <c r="L814" s="106"/>
      <c r="M814" s="104" t="s">
        <v>2878</v>
      </c>
      <c r="N814" s="104" t="s">
        <v>2879</v>
      </c>
      <c r="O814" s="104" t="s">
        <v>2878</v>
      </c>
      <c r="P814" s="107" t="s">
        <v>2880</v>
      </c>
    </row>
    <row r="815" spans="2:16" ht="105" hidden="1" x14ac:dyDescent="0.25">
      <c r="B815" s="108" t="str">
        <f t="shared" si="70"/>
        <v>2</v>
      </c>
      <c r="C815" s="108" t="str">
        <f t="shared" si="71"/>
        <v>2</v>
      </c>
      <c r="D815" s="108" t="str">
        <f t="shared" si="72"/>
        <v>1</v>
      </c>
      <c r="E815" s="108" t="str">
        <f t="shared" si="73"/>
        <v>2</v>
      </c>
      <c r="F815" s="108" t="str">
        <f t="shared" si="74"/>
        <v>01</v>
      </c>
      <c r="G815" s="108" t="str">
        <f t="shared" si="75"/>
        <v>0</v>
      </c>
      <c r="H815" s="108" t="str">
        <f t="shared" si="76"/>
        <v>0</v>
      </c>
      <c r="I815" s="109">
        <v>22120100</v>
      </c>
      <c r="J815" s="108" t="s">
        <v>4613</v>
      </c>
      <c r="K815" s="108" t="s">
        <v>4614</v>
      </c>
      <c r="L815" s="110"/>
      <c r="M815" s="108" t="s">
        <v>2878</v>
      </c>
      <c r="N815" s="108" t="s">
        <v>2879</v>
      </c>
      <c r="O815" s="108" t="s">
        <v>2878</v>
      </c>
      <c r="P815" s="111" t="s">
        <v>2880</v>
      </c>
    </row>
    <row r="816" spans="2:16" ht="105" hidden="1" x14ac:dyDescent="0.25">
      <c r="B816" s="114" t="str">
        <f t="shared" si="70"/>
        <v>2</v>
      </c>
      <c r="C816" s="114" t="str">
        <f t="shared" si="71"/>
        <v>2</v>
      </c>
      <c r="D816" s="114" t="str">
        <f t="shared" si="72"/>
        <v>1</v>
      </c>
      <c r="E816" s="114" t="str">
        <f t="shared" si="73"/>
        <v>2</v>
      </c>
      <c r="F816" s="114" t="str">
        <f t="shared" si="74"/>
        <v>01</v>
      </c>
      <c r="G816" s="114" t="str">
        <f t="shared" si="75"/>
        <v>1</v>
      </c>
      <c r="H816" s="114" t="str">
        <f t="shared" si="76"/>
        <v>0</v>
      </c>
      <c r="I816" s="115">
        <v>22120110</v>
      </c>
      <c r="J816" s="114" t="s">
        <v>4613</v>
      </c>
      <c r="K816" s="114" t="s">
        <v>4614</v>
      </c>
      <c r="L816" s="116"/>
      <c r="M816" s="114" t="s">
        <v>2878</v>
      </c>
      <c r="N816" s="114" t="s">
        <v>2879</v>
      </c>
      <c r="O816" s="114" t="s">
        <v>2878</v>
      </c>
      <c r="P816" s="117" t="s">
        <v>2880</v>
      </c>
    </row>
    <row r="817" spans="2:16" ht="60" hidden="1" x14ac:dyDescent="0.25">
      <c r="B817" s="108" t="str">
        <f t="shared" si="70"/>
        <v>2</v>
      </c>
      <c r="C817" s="108" t="str">
        <f t="shared" si="71"/>
        <v>2</v>
      </c>
      <c r="D817" s="108" t="str">
        <f t="shared" si="72"/>
        <v>1</v>
      </c>
      <c r="E817" s="108" t="str">
        <f t="shared" si="73"/>
        <v>2</v>
      </c>
      <c r="F817" s="108" t="str">
        <f t="shared" si="74"/>
        <v>02</v>
      </c>
      <c r="G817" s="108" t="str">
        <f t="shared" si="75"/>
        <v>0</v>
      </c>
      <c r="H817" s="108" t="str">
        <f t="shared" si="76"/>
        <v>0</v>
      </c>
      <c r="I817" s="109">
        <v>22120200</v>
      </c>
      <c r="J817" s="108" t="s">
        <v>4619</v>
      </c>
      <c r="K817" s="108" t="s">
        <v>4620</v>
      </c>
      <c r="L817" s="110"/>
      <c r="M817" s="108" t="s">
        <v>2878</v>
      </c>
      <c r="N817" s="108" t="s">
        <v>2879</v>
      </c>
      <c r="O817" s="108" t="s">
        <v>2878</v>
      </c>
      <c r="P817" s="111" t="s">
        <v>2880</v>
      </c>
    </row>
    <row r="818" spans="2:16" ht="60" hidden="1" x14ac:dyDescent="0.25">
      <c r="B818" s="114" t="str">
        <f t="shared" si="70"/>
        <v>2</v>
      </c>
      <c r="C818" s="114" t="str">
        <f t="shared" si="71"/>
        <v>2</v>
      </c>
      <c r="D818" s="114" t="str">
        <f t="shared" si="72"/>
        <v>1</v>
      </c>
      <c r="E818" s="114" t="str">
        <f t="shared" si="73"/>
        <v>2</v>
      </c>
      <c r="F818" s="114" t="str">
        <f t="shared" si="74"/>
        <v>02</v>
      </c>
      <c r="G818" s="114" t="str">
        <f t="shared" si="75"/>
        <v>1</v>
      </c>
      <c r="H818" s="114" t="str">
        <f t="shared" si="76"/>
        <v>0</v>
      </c>
      <c r="I818" s="115">
        <v>22120210</v>
      </c>
      <c r="J818" s="114" t="s">
        <v>4619</v>
      </c>
      <c r="K818" s="114" t="s">
        <v>4620</v>
      </c>
      <c r="L818" s="116"/>
      <c r="M818" s="114" t="s">
        <v>2878</v>
      </c>
      <c r="N818" s="114" t="s">
        <v>2879</v>
      </c>
      <c r="O818" s="114" t="s">
        <v>2878</v>
      </c>
      <c r="P818" s="117" t="s">
        <v>2880</v>
      </c>
    </row>
    <row r="819" spans="2:16" ht="60" hidden="1" x14ac:dyDescent="0.25">
      <c r="B819" s="108" t="str">
        <f t="shared" si="70"/>
        <v>2</v>
      </c>
      <c r="C819" s="108" t="str">
        <f t="shared" si="71"/>
        <v>2</v>
      </c>
      <c r="D819" s="108" t="str">
        <f t="shared" si="72"/>
        <v>1</v>
      </c>
      <c r="E819" s="108" t="str">
        <f t="shared" si="73"/>
        <v>2</v>
      </c>
      <c r="F819" s="108" t="str">
        <f t="shared" si="74"/>
        <v>03</v>
      </c>
      <c r="G819" s="108" t="str">
        <f t="shared" si="75"/>
        <v>0</v>
      </c>
      <c r="H819" s="108" t="str">
        <f t="shared" si="76"/>
        <v>0</v>
      </c>
      <c r="I819" s="109">
        <v>22120300</v>
      </c>
      <c r="J819" s="108" t="s">
        <v>4625</v>
      </c>
      <c r="K819" s="108" t="s">
        <v>4626</v>
      </c>
      <c r="L819" s="110"/>
      <c r="M819" s="108" t="s">
        <v>2878</v>
      </c>
      <c r="N819" s="108" t="s">
        <v>2879</v>
      </c>
      <c r="O819" s="108" t="s">
        <v>2878</v>
      </c>
      <c r="P819" s="111" t="s">
        <v>2880</v>
      </c>
    </row>
    <row r="820" spans="2:16" ht="60" hidden="1" x14ac:dyDescent="0.25">
      <c r="B820" s="114" t="str">
        <f t="shared" si="70"/>
        <v>2</v>
      </c>
      <c r="C820" s="114" t="str">
        <f t="shared" si="71"/>
        <v>2</v>
      </c>
      <c r="D820" s="114" t="str">
        <f t="shared" si="72"/>
        <v>1</v>
      </c>
      <c r="E820" s="114" t="str">
        <f t="shared" si="73"/>
        <v>2</v>
      </c>
      <c r="F820" s="114" t="str">
        <f t="shared" si="74"/>
        <v>03</v>
      </c>
      <c r="G820" s="114" t="str">
        <f t="shared" si="75"/>
        <v>1</v>
      </c>
      <c r="H820" s="114" t="str">
        <f t="shared" si="76"/>
        <v>0</v>
      </c>
      <c r="I820" s="115">
        <v>22120310</v>
      </c>
      <c r="J820" s="114" t="s">
        <v>4625</v>
      </c>
      <c r="K820" s="114" t="s">
        <v>4626</v>
      </c>
      <c r="L820" s="116"/>
      <c r="M820" s="114" t="s">
        <v>2878</v>
      </c>
      <c r="N820" s="114" t="s">
        <v>2879</v>
      </c>
      <c r="O820" s="114" t="s">
        <v>2878</v>
      </c>
      <c r="P820" s="117" t="s">
        <v>2880</v>
      </c>
    </row>
    <row r="821" spans="2:16" ht="45" hidden="1" x14ac:dyDescent="0.25">
      <c r="B821" s="108" t="str">
        <f t="shared" si="70"/>
        <v>2</v>
      </c>
      <c r="C821" s="108" t="str">
        <f t="shared" si="71"/>
        <v>2</v>
      </c>
      <c r="D821" s="108" t="str">
        <f t="shared" si="72"/>
        <v>1</v>
      </c>
      <c r="E821" s="108" t="str">
        <f t="shared" si="73"/>
        <v>2</v>
      </c>
      <c r="F821" s="108" t="str">
        <f t="shared" si="74"/>
        <v>04</v>
      </c>
      <c r="G821" s="108" t="str">
        <f t="shared" si="75"/>
        <v>0</v>
      </c>
      <c r="H821" s="108" t="str">
        <f t="shared" si="76"/>
        <v>0</v>
      </c>
      <c r="I821" s="109">
        <v>22120400</v>
      </c>
      <c r="J821" s="108" t="s">
        <v>4631</v>
      </c>
      <c r="K821" s="108" t="s">
        <v>4632</v>
      </c>
      <c r="L821" s="110"/>
      <c r="M821" s="108" t="s">
        <v>2878</v>
      </c>
      <c r="N821" s="108" t="s">
        <v>2879</v>
      </c>
      <c r="O821" s="108" t="s">
        <v>2878</v>
      </c>
      <c r="P821" s="111" t="s">
        <v>2880</v>
      </c>
    </row>
    <row r="822" spans="2:16" ht="45" hidden="1" x14ac:dyDescent="0.25">
      <c r="B822" s="114" t="str">
        <f t="shared" si="70"/>
        <v>2</v>
      </c>
      <c r="C822" s="114" t="str">
        <f t="shared" si="71"/>
        <v>2</v>
      </c>
      <c r="D822" s="114" t="str">
        <f t="shared" si="72"/>
        <v>1</v>
      </c>
      <c r="E822" s="114" t="str">
        <f t="shared" si="73"/>
        <v>2</v>
      </c>
      <c r="F822" s="114" t="str">
        <f t="shared" si="74"/>
        <v>04</v>
      </c>
      <c r="G822" s="114" t="str">
        <f t="shared" si="75"/>
        <v>1</v>
      </c>
      <c r="H822" s="114" t="str">
        <f t="shared" si="76"/>
        <v>0</v>
      </c>
      <c r="I822" s="115">
        <v>22120410</v>
      </c>
      <c r="J822" s="114" t="s">
        <v>4631</v>
      </c>
      <c r="K822" s="114" t="s">
        <v>4632</v>
      </c>
      <c r="L822" s="116"/>
      <c r="M822" s="114" t="s">
        <v>2878</v>
      </c>
      <c r="N822" s="114" t="s">
        <v>2879</v>
      </c>
      <c r="O822" s="114" t="s">
        <v>2878</v>
      </c>
      <c r="P822" s="117" t="s">
        <v>2880</v>
      </c>
    </row>
    <row r="823" spans="2:16" ht="30" hidden="1" x14ac:dyDescent="0.25">
      <c r="B823" s="104" t="str">
        <f t="shared" si="70"/>
        <v>2</v>
      </c>
      <c r="C823" s="104" t="str">
        <f t="shared" si="71"/>
        <v>2</v>
      </c>
      <c r="D823" s="104" t="str">
        <f t="shared" si="72"/>
        <v>1</v>
      </c>
      <c r="E823" s="104" t="str">
        <f t="shared" si="73"/>
        <v>3</v>
      </c>
      <c r="F823" s="104" t="str">
        <f t="shared" si="74"/>
        <v>00</v>
      </c>
      <c r="G823" s="104" t="str">
        <f t="shared" si="75"/>
        <v>0</v>
      </c>
      <c r="H823" s="104" t="str">
        <f t="shared" si="76"/>
        <v>0</v>
      </c>
      <c r="I823" s="105">
        <v>22130000</v>
      </c>
      <c r="J823" s="104" t="s">
        <v>4637</v>
      </c>
      <c r="K823" s="104" t="s">
        <v>4638</v>
      </c>
      <c r="L823" s="106"/>
      <c r="M823" s="104" t="s">
        <v>2878</v>
      </c>
      <c r="N823" s="104" t="s">
        <v>2879</v>
      </c>
      <c r="O823" s="104" t="s">
        <v>2878</v>
      </c>
      <c r="P823" s="107" t="s">
        <v>2880</v>
      </c>
    </row>
    <row r="824" spans="2:16" ht="30" hidden="1" x14ac:dyDescent="0.25">
      <c r="B824" s="114" t="str">
        <f t="shared" si="70"/>
        <v>2</v>
      </c>
      <c r="C824" s="114" t="str">
        <f t="shared" si="71"/>
        <v>2</v>
      </c>
      <c r="D824" s="114" t="str">
        <f t="shared" si="72"/>
        <v>1</v>
      </c>
      <c r="E824" s="114" t="str">
        <f t="shared" si="73"/>
        <v>3</v>
      </c>
      <c r="F824" s="114" t="str">
        <f t="shared" si="74"/>
        <v>00</v>
      </c>
      <c r="G824" s="114" t="str">
        <f t="shared" si="75"/>
        <v>1</v>
      </c>
      <c r="H824" s="114" t="str">
        <f t="shared" si="76"/>
        <v>0</v>
      </c>
      <c r="I824" s="115">
        <v>22130010</v>
      </c>
      <c r="J824" s="114" t="s">
        <v>4637</v>
      </c>
      <c r="K824" s="114" t="s">
        <v>4638</v>
      </c>
      <c r="L824" s="116"/>
      <c r="M824" s="114" t="s">
        <v>2878</v>
      </c>
      <c r="N824" s="114" t="s">
        <v>2879</v>
      </c>
      <c r="O824" s="114" t="s">
        <v>2878</v>
      </c>
      <c r="P824" s="117" t="s">
        <v>2880</v>
      </c>
    </row>
    <row r="825" spans="2:16" ht="45" x14ac:dyDescent="0.25">
      <c r="B825" s="104" t="str">
        <f t="shared" si="70"/>
        <v>2</v>
      </c>
      <c r="C825" s="104" t="str">
        <f t="shared" si="71"/>
        <v>2</v>
      </c>
      <c r="D825" s="104" t="str">
        <f t="shared" si="72"/>
        <v>1</v>
      </c>
      <c r="E825" s="104" t="str">
        <f t="shared" si="73"/>
        <v>8</v>
      </c>
      <c r="F825" s="104" t="str">
        <f t="shared" si="74"/>
        <v>00</v>
      </c>
      <c r="G825" s="104" t="str">
        <f t="shared" si="75"/>
        <v>0</v>
      </c>
      <c r="H825" s="104" t="str">
        <f t="shared" si="76"/>
        <v>0</v>
      </c>
      <c r="I825" s="105">
        <v>22180000</v>
      </c>
      <c r="J825" s="104" t="s">
        <v>5120</v>
      </c>
      <c r="K825" s="104" t="s">
        <v>5121</v>
      </c>
      <c r="L825" s="106"/>
      <c r="M825" s="104"/>
      <c r="N825" s="104"/>
      <c r="O825" s="104"/>
      <c r="P825" s="107" t="s">
        <v>2880</v>
      </c>
    </row>
    <row r="826" spans="2:16" ht="30" x14ac:dyDescent="0.25">
      <c r="B826" s="108" t="str">
        <f t="shared" si="70"/>
        <v>2</v>
      </c>
      <c r="C826" s="108" t="str">
        <f t="shared" si="71"/>
        <v>2</v>
      </c>
      <c r="D826" s="108" t="str">
        <f t="shared" si="72"/>
        <v>1</v>
      </c>
      <c r="E826" s="108" t="str">
        <f t="shared" si="73"/>
        <v>8</v>
      </c>
      <c r="F826" s="108" t="str">
        <f t="shared" si="74"/>
        <v>01</v>
      </c>
      <c r="G826" s="108" t="str">
        <f t="shared" si="75"/>
        <v>0</v>
      </c>
      <c r="H826" s="108" t="str">
        <f t="shared" si="76"/>
        <v>0</v>
      </c>
      <c r="I826" s="109">
        <v>22180100</v>
      </c>
      <c r="J826" s="108" t="s">
        <v>2674</v>
      </c>
      <c r="K826" s="108" t="s">
        <v>5122</v>
      </c>
      <c r="L826" s="110"/>
      <c r="M826" s="108"/>
      <c r="N826" s="108"/>
      <c r="O826" s="108"/>
      <c r="P826" s="111" t="s">
        <v>2880</v>
      </c>
    </row>
    <row r="827" spans="2:16" ht="30" x14ac:dyDescent="0.25">
      <c r="B827" s="114" t="str">
        <f t="shared" si="70"/>
        <v>2</v>
      </c>
      <c r="C827" s="114" t="str">
        <f t="shared" si="71"/>
        <v>2</v>
      </c>
      <c r="D827" s="114" t="str">
        <f t="shared" si="72"/>
        <v>1</v>
      </c>
      <c r="E827" s="114" t="str">
        <f t="shared" si="73"/>
        <v>8</v>
      </c>
      <c r="F827" s="114" t="str">
        <f t="shared" si="74"/>
        <v>01</v>
      </c>
      <c r="G827" s="114" t="str">
        <f t="shared" si="75"/>
        <v>1</v>
      </c>
      <c r="H827" s="114" t="str">
        <f t="shared" si="76"/>
        <v>0</v>
      </c>
      <c r="I827" s="115">
        <v>22180110</v>
      </c>
      <c r="J827" s="114" t="s">
        <v>5123</v>
      </c>
      <c r="K827" s="114" t="s">
        <v>5124</v>
      </c>
      <c r="L827" s="116"/>
      <c r="M827" s="114"/>
      <c r="N827" s="114"/>
      <c r="O827" s="114"/>
      <c r="P827" s="117" t="s">
        <v>2880</v>
      </c>
    </row>
    <row r="828" spans="2:16" ht="30" x14ac:dyDescent="0.25">
      <c r="B828" s="114" t="str">
        <f t="shared" si="70"/>
        <v>2</v>
      </c>
      <c r="C828" s="114" t="str">
        <f t="shared" si="71"/>
        <v>2</v>
      </c>
      <c r="D828" s="114" t="str">
        <f t="shared" si="72"/>
        <v>1</v>
      </c>
      <c r="E828" s="114" t="str">
        <f t="shared" si="73"/>
        <v>8</v>
      </c>
      <c r="F828" s="114" t="str">
        <f t="shared" si="74"/>
        <v>01</v>
      </c>
      <c r="G828" s="114" t="str">
        <f t="shared" si="75"/>
        <v>2</v>
      </c>
      <c r="H828" s="114" t="str">
        <f t="shared" si="76"/>
        <v>0</v>
      </c>
      <c r="I828" s="115">
        <v>22180120</v>
      </c>
      <c r="J828" s="114" t="s">
        <v>5126</v>
      </c>
      <c r="K828" s="114" t="s">
        <v>5127</v>
      </c>
      <c r="L828" s="116"/>
      <c r="M828" s="114"/>
      <c r="N828" s="114"/>
      <c r="O828" s="114"/>
      <c r="P828" s="117" t="s">
        <v>2880</v>
      </c>
    </row>
    <row r="829" spans="2:16" ht="30" hidden="1" x14ac:dyDescent="0.25">
      <c r="B829" s="126" t="str">
        <f t="shared" si="70"/>
        <v>2</v>
      </c>
      <c r="C829" s="126" t="str">
        <f t="shared" si="71"/>
        <v>2</v>
      </c>
      <c r="D829" s="126" t="str">
        <f t="shared" si="72"/>
        <v>2</v>
      </c>
      <c r="E829" s="126" t="str">
        <f t="shared" si="73"/>
        <v>0</v>
      </c>
      <c r="F829" s="126" t="str">
        <f t="shared" si="74"/>
        <v>00</v>
      </c>
      <c r="G829" s="126" t="str">
        <f t="shared" si="75"/>
        <v>0</v>
      </c>
      <c r="H829" s="126" t="str">
        <f t="shared" si="76"/>
        <v>0</v>
      </c>
      <c r="I829" s="127">
        <v>22200000</v>
      </c>
      <c r="J829" s="126" t="s">
        <v>2718</v>
      </c>
      <c r="K829" s="126" t="s">
        <v>5130</v>
      </c>
      <c r="L829" s="122"/>
      <c r="M829" s="126" t="s">
        <v>2878</v>
      </c>
      <c r="N829" s="126" t="s">
        <v>5016</v>
      </c>
      <c r="O829" s="126" t="s">
        <v>2878</v>
      </c>
      <c r="P829" s="128" t="s">
        <v>2880</v>
      </c>
    </row>
    <row r="830" spans="2:16" ht="30" hidden="1" x14ac:dyDescent="0.25">
      <c r="B830" s="114" t="str">
        <f t="shared" si="70"/>
        <v>2</v>
      </c>
      <c r="C830" s="114" t="str">
        <f t="shared" si="71"/>
        <v>2</v>
      </c>
      <c r="D830" s="114" t="str">
        <f t="shared" si="72"/>
        <v>2</v>
      </c>
      <c r="E830" s="114" t="str">
        <f t="shared" si="73"/>
        <v>0</v>
      </c>
      <c r="F830" s="114" t="str">
        <f t="shared" si="74"/>
        <v>00</v>
      </c>
      <c r="G830" s="114" t="str">
        <f t="shared" si="75"/>
        <v>1</v>
      </c>
      <c r="H830" s="114" t="str">
        <f t="shared" si="76"/>
        <v>0</v>
      </c>
      <c r="I830" s="115">
        <v>22200010</v>
      </c>
      <c r="J830" s="114" t="s">
        <v>2718</v>
      </c>
      <c r="K830" s="114" t="s">
        <v>5131</v>
      </c>
      <c r="L830" s="116"/>
      <c r="M830" s="114" t="s">
        <v>2878</v>
      </c>
      <c r="N830" s="114" t="s">
        <v>2879</v>
      </c>
      <c r="O830" s="114" t="s">
        <v>2878</v>
      </c>
      <c r="P830" s="117" t="s">
        <v>2880</v>
      </c>
    </row>
    <row r="831" spans="2:16" ht="30" hidden="1" x14ac:dyDescent="0.25">
      <c r="B831" s="114" t="str">
        <f t="shared" si="70"/>
        <v>2</v>
      </c>
      <c r="C831" s="114" t="str">
        <f t="shared" si="71"/>
        <v>2</v>
      </c>
      <c r="D831" s="114" t="str">
        <f t="shared" si="72"/>
        <v>2</v>
      </c>
      <c r="E831" s="114" t="str">
        <f t="shared" si="73"/>
        <v>0</v>
      </c>
      <c r="F831" s="114" t="str">
        <f t="shared" si="74"/>
        <v>00</v>
      </c>
      <c r="G831" s="114" t="str">
        <f t="shared" si="75"/>
        <v>2</v>
      </c>
      <c r="H831" s="114" t="str">
        <f t="shared" si="76"/>
        <v>0</v>
      </c>
      <c r="I831" s="115">
        <v>22200020</v>
      </c>
      <c r="J831" s="114" t="s">
        <v>5133</v>
      </c>
      <c r="K831" s="114" t="s">
        <v>5134</v>
      </c>
      <c r="L831" s="116"/>
      <c r="M831" s="114"/>
      <c r="N831" s="114" t="s">
        <v>5135</v>
      </c>
      <c r="O831" s="114"/>
      <c r="P831" s="117" t="s">
        <v>2890</v>
      </c>
    </row>
    <row r="832" spans="2:16" ht="90" hidden="1" x14ac:dyDescent="0.25">
      <c r="B832" s="126" t="str">
        <f t="shared" si="70"/>
        <v>2</v>
      </c>
      <c r="C832" s="126" t="str">
        <f t="shared" si="71"/>
        <v>2</v>
      </c>
      <c r="D832" s="126" t="str">
        <f t="shared" si="72"/>
        <v>3</v>
      </c>
      <c r="E832" s="126" t="str">
        <f t="shared" si="73"/>
        <v>0</v>
      </c>
      <c r="F832" s="126" t="str">
        <f t="shared" si="74"/>
        <v>00</v>
      </c>
      <c r="G832" s="126" t="str">
        <f t="shared" si="75"/>
        <v>0</v>
      </c>
      <c r="H832" s="126" t="str">
        <f t="shared" si="76"/>
        <v>0</v>
      </c>
      <c r="I832" s="127">
        <v>22300000</v>
      </c>
      <c r="J832" s="126" t="s">
        <v>4644</v>
      </c>
      <c r="K832" s="126" t="s">
        <v>4645</v>
      </c>
      <c r="L832" s="122"/>
      <c r="M832" s="126" t="s">
        <v>2878</v>
      </c>
      <c r="N832" s="126" t="s">
        <v>5016</v>
      </c>
      <c r="O832" s="126" t="s">
        <v>2878</v>
      </c>
      <c r="P832" s="128" t="s">
        <v>2880</v>
      </c>
    </row>
    <row r="833" spans="2:16" ht="90" hidden="1" x14ac:dyDescent="0.25">
      <c r="B833" s="114" t="str">
        <f t="shared" si="70"/>
        <v>2</v>
      </c>
      <c r="C833" s="114" t="str">
        <f t="shared" si="71"/>
        <v>2</v>
      </c>
      <c r="D833" s="114" t="str">
        <f t="shared" si="72"/>
        <v>3</v>
      </c>
      <c r="E833" s="114" t="str">
        <f t="shared" si="73"/>
        <v>0</v>
      </c>
      <c r="F833" s="114" t="str">
        <f t="shared" si="74"/>
        <v>00</v>
      </c>
      <c r="G833" s="114" t="str">
        <f t="shared" si="75"/>
        <v>1</v>
      </c>
      <c r="H833" s="114" t="str">
        <f t="shared" si="76"/>
        <v>0</v>
      </c>
      <c r="I833" s="115">
        <v>22300010</v>
      </c>
      <c r="J833" s="114" t="s">
        <v>4644</v>
      </c>
      <c r="K833" s="114" t="s">
        <v>4645</v>
      </c>
      <c r="L833" s="116"/>
      <c r="M833" s="114" t="s">
        <v>2878</v>
      </c>
      <c r="N833" s="114" t="s">
        <v>2879</v>
      </c>
      <c r="O833" s="114" t="s">
        <v>2878</v>
      </c>
      <c r="P833" s="117" t="s">
        <v>2880</v>
      </c>
    </row>
    <row r="834" spans="2:16" ht="60" hidden="1" x14ac:dyDescent="0.25">
      <c r="B834" s="123" t="str">
        <f t="shared" si="70"/>
        <v>2</v>
      </c>
      <c r="C834" s="123" t="str">
        <f t="shared" si="71"/>
        <v>3</v>
      </c>
      <c r="D834" s="123" t="str">
        <f t="shared" si="72"/>
        <v>0</v>
      </c>
      <c r="E834" s="123" t="str">
        <f t="shared" si="73"/>
        <v>0</v>
      </c>
      <c r="F834" s="123" t="str">
        <f t="shared" si="74"/>
        <v>00</v>
      </c>
      <c r="G834" s="123" t="str">
        <f t="shared" si="75"/>
        <v>0</v>
      </c>
      <c r="H834" s="123" t="str">
        <f t="shared" si="76"/>
        <v>0</v>
      </c>
      <c r="I834" s="124">
        <v>23000000</v>
      </c>
      <c r="J834" s="123" t="s">
        <v>2740</v>
      </c>
      <c r="K834" s="123" t="s">
        <v>4650</v>
      </c>
      <c r="L834" s="103"/>
      <c r="M834" s="123" t="s">
        <v>2878</v>
      </c>
      <c r="N834" s="123" t="s">
        <v>5016</v>
      </c>
      <c r="O834" s="123" t="s">
        <v>2878</v>
      </c>
      <c r="P834" s="125" t="s">
        <v>2880</v>
      </c>
    </row>
    <row r="835" spans="2:16" ht="285" hidden="1" x14ac:dyDescent="0.25">
      <c r="B835" s="108" t="str">
        <f t="shared" si="70"/>
        <v>2</v>
      </c>
      <c r="C835" s="108" t="str">
        <f t="shared" si="71"/>
        <v>3</v>
      </c>
      <c r="D835" s="108" t="str">
        <f t="shared" si="72"/>
        <v>0</v>
      </c>
      <c r="E835" s="108" t="str">
        <f t="shared" si="73"/>
        <v>0</v>
      </c>
      <c r="F835" s="108" t="str">
        <f t="shared" si="74"/>
        <v>01</v>
      </c>
      <c r="G835" s="108" t="str">
        <f t="shared" si="75"/>
        <v>0</v>
      </c>
      <c r="H835" s="108" t="str">
        <f t="shared" si="76"/>
        <v>0</v>
      </c>
      <c r="I835" s="109">
        <v>23000100</v>
      </c>
      <c r="J835" s="108" t="s">
        <v>4651</v>
      </c>
      <c r="K835" s="108" t="s">
        <v>4652</v>
      </c>
      <c r="L835" s="110"/>
      <c r="M835" s="108" t="s">
        <v>2878</v>
      </c>
      <c r="N835" s="108" t="s">
        <v>2879</v>
      </c>
      <c r="O835" s="108" t="s">
        <v>2878</v>
      </c>
      <c r="P835" s="111" t="s">
        <v>2880</v>
      </c>
    </row>
    <row r="836" spans="2:16" ht="285" hidden="1" x14ac:dyDescent="0.25">
      <c r="B836" s="114" t="str">
        <f t="shared" si="70"/>
        <v>2</v>
      </c>
      <c r="C836" s="114" t="str">
        <f t="shared" si="71"/>
        <v>3</v>
      </c>
      <c r="D836" s="114" t="str">
        <f t="shared" si="72"/>
        <v>0</v>
      </c>
      <c r="E836" s="114" t="str">
        <f t="shared" si="73"/>
        <v>0</v>
      </c>
      <c r="F836" s="114" t="str">
        <f t="shared" si="74"/>
        <v>01</v>
      </c>
      <c r="G836" s="114" t="str">
        <f t="shared" si="75"/>
        <v>1</v>
      </c>
      <c r="H836" s="114" t="str">
        <f t="shared" si="76"/>
        <v>0</v>
      </c>
      <c r="I836" s="115">
        <v>23000110</v>
      </c>
      <c r="J836" s="114" t="s">
        <v>4651</v>
      </c>
      <c r="K836" s="114" t="s">
        <v>4652</v>
      </c>
      <c r="L836" s="116"/>
      <c r="M836" s="114" t="s">
        <v>2878</v>
      </c>
      <c r="N836" s="114" t="s">
        <v>2879</v>
      </c>
      <c r="O836" s="114" t="s">
        <v>2878</v>
      </c>
      <c r="P836" s="117" t="s">
        <v>2880</v>
      </c>
    </row>
    <row r="837" spans="2:16" ht="135" hidden="1" x14ac:dyDescent="0.25">
      <c r="B837" s="108" t="str">
        <f t="shared" si="70"/>
        <v>2</v>
      </c>
      <c r="C837" s="108" t="str">
        <f t="shared" si="71"/>
        <v>3</v>
      </c>
      <c r="D837" s="108" t="str">
        <f t="shared" si="72"/>
        <v>0</v>
      </c>
      <c r="E837" s="108" t="str">
        <f t="shared" si="73"/>
        <v>0</v>
      </c>
      <c r="F837" s="108" t="str">
        <f t="shared" si="74"/>
        <v>02</v>
      </c>
      <c r="G837" s="108" t="str">
        <f t="shared" si="75"/>
        <v>0</v>
      </c>
      <c r="H837" s="108" t="str">
        <f t="shared" si="76"/>
        <v>0</v>
      </c>
      <c r="I837" s="109">
        <v>23000200</v>
      </c>
      <c r="J837" s="108" t="s">
        <v>4656</v>
      </c>
      <c r="K837" s="108" t="s">
        <v>4657</v>
      </c>
      <c r="L837" s="110"/>
      <c r="M837" s="108" t="s">
        <v>2878</v>
      </c>
      <c r="N837" s="108" t="s">
        <v>2879</v>
      </c>
      <c r="O837" s="108" t="s">
        <v>2878</v>
      </c>
      <c r="P837" s="111" t="s">
        <v>2880</v>
      </c>
    </row>
    <row r="838" spans="2:16" ht="135" hidden="1" x14ac:dyDescent="0.25">
      <c r="B838" s="114" t="str">
        <f t="shared" si="70"/>
        <v>2</v>
      </c>
      <c r="C838" s="114" t="str">
        <f t="shared" si="71"/>
        <v>3</v>
      </c>
      <c r="D838" s="114" t="str">
        <f t="shared" si="72"/>
        <v>0</v>
      </c>
      <c r="E838" s="114" t="str">
        <f t="shared" si="73"/>
        <v>0</v>
      </c>
      <c r="F838" s="114" t="str">
        <f t="shared" si="74"/>
        <v>02</v>
      </c>
      <c r="G838" s="114" t="str">
        <f t="shared" si="75"/>
        <v>1</v>
      </c>
      <c r="H838" s="114" t="str">
        <f t="shared" si="76"/>
        <v>0</v>
      </c>
      <c r="I838" s="115">
        <v>23000210</v>
      </c>
      <c r="J838" s="114" t="s">
        <v>4656</v>
      </c>
      <c r="K838" s="114" t="s">
        <v>4657</v>
      </c>
      <c r="L838" s="116"/>
      <c r="M838" s="114" t="s">
        <v>2878</v>
      </c>
      <c r="N838" s="114" t="s">
        <v>2879</v>
      </c>
      <c r="O838" s="114" t="s">
        <v>2878</v>
      </c>
      <c r="P838" s="117" t="s">
        <v>2880</v>
      </c>
    </row>
    <row r="839" spans="2:16" ht="150" hidden="1" x14ac:dyDescent="0.25">
      <c r="B839" s="108" t="str">
        <f t="shared" si="70"/>
        <v>2</v>
      </c>
      <c r="C839" s="108" t="str">
        <f t="shared" si="71"/>
        <v>3</v>
      </c>
      <c r="D839" s="108" t="str">
        <f t="shared" si="72"/>
        <v>0</v>
      </c>
      <c r="E839" s="108" t="str">
        <f t="shared" si="73"/>
        <v>0</v>
      </c>
      <c r="F839" s="108" t="str">
        <f t="shared" si="74"/>
        <v>03</v>
      </c>
      <c r="G839" s="108" t="str">
        <f t="shared" si="75"/>
        <v>0</v>
      </c>
      <c r="H839" s="108" t="str">
        <f t="shared" si="76"/>
        <v>0</v>
      </c>
      <c r="I839" s="109">
        <v>23000300</v>
      </c>
      <c r="J839" s="108" t="s">
        <v>4661</v>
      </c>
      <c r="K839" s="108" t="s">
        <v>4662</v>
      </c>
      <c r="L839" s="110"/>
      <c r="M839" s="108" t="s">
        <v>2878</v>
      </c>
      <c r="N839" s="108" t="s">
        <v>2879</v>
      </c>
      <c r="O839" s="108" t="s">
        <v>2878</v>
      </c>
      <c r="P839" s="111" t="s">
        <v>2880</v>
      </c>
    </row>
    <row r="840" spans="2:16" ht="150" hidden="1" x14ac:dyDescent="0.25">
      <c r="B840" s="114" t="str">
        <f t="shared" si="70"/>
        <v>2</v>
      </c>
      <c r="C840" s="114" t="str">
        <f t="shared" si="71"/>
        <v>3</v>
      </c>
      <c r="D840" s="114" t="str">
        <f t="shared" si="72"/>
        <v>0</v>
      </c>
      <c r="E840" s="114" t="str">
        <f t="shared" si="73"/>
        <v>0</v>
      </c>
      <c r="F840" s="114" t="str">
        <f t="shared" si="74"/>
        <v>03</v>
      </c>
      <c r="G840" s="114" t="str">
        <f t="shared" si="75"/>
        <v>1</v>
      </c>
      <c r="H840" s="114" t="str">
        <f t="shared" si="76"/>
        <v>0</v>
      </c>
      <c r="I840" s="115">
        <v>23000310</v>
      </c>
      <c r="J840" s="114" t="s">
        <v>4661</v>
      </c>
      <c r="K840" s="114" t="s">
        <v>4662</v>
      </c>
      <c r="L840" s="116"/>
      <c r="M840" s="114" t="s">
        <v>2878</v>
      </c>
      <c r="N840" s="114" t="s">
        <v>2879</v>
      </c>
      <c r="O840" s="114" t="s">
        <v>2878</v>
      </c>
      <c r="P840" s="117" t="s">
        <v>2880</v>
      </c>
    </row>
    <row r="841" spans="2:16" ht="210" hidden="1" x14ac:dyDescent="0.25">
      <c r="B841" s="108" t="str">
        <f t="shared" si="70"/>
        <v>2</v>
      </c>
      <c r="C841" s="108" t="str">
        <f t="shared" si="71"/>
        <v>3</v>
      </c>
      <c r="D841" s="108" t="str">
        <f t="shared" si="72"/>
        <v>0</v>
      </c>
      <c r="E841" s="108" t="str">
        <f t="shared" si="73"/>
        <v>0</v>
      </c>
      <c r="F841" s="108" t="str">
        <f t="shared" si="74"/>
        <v>04</v>
      </c>
      <c r="G841" s="108" t="str">
        <f t="shared" si="75"/>
        <v>0</v>
      </c>
      <c r="H841" s="108" t="str">
        <f t="shared" si="76"/>
        <v>0</v>
      </c>
      <c r="I841" s="109">
        <v>23000400</v>
      </c>
      <c r="J841" s="108" t="s">
        <v>4666</v>
      </c>
      <c r="K841" s="108" t="s">
        <v>4667</v>
      </c>
      <c r="L841" s="110"/>
      <c r="M841" s="108" t="s">
        <v>2878</v>
      </c>
      <c r="N841" s="108" t="s">
        <v>2879</v>
      </c>
      <c r="O841" s="108" t="s">
        <v>2878</v>
      </c>
      <c r="P841" s="111" t="s">
        <v>2880</v>
      </c>
    </row>
    <row r="842" spans="2:16" ht="210" hidden="1" x14ac:dyDescent="0.25">
      <c r="B842" s="114" t="str">
        <f t="shared" si="70"/>
        <v>2</v>
      </c>
      <c r="C842" s="114" t="str">
        <f t="shared" si="71"/>
        <v>3</v>
      </c>
      <c r="D842" s="114" t="str">
        <f t="shared" si="72"/>
        <v>0</v>
      </c>
      <c r="E842" s="114" t="str">
        <f t="shared" si="73"/>
        <v>0</v>
      </c>
      <c r="F842" s="114" t="str">
        <f t="shared" si="74"/>
        <v>04</v>
      </c>
      <c r="G842" s="114" t="str">
        <f t="shared" si="75"/>
        <v>1</v>
      </c>
      <c r="H842" s="114" t="str">
        <f t="shared" si="76"/>
        <v>0</v>
      </c>
      <c r="I842" s="115">
        <v>23000410</v>
      </c>
      <c r="J842" s="114" t="s">
        <v>4666</v>
      </c>
      <c r="K842" s="114" t="s">
        <v>4667</v>
      </c>
      <c r="L842" s="116"/>
      <c r="M842" s="114" t="s">
        <v>2878</v>
      </c>
      <c r="N842" s="114" t="s">
        <v>2879</v>
      </c>
      <c r="O842" s="114" t="s">
        <v>2878</v>
      </c>
      <c r="P842" s="117" t="s">
        <v>2880</v>
      </c>
    </row>
    <row r="843" spans="2:16" ht="90" hidden="1" x14ac:dyDescent="0.25">
      <c r="B843" s="108" t="str">
        <f t="shared" si="70"/>
        <v>2</v>
      </c>
      <c r="C843" s="108" t="str">
        <f t="shared" si="71"/>
        <v>3</v>
      </c>
      <c r="D843" s="108" t="str">
        <f t="shared" si="72"/>
        <v>0</v>
      </c>
      <c r="E843" s="108" t="str">
        <f t="shared" si="73"/>
        <v>0</v>
      </c>
      <c r="F843" s="108" t="str">
        <f t="shared" si="74"/>
        <v>05</v>
      </c>
      <c r="G843" s="108" t="str">
        <f t="shared" si="75"/>
        <v>0</v>
      </c>
      <c r="H843" s="108" t="str">
        <f t="shared" si="76"/>
        <v>0</v>
      </c>
      <c r="I843" s="109">
        <v>23000500</v>
      </c>
      <c r="J843" s="108" t="s">
        <v>4671</v>
      </c>
      <c r="K843" s="108" t="s">
        <v>4672</v>
      </c>
      <c r="L843" s="110"/>
      <c r="M843" s="108" t="s">
        <v>2878</v>
      </c>
      <c r="N843" s="108" t="s">
        <v>2879</v>
      </c>
      <c r="O843" s="108" t="s">
        <v>2878</v>
      </c>
      <c r="P843" s="111" t="s">
        <v>2880</v>
      </c>
    </row>
    <row r="844" spans="2:16" ht="90" hidden="1" x14ac:dyDescent="0.25">
      <c r="B844" s="114" t="str">
        <f t="shared" si="70"/>
        <v>2</v>
      </c>
      <c r="C844" s="114" t="str">
        <f t="shared" si="71"/>
        <v>3</v>
      </c>
      <c r="D844" s="114" t="str">
        <f t="shared" si="72"/>
        <v>0</v>
      </c>
      <c r="E844" s="114" t="str">
        <f t="shared" si="73"/>
        <v>0</v>
      </c>
      <c r="F844" s="114" t="str">
        <f t="shared" si="74"/>
        <v>05</v>
      </c>
      <c r="G844" s="114" t="str">
        <f t="shared" si="75"/>
        <v>1</v>
      </c>
      <c r="H844" s="114" t="str">
        <f t="shared" si="76"/>
        <v>0</v>
      </c>
      <c r="I844" s="115">
        <v>23000510</v>
      </c>
      <c r="J844" s="114" t="s">
        <v>4671</v>
      </c>
      <c r="K844" s="114" t="s">
        <v>4672</v>
      </c>
      <c r="L844" s="116"/>
      <c r="M844" s="114" t="s">
        <v>2878</v>
      </c>
      <c r="N844" s="114" t="s">
        <v>2879</v>
      </c>
      <c r="O844" s="114" t="s">
        <v>2878</v>
      </c>
      <c r="P844" s="117" t="s">
        <v>2880</v>
      </c>
    </row>
    <row r="845" spans="2:16" ht="45" hidden="1" x14ac:dyDescent="0.25">
      <c r="B845" s="108" t="str">
        <f t="shared" si="70"/>
        <v>2</v>
      </c>
      <c r="C845" s="108" t="str">
        <f t="shared" si="71"/>
        <v>3</v>
      </c>
      <c r="D845" s="108" t="str">
        <f t="shared" si="72"/>
        <v>0</v>
      </c>
      <c r="E845" s="108" t="str">
        <f t="shared" si="73"/>
        <v>0</v>
      </c>
      <c r="F845" s="108" t="str">
        <f t="shared" si="74"/>
        <v>06</v>
      </c>
      <c r="G845" s="108" t="str">
        <f t="shared" si="75"/>
        <v>0</v>
      </c>
      <c r="H845" s="108" t="str">
        <f t="shared" si="76"/>
        <v>0</v>
      </c>
      <c r="I845" s="109">
        <v>23000600</v>
      </c>
      <c r="J845" s="108" t="s">
        <v>4677</v>
      </c>
      <c r="K845" s="108" t="s">
        <v>4678</v>
      </c>
      <c r="L845" s="110"/>
      <c r="M845" s="108" t="s">
        <v>2878</v>
      </c>
      <c r="N845" s="108" t="s">
        <v>2879</v>
      </c>
      <c r="O845" s="108" t="s">
        <v>2878</v>
      </c>
      <c r="P845" s="111" t="s">
        <v>2880</v>
      </c>
    </row>
    <row r="846" spans="2:16" ht="45" hidden="1" x14ac:dyDescent="0.25">
      <c r="B846" s="114" t="str">
        <f t="shared" si="70"/>
        <v>2</v>
      </c>
      <c r="C846" s="114" t="str">
        <f t="shared" si="71"/>
        <v>3</v>
      </c>
      <c r="D846" s="114" t="str">
        <f t="shared" si="72"/>
        <v>0</v>
      </c>
      <c r="E846" s="114" t="str">
        <f t="shared" si="73"/>
        <v>0</v>
      </c>
      <c r="F846" s="114" t="str">
        <f t="shared" si="74"/>
        <v>06</v>
      </c>
      <c r="G846" s="114" t="str">
        <f t="shared" si="75"/>
        <v>1</v>
      </c>
      <c r="H846" s="114" t="str">
        <f t="shared" si="76"/>
        <v>0</v>
      </c>
      <c r="I846" s="115">
        <v>23000610</v>
      </c>
      <c r="J846" s="114" t="s">
        <v>4677</v>
      </c>
      <c r="K846" s="114" t="s">
        <v>4678</v>
      </c>
      <c r="L846" s="116"/>
      <c r="M846" s="114" t="s">
        <v>2878</v>
      </c>
      <c r="N846" s="114" t="s">
        <v>2879</v>
      </c>
      <c r="O846" s="114" t="s">
        <v>2878</v>
      </c>
      <c r="P846" s="117" t="s">
        <v>2880</v>
      </c>
    </row>
    <row r="847" spans="2:16" ht="30" hidden="1" x14ac:dyDescent="0.25">
      <c r="B847" s="108" t="str">
        <f t="shared" si="70"/>
        <v>2</v>
      </c>
      <c r="C847" s="108" t="str">
        <f t="shared" si="71"/>
        <v>3</v>
      </c>
      <c r="D847" s="108" t="str">
        <f t="shared" si="72"/>
        <v>0</v>
      </c>
      <c r="E847" s="108" t="str">
        <f t="shared" si="73"/>
        <v>0</v>
      </c>
      <c r="F847" s="108" t="str">
        <f t="shared" si="74"/>
        <v>07</v>
      </c>
      <c r="G847" s="108" t="str">
        <f t="shared" si="75"/>
        <v>0</v>
      </c>
      <c r="H847" s="108" t="str">
        <f t="shared" si="76"/>
        <v>0</v>
      </c>
      <c r="I847" s="109">
        <v>23000700</v>
      </c>
      <c r="J847" s="108" t="s">
        <v>2762</v>
      </c>
      <c r="K847" s="108" t="s">
        <v>4681</v>
      </c>
      <c r="L847" s="110"/>
      <c r="M847" s="108" t="s">
        <v>2878</v>
      </c>
      <c r="N847" s="108" t="s">
        <v>2879</v>
      </c>
      <c r="O847" s="108" t="s">
        <v>2878</v>
      </c>
      <c r="P847" s="111" t="s">
        <v>2880</v>
      </c>
    </row>
    <row r="848" spans="2:16" ht="30" hidden="1" x14ac:dyDescent="0.25">
      <c r="B848" s="114" t="str">
        <f t="shared" si="70"/>
        <v>2</v>
      </c>
      <c r="C848" s="114" t="str">
        <f t="shared" si="71"/>
        <v>3</v>
      </c>
      <c r="D848" s="114" t="str">
        <f t="shared" si="72"/>
        <v>0</v>
      </c>
      <c r="E848" s="114" t="str">
        <f t="shared" si="73"/>
        <v>0</v>
      </c>
      <c r="F848" s="114" t="str">
        <f t="shared" si="74"/>
        <v>07</v>
      </c>
      <c r="G848" s="114" t="str">
        <f t="shared" si="75"/>
        <v>1</v>
      </c>
      <c r="H848" s="114" t="str">
        <f t="shared" si="76"/>
        <v>0</v>
      </c>
      <c r="I848" s="115">
        <v>23000710</v>
      </c>
      <c r="J848" s="114" t="s">
        <v>2762</v>
      </c>
      <c r="K848" s="114" t="s">
        <v>4681</v>
      </c>
      <c r="L848" s="116"/>
      <c r="M848" s="114" t="s">
        <v>2878</v>
      </c>
      <c r="N848" s="114" t="s">
        <v>2879</v>
      </c>
      <c r="O848" s="114" t="s">
        <v>2878</v>
      </c>
      <c r="P848" s="117" t="s">
        <v>2880</v>
      </c>
    </row>
    <row r="849" spans="2:16" s="153" customFormat="1" ht="30" hidden="1" x14ac:dyDescent="0.25">
      <c r="B849" s="113" t="str">
        <f t="shared" si="70"/>
        <v>2</v>
      </c>
      <c r="C849" s="113" t="str">
        <f t="shared" si="71"/>
        <v>3</v>
      </c>
      <c r="D849" s="113" t="str">
        <f t="shared" si="72"/>
        <v>0</v>
      </c>
      <c r="E849" s="113" t="str">
        <f t="shared" si="73"/>
        <v>0</v>
      </c>
      <c r="F849" s="113" t="str">
        <f t="shared" si="74"/>
        <v>80</v>
      </c>
      <c r="G849" s="113" t="str">
        <f t="shared" si="75"/>
        <v>0</v>
      </c>
      <c r="H849" s="113" t="str">
        <f t="shared" si="76"/>
        <v>0</v>
      </c>
      <c r="I849" s="112">
        <v>23008000</v>
      </c>
      <c r="J849" s="113" t="s">
        <v>4684</v>
      </c>
      <c r="K849" s="113" t="s">
        <v>4685</v>
      </c>
      <c r="L849" s="110"/>
      <c r="M849" s="113" t="s">
        <v>2878</v>
      </c>
      <c r="N849" s="113" t="s">
        <v>2879</v>
      </c>
      <c r="O849" s="113" t="s">
        <v>2878</v>
      </c>
      <c r="P849" s="163" t="s">
        <v>2880</v>
      </c>
    </row>
    <row r="850" spans="2:16" s="153" customFormat="1" ht="30" hidden="1" x14ac:dyDescent="0.25">
      <c r="B850" s="130" t="str">
        <f t="shared" si="70"/>
        <v>2</v>
      </c>
      <c r="C850" s="130" t="str">
        <f t="shared" si="71"/>
        <v>3</v>
      </c>
      <c r="D850" s="130" t="str">
        <f t="shared" si="72"/>
        <v>0</v>
      </c>
      <c r="E850" s="130" t="str">
        <f t="shared" si="73"/>
        <v>0</v>
      </c>
      <c r="F850" s="130" t="str">
        <f t="shared" si="74"/>
        <v>80</v>
      </c>
      <c r="G850" s="130" t="str">
        <f t="shared" si="75"/>
        <v>1</v>
      </c>
      <c r="H850" s="130" t="str">
        <f t="shared" si="76"/>
        <v>0</v>
      </c>
      <c r="I850" s="129">
        <v>23008010</v>
      </c>
      <c r="J850" s="130" t="s">
        <v>4684</v>
      </c>
      <c r="K850" s="130" t="s">
        <v>4685</v>
      </c>
      <c r="L850" s="116"/>
      <c r="M850" s="130" t="s">
        <v>2878</v>
      </c>
      <c r="N850" s="130" t="s">
        <v>2879</v>
      </c>
      <c r="O850" s="130" t="s">
        <v>2878</v>
      </c>
      <c r="P850" s="152" t="s">
        <v>2880</v>
      </c>
    </row>
    <row r="851" spans="2:16" ht="45" hidden="1" x14ac:dyDescent="0.25">
      <c r="B851" s="123" t="str">
        <f t="shared" si="70"/>
        <v>2</v>
      </c>
      <c r="C851" s="123" t="str">
        <f t="shared" si="71"/>
        <v>4</v>
      </c>
      <c r="D851" s="123" t="str">
        <f t="shared" si="72"/>
        <v>0</v>
      </c>
      <c r="E851" s="123" t="str">
        <f t="shared" si="73"/>
        <v>0</v>
      </c>
      <c r="F851" s="123" t="str">
        <f t="shared" si="74"/>
        <v>00</v>
      </c>
      <c r="G851" s="123" t="str">
        <f t="shared" si="75"/>
        <v>0</v>
      </c>
      <c r="H851" s="123" t="str">
        <f t="shared" si="76"/>
        <v>0</v>
      </c>
      <c r="I851" s="124">
        <v>24000000</v>
      </c>
      <c r="J851" s="123" t="s">
        <v>2773</v>
      </c>
      <c r="K851" s="123" t="s">
        <v>4689</v>
      </c>
      <c r="L851" s="103"/>
      <c r="M851" s="123" t="s">
        <v>2878</v>
      </c>
      <c r="N851" s="123" t="s">
        <v>5016</v>
      </c>
      <c r="O851" s="123" t="s">
        <v>2878</v>
      </c>
      <c r="P851" s="125" t="s">
        <v>2880</v>
      </c>
    </row>
    <row r="852" spans="2:16" ht="60" hidden="1" x14ac:dyDescent="0.25">
      <c r="B852" s="126" t="str">
        <f t="shared" si="70"/>
        <v>2</v>
      </c>
      <c r="C852" s="126" t="str">
        <f t="shared" si="71"/>
        <v>4</v>
      </c>
      <c r="D852" s="126" t="str">
        <f t="shared" si="72"/>
        <v>1</v>
      </c>
      <c r="E852" s="126" t="str">
        <f t="shared" si="73"/>
        <v>0</v>
      </c>
      <c r="F852" s="126" t="str">
        <f t="shared" si="74"/>
        <v>00</v>
      </c>
      <c r="G852" s="126" t="str">
        <f t="shared" si="75"/>
        <v>0</v>
      </c>
      <c r="H852" s="126" t="str">
        <f t="shared" si="76"/>
        <v>0</v>
      </c>
      <c r="I852" s="127">
        <v>24100000</v>
      </c>
      <c r="J852" s="126" t="s">
        <v>4195</v>
      </c>
      <c r="K852" s="126" t="s">
        <v>4690</v>
      </c>
      <c r="L852" s="122"/>
      <c r="M852" s="126" t="s">
        <v>2878</v>
      </c>
      <c r="N852" s="126" t="s">
        <v>5016</v>
      </c>
      <c r="O852" s="126" t="s">
        <v>2878</v>
      </c>
      <c r="P852" s="128" t="s">
        <v>2880</v>
      </c>
    </row>
    <row r="853" spans="2:16" ht="60" hidden="1" x14ac:dyDescent="0.25">
      <c r="B853" s="114" t="str">
        <f t="shared" si="70"/>
        <v>2</v>
      </c>
      <c r="C853" s="114" t="str">
        <f t="shared" si="71"/>
        <v>4</v>
      </c>
      <c r="D853" s="114" t="str">
        <f t="shared" si="72"/>
        <v>1</v>
      </c>
      <c r="E853" s="114" t="str">
        <f t="shared" si="73"/>
        <v>0</v>
      </c>
      <c r="F853" s="114" t="str">
        <f t="shared" si="74"/>
        <v>00</v>
      </c>
      <c r="G853" s="114" t="str">
        <f t="shared" si="75"/>
        <v>1</v>
      </c>
      <c r="H853" s="114" t="str">
        <f t="shared" si="76"/>
        <v>0</v>
      </c>
      <c r="I853" s="115">
        <v>24100010</v>
      </c>
      <c r="J853" s="114" t="s">
        <v>4195</v>
      </c>
      <c r="K853" s="114" t="s">
        <v>4690</v>
      </c>
      <c r="L853" s="116"/>
      <c r="M853" s="114" t="s">
        <v>2878</v>
      </c>
      <c r="N853" s="114" t="s">
        <v>2879</v>
      </c>
      <c r="O853" s="114" t="s">
        <v>2878</v>
      </c>
      <c r="P853" s="117" t="s">
        <v>2880</v>
      </c>
    </row>
    <row r="854" spans="2:16" ht="45" x14ac:dyDescent="0.25">
      <c r="B854" s="104" t="str">
        <f t="shared" si="70"/>
        <v>2</v>
      </c>
      <c r="C854" s="104" t="str">
        <f t="shared" si="71"/>
        <v>4</v>
      </c>
      <c r="D854" s="104" t="str">
        <f t="shared" si="72"/>
        <v>1</v>
      </c>
      <c r="E854" s="104" t="str">
        <f t="shared" si="73"/>
        <v>8</v>
      </c>
      <c r="F854" s="104" t="str">
        <f t="shared" si="74"/>
        <v>00</v>
      </c>
      <c r="G854" s="104" t="str">
        <f t="shared" si="75"/>
        <v>0</v>
      </c>
      <c r="H854" s="104" t="str">
        <f t="shared" si="76"/>
        <v>0</v>
      </c>
      <c r="I854" s="105">
        <v>24180000</v>
      </c>
      <c r="J854" s="104" t="s">
        <v>5022</v>
      </c>
      <c r="K854" s="104" t="s">
        <v>5039</v>
      </c>
      <c r="L854" s="106"/>
      <c r="M854" s="104" t="s">
        <v>2878</v>
      </c>
      <c r="N854" s="104"/>
      <c r="O854" s="104" t="s">
        <v>5018</v>
      </c>
      <c r="P854" s="107" t="s">
        <v>2880</v>
      </c>
    </row>
    <row r="855" spans="2:16" ht="30" x14ac:dyDescent="0.25">
      <c r="B855" s="108" t="str">
        <f t="shared" si="70"/>
        <v>2</v>
      </c>
      <c r="C855" s="108" t="str">
        <f t="shared" si="71"/>
        <v>4</v>
      </c>
      <c r="D855" s="108" t="str">
        <f t="shared" si="72"/>
        <v>1</v>
      </c>
      <c r="E855" s="108" t="str">
        <f t="shared" si="73"/>
        <v>8</v>
      </c>
      <c r="F855" s="108" t="str">
        <f t="shared" si="74"/>
        <v>01</v>
      </c>
      <c r="G855" s="108" t="str">
        <f t="shared" si="75"/>
        <v>0</v>
      </c>
      <c r="H855" s="108" t="str">
        <f t="shared" si="76"/>
        <v>0</v>
      </c>
      <c r="I855" s="109">
        <v>24180100</v>
      </c>
      <c r="J855" s="108" t="s">
        <v>1276</v>
      </c>
      <c r="K855" s="108" t="s">
        <v>2779</v>
      </c>
      <c r="L855" s="110"/>
      <c r="M855" s="108"/>
      <c r="N855" s="108"/>
      <c r="O855" s="108" t="s">
        <v>2878</v>
      </c>
      <c r="P855" s="111" t="s">
        <v>2880</v>
      </c>
    </row>
    <row r="856" spans="2:16" ht="30" x14ac:dyDescent="0.25">
      <c r="B856" s="114" t="str">
        <f t="shared" si="70"/>
        <v>2</v>
      </c>
      <c r="C856" s="114" t="str">
        <f t="shared" si="71"/>
        <v>4</v>
      </c>
      <c r="D856" s="114" t="str">
        <f t="shared" si="72"/>
        <v>1</v>
      </c>
      <c r="E856" s="114" t="str">
        <f t="shared" si="73"/>
        <v>8</v>
      </c>
      <c r="F856" s="114" t="str">
        <f t="shared" si="74"/>
        <v>01</v>
      </c>
      <c r="G856" s="114" t="str">
        <f t="shared" si="75"/>
        <v>1</v>
      </c>
      <c r="H856" s="114" t="str">
        <f t="shared" si="76"/>
        <v>0</v>
      </c>
      <c r="I856" s="115">
        <v>24180110</v>
      </c>
      <c r="J856" s="114" t="s">
        <v>1276</v>
      </c>
      <c r="K856" s="114" t="s">
        <v>2779</v>
      </c>
      <c r="L856" s="116"/>
      <c r="M856" s="114"/>
      <c r="N856" s="114"/>
      <c r="O856" s="114" t="s">
        <v>2878</v>
      </c>
      <c r="P856" s="117" t="s">
        <v>2880</v>
      </c>
    </row>
    <row r="857" spans="2:16" s="148" customFormat="1" ht="60" x14ac:dyDescent="0.25">
      <c r="B857" s="145" t="str">
        <f t="shared" si="70"/>
        <v>2</v>
      </c>
      <c r="C857" s="145" t="str">
        <f t="shared" si="71"/>
        <v>4</v>
      </c>
      <c r="D857" s="145" t="str">
        <f t="shared" si="72"/>
        <v>1</v>
      </c>
      <c r="E857" s="145" t="str">
        <f t="shared" si="73"/>
        <v>8</v>
      </c>
      <c r="F857" s="145" t="str">
        <f t="shared" si="74"/>
        <v>03</v>
      </c>
      <c r="G857" s="145" t="str">
        <f t="shared" si="75"/>
        <v>0</v>
      </c>
      <c r="H857" s="145" t="str">
        <f t="shared" si="76"/>
        <v>0</v>
      </c>
      <c r="I857" s="143">
        <v>24180300</v>
      </c>
      <c r="J857" s="145" t="s">
        <v>5617</v>
      </c>
      <c r="K857" s="145" t="s">
        <v>5616</v>
      </c>
      <c r="L857" s="146"/>
      <c r="M857" s="145" t="s">
        <v>2878</v>
      </c>
      <c r="N857" s="145"/>
      <c r="O857" s="145" t="s">
        <v>2878</v>
      </c>
      <c r="P857" s="147" t="s">
        <v>2880</v>
      </c>
    </row>
    <row r="858" spans="2:16" s="148" customFormat="1" ht="60" x14ac:dyDescent="0.25">
      <c r="B858" s="149" t="str">
        <f t="shared" si="70"/>
        <v>2</v>
      </c>
      <c r="C858" s="149" t="str">
        <f t="shared" si="71"/>
        <v>4</v>
      </c>
      <c r="D858" s="149" t="str">
        <f t="shared" si="72"/>
        <v>1</v>
      </c>
      <c r="E858" s="149" t="str">
        <f t="shared" si="73"/>
        <v>8</v>
      </c>
      <c r="F858" s="149" t="str">
        <f t="shared" si="74"/>
        <v>03</v>
      </c>
      <c r="G858" s="149" t="str">
        <f t="shared" si="75"/>
        <v>1</v>
      </c>
      <c r="H858" s="149" t="str">
        <f t="shared" si="76"/>
        <v>0</v>
      </c>
      <c r="I858" s="144">
        <v>24180310</v>
      </c>
      <c r="J858" s="149" t="s">
        <v>5155</v>
      </c>
      <c r="K858" s="149" t="s">
        <v>5618</v>
      </c>
      <c r="L858" s="150"/>
      <c r="M858" s="149" t="s">
        <v>2878</v>
      </c>
      <c r="N858" s="149"/>
      <c r="O858" s="149" t="s">
        <v>2878</v>
      </c>
      <c r="P858" s="151" t="s">
        <v>2880</v>
      </c>
    </row>
    <row r="859" spans="2:16" s="148" customFormat="1" ht="60" x14ac:dyDescent="0.25">
      <c r="B859" s="149" t="str">
        <f t="shared" si="70"/>
        <v>2</v>
      </c>
      <c r="C859" s="149" t="str">
        <f t="shared" si="71"/>
        <v>4</v>
      </c>
      <c r="D859" s="149" t="str">
        <f t="shared" si="72"/>
        <v>1</v>
      </c>
      <c r="E859" s="149" t="str">
        <f t="shared" si="73"/>
        <v>8</v>
      </c>
      <c r="F859" s="149" t="str">
        <f t="shared" si="74"/>
        <v>03</v>
      </c>
      <c r="G859" s="149" t="str">
        <f t="shared" si="75"/>
        <v>2</v>
      </c>
      <c r="H859" s="149" t="str">
        <f t="shared" si="76"/>
        <v>0</v>
      </c>
      <c r="I859" s="144">
        <v>24180320</v>
      </c>
      <c r="J859" s="149" t="s">
        <v>5156</v>
      </c>
      <c r="K859" s="149" t="s">
        <v>5619</v>
      </c>
      <c r="L859" s="150"/>
      <c r="M859" s="149" t="s">
        <v>2878</v>
      </c>
      <c r="N859" s="149"/>
      <c r="O859" s="149" t="s">
        <v>2878</v>
      </c>
      <c r="P859" s="151" t="s">
        <v>2880</v>
      </c>
    </row>
    <row r="860" spans="2:16" s="148" customFormat="1" ht="60" x14ac:dyDescent="0.25">
      <c r="B860" s="149" t="str">
        <f t="shared" si="70"/>
        <v>2</v>
      </c>
      <c r="C860" s="149" t="str">
        <f t="shared" si="71"/>
        <v>4</v>
      </c>
      <c r="D860" s="149" t="str">
        <f t="shared" si="72"/>
        <v>1</v>
      </c>
      <c r="E860" s="149" t="str">
        <f t="shared" si="73"/>
        <v>8</v>
      </c>
      <c r="F860" s="149" t="str">
        <f t="shared" si="74"/>
        <v>03</v>
      </c>
      <c r="G860" s="149" t="str">
        <f t="shared" si="75"/>
        <v>3</v>
      </c>
      <c r="H860" s="149" t="str">
        <f t="shared" si="76"/>
        <v>0</v>
      </c>
      <c r="I860" s="144">
        <v>24180330</v>
      </c>
      <c r="J860" s="149" t="s">
        <v>5157</v>
      </c>
      <c r="K860" s="149" t="s">
        <v>5620</v>
      </c>
      <c r="L860" s="150"/>
      <c r="M860" s="149" t="s">
        <v>2878</v>
      </c>
      <c r="N860" s="149"/>
      <c r="O860" s="149" t="s">
        <v>2878</v>
      </c>
      <c r="P860" s="151" t="s">
        <v>2880</v>
      </c>
    </row>
    <row r="861" spans="2:16" s="148" customFormat="1" ht="60" x14ac:dyDescent="0.25">
      <c r="B861" s="149" t="str">
        <f t="shared" si="70"/>
        <v>2</v>
      </c>
      <c r="C861" s="149" t="str">
        <f t="shared" si="71"/>
        <v>4</v>
      </c>
      <c r="D861" s="149" t="str">
        <f t="shared" si="72"/>
        <v>1</v>
      </c>
      <c r="E861" s="149" t="str">
        <f t="shared" si="73"/>
        <v>8</v>
      </c>
      <c r="F861" s="149" t="str">
        <f t="shared" si="74"/>
        <v>03</v>
      </c>
      <c r="G861" s="149" t="str">
        <f t="shared" si="75"/>
        <v>4</v>
      </c>
      <c r="H861" s="149" t="str">
        <f t="shared" si="76"/>
        <v>0</v>
      </c>
      <c r="I861" s="144">
        <v>24180340</v>
      </c>
      <c r="J861" s="149" t="s">
        <v>5158</v>
      </c>
      <c r="K861" s="149" t="s">
        <v>5621</v>
      </c>
      <c r="L861" s="150"/>
      <c r="M861" s="149" t="s">
        <v>2878</v>
      </c>
      <c r="N861" s="149"/>
      <c r="O861" s="149" t="s">
        <v>2878</v>
      </c>
      <c r="P861" s="151" t="s">
        <v>2880</v>
      </c>
    </row>
    <row r="862" spans="2:16" s="148" customFormat="1" ht="60" x14ac:dyDescent="0.25">
      <c r="B862" s="149" t="str">
        <f t="shared" si="70"/>
        <v>2</v>
      </c>
      <c r="C862" s="149" t="str">
        <f t="shared" si="71"/>
        <v>4</v>
      </c>
      <c r="D862" s="149" t="str">
        <f t="shared" si="72"/>
        <v>1</v>
      </c>
      <c r="E862" s="149" t="str">
        <f t="shared" si="73"/>
        <v>8</v>
      </c>
      <c r="F862" s="149" t="str">
        <f t="shared" si="74"/>
        <v>03</v>
      </c>
      <c r="G862" s="149" t="str">
        <f t="shared" si="75"/>
        <v>5</v>
      </c>
      <c r="H862" s="149" t="str">
        <f t="shared" si="76"/>
        <v>0</v>
      </c>
      <c r="I862" s="144">
        <v>24180350</v>
      </c>
      <c r="J862" s="149" t="s">
        <v>5159</v>
      </c>
      <c r="K862" s="149" t="s">
        <v>5622</v>
      </c>
      <c r="L862" s="150"/>
      <c r="M862" s="149" t="s">
        <v>2878</v>
      </c>
      <c r="N862" s="149"/>
      <c r="O862" s="149" t="s">
        <v>2878</v>
      </c>
      <c r="P862" s="151" t="s">
        <v>2880</v>
      </c>
    </row>
    <row r="863" spans="2:16" s="148" customFormat="1" ht="60" x14ac:dyDescent="0.25">
      <c r="B863" s="149" t="str">
        <f t="shared" si="70"/>
        <v>2</v>
      </c>
      <c r="C863" s="149" t="str">
        <f t="shared" si="71"/>
        <v>4</v>
      </c>
      <c r="D863" s="149" t="str">
        <f t="shared" si="72"/>
        <v>1</v>
      </c>
      <c r="E863" s="149" t="str">
        <f t="shared" si="73"/>
        <v>8</v>
      </c>
      <c r="F863" s="149" t="str">
        <f t="shared" si="74"/>
        <v>03</v>
      </c>
      <c r="G863" s="149" t="str">
        <f t="shared" si="75"/>
        <v>9</v>
      </c>
      <c r="H863" s="149" t="str">
        <f t="shared" si="76"/>
        <v>0</v>
      </c>
      <c r="I863" s="144">
        <v>24180390</v>
      </c>
      <c r="J863" s="149" t="s">
        <v>5154</v>
      </c>
      <c r="K863" s="149" t="s">
        <v>5623</v>
      </c>
      <c r="L863" s="150"/>
      <c r="M863" s="149" t="s">
        <v>2878</v>
      </c>
      <c r="N863" s="149"/>
      <c r="O863" s="149" t="s">
        <v>2878</v>
      </c>
      <c r="P863" s="151" t="s">
        <v>2880</v>
      </c>
    </row>
    <row r="864" spans="2:16" s="148" customFormat="1" ht="60" x14ac:dyDescent="0.25">
      <c r="B864" s="145" t="str">
        <f t="shared" si="70"/>
        <v>2</v>
      </c>
      <c r="C864" s="145" t="str">
        <f t="shared" si="71"/>
        <v>4</v>
      </c>
      <c r="D864" s="145" t="str">
        <f t="shared" si="72"/>
        <v>1</v>
      </c>
      <c r="E864" s="145" t="str">
        <f t="shared" si="73"/>
        <v>8</v>
      </c>
      <c r="F864" s="145" t="str">
        <f t="shared" si="74"/>
        <v>04</v>
      </c>
      <c r="G864" s="145" t="str">
        <f t="shared" si="75"/>
        <v>0</v>
      </c>
      <c r="H864" s="145" t="str">
        <f t="shared" si="76"/>
        <v>0</v>
      </c>
      <c r="I864" s="143">
        <v>24180400</v>
      </c>
      <c r="J864" s="145" t="s">
        <v>5220</v>
      </c>
      <c r="K864" s="145" t="s">
        <v>5624</v>
      </c>
      <c r="L864" s="146"/>
      <c r="M864" s="145"/>
      <c r="N864" s="145"/>
      <c r="O864" s="145"/>
      <c r="P864" s="147"/>
    </row>
    <row r="865" spans="2:16" s="148" customFormat="1" ht="45" x14ac:dyDescent="0.25">
      <c r="B865" s="149" t="str">
        <f t="shared" si="70"/>
        <v>2</v>
      </c>
      <c r="C865" s="149" t="str">
        <f t="shared" si="71"/>
        <v>4</v>
      </c>
      <c r="D865" s="149" t="str">
        <f t="shared" si="72"/>
        <v>1</v>
      </c>
      <c r="E865" s="149" t="str">
        <f t="shared" si="73"/>
        <v>8</v>
      </c>
      <c r="F865" s="149" t="str">
        <f t="shared" si="74"/>
        <v>04</v>
      </c>
      <c r="G865" s="149" t="str">
        <f t="shared" si="75"/>
        <v>1</v>
      </c>
      <c r="H865" s="149" t="str">
        <f t="shared" si="76"/>
        <v>0</v>
      </c>
      <c r="I865" s="144">
        <v>24180410</v>
      </c>
      <c r="J865" s="149" t="s">
        <v>5213</v>
      </c>
      <c r="K865" s="149" t="s">
        <v>5625</v>
      </c>
      <c r="L865" s="150"/>
      <c r="M865" s="149"/>
      <c r="N865" s="149"/>
      <c r="O865" s="149"/>
      <c r="P865" s="151"/>
    </row>
    <row r="866" spans="2:16" s="148" customFormat="1" ht="45" x14ac:dyDescent="0.25">
      <c r="B866" s="149" t="str">
        <f t="shared" si="70"/>
        <v>2</v>
      </c>
      <c r="C866" s="149" t="str">
        <f t="shared" si="71"/>
        <v>4</v>
      </c>
      <c r="D866" s="149" t="str">
        <f t="shared" si="72"/>
        <v>1</v>
      </c>
      <c r="E866" s="149" t="str">
        <f t="shared" si="73"/>
        <v>8</v>
      </c>
      <c r="F866" s="149" t="str">
        <f t="shared" si="74"/>
        <v>04</v>
      </c>
      <c r="G866" s="149" t="str">
        <f t="shared" si="75"/>
        <v>2</v>
      </c>
      <c r="H866" s="149" t="str">
        <f t="shared" si="76"/>
        <v>0</v>
      </c>
      <c r="I866" s="144">
        <v>24180420</v>
      </c>
      <c r="J866" s="149" t="s">
        <v>5214</v>
      </c>
      <c r="K866" s="149" t="s">
        <v>5626</v>
      </c>
      <c r="L866" s="150"/>
      <c r="M866" s="149"/>
      <c r="N866" s="149"/>
      <c r="O866" s="149"/>
      <c r="P866" s="151"/>
    </row>
    <row r="867" spans="2:16" s="148" customFormat="1" ht="45" x14ac:dyDescent="0.25">
      <c r="B867" s="149" t="str">
        <f t="shared" si="70"/>
        <v>2</v>
      </c>
      <c r="C867" s="149" t="str">
        <f t="shared" si="71"/>
        <v>4</v>
      </c>
      <c r="D867" s="149" t="str">
        <f t="shared" si="72"/>
        <v>1</v>
      </c>
      <c r="E867" s="149" t="str">
        <f t="shared" si="73"/>
        <v>8</v>
      </c>
      <c r="F867" s="149" t="str">
        <f t="shared" si="74"/>
        <v>04</v>
      </c>
      <c r="G867" s="149" t="str">
        <f t="shared" si="75"/>
        <v>3</v>
      </c>
      <c r="H867" s="149" t="str">
        <f t="shared" si="76"/>
        <v>0</v>
      </c>
      <c r="I867" s="144">
        <v>24180430</v>
      </c>
      <c r="J867" s="149" t="s">
        <v>5215</v>
      </c>
      <c r="K867" s="149" t="s">
        <v>5627</v>
      </c>
      <c r="L867" s="150"/>
      <c r="M867" s="149"/>
      <c r="N867" s="149"/>
      <c r="O867" s="149"/>
      <c r="P867" s="151"/>
    </row>
    <row r="868" spans="2:16" s="148" customFormat="1" ht="60" x14ac:dyDescent="0.25">
      <c r="B868" s="149" t="str">
        <f t="shared" si="70"/>
        <v>2</v>
      </c>
      <c r="C868" s="149" t="str">
        <f t="shared" si="71"/>
        <v>4</v>
      </c>
      <c r="D868" s="149" t="str">
        <f t="shared" si="72"/>
        <v>1</v>
      </c>
      <c r="E868" s="149" t="str">
        <f t="shared" si="73"/>
        <v>8</v>
      </c>
      <c r="F868" s="149" t="str">
        <f t="shared" si="74"/>
        <v>04</v>
      </c>
      <c r="G868" s="149" t="str">
        <f t="shared" si="75"/>
        <v>4</v>
      </c>
      <c r="H868" s="149" t="str">
        <f t="shared" si="76"/>
        <v>0</v>
      </c>
      <c r="I868" s="144">
        <v>24180440</v>
      </c>
      <c r="J868" s="149" t="s">
        <v>5216</v>
      </c>
      <c r="K868" s="149" t="s">
        <v>5628</v>
      </c>
      <c r="L868" s="150"/>
      <c r="M868" s="149"/>
      <c r="N868" s="149"/>
      <c r="O868" s="149"/>
      <c r="P868" s="151"/>
    </row>
    <row r="869" spans="2:16" s="148" customFormat="1" ht="45" x14ac:dyDescent="0.25">
      <c r="B869" s="149" t="str">
        <f t="shared" si="70"/>
        <v>2</v>
      </c>
      <c r="C869" s="149" t="str">
        <f t="shared" si="71"/>
        <v>4</v>
      </c>
      <c r="D869" s="149" t="str">
        <f t="shared" si="72"/>
        <v>1</v>
      </c>
      <c r="E869" s="149" t="str">
        <f t="shared" si="73"/>
        <v>8</v>
      </c>
      <c r="F869" s="149" t="str">
        <f t="shared" si="74"/>
        <v>04</v>
      </c>
      <c r="G869" s="149" t="str">
        <f t="shared" si="75"/>
        <v>5</v>
      </c>
      <c r="H869" s="149" t="str">
        <f t="shared" si="76"/>
        <v>0</v>
      </c>
      <c r="I869" s="144">
        <v>24180450</v>
      </c>
      <c r="J869" s="149" t="s">
        <v>5217</v>
      </c>
      <c r="K869" s="149" t="s">
        <v>5629</v>
      </c>
      <c r="L869" s="150"/>
      <c r="M869" s="149"/>
      <c r="N869" s="149"/>
      <c r="O869" s="149"/>
      <c r="P869" s="151"/>
    </row>
    <row r="870" spans="2:16" s="148" customFormat="1" ht="45" x14ac:dyDescent="0.25">
      <c r="B870" s="149" t="str">
        <f t="shared" si="70"/>
        <v>2</v>
      </c>
      <c r="C870" s="149" t="str">
        <f t="shared" si="71"/>
        <v>4</v>
      </c>
      <c r="D870" s="149" t="str">
        <f t="shared" si="72"/>
        <v>1</v>
      </c>
      <c r="E870" s="149" t="str">
        <f t="shared" si="73"/>
        <v>8</v>
      </c>
      <c r="F870" s="149" t="str">
        <f t="shared" si="74"/>
        <v>04</v>
      </c>
      <c r="G870" s="149" t="str">
        <f t="shared" si="75"/>
        <v>6</v>
      </c>
      <c r="H870" s="149" t="str">
        <f t="shared" si="76"/>
        <v>0</v>
      </c>
      <c r="I870" s="144">
        <v>24180460</v>
      </c>
      <c r="J870" s="149" t="s">
        <v>5212</v>
      </c>
      <c r="K870" s="149" t="s">
        <v>5630</v>
      </c>
      <c r="L870" s="150"/>
      <c r="M870" s="149"/>
      <c r="N870" s="149"/>
      <c r="O870" s="149"/>
      <c r="P870" s="151"/>
    </row>
    <row r="871" spans="2:16" ht="30" x14ac:dyDescent="0.25">
      <c r="B871" s="108" t="str">
        <f t="shared" si="70"/>
        <v>2</v>
      </c>
      <c r="C871" s="108" t="str">
        <f t="shared" si="71"/>
        <v>4</v>
      </c>
      <c r="D871" s="108" t="str">
        <f t="shared" si="72"/>
        <v>1</v>
      </c>
      <c r="E871" s="108" t="str">
        <f t="shared" si="73"/>
        <v>8</v>
      </c>
      <c r="F871" s="108" t="str">
        <f t="shared" si="74"/>
        <v>05</v>
      </c>
      <c r="G871" s="108" t="str">
        <f t="shared" si="75"/>
        <v>0</v>
      </c>
      <c r="H871" s="108" t="str">
        <f t="shared" si="76"/>
        <v>0</v>
      </c>
      <c r="I871" s="109">
        <v>24180500</v>
      </c>
      <c r="J871" s="108" t="s">
        <v>2777</v>
      </c>
      <c r="K871" s="108" t="s">
        <v>2778</v>
      </c>
      <c r="L871" s="110"/>
      <c r="M871" s="108"/>
      <c r="N871" s="108"/>
      <c r="O871" s="108" t="s">
        <v>2878</v>
      </c>
      <c r="P871" s="111" t="s">
        <v>2880</v>
      </c>
    </row>
    <row r="872" spans="2:16" ht="30" x14ac:dyDescent="0.25">
      <c r="B872" s="114" t="str">
        <f t="shared" si="70"/>
        <v>2</v>
      </c>
      <c r="C872" s="114" t="str">
        <f t="shared" si="71"/>
        <v>4</v>
      </c>
      <c r="D872" s="114" t="str">
        <f t="shared" si="72"/>
        <v>1</v>
      </c>
      <c r="E872" s="114" t="str">
        <f t="shared" si="73"/>
        <v>8</v>
      </c>
      <c r="F872" s="114" t="str">
        <f t="shared" si="74"/>
        <v>05</v>
      </c>
      <c r="G872" s="114" t="str">
        <f t="shared" si="75"/>
        <v>1</v>
      </c>
      <c r="H872" s="114" t="str">
        <f t="shared" si="76"/>
        <v>0</v>
      </c>
      <c r="I872" s="115">
        <v>24180510</v>
      </c>
      <c r="J872" s="114" t="s">
        <v>2777</v>
      </c>
      <c r="K872" s="114" t="s">
        <v>2778</v>
      </c>
      <c r="L872" s="116"/>
      <c r="M872" s="114"/>
      <c r="N872" s="114"/>
      <c r="O872" s="114" t="s">
        <v>2878</v>
      </c>
      <c r="P872" s="117" t="s">
        <v>2880</v>
      </c>
    </row>
    <row r="873" spans="2:16" ht="45" x14ac:dyDescent="0.25">
      <c r="B873" s="108" t="str">
        <f t="shared" si="70"/>
        <v>2</v>
      </c>
      <c r="C873" s="108" t="str">
        <f t="shared" si="71"/>
        <v>4</v>
      </c>
      <c r="D873" s="108" t="str">
        <f t="shared" si="72"/>
        <v>1</v>
      </c>
      <c r="E873" s="108" t="str">
        <f t="shared" si="73"/>
        <v>8</v>
      </c>
      <c r="F873" s="108" t="str">
        <f t="shared" si="74"/>
        <v>08</v>
      </c>
      <c r="G873" s="108" t="str">
        <f t="shared" si="75"/>
        <v>0</v>
      </c>
      <c r="H873" s="108" t="str">
        <f t="shared" si="76"/>
        <v>0</v>
      </c>
      <c r="I873" s="109">
        <v>24180800</v>
      </c>
      <c r="J873" s="108" t="s">
        <v>5105</v>
      </c>
      <c r="K873" s="108" t="s">
        <v>5136</v>
      </c>
      <c r="L873" s="110"/>
      <c r="M873" s="108"/>
      <c r="N873" s="108"/>
      <c r="O873" s="108" t="s">
        <v>2878</v>
      </c>
      <c r="P873" s="111" t="s">
        <v>2880</v>
      </c>
    </row>
    <row r="874" spans="2:16" ht="45" x14ac:dyDescent="0.25">
      <c r="B874" s="114" t="str">
        <f t="shared" si="70"/>
        <v>2</v>
      </c>
      <c r="C874" s="114" t="str">
        <f t="shared" si="71"/>
        <v>4</v>
      </c>
      <c r="D874" s="114" t="str">
        <f t="shared" si="72"/>
        <v>1</v>
      </c>
      <c r="E874" s="114" t="str">
        <f t="shared" si="73"/>
        <v>8</v>
      </c>
      <c r="F874" s="114" t="str">
        <f t="shared" si="74"/>
        <v>08</v>
      </c>
      <c r="G874" s="114" t="str">
        <f t="shared" si="75"/>
        <v>1</v>
      </c>
      <c r="H874" s="114" t="str">
        <f t="shared" si="76"/>
        <v>0</v>
      </c>
      <c r="I874" s="115">
        <v>24180810</v>
      </c>
      <c r="J874" s="114" t="s">
        <v>5105</v>
      </c>
      <c r="K874" s="114" t="s">
        <v>5136</v>
      </c>
      <c r="L874" s="116"/>
      <c r="M874" s="114"/>
      <c r="N874" s="114"/>
      <c r="O874" s="114" t="s">
        <v>2878</v>
      </c>
      <c r="P874" s="117" t="s">
        <v>2880</v>
      </c>
    </row>
    <row r="875" spans="2:16" ht="75" x14ac:dyDescent="0.25">
      <c r="B875" s="108" t="str">
        <f t="shared" si="70"/>
        <v>2</v>
      </c>
      <c r="C875" s="108" t="str">
        <f t="shared" si="71"/>
        <v>4</v>
      </c>
      <c r="D875" s="108" t="str">
        <f t="shared" si="72"/>
        <v>1</v>
      </c>
      <c r="E875" s="108" t="str">
        <f t="shared" si="73"/>
        <v>8</v>
      </c>
      <c r="F875" s="108" t="str">
        <f t="shared" si="74"/>
        <v>10</v>
      </c>
      <c r="G875" s="108" t="str">
        <f t="shared" si="75"/>
        <v>0</v>
      </c>
      <c r="H875" s="108" t="str">
        <f t="shared" si="76"/>
        <v>0</v>
      </c>
      <c r="I875" s="109">
        <v>24181000</v>
      </c>
      <c r="J875" s="108" t="s">
        <v>2798</v>
      </c>
      <c r="K875" s="108" t="s">
        <v>2799</v>
      </c>
      <c r="L875" s="110"/>
      <c r="M875" s="108"/>
      <c r="N875" s="108"/>
      <c r="O875" s="108" t="s">
        <v>2878</v>
      </c>
      <c r="P875" s="111" t="s">
        <v>2880</v>
      </c>
    </row>
    <row r="876" spans="2:16" ht="45" x14ac:dyDescent="0.25">
      <c r="B876" s="114" t="str">
        <f t="shared" ref="B876:B939" si="77">MID($I876,1,1)</f>
        <v>2</v>
      </c>
      <c r="C876" s="114" t="str">
        <f t="shared" ref="C876:C939" si="78">MID($I876,2,1)</f>
        <v>4</v>
      </c>
      <c r="D876" s="114" t="str">
        <f t="shared" ref="D876:D939" si="79">MID($I876,3,1)</f>
        <v>1</v>
      </c>
      <c r="E876" s="114" t="str">
        <f t="shared" ref="E876:E939" si="80">MID($I876,4,1)</f>
        <v>8</v>
      </c>
      <c r="F876" s="114" t="str">
        <f t="shared" ref="F876:F939" si="81">MID($I876,5,2)</f>
        <v>10</v>
      </c>
      <c r="G876" s="114" t="str">
        <f t="shared" ref="G876:G939" si="82">MID($I876,7,1)</f>
        <v>1</v>
      </c>
      <c r="H876" s="114" t="str">
        <f t="shared" ref="H876:H939" si="83">MID($I876,8,1)</f>
        <v>0</v>
      </c>
      <c r="I876" s="115">
        <v>24181010</v>
      </c>
      <c r="J876" s="114" t="s">
        <v>2800</v>
      </c>
      <c r="K876" s="114" t="s">
        <v>2801</v>
      </c>
      <c r="L876" s="116"/>
      <c r="M876" s="114"/>
      <c r="N876" s="114"/>
      <c r="O876" s="114" t="s">
        <v>2878</v>
      </c>
      <c r="P876" s="117" t="s">
        <v>2880</v>
      </c>
    </row>
    <row r="877" spans="2:16" ht="45" x14ac:dyDescent="0.25">
      <c r="B877" s="114" t="str">
        <f t="shared" si="77"/>
        <v>2</v>
      </c>
      <c r="C877" s="114" t="str">
        <f t="shared" si="78"/>
        <v>4</v>
      </c>
      <c r="D877" s="114" t="str">
        <f t="shared" si="79"/>
        <v>1</v>
      </c>
      <c r="E877" s="114" t="str">
        <f t="shared" si="80"/>
        <v>8</v>
      </c>
      <c r="F877" s="114" t="str">
        <f t="shared" si="81"/>
        <v>10</v>
      </c>
      <c r="G877" s="114" t="str">
        <f t="shared" si="82"/>
        <v>2</v>
      </c>
      <c r="H877" s="114" t="str">
        <f t="shared" si="83"/>
        <v>0</v>
      </c>
      <c r="I877" s="115">
        <v>24181020</v>
      </c>
      <c r="J877" s="114" t="s">
        <v>2802</v>
      </c>
      <c r="K877" s="114" t="s">
        <v>2803</v>
      </c>
      <c r="L877" s="116"/>
      <c r="M877" s="114"/>
      <c r="N877" s="114"/>
      <c r="O877" s="114" t="s">
        <v>2878</v>
      </c>
      <c r="P877" s="117" t="s">
        <v>2880</v>
      </c>
    </row>
    <row r="878" spans="2:16" ht="45" x14ac:dyDescent="0.25">
      <c r="B878" s="114" t="str">
        <f t="shared" si="77"/>
        <v>2</v>
      </c>
      <c r="C878" s="114" t="str">
        <f t="shared" si="78"/>
        <v>4</v>
      </c>
      <c r="D878" s="114" t="str">
        <f t="shared" si="79"/>
        <v>1</v>
      </c>
      <c r="E878" s="114" t="str">
        <f t="shared" si="80"/>
        <v>8</v>
      </c>
      <c r="F878" s="114" t="str">
        <f t="shared" si="81"/>
        <v>10</v>
      </c>
      <c r="G878" s="114" t="str">
        <f t="shared" si="82"/>
        <v>5</v>
      </c>
      <c r="H878" s="114" t="str">
        <f t="shared" si="83"/>
        <v>0</v>
      </c>
      <c r="I878" s="115">
        <v>24181050</v>
      </c>
      <c r="J878" s="114" t="s">
        <v>2804</v>
      </c>
      <c r="K878" s="114" t="s">
        <v>2805</v>
      </c>
      <c r="L878" s="116"/>
      <c r="M878" s="114"/>
      <c r="N878" s="114"/>
      <c r="O878" s="114" t="s">
        <v>2878</v>
      </c>
      <c r="P878" s="117" t="s">
        <v>2880</v>
      </c>
    </row>
    <row r="879" spans="2:16" ht="90" x14ac:dyDescent="0.25">
      <c r="B879" s="114" t="str">
        <f t="shared" si="77"/>
        <v>2</v>
      </c>
      <c r="C879" s="114" t="str">
        <f t="shared" si="78"/>
        <v>4</v>
      </c>
      <c r="D879" s="114" t="str">
        <f t="shared" si="79"/>
        <v>1</v>
      </c>
      <c r="E879" s="114" t="str">
        <f t="shared" si="80"/>
        <v>8</v>
      </c>
      <c r="F879" s="114" t="str">
        <f t="shared" si="81"/>
        <v>10</v>
      </c>
      <c r="G879" s="114" t="str">
        <f t="shared" si="82"/>
        <v>6</v>
      </c>
      <c r="H879" s="114" t="str">
        <f t="shared" si="83"/>
        <v>0</v>
      </c>
      <c r="I879" s="115">
        <v>24181060</v>
      </c>
      <c r="J879" s="114" t="s">
        <v>2806</v>
      </c>
      <c r="K879" s="114" t="s">
        <v>2807</v>
      </c>
      <c r="L879" s="116"/>
      <c r="M879" s="114"/>
      <c r="N879" s="114"/>
      <c r="O879" s="114" t="s">
        <v>2878</v>
      </c>
      <c r="P879" s="117" t="s">
        <v>2880</v>
      </c>
    </row>
    <row r="880" spans="2:16" ht="90" x14ac:dyDescent="0.25">
      <c r="B880" s="114" t="str">
        <f t="shared" si="77"/>
        <v>2</v>
      </c>
      <c r="C880" s="114" t="str">
        <f t="shared" si="78"/>
        <v>4</v>
      </c>
      <c r="D880" s="114" t="str">
        <f t="shared" si="79"/>
        <v>1</v>
      </c>
      <c r="E880" s="114" t="str">
        <f t="shared" si="80"/>
        <v>8</v>
      </c>
      <c r="F880" s="114" t="str">
        <f t="shared" si="81"/>
        <v>10</v>
      </c>
      <c r="G880" s="114" t="str">
        <f t="shared" si="82"/>
        <v>7</v>
      </c>
      <c r="H880" s="114" t="str">
        <f t="shared" si="83"/>
        <v>0</v>
      </c>
      <c r="I880" s="115">
        <v>24181070</v>
      </c>
      <c r="J880" s="114" t="s">
        <v>5137</v>
      </c>
      <c r="K880" s="114" t="s">
        <v>5138</v>
      </c>
      <c r="L880" s="116"/>
      <c r="M880" s="114"/>
      <c r="N880" s="114"/>
      <c r="O880" s="114" t="s">
        <v>2878</v>
      </c>
      <c r="P880" s="117" t="s">
        <v>2880</v>
      </c>
    </row>
    <row r="881" spans="2:16" ht="45" x14ac:dyDescent="0.25">
      <c r="B881" s="114" t="str">
        <f t="shared" si="77"/>
        <v>2</v>
      </c>
      <c r="C881" s="114" t="str">
        <f t="shared" si="78"/>
        <v>4</v>
      </c>
      <c r="D881" s="114" t="str">
        <f t="shared" si="79"/>
        <v>1</v>
      </c>
      <c r="E881" s="114" t="str">
        <f t="shared" si="80"/>
        <v>8</v>
      </c>
      <c r="F881" s="114" t="str">
        <f t="shared" si="81"/>
        <v>10</v>
      </c>
      <c r="G881" s="114" t="str">
        <f t="shared" si="82"/>
        <v>9</v>
      </c>
      <c r="H881" s="114" t="str">
        <f t="shared" si="83"/>
        <v>0</v>
      </c>
      <c r="I881" s="115">
        <v>24181090</v>
      </c>
      <c r="J881" s="114" t="s">
        <v>1346</v>
      </c>
      <c r="K881" s="114" t="s">
        <v>2810</v>
      </c>
      <c r="L881" s="116"/>
      <c r="M881" s="114"/>
      <c r="N881" s="114"/>
      <c r="O881" s="114" t="s">
        <v>2878</v>
      </c>
      <c r="P881" s="117" t="s">
        <v>2880</v>
      </c>
    </row>
    <row r="882" spans="2:16" s="148" customFormat="1" ht="45" x14ac:dyDescent="0.25">
      <c r="B882" s="145" t="str">
        <f t="shared" si="77"/>
        <v>2</v>
      </c>
      <c r="C882" s="145" t="str">
        <f t="shared" si="78"/>
        <v>4</v>
      </c>
      <c r="D882" s="145" t="str">
        <f t="shared" si="79"/>
        <v>1</v>
      </c>
      <c r="E882" s="145" t="str">
        <f t="shared" si="80"/>
        <v>8</v>
      </c>
      <c r="F882" s="145" t="str">
        <f t="shared" si="81"/>
        <v>12</v>
      </c>
      <c r="G882" s="145" t="str">
        <f t="shared" si="82"/>
        <v>0</v>
      </c>
      <c r="H882" s="145" t="str">
        <f t="shared" si="83"/>
        <v>0</v>
      </c>
      <c r="I882" s="143">
        <v>24181200</v>
      </c>
      <c r="J882" s="145" t="s">
        <v>1258</v>
      </c>
      <c r="K882" s="145" t="s">
        <v>5631</v>
      </c>
      <c r="L882" s="146"/>
      <c r="M882" s="145" t="s">
        <v>2878</v>
      </c>
      <c r="N882" s="145"/>
      <c r="O882" s="145" t="s">
        <v>2878</v>
      </c>
      <c r="P882" s="147" t="s">
        <v>2880</v>
      </c>
    </row>
    <row r="883" spans="2:16" s="148" customFormat="1" ht="45" x14ac:dyDescent="0.25">
      <c r="B883" s="149" t="str">
        <f t="shared" si="77"/>
        <v>2</v>
      </c>
      <c r="C883" s="149" t="str">
        <f t="shared" si="78"/>
        <v>4</v>
      </c>
      <c r="D883" s="149" t="str">
        <f t="shared" si="79"/>
        <v>1</v>
      </c>
      <c r="E883" s="149" t="str">
        <f t="shared" si="80"/>
        <v>8</v>
      </c>
      <c r="F883" s="149" t="str">
        <f t="shared" si="81"/>
        <v>12</v>
      </c>
      <c r="G883" s="149" t="str">
        <f t="shared" si="82"/>
        <v>1</v>
      </c>
      <c r="H883" s="149" t="str">
        <f t="shared" si="83"/>
        <v>0</v>
      </c>
      <c r="I883" s="144">
        <v>24181210</v>
      </c>
      <c r="J883" s="149" t="s">
        <v>1258</v>
      </c>
      <c r="K883" s="149" t="s">
        <v>5631</v>
      </c>
      <c r="L883" s="150"/>
      <c r="M883" s="149"/>
      <c r="N883" s="149"/>
      <c r="O883" s="149" t="s">
        <v>2878</v>
      </c>
      <c r="P883" s="151" t="s">
        <v>2880</v>
      </c>
    </row>
    <row r="884" spans="2:16" ht="75" x14ac:dyDescent="0.25">
      <c r="B884" s="108" t="str">
        <f t="shared" si="77"/>
        <v>2</v>
      </c>
      <c r="C884" s="108" t="str">
        <f t="shared" si="78"/>
        <v>4</v>
      </c>
      <c r="D884" s="108" t="str">
        <f t="shared" si="79"/>
        <v>1</v>
      </c>
      <c r="E884" s="108" t="str">
        <f t="shared" si="80"/>
        <v>8</v>
      </c>
      <c r="F884" s="108" t="str">
        <f t="shared" si="81"/>
        <v>99</v>
      </c>
      <c r="G884" s="108" t="str">
        <f t="shared" si="82"/>
        <v>0</v>
      </c>
      <c r="H884" s="108" t="str">
        <f t="shared" si="83"/>
        <v>0</v>
      </c>
      <c r="I884" s="109">
        <v>24189900</v>
      </c>
      <c r="J884" s="108" t="s">
        <v>1277</v>
      </c>
      <c r="K884" s="108" t="s">
        <v>2780</v>
      </c>
      <c r="L884" s="110"/>
      <c r="M884" s="108"/>
      <c r="N884" s="108"/>
      <c r="O884" s="108" t="s">
        <v>2878</v>
      </c>
      <c r="P884" s="111" t="s">
        <v>2880</v>
      </c>
    </row>
    <row r="885" spans="2:16" ht="75" x14ac:dyDescent="0.25">
      <c r="B885" s="114" t="str">
        <f t="shared" si="77"/>
        <v>2</v>
      </c>
      <c r="C885" s="114" t="str">
        <f t="shared" si="78"/>
        <v>4</v>
      </c>
      <c r="D885" s="114" t="str">
        <f t="shared" si="79"/>
        <v>1</v>
      </c>
      <c r="E885" s="114" t="str">
        <f t="shared" si="80"/>
        <v>8</v>
      </c>
      <c r="F885" s="114" t="str">
        <f t="shared" si="81"/>
        <v>99</v>
      </c>
      <c r="G885" s="114" t="str">
        <f t="shared" si="82"/>
        <v>1</v>
      </c>
      <c r="H885" s="114" t="str">
        <f t="shared" si="83"/>
        <v>0</v>
      </c>
      <c r="I885" s="115">
        <v>24189910</v>
      </c>
      <c r="J885" s="114" t="s">
        <v>1277</v>
      </c>
      <c r="K885" s="114" t="s">
        <v>2780</v>
      </c>
      <c r="L885" s="116"/>
      <c r="M885" s="114"/>
      <c r="N885" s="114"/>
      <c r="O885" s="114" t="s">
        <v>2878</v>
      </c>
      <c r="P885" s="117" t="s">
        <v>2880</v>
      </c>
    </row>
    <row r="886" spans="2:16" ht="60" hidden="1" x14ac:dyDescent="0.25">
      <c r="B886" s="126" t="str">
        <f t="shared" si="77"/>
        <v>2</v>
      </c>
      <c r="C886" s="126" t="str">
        <f t="shared" si="78"/>
        <v>4</v>
      </c>
      <c r="D886" s="126" t="str">
        <f t="shared" si="79"/>
        <v>2</v>
      </c>
      <c r="E886" s="126" t="str">
        <f t="shared" si="80"/>
        <v>0</v>
      </c>
      <c r="F886" s="126" t="str">
        <f t="shared" si="81"/>
        <v>00</v>
      </c>
      <c r="G886" s="126" t="str">
        <f t="shared" si="82"/>
        <v>0</v>
      </c>
      <c r="H886" s="126" t="str">
        <f t="shared" si="83"/>
        <v>0</v>
      </c>
      <c r="I886" s="127">
        <v>24200000</v>
      </c>
      <c r="J886" s="126" t="s">
        <v>4198</v>
      </c>
      <c r="K886" s="126" t="s">
        <v>4691</v>
      </c>
      <c r="L886" s="122"/>
      <c r="M886" s="126" t="s">
        <v>2878</v>
      </c>
      <c r="N886" s="126" t="s">
        <v>5016</v>
      </c>
      <c r="O886" s="126" t="s">
        <v>2878</v>
      </c>
      <c r="P886" s="128" t="s">
        <v>2880</v>
      </c>
    </row>
    <row r="887" spans="2:16" ht="60" hidden="1" x14ac:dyDescent="0.25">
      <c r="B887" s="114" t="str">
        <f t="shared" si="77"/>
        <v>2</v>
      </c>
      <c r="C887" s="114" t="str">
        <f t="shared" si="78"/>
        <v>4</v>
      </c>
      <c r="D887" s="114" t="str">
        <f t="shared" si="79"/>
        <v>2</v>
      </c>
      <c r="E887" s="114" t="str">
        <f t="shared" si="80"/>
        <v>0</v>
      </c>
      <c r="F887" s="114" t="str">
        <f t="shared" si="81"/>
        <v>00</v>
      </c>
      <c r="G887" s="114" t="str">
        <f t="shared" si="82"/>
        <v>1</v>
      </c>
      <c r="H887" s="114" t="str">
        <f t="shared" si="83"/>
        <v>0</v>
      </c>
      <c r="I887" s="115">
        <v>24200010</v>
      </c>
      <c r="J887" s="114" t="s">
        <v>4198</v>
      </c>
      <c r="K887" s="114" t="s">
        <v>4691</v>
      </c>
      <c r="L887" s="116"/>
      <c r="M887" s="114" t="s">
        <v>2878</v>
      </c>
      <c r="N887" s="114" t="s">
        <v>2879</v>
      </c>
      <c r="O887" s="114" t="s">
        <v>2878</v>
      </c>
      <c r="P887" s="117" t="s">
        <v>2880</v>
      </c>
    </row>
    <row r="888" spans="2:16" ht="45" x14ac:dyDescent="0.25">
      <c r="B888" s="104" t="str">
        <f t="shared" si="77"/>
        <v>2</v>
      </c>
      <c r="C888" s="104" t="str">
        <f t="shared" si="78"/>
        <v>4</v>
      </c>
      <c r="D888" s="104" t="str">
        <f t="shared" si="79"/>
        <v>2</v>
      </c>
      <c r="E888" s="104" t="str">
        <f t="shared" si="80"/>
        <v>8</v>
      </c>
      <c r="F888" s="104" t="str">
        <f t="shared" si="81"/>
        <v>00</v>
      </c>
      <c r="G888" s="104" t="str">
        <f t="shared" si="82"/>
        <v>0</v>
      </c>
      <c r="H888" s="104" t="str">
        <f t="shared" si="83"/>
        <v>0</v>
      </c>
      <c r="I888" s="105">
        <v>24280000</v>
      </c>
      <c r="J888" s="104" t="s">
        <v>4965</v>
      </c>
      <c r="K888" s="104" t="s">
        <v>5040</v>
      </c>
      <c r="L888" s="106"/>
      <c r="M888" s="104" t="s">
        <v>2878</v>
      </c>
      <c r="N888" s="104"/>
      <c r="O888" s="104" t="s">
        <v>5018</v>
      </c>
      <c r="P888" s="107" t="s">
        <v>2880</v>
      </c>
    </row>
    <row r="889" spans="2:16" ht="45" x14ac:dyDescent="0.25">
      <c r="B889" s="108" t="str">
        <f t="shared" si="77"/>
        <v>2</v>
      </c>
      <c r="C889" s="108" t="str">
        <f t="shared" si="78"/>
        <v>4</v>
      </c>
      <c r="D889" s="108" t="str">
        <f t="shared" si="79"/>
        <v>2</v>
      </c>
      <c r="E889" s="108" t="str">
        <f t="shared" si="80"/>
        <v>8</v>
      </c>
      <c r="F889" s="108" t="str">
        <f t="shared" si="81"/>
        <v>01</v>
      </c>
      <c r="G889" s="108" t="str">
        <f t="shared" si="82"/>
        <v>0</v>
      </c>
      <c r="H889" s="108" t="str">
        <f t="shared" si="83"/>
        <v>0</v>
      </c>
      <c r="I889" s="109">
        <v>24280100</v>
      </c>
      <c r="J889" s="108" t="s">
        <v>4966</v>
      </c>
      <c r="K889" s="108" t="s">
        <v>4969</v>
      </c>
      <c r="L889" s="110"/>
      <c r="M889" s="108"/>
      <c r="N889" s="108"/>
      <c r="O889" s="108" t="s">
        <v>2878</v>
      </c>
      <c r="P889" s="111" t="s">
        <v>2880</v>
      </c>
    </row>
    <row r="890" spans="2:16" ht="45" x14ac:dyDescent="0.25">
      <c r="B890" s="114" t="str">
        <f t="shared" si="77"/>
        <v>2</v>
      </c>
      <c r="C890" s="114" t="str">
        <f t="shared" si="78"/>
        <v>4</v>
      </c>
      <c r="D890" s="114" t="str">
        <f t="shared" si="79"/>
        <v>2</v>
      </c>
      <c r="E890" s="114" t="str">
        <f t="shared" si="80"/>
        <v>8</v>
      </c>
      <c r="F890" s="114" t="str">
        <f t="shared" si="81"/>
        <v>01</v>
      </c>
      <c r="G890" s="114" t="str">
        <f t="shared" si="82"/>
        <v>1</v>
      </c>
      <c r="H890" s="114" t="str">
        <f t="shared" si="83"/>
        <v>0</v>
      </c>
      <c r="I890" s="115">
        <v>24280110</v>
      </c>
      <c r="J890" s="114" t="s">
        <v>4966</v>
      </c>
      <c r="K890" s="114" t="s">
        <v>4968</v>
      </c>
      <c r="L890" s="116"/>
      <c r="M890" s="114"/>
      <c r="N890" s="114"/>
      <c r="O890" s="114" t="s">
        <v>2878</v>
      </c>
      <c r="P890" s="117" t="s">
        <v>2880</v>
      </c>
    </row>
    <row r="891" spans="2:16" ht="45" x14ac:dyDescent="0.25">
      <c r="B891" s="108" t="str">
        <f t="shared" si="77"/>
        <v>2</v>
      </c>
      <c r="C891" s="108" t="str">
        <f t="shared" si="78"/>
        <v>4</v>
      </c>
      <c r="D891" s="108" t="str">
        <f t="shared" si="79"/>
        <v>2</v>
      </c>
      <c r="E891" s="108" t="str">
        <f t="shared" si="80"/>
        <v>8</v>
      </c>
      <c r="F891" s="108" t="str">
        <f t="shared" si="81"/>
        <v>03</v>
      </c>
      <c r="G891" s="108" t="str">
        <f t="shared" si="82"/>
        <v>0</v>
      </c>
      <c r="H891" s="108" t="str">
        <f t="shared" si="83"/>
        <v>0</v>
      </c>
      <c r="I891" s="109">
        <v>24280300</v>
      </c>
      <c r="J891" s="108" t="s">
        <v>1311</v>
      </c>
      <c r="K891" s="108" t="s">
        <v>2782</v>
      </c>
      <c r="L891" s="110"/>
      <c r="M891" s="108"/>
      <c r="N891" s="108"/>
      <c r="O891" s="108" t="s">
        <v>2878</v>
      </c>
      <c r="P891" s="111" t="s">
        <v>2880</v>
      </c>
    </row>
    <row r="892" spans="2:16" ht="45" x14ac:dyDescent="0.25">
      <c r="B892" s="114" t="str">
        <f t="shared" si="77"/>
        <v>2</v>
      </c>
      <c r="C892" s="114" t="str">
        <f t="shared" si="78"/>
        <v>4</v>
      </c>
      <c r="D892" s="114" t="str">
        <f t="shared" si="79"/>
        <v>2</v>
      </c>
      <c r="E892" s="114" t="str">
        <f t="shared" si="80"/>
        <v>8</v>
      </c>
      <c r="F892" s="114" t="str">
        <f t="shared" si="81"/>
        <v>03</v>
      </c>
      <c r="G892" s="114" t="str">
        <f t="shared" si="82"/>
        <v>1</v>
      </c>
      <c r="H892" s="114" t="str">
        <f t="shared" si="83"/>
        <v>0</v>
      </c>
      <c r="I892" s="115">
        <v>24280310</v>
      </c>
      <c r="J892" s="114" t="s">
        <v>1311</v>
      </c>
      <c r="K892" s="114" t="s">
        <v>2782</v>
      </c>
      <c r="L892" s="116"/>
      <c r="M892" s="114"/>
      <c r="N892" s="114"/>
      <c r="O892" s="114" t="s">
        <v>2878</v>
      </c>
      <c r="P892" s="117" t="s">
        <v>2880</v>
      </c>
    </row>
    <row r="893" spans="2:16" ht="45" x14ac:dyDescent="0.25">
      <c r="B893" s="108" t="str">
        <f t="shared" si="77"/>
        <v>2</v>
      </c>
      <c r="C893" s="108" t="str">
        <f t="shared" si="78"/>
        <v>4</v>
      </c>
      <c r="D893" s="108" t="str">
        <f t="shared" si="79"/>
        <v>2</v>
      </c>
      <c r="E893" s="108" t="str">
        <f t="shared" si="80"/>
        <v>8</v>
      </c>
      <c r="F893" s="108" t="str">
        <f t="shared" si="81"/>
        <v>05</v>
      </c>
      <c r="G893" s="108" t="str">
        <f t="shared" si="82"/>
        <v>0</v>
      </c>
      <c r="H893" s="108" t="str">
        <f t="shared" si="83"/>
        <v>0</v>
      </c>
      <c r="I893" s="109">
        <v>24280500</v>
      </c>
      <c r="J893" s="108" t="s">
        <v>2777</v>
      </c>
      <c r="K893" s="108" t="s">
        <v>2783</v>
      </c>
      <c r="L893" s="110"/>
      <c r="M893" s="108"/>
      <c r="N893" s="108"/>
      <c r="O893" s="108" t="s">
        <v>2878</v>
      </c>
      <c r="P893" s="111" t="s">
        <v>2880</v>
      </c>
    </row>
    <row r="894" spans="2:16" ht="45" x14ac:dyDescent="0.25">
      <c r="B894" s="114" t="str">
        <f t="shared" si="77"/>
        <v>2</v>
      </c>
      <c r="C894" s="114" t="str">
        <f t="shared" si="78"/>
        <v>4</v>
      </c>
      <c r="D894" s="114" t="str">
        <f t="shared" si="79"/>
        <v>2</v>
      </c>
      <c r="E894" s="114" t="str">
        <f t="shared" si="80"/>
        <v>8</v>
      </c>
      <c r="F894" s="114" t="str">
        <f t="shared" si="81"/>
        <v>05</v>
      </c>
      <c r="G894" s="114" t="str">
        <f t="shared" si="82"/>
        <v>1</v>
      </c>
      <c r="H894" s="114" t="str">
        <f t="shared" si="83"/>
        <v>0</v>
      </c>
      <c r="I894" s="115">
        <v>24280510</v>
      </c>
      <c r="J894" s="114" t="s">
        <v>2777</v>
      </c>
      <c r="K894" s="114" t="s">
        <v>2783</v>
      </c>
      <c r="L894" s="116"/>
      <c r="M894" s="114"/>
      <c r="N894" s="114"/>
      <c r="O894" s="114" t="s">
        <v>2878</v>
      </c>
      <c r="P894" s="117" t="s">
        <v>2880</v>
      </c>
    </row>
    <row r="895" spans="2:16" ht="60" x14ac:dyDescent="0.25">
      <c r="B895" s="108" t="str">
        <f t="shared" si="77"/>
        <v>2</v>
      </c>
      <c r="C895" s="108" t="str">
        <f t="shared" si="78"/>
        <v>4</v>
      </c>
      <c r="D895" s="108" t="str">
        <f t="shared" si="79"/>
        <v>2</v>
      </c>
      <c r="E895" s="108" t="str">
        <f t="shared" si="80"/>
        <v>8</v>
      </c>
      <c r="F895" s="108" t="str">
        <f t="shared" si="81"/>
        <v>10</v>
      </c>
      <c r="G895" s="108" t="str">
        <f t="shared" si="82"/>
        <v>0</v>
      </c>
      <c r="H895" s="108" t="str">
        <f t="shared" si="83"/>
        <v>0</v>
      </c>
      <c r="I895" s="109">
        <v>24281000</v>
      </c>
      <c r="J895" s="108" t="s">
        <v>2811</v>
      </c>
      <c r="K895" s="108" t="s">
        <v>2812</v>
      </c>
      <c r="L895" s="110"/>
      <c r="M895" s="108"/>
      <c r="N895" s="108"/>
      <c r="O895" s="108" t="s">
        <v>2878</v>
      </c>
      <c r="P895" s="111" t="s">
        <v>2880</v>
      </c>
    </row>
    <row r="896" spans="2:16" ht="45" x14ac:dyDescent="0.25">
      <c r="B896" s="114" t="str">
        <f t="shared" si="77"/>
        <v>2</v>
      </c>
      <c r="C896" s="114" t="str">
        <f t="shared" si="78"/>
        <v>4</v>
      </c>
      <c r="D896" s="114" t="str">
        <f t="shared" si="79"/>
        <v>2</v>
      </c>
      <c r="E896" s="114" t="str">
        <f t="shared" si="80"/>
        <v>8</v>
      </c>
      <c r="F896" s="114" t="str">
        <f t="shared" si="81"/>
        <v>10</v>
      </c>
      <c r="G896" s="114" t="str">
        <f t="shared" si="82"/>
        <v>1</v>
      </c>
      <c r="H896" s="114" t="str">
        <f t="shared" si="83"/>
        <v>0</v>
      </c>
      <c r="I896" s="115">
        <v>24281010</v>
      </c>
      <c r="J896" s="114" t="s">
        <v>2813</v>
      </c>
      <c r="K896" s="114" t="s">
        <v>2814</v>
      </c>
      <c r="L896" s="116"/>
      <c r="M896" s="114"/>
      <c r="N896" s="114"/>
      <c r="O896" s="114" t="s">
        <v>2878</v>
      </c>
      <c r="P896" s="117" t="s">
        <v>2880</v>
      </c>
    </row>
    <row r="897" spans="2:16" ht="45" x14ac:dyDescent="0.25">
      <c r="B897" s="114" t="str">
        <f t="shared" si="77"/>
        <v>2</v>
      </c>
      <c r="C897" s="114" t="str">
        <f t="shared" si="78"/>
        <v>4</v>
      </c>
      <c r="D897" s="114" t="str">
        <f t="shared" si="79"/>
        <v>2</v>
      </c>
      <c r="E897" s="114" t="str">
        <f t="shared" si="80"/>
        <v>8</v>
      </c>
      <c r="F897" s="114" t="str">
        <f t="shared" si="81"/>
        <v>10</v>
      </c>
      <c r="G897" s="114" t="str">
        <f t="shared" si="82"/>
        <v>2</v>
      </c>
      <c r="H897" s="114" t="str">
        <f t="shared" si="83"/>
        <v>0</v>
      </c>
      <c r="I897" s="115">
        <v>24281020</v>
      </c>
      <c r="J897" s="114" t="s">
        <v>2815</v>
      </c>
      <c r="K897" s="114" t="s">
        <v>2816</v>
      </c>
      <c r="L897" s="116"/>
      <c r="M897" s="114"/>
      <c r="N897" s="114"/>
      <c r="O897" s="114" t="s">
        <v>2878</v>
      </c>
      <c r="P897" s="117" t="s">
        <v>2880</v>
      </c>
    </row>
    <row r="898" spans="2:16" ht="45" x14ac:dyDescent="0.25">
      <c r="B898" s="114" t="str">
        <f t="shared" si="77"/>
        <v>2</v>
      </c>
      <c r="C898" s="114" t="str">
        <f t="shared" si="78"/>
        <v>4</v>
      </c>
      <c r="D898" s="114" t="str">
        <f t="shared" si="79"/>
        <v>2</v>
      </c>
      <c r="E898" s="114" t="str">
        <f t="shared" si="80"/>
        <v>8</v>
      </c>
      <c r="F898" s="114" t="str">
        <f t="shared" si="81"/>
        <v>10</v>
      </c>
      <c r="G898" s="114" t="str">
        <f t="shared" si="82"/>
        <v>5</v>
      </c>
      <c r="H898" s="114" t="str">
        <f t="shared" si="83"/>
        <v>0</v>
      </c>
      <c r="I898" s="115">
        <v>24281050</v>
      </c>
      <c r="J898" s="114" t="s">
        <v>2817</v>
      </c>
      <c r="K898" s="114" t="s">
        <v>2818</v>
      </c>
      <c r="L898" s="116"/>
      <c r="M898" s="114"/>
      <c r="N898" s="114"/>
      <c r="O898" s="114" t="s">
        <v>2878</v>
      </c>
      <c r="P898" s="117" t="s">
        <v>2880</v>
      </c>
    </row>
    <row r="899" spans="2:16" ht="90" x14ac:dyDescent="0.25">
      <c r="B899" s="114" t="str">
        <f t="shared" si="77"/>
        <v>2</v>
      </c>
      <c r="C899" s="114" t="str">
        <f t="shared" si="78"/>
        <v>4</v>
      </c>
      <c r="D899" s="114" t="str">
        <f t="shared" si="79"/>
        <v>2</v>
      </c>
      <c r="E899" s="114" t="str">
        <f t="shared" si="80"/>
        <v>8</v>
      </c>
      <c r="F899" s="114" t="str">
        <f t="shared" si="81"/>
        <v>10</v>
      </c>
      <c r="G899" s="114" t="str">
        <f t="shared" si="82"/>
        <v>6</v>
      </c>
      <c r="H899" s="114" t="str">
        <f t="shared" si="83"/>
        <v>0</v>
      </c>
      <c r="I899" s="115">
        <v>24281060</v>
      </c>
      <c r="J899" s="114" t="s">
        <v>2819</v>
      </c>
      <c r="K899" s="114" t="s">
        <v>2820</v>
      </c>
      <c r="L899" s="116"/>
      <c r="M899" s="114"/>
      <c r="N899" s="114"/>
      <c r="O899" s="114" t="s">
        <v>2878</v>
      </c>
      <c r="P899" s="117" t="s">
        <v>2880</v>
      </c>
    </row>
    <row r="900" spans="2:16" ht="90" x14ac:dyDescent="0.25">
      <c r="B900" s="114" t="str">
        <f t="shared" si="77"/>
        <v>2</v>
      </c>
      <c r="C900" s="114" t="str">
        <f t="shared" si="78"/>
        <v>4</v>
      </c>
      <c r="D900" s="114" t="str">
        <f t="shared" si="79"/>
        <v>2</v>
      </c>
      <c r="E900" s="114" t="str">
        <f t="shared" si="80"/>
        <v>8</v>
      </c>
      <c r="F900" s="114" t="str">
        <f t="shared" si="81"/>
        <v>10</v>
      </c>
      <c r="G900" s="114" t="str">
        <f t="shared" si="82"/>
        <v>7</v>
      </c>
      <c r="H900" s="114" t="str">
        <f t="shared" si="83"/>
        <v>0</v>
      </c>
      <c r="I900" s="115">
        <v>24281070</v>
      </c>
      <c r="J900" s="114" t="s">
        <v>5140</v>
      </c>
      <c r="K900" s="114" t="s">
        <v>5141</v>
      </c>
      <c r="L900" s="116"/>
      <c r="M900" s="114"/>
      <c r="N900" s="114"/>
      <c r="O900" s="114" t="s">
        <v>2878</v>
      </c>
      <c r="P900" s="117" t="s">
        <v>2880</v>
      </c>
    </row>
    <row r="901" spans="2:16" ht="45" x14ac:dyDescent="0.25">
      <c r="B901" s="114" t="str">
        <f t="shared" si="77"/>
        <v>2</v>
      </c>
      <c r="C901" s="114" t="str">
        <f t="shared" si="78"/>
        <v>4</v>
      </c>
      <c r="D901" s="114" t="str">
        <f t="shared" si="79"/>
        <v>2</v>
      </c>
      <c r="E901" s="114" t="str">
        <f t="shared" si="80"/>
        <v>8</v>
      </c>
      <c r="F901" s="114" t="str">
        <f t="shared" si="81"/>
        <v>10</v>
      </c>
      <c r="G901" s="114" t="str">
        <f t="shared" si="82"/>
        <v>9</v>
      </c>
      <c r="H901" s="114" t="str">
        <f t="shared" si="83"/>
        <v>0</v>
      </c>
      <c r="I901" s="115">
        <v>24281090</v>
      </c>
      <c r="J901" s="114" t="s">
        <v>1354</v>
      </c>
      <c r="K901" s="114" t="s">
        <v>2823</v>
      </c>
      <c r="L901" s="116"/>
      <c r="M901" s="114"/>
      <c r="N901" s="114"/>
      <c r="O901" s="114" t="s">
        <v>2878</v>
      </c>
      <c r="P901" s="117" t="s">
        <v>2880</v>
      </c>
    </row>
    <row r="902" spans="2:16" ht="45" x14ac:dyDescent="0.25">
      <c r="B902" s="108" t="str">
        <f t="shared" si="77"/>
        <v>2</v>
      </c>
      <c r="C902" s="108" t="str">
        <f t="shared" si="78"/>
        <v>4</v>
      </c>
      <c r="D902" s="108" t="str">
        <f t="shared" si="79"/>
        <v>2</v>
      </c>
      <c r="E902" s="108" t="str">
        <f t="shared" si="80"/>
        <v>8</v>
      </c>
      <c r="F902" s="108" t="str">
        <f t="shared" si="81"/>
        <v>99</v>
      </c>
      <c r="G902" s="108" t="str">
        <f t="shared" si="82"/>
        <v>0</v>
      </c>
      <c r="H902" s="108" t="str">
        <f t="shared" si="83"/>
        <v>0</v>
      </c>
      <c r="I902" s="109">
        <v>24289900</v>
      </c>
      <c r="J902" s="108" t="s">
        <v>1294</v>
      </c>
      <c r="K902" s="108" t="s">
        <v>2785</v>
      </c>
      <c r="L902" s="110"/>
      <c r="M902" s="108"/>
      <c r="N902" s="108"/>
      <c r="O902" s="108" t="s">
        <v>2878</v>
      </c>
      <c r="P902" s="111" t="s">
        <v>2880</v>
      </c>
    </row>
    <row r="903" spans="2:16" ht="45" x14ac:dyDescent="0.25">
      <c r="B903" s="114" t="str">
        <f t="shared" si="77"/>
        <v>2</v>
      </c>
      <c r="C903" s="114" t="str">
        <f t="shared" si="78"/>
        <v>4</v>
      </c>
      <c r="D903" s="114" t="str">
        <f t="shared" si="79"/>
        <v>2</v>
      </c>
      <c r="E903" s="114" t="str">
        <f t="shared" si="80"/>
        <v>8</v>
      </c>
      <c r="F903" s="114" t="str">
        <f t="shared" si="81"/>
        <v>99</v>
      </c>
      <c r="G903" s="114" t="str">
        <f t="shared" si="82"/>
        <v>1</v>
      </c>
      <c r="H903" s="114" t="str">
        <f t="shared" si="83"/>
        <v>0</v>
      </c>
      <c r="I903" s="115">
        <v>24289910</v>
      </c>
      <c r="J903" s="114" t="s">
        <v>1294</v>
      </c>
      <c r="K903" s="114" t="s">
        <v>2785</v>
      </c>
      <c r="L903" s="116"/>
      <c r="M903" s="114"/>
      <c r="N903" s="114"/>
      <c r="O903" s="114" t="s">
        <v>2878</v>
      </c>
      <c r="P903" s="117" t="s">
        <v>2880</v>
      </c>
    </row>
    <row r="904" spans="2:16" ht="60" hidden="1" x14ac:dyDescent="0.25">
      <c r="B904" s="126" t="str">
        <f t="shared" si="77"/>
        <v>2</v>
      </c>
      <c r="C904" s="126" t="str">
        <f t="shared" si="78"/>
        <v>4</v>
      </c>
      <c r="D904" s="126" t="str">
        <f t="shared" si="79"/>
        <v>3</v>
      </c>
      <c r="E904" s="126" t="str">
        <f t="shared" si="80"/>
        <v>0</v>
      </c>
      <c r="F904" s="126" t="str">
        <f t="shared" si="81"/>
        <v>00</v>
      </c>
      <c r="G904" s="126" t="str">
        <f t="shared" si="82"/>
        <v>0</v>
      </c>
      <c r="H904" s="126" t="str">
        <f t="shared" si="83"/>
        <v>0</v>
      </c>
      <c r="I904" s="127">
        <v>24300000</v>
      </c>
      <c r="J904" s="126" t="s">
        <v>4200</v>
      </c>
      <c r="K904" s="126" t="s">
        <v>4692</v>
      </c>
      <c r="L904" s="122"/>
      <c r="M904" s="126" t="s">
        <v>2878</v>
      </c>
      <c r="N904" s="126" t="s">
        <v>5016</v>
      </c>
      <c r="O904" s="126" t="s">
        <v>2878</v>
      </c>
      <c r="P904" s="128" t="s">
        <v>2880</v>
      </c>
    </row>
    <row r="905" spans="2:16" ht="60" hidden="1" x14ac:dyDescent="0.25">
      <c r="B905" s="114" t="str">
        <f t="shared" si="77"/>
        <v>2</v>
      </c>
      <c r="C905" s="114" t="str">
        <f t="shared" si="78"/>
        <v>4</v>
      </c>
      <c r="D905" s="114" t="str">
        <f t="shared" si="79"/>
        <v>3</v>
      </c>
      <c r="E905" s="114" t="str">
        <f t="shared" si="80"/>
        <v>0</v>
      </c>
      <c r="F905" s="114" t="str">
        <f t="shared" si="81"/>
        <v>00</v>
      </c>
      <c r="G905" s="114" t="str">
        <f t="shared" si="82"/>
        <v>1</v>
      </c>
      <c r="H905" s="114" t="str">
        <f t="shared" si="83"/>
        <v>0</v>
      </c>
      <c r="I905" s="115">
        <v>24300010</v>
      </c>
      <c r="J905" s="114" t="s">
        <v>4200</v>
      </c>
      <c r="K905" s="114" t="s">
        <v>4692</v>
      </c>
      <c r="L905" s="116"/>
      <c r="M905" s="114" t="s">
        <v>2878</v>
      </c>
      <c r="N905" s="114" t="s">
        <v>2879</v>
      </c>
      <c r="O905" s="114" t="s">
        <v>2878</v>
      </c>
      <c r="P905" s="117" t="s">
        <v>2880</v>
      </c>
    </row>
    <row r="906" spans="2:16" ht="30" x14ac:dyDescent="0.25">
      <c r="B906" s="104" t="str">
        <f t="shared" si="77"/>
        <v>2</v>
      </c>
      <c r="C906" s="104" t="str">
        <f t="shared" si="78"/>
        <v>4</v>
      </c>
      <c r="D906" s="104" t="str">
        <f t="shared" si="79"/>
        <v>3</v>
      </c>
      <c r="E906" s="104" t="str">
        <f t="shared" si="80"/>
        <v>8</v>
      </c>
      <c r="F906" s="104" t="str">
        <f t="shared" si="81"/>
        <v>00</v>
      </c>
      <c r="G906" s="104" t="str">
        <f t="shared" si="82"/>
        <v>0</v>
      </c>
      <c r="H906" s="104" t="str">
        <f t="shared" si="83"/>
        <v>0</v>
      </c>
      <c r="I906" s="105">
        <v>24380000</v>
      </c>
      <c r="J906" s="104" t="s">
        <v>4200</v>
      </c>
      <c r="K906" s="104" t="s">
        <v>2786</v>
      </c>
      <c r="L906" s="106"/>
      <c r="M906" s="104" t="s">
        <v>2878</v>
      </c>
      <c r="N906" s="104"/>
      <c r="O906" s="104" t="s">
        <v>5018</v>
      </c>
      <c r="P906" s="107" t="s">
        <v>2880</v>
      </c>
    </row>
    <row r="907" spans="2:16" ht="30" x14ac:dyDescent="0.25">
      <c r="B907" s="108" t="str">
        <f t="shared" si="77"/>
        <v>2</v>
      </c>
      <c r="C907" s="108" t="str">
        <f t="shared" si="78"/>
        <v>4</v>
      </c>
      <c r="D907" s="108" t="str">
        <f t="shared" si="79"/>
        <v>3</v>
      </c>
      <c r="E907" s="108" t="str">
        <f t="shared" si="80"/>
        <v>8</v>
      </c>
      <c r="F907" s="108" t="str">
        <f t="shared" si="81"/>
        <v>01</v>
      </c>
      <c r="G907" s="108" t="str">
        <f t="shared" si="82"/>
        <v>0</v>
      </c>
      <c r="H907" s="108" t="str">
        <f t="shared" si="83"/>
        <v>0</v>
      </c>
      <c r="I907" s="109">
        <v>24380100</v>
      </c>
      <c r="J907" s="108" t="s">
        <v>1314</v>
      </c>
      <c r="K907" s="108" t="s">
        <v>2790</v>
      </c>
      <c r="L907" s="110"/>
      <c r="M907" s="108"/>
      <c r="N907" s="108"/>
      <c r="O907" s="108" t="s">
        <v>2878</v>
      </c>
      <c r="P907" s="111" t="s">
        <v>2880</v>
      </c>
    </row>
    <row r="908" spans="2:16" ht="30" x14ac:dyDescent="0.25">
      <c r="B908" s="114" t="str">
        <f t="shared" si="77"/>
        <v>2</v>
      </c>
      <c r="C908" s="114" t="str">
        <f t="shared" si="78"/>
        <v>4</v>
      </c>
      <c r="D908" s="114" t="str">
        <f t="shared" si="79"/>
        <v>3</v>
      </c>
      <c r="E908" s="114" t="str">
        <f t="shared" si="80"/>
        <v>8</v>
      </c>
      <c r="F908" s="114" t="str">
        <f t="shared" si="81"/>
        <v>01</v>
      </c>
      <c r="G908" s="114" t="str">
        <f t="shared" si="82"/>
        <v>1</v>
      </c>
      <c r="H908" s="114" t="str">
        <f t="shared" si="83"/>
        <v>0</v>
      </c>
      <c r="I908" s="115">
        <v>24380110</v>
      </c>
      <c r="J908" s="114" t="s">
        <v>1314</v>
      </c>
      <c r="K908" s="114" t="s">
        <v>2790</v>
      </c>
      <c r="L908" s="116"/>
      <c r="M908" s="114"/>
      <c r="N908" s="114"/>
      <c r="O908" s="114" t="s">
        <v>2878</v>
      </c>
      <c r="P908" s="117" t="s">
        <v>2880</v>
      </c>
    </row>
    <row r="909" spans="2:16" ht="60" x14ac:dyDescent="0.25">
      <c r="B909" s="108" t="str">
        <f t="shared" si="77"/>
        <v>2</v>
      </c>
      <c r="C909" s="108" t="str">
        <f t="shared" si="78"/>
        <v>4</v>
      </c>
      <c r="D909" s="108" t="str">
        <f t="shared" si="79"/>
        <v>3</v>
      </c>
      <c r="E909" s="108" t="str">
        <f t="shared" si="80"/>
        <v>8</v>
      </c>
      <c r="F909" s="108" t="str">
        <f t="shared" si="81"/>
        <v>10</v>
      </c>
      <c r="G909" s="108" t="str">
        <f t="shared" si="82"/>
        <v>0</v>
      </c>
      <c r="H909" s="108" t="str">
        <f t="shared" si="83"/>
        <v>0</v>
      </c>
      <c r="I909" s="109">
        <v>24381000</v>
      </c>
      <c r="J909" s="108" t="s">
        <v>2824</v>
      </c>
      <c r="K909" s="108" t="s">
        <v>2825</v>
      </c>
      <c r="L909" s="110"/>
      <c r="M909" s="108"/>
      <c r="N909" s="108"/>
      <c r="O909" s="108" t="s">
        <v>2878</v>
      </c>
      <c r="P909" s="111" t="s">
        <v>2880</v>
      </c>
    </row>
    <row r="910" spans="2:16" ht="45" x14ac:dyDescent="0.25">
      <c r="B910" s="114" t="str">
        <f t="shared" si="77"/>
        <v>2</v>
      </c>
      <c r="C910" s="114" t="str">
        <f t="shared" si="78"/>
        <v>4</v>
      </c>
      <c r="D910" s="114" t="str">
        <f t="shared" si="79"/>
        <v>3</v>
      </c>
      <c r="E910" s="114" t="str">
        <f t="shared" si="80"/>
        <v>8</v>
      </c>
      <c r="F910" s="114" t="str">
        <f t="shared" si="81"/>
        <v>10</v>
      </c>
      <c r="G910" s="114" t="str">
        <f t="shared" si="82"/>
        <v>1</v>
      </c>
      <c r="H910" s="114" t="str">
        <f t="shared" si="83"/>
        <v>0</v>
      </c>
      <c r="I910" s="115">
        <v>24381010</v>
      </c>
      <c r="J910" s="114" t="s">
        <v>2826</v>
      </c>
      <c r="K910" s="114" t="s">
        <v>2827</v>
      </c>
      <c r="L910" s="116"/>
      <c r="M910" s="114"/>
      <c r="N910" s="114"/>
      <c r="O910" s="114" t="s">
        <v>2878</v>
      </c>
      <c r="P910" s="117" t="s">
        <v>2880</v>
      </c>
    </row>
    <row r="911" spans="2:16" ht="45" x14ac:dyDescent="0.25">
      <c r="B911" s="114" t="str">
        <f t="shared" si="77"/>
        <v>2</v>
      </c>
      <c r="C911" s="114" t="str">
        <f t="shared" si="78"/>
        <v>4</v>
      </c>
      <c r="D911" s="114" t="str">
        <f t="shared" si="79"/>
        <v>3</v>
      </c>
      <c r="E911" s="114" t="str">
        <f t="shared" si="80"/>
        <v>8</v>
      </c>
      <c r="F911" s="114" t="str">
        <f t="shared" si="81"/>
        <v>10</v>
      </c>
      <c r="G911" s="114" t="str">
        <f t="shared" si="82"/>
        <v>2</v>
      </c>
      <c r="H911" s="114" t="str">
        <f t="shared" si="83"/>
        <v>0</v>
      </c>
      <c r="I911" s="115">
        <v>24381020</v>
      </c>
      <c r="J911" s="114" t="s">
        <v>2828</v>
      </c>
      <c r="K911" s="114" t="s">
        <v>2829</v>
      </c>
      <c r="L911" s="116"/>
      <c r="M911" s="114"/>
      <c r="N911" s="114"/>
      <c r="O911" s="114" t="s">
        <v>2878</v>
      </c>
      <c r="P911" s="117" t="s">
        <v>2880</v>
      </c>
    </row>
    <row r="912" spans="2:16" s="148" customFormat="1" ht="45" x14ac:dyDescent="0.25">
      <c r="B912" s="149" t="str">
        <f t="shared" si="77"/>
        <v>2</v>
      </c>
      <c r="C912" s="149" t="str">
        <f t="shared" si="78"/>
        <v>4</v>
      </c>
      <c r="D912" s="149" t="str">
        <f t="shared" si="79"/>
        <v>3</v>
      </c>
      <c r="E912" s="149" t="str">
        <f t="shared" si="80"/>
        <v>8</v>
      </c>
      <c r="F912" s="149" t="str">
        <f t="shared" si="81"/>
        <v>10</v>
      </c>
      <c r="G912" s="149" t="str">
        <f t="shared" si="82"/>
        <v>3</v>
      </c>
      <c r="H912" s="149" t="str">
        <f t="shared" si="83"/>
        <v>0</v>
      </c>
      <c r="I912" s="144">
        <v>24381030</v>
      </c>
      <c r="J912" s="149" t="s">
        <v>5218</v>
      </c>
      <c r="K912" s="149" t="s">
        <v>5219</v>
      </c>
      <c r="L912" s="150"/>
      <c r="M912" s="149"/>
      <c r="N912" s="149"/>
      <c r="O912" s="149" t="s">
        <v>2878</v>
      </c>
      <c r="P912" s="151" t="s">
        <v>2880</v>
      </c>
    </row>
    <row r="913" spans="2:16" ht="45" x14ac:dyDescent="0.25">
      <c r="B913" s="114" t="str">
        <f t="shared" si="77"/>
        <v>2</v>
      </c>
      <c r="C913" s="114" t="str">
        <f t="shared" si="78"/>
        <v>4</v>
      </c>
      <c r="D913" s="114" t="str">
        <f t="shared" si="79"/>
        <v>3</v>
      </c>
      <c r="E913" s="114" t="str">
        <f t="shared" si="80"/>
        <v>8</v>
      </c>
      <c r="F913" s="114" t="str">
        <f t="shared" si="81"/>
        <v>10</v>
      </c>
      <c r="G913" s="114" t="str">
        <f t="shared" si="82"/>
        <v>9</v>
      </c>
      <c r="H913" s="114" t="str">
        <f t="shared" si="83"/>
        <v>0</v>
      </c>
      <c r="I913" s="115">
        <v>24381090</v>
      </c>
      <c r="J913" s="114" t="s">
        <v>1362</v>
      </c>
      <c r="K913" s="114" t="s">
        <v>2830</v>
      </c>
      <c r="L913" s="116"/>
      <c r="M913" s="114"/>
      <c r="N913" s="114"/>
      <c r="O913" s="114" t="s">
        <v>2878</v>
      </c>
      <c r="P913" s="117" t="s">
        <v>2880</v>
      </c>
    </row>
    <row r="914" spans="2:16" ht="45" x14ac:dyDescent="0.25">
      <c r="B914" s="108" t="str">
        <f t="shared" si="77"/>
        <v>2</v>
      </c>
      <c r="C914" s="108" t="str">
        <f t="shared" si="78"/>
        <v>4</v>
      </c>
      <c r="D914" s="108" t="str">
        <f t="shared" si="79"/>
        <v>3</v>
      </c>
      <c r="E914" s="108" t="str">
        <f t="shared" si="80"/>
        <v>8</v>
      </c>
      <c r="F914" s="108" t="str">
        <f t="shared" si="81"/>
        <v>99</v>
      </c>
      <c r="G914" s="108" t="str">
        <f t="shared" si="82"/>
        <v>0</v>
      </c>
      <c r="H914" s="108" t="str">
        <f t="shared" si="83"/>
        <v>0</v>
      </c>
      <c r="I914" s="109">
        <v>24389900</v>
      </c>
      <c r="J914" s="108" t="s">
        <v>1315</v>
      </c>
      <c r="K914" s="108" t="s">
        <v>2791</v>
      </c>
      <c r="L914" s="110"/>
      <c r="M914" s="108"/>
      <c r="N914" s="108"/>
      <c r="O914" s="108" t="s">
        <v>2878</v>
      </c>
      <c r="P914" s="111" t="s">
        <v>2880</v>
      </c>
    </row>
    <row r="915" spans="2:16" ht="45" x14ac:dyDescent="0.25">
      <c r="B915" s="114" t="str">
        <f t="shared" si="77"/>
        <v>2</v>
      </c>
      <c r="C915" s="114" t="str">
        <f t="shared" si="78"/>
        <v>4</v>
      </c>
      <c r="D915" s="114" t="str">
        <f t="shared" si="79"/>
        <v>3</v>
      </c>
      <c r="E915" s="114" t="str">
        <f t="shared" si="80"/>
        <v>8</v>
      </c>
      <c r="F915" s="114" t="str">
        <f t="shared" si="81"/>
        <v>99</v>
      </c>
      <c r="G915" s="114" t="str">
        <f t="shared" si="82"/>
        <v>1</v>
      </c>
      <c r="H915" s="114" t="str">
        <f t="shared" si="83"/>
        <v>0</v>
      </c>
      <c r="I915" s="115">
        <v>24389910</v>
      </c>
      <c r="J915" s="114" t="s">
        <v>1315</v>
      </c>
      <c r="K915" s="114" t="s">
        <v>2791</v>
      </c>
      <c r="L915" s="116"/>
      <c r="M915" s="114"/>
      <c r="N915" s="114"/>
      <c r="O915" s="114" t="s">
        <v>2878</v>
      </c>
      <c r="P915" s="117" t="s">
        <v>2880</v>
      </c>
    </row>
    <row r="916" spans="2:16" ht="60" hidden="1" x14ac:dyDescent="0.25">
      <c r="B916" s="126" t="str">
        <f t="shared" si="77"/>
        <v>2</v>
      </c>
      <c r="C916" s="126" t="str">
        <f t="shared" si="78"/>
        <v>4</v>
      </c>
      <c r="D916" s="126" t="str">
        <f t="shared" si="79"/>
        <v>4</v>
      </c>
      <c r="E916" s="126" t="str">
        <f t="shared" si="80"/>
        <v>0</v>
      </c>
      <c r="F916" s="126" t="str">
        <f t="shared" si="81"/>
        <v>00</v>
      </c>
      <c r="G916" s="126" t="str">
        <f t="shared" si="82"/>
        <v>0</v>
      </c>
      <c r="H916" s="126" t="str">
        <f t="shared" si="83"/>
        <v>0</v>
      </c>
      <c r="I916" s="127">
        <v>24400000</v>
      </c>
      <c r="J916" s="126" t="s">
        <v>1326</v>
      </c>
      <c r="K916" s="126" t="s">
        <v>4693</v>
      </c>
      <c r="L916" s="122"/>
      <c r="M916" s="126" t="s">
        <v>2878</v>
      </c>
      <c r="N916" s="126" t="s">
        <v>5016</v>
      </c>
      <c r="O916" s="126" t="s">
        <v>2878</v>
      </c>
      <c r="P916" s="128" t="s">
        <v>2880</v>
      </c>
    </row>
    <row r="917" spans="2:16" ht="60" hidden="1" x14ac:dyDescent="0.25">
      <c r="B917" s="114" t="str">
        <f t="shared" si="77"/>
        <v>2</v>
      </c>
      <c r="C917" s="114" t="str">
        <f t="shared" si="78"/>
        <v>4</v>
      </c>
      <c r="D917" s="114" t="str">
        <f t="shared" si="79"/>
        <v>4</v>
      </c>
      <c r="E917" s="114" t="str">
        <f t="shared" si="80"/>
        <v>0</v>
      </c>
      <c r="F917" s="114" t="str">
        <f t="shared" si="81"/>
        <v>00</v>
      </c>
      <c r="G917" s="114" t="str">
        <f t="shared" si="82"/>
        <v>1</v>
      </c>
      <c r="H917" s="114" t="str">
        <f t="shared" si="83"/>
        <v>0</v>
      </c>
      <c r="I917" s="115">
        <v>24400010</v>
      </c>
      <c r="J917" s="114" t="s">
        <v>1326</v>
      </c>
      <c r="K917" s="114" t="s">
        <v>4693</v>
      </c>
      <c r="L917" s="116"/>
      <c r="M917" s="114" t="s">
        <v>2878</v>
      </c>
      <c r="N917" s="114" t="s">
        <v>2879</v>
      </c>
      <c r="O917" s="114" t="s">
        <v>2878</v>
      </c>
      <c r="P917" s="117" t="s">
        <v>2880</v>
      </c>
    </row>
    <row r="918" spans="2:16" ht="75" x14ac:dyDescent="0.25">
      <c r="B918" s="104" t="str">
        <f t="shared" si="77"/>
        <v>2</v>
      </c>
      <c r="C918" s="104" t="str">
        <f t="shared" si="78"/>
        <v>4</v>
      </c>
      <c r="D918" s="104" t="str">
        <f t="shared" si="79"/>
        <v>4</v>
      </c>
      <c r="E918" s="104" t="str">
        <f t="shared" si="80"/>
        <v>8</v>
      </c>
      <c r="F918" s="104" t="str">
        <f t="shared" si="81"/>
        <v>00</v>
      </c>
      <c r="G918" s="104" t="str">
        <f t="shared" si="82"/>
        <v>0</v>
      </c>
      <c r="H918" s="104" t="str">
        <f t="shared" si="83"/>
        <v>0</v>
      </c>
      <c r="I918" s="105">
        <v>24480000</v>
      </c>
      <c r="J918" s="104" t="s">
        <v>5025</v>
      </c>
      <c r="K918" s="104" t="s">
        <v>5041</v>
      </c>
      <c r="L918" s="106"/>
      <c r="M918" s="104" t="s">
        <v>2878</v>
      </c>
      <c r="N918" s="104" t="s">
        <v>2879</v>
      </c>
      <c r="O918" s="104" t="s">
        <v>5018</v>
      </c>
      <c r="P918" s="107" t="s">
        <v>2880</v>
      </c>
    </row>
    <row r="919" spans="2:16" s="148" customFormat="1" ht="60" x14ac:dyDescent="0.25">
      <c r="B919" s="145" t="str">
        <f t="shared" si="77"/>
        <v>2</v>
      </c>
      <c r="C919" s="145" t="str">
        <f t="shared" si="78"/>
        <v>4</v>
      </c>
      <c r="D919" s="145" t="str">
        <f t="shared" si="79"/>
        <v>4</v>
      </c>
      <c r="E919" s="145" t="str">
        <f t="shared" si="80"/>
        <v>8</v>
      </c>
      <c r="F919" s="145" t="str">
        <f t="shared" si="81"/>
        <v>01</v>
      </c>
      <c r="G919" s="145" t="str">
        <f t="shared" si="82"/>
        <v>0</v>
      </c>
      <c r="H919" s="145" t="str">
        <f t="shared" si="83"/>
        <v>0</v>
      </c>
      <c r="I919" s="143">
        <v>24480100</v>
      </c>
      <c r="J919" s="145" t="s">
        <v>2831</v>
      </c>
      <c r="K919" s="145" t="s">
        <v>5223</v>
      </c>
      <c r="L919" s="146"/>
      <c r="M919" s="145" t="s">
        <v>2878</v>
      </c>
      <c r="N919" s="145"/>
      <c r="O919" s="145" t="s">
        <v>2878</v>
      </c>
      <c r="P919" s="147" t="s">
        <v>2880</v>
      </c>
    </row>
    <row r="920" spans="2:16" s="148" customFormat="1" ht="60" x14ac:dyDescent="0.25">
      <c r="B920" s="149" t="str">
        <f t="shared" si="77"/>
        <v>2</v>
      </c>
      <c r="C920" s="149" t="str">
        <f t="shared" si="78"/>
        <v>4</v>
      </c>
      <c r="D920" s="149" t="str">
        <f t="shared" si="79"/>
        <v>4</v>
      </c>
      <c r="E920" s="149" t="str">
        <f t="shared" si="80"/>
        <v>8</v>
      </c>
      <c r="F920" s="149" t="str">
        <f t="shared" si="81"/>
        <v>01</v>
      </c>
      <c r="G920" s="149" t="str">
        <f t="shared" si="82"/>
        <v>1</v>
      </c>
      <c r="H920" s="149" t="str">
        <f t="shared" si="83"/>
        <v>0</v>
      </c>
      <c r="I920" s="144">
        <v>24480110</v>
      </c>
      <c r="J920" s="149" t="s">
        <v>5221</v>
      </c>
      <c r="K920" s="149" t="s">
        <v>5224</v>
      </c>
      <c r="L920" s="150"/>
      <c r="M920" s="149" t="s">
        <v>2878</v>
      </c>
      <c r="N920" s="149"/>
      <c r="O920" s="149" t="s">
        <v>2878</v>
      </c>
      <c r="P920" s="151" t="s">
        <v>2880</v>
      </c>
    </row>
    <row r="921" spans="2:16" s="148" customFormat="1" ht="60" x14ac:dyDescent="0.25">
      <c r="B921" s="145" t="str">
        <f t="shared" si="77"/>
        <v>2</v>
      </c>
      <c r="C921" s="145" t="str">
        <f t="shared" si="78"/>
        <v>4</v>
      </c>
      <c r="D921" s="145" t="str">
        <f t="shared" si="79"/>
        <v>4</v>
      </c>
      <c r="E921" s="145" t="str">
        <f t="shared" si="80"/>
        <v>8</v>
      </c>
      <c r="F921" s="145" t="str">
        <f t="shared" si="81"/>
        <v>10</v>
      </c>
      <c r="G921" s="145" t="str">
        <f t="shared" si="82"/>
        <v>0</v>
      </c>
      <c r="H921" s="145" t="str">
        <f t="shared" si="83"/>
        <v>0</v>
      </c>
      <c r="I921" s="143">
        <v>24481000</v>
      </c>
      <c r="J921" s="145" t="s">
        <v>5222</v>
      </c>
      <c r="K921" s="145" t="s">
        <v>5225</v>
      </c>
      <c r="L921" s="146"/>
      <c r="M921" s="145" t="s">
        <v>2878</v>
      </c>
      <c r="N921" s="145"/>
      <c r="O921" s="145" t="s">
        <v>2878</v>
      </c>
      <c r="P921" s="147" t="s">
        <v>2880</v>
      </c>
    </row>
    <row r="922" spans="2:16" s="148" customFormat="1" ht="60" x14ac:dyDescent="0.25">
      <c r="B922" s="149" t="str">
        <f t="shared" si="77"/>
        <v>2</v>
      </c>
      <c r="C922" s="149" t="str">
        <f t="shared" si="78"/>
        <v>4</v>
      </c>
      <c r="D922" s="149" t="str">
        <f t="shared" si="79"/>
        <v>4</v>
      </c>
      <c r="E922" s="149" t="str">
        <f t="shared" si="80"/>
        <v>8</v>
      </c>
      <c r="F922" s="149" t="str">
        <f t="shared" si="81"/>
        <v>10</v>
      </c>
      <c r="G922" s="149" t="str">
        <f t="shared" si="82"/>
        <v>1</v>
      </c>
      <c r="H922" s="149" t="str">
        <f t="shared" si="83"/>
        <v>0</v>
      </c>
      <c r="I922" s="144">
        <v>24481010</v>
      </c>
      <c r="J922" s="149" t="s">
        <v>5222</v>
      </c>
      <c r="K922" s="149" t="s">
        <v>5225</v>
      </c>
      <c r="L922" s="150"/>
      <c r="M922" s="149" t="s">
        <v>2878</v>
      </c>
      <c r="N922" s="149"/>
      <c r="O922" s="149" t="s">
        <v>2878</v>
      </c>
      <c r="P922" s="151" t="s">
        <v>2880</v>
      </c>
    </row>
    <row r="923" spans="2:16" ht="60" hidden="1" x14ac:dyDescent="0.25">
      <c r="B923" s="126" t="str">
        <f t="shared" si="77"/>
        <v>2</v>
      </c>
      <c r="C923" s="126" t="str">
        <f t="shared" si="78"/>
        <v>4</v>
      </c>
      <c r="D923" s="126" t="str">
        <f t="shared" si="79"/>
        <v>5</v>
      </c>
      <c r="E923" s="126" t="str">
        <f t="shared" si="80"/>
        <v>0</v>
      </c>
      <c r="F923" s="126" t="str">
        <f t="shared" si="81"/>
        <v>00</v>
      </c>
      <c r="G923" s="126" t="str">
        <f t="shared" si="82"/>
        <v>0</v>
      </c>
      <c r="H923" s="126" t="str">
        <f t="shared" si="83"/>
        <v>0</v>
      </c>
      <c r="I923" s="127">
        <v>24500000</v>
      </c>
      <c r="J923" s="126" t="s">
        <v>4204</v>
      </c>
      <c r="K923" s="126" t="s">
        <v>4694</v>
      </c>
      <c r="L923" s="122"/>
      <c r="M923" s="126" t="s">
        <v>2878</v>
      </c>
      <c r="N923" s="126" t="s">
        <v>5016</v>
      </c>
      <c r="O923" s="126" t="s">
        <v>2878</v>
      </c>
      <c r="P923" s="128" t="s">
        <v>2880</v>
      </c>
    </row>
    <row r="924" spans="2:16" ht="60" hidden="1" x14ac:dyDescent="0.25">
      <c r="B924" s="114" t="str">
        <f t="shared" si="77"/>
        <v>2</v>
      </c>
      <c r="C924" s="114" t="str">
        <f t="shared" si="78"/>
        <v>4</v>
      </c>
      <c r="D924" s="114" t="str">
        <f t="shared" si="79"/>
        <v>5</v>
      </c>
      <c r="E924" s="114" t="str">
        <f t="shared" si="80"/>
        <v>0</v>
      </c>
      <c r="F924" s="114" t="str">
        <f t="shared" si="81"/>
        <v>00</v>
      </c>
      <c r="G924" s="114" t="str">
        <f t="shared" si="82"/>
        <v>1</v>
      </c>
      <c r="H924" s="114" t="str">
        <f t="shared" si="83"/>
        <v>0</v>
      </c>
      <c r="I924" s="115">
        <v>24500010</v>
      </c>
      <c r="J924" s="114" t="s">
        <v>4204</v>
      </c>
      <c r="K924" s="114" t="s">
        <v>4694</v>
      </c>
      <c r="L924" s="116"/>
      <c r="M924" s="114" t="s">
        <v>2878</v>
      </c>
      <c r="N924" s="114" t="s">
        <v>2879</v>
      </c>
      <c r="O924" s="114" t="s">
        <v>2878</v>
      </c>
      <c r="P924" s="117" t="s">
        <v>2880</v>
      </c>
    </row>
    <row r="925" spans="2:16" ht="75" x14ac:dyDescent="0.25">
      <c r="B925" s="104" t="str">
        <f t="shared" si="77"/>
        <v>2</v>
      </c>
      <c r="C925" s="104" t="str">
        <f t="shared" si="78"/>
        <v>4</v>
      </c>
      <c r="D925" s="104" t="str">
        <f t="shared" si="79"/>
        <v>5</v>
      </c>
      <c r="E925" s="104" t="str">
        <f t="shared" si="80"/>
        <v>8</v>
      </c>
      <c r="F925" s="104" t="str">
        <f t="shared" si="81"/>
        <v>00</v>
      </c>
      <c r="G925" s="104" t="str">
        <f t="shared" si="82"/>
        <v>0</v>
      </c>
      <c r="H925" s="104" t="str">
        <f t="shared" si="83"/>
        <v>0</v>
      </c>
      <c r="I925" s="105">
        <v>24580000</v>
      </c>
      <c r="J925" s="104" t="s">
        <v>5026</v>
      </c>
      <c r="K925" s="104" t="s">
        <v>5042</v>
      </c>
      <c r="L925" s="106"/>
      <c r="M925" s="104" t="s">
        <v>2878</v>
      </c>
      <c r="N925" s="104"/>
      <c r="O925" s="104" t="s">
        <v>5018</v>
      </c>
      <c r="P925" s="107" t="s">
        <v>2880</v>
      </c>
    </row>
    <row r="926" spans="2:16" ht="60" x14ac:dyDescent="0.25">
      <c r="B926" s="108" t="str">
        <f t="shared" si="77"/>
        <v>2</v>
      </c>
      <c r="C926" s="108" t="str">
        <f t="shared" si="78"/>
        <v>4</v>
      </c>
      <c r="D926" s="108" t="str">
        <f t="shared" si="79"/>
        <v>5</v>
      </c>
      <c r="E926" s="108" t="str">
        <f t="shared" si="80"/>
        <v>8</v>
      </c>
      <c r="F926" s="108" t="str">
        <f t="shared" si="81"/>
        <v>01</v>
      </c>
      <c r="G926" s="108" t="str">
        <f t="shared" si="82"/>
        <v>0</v>
      </c>
      <c r="H926" s="108" t="str">
        <f t="shared" si="83"/>
        <v>0</v>
      </c>
      <c r="I926" s="109">
        <v>24580100</v>
      </c>
      <c r="J926" s="108" t="s">
        <v>4204</v>
      </c>
      <c r="K926" s="108" t="s">
        <v>4694</v>
      </c>
      <c r="L926" s="110"/>
      <c r="M926" s="108"/>
      <c r="N926" s="108"/>
      <c r="O926" s="108" t="s">
        <v>2878</v>
      </c>
      <c r="P926" s="111" t="s">
        <v>2880</v>
      </c>
    </row>
    <row r="927" spans="2:16" ht="60" x14ac:dyDescent="0.25">
      <c r="B927" s="114" t="str">
        <f t="shared" si="77"/>
        <v>2</v>
      </c>
      <c r="C927" s="114" t="str">
        <f t="shared" si="78"/>
        <v>4</v>
      </c>
      <c r="D927" s="114" t="str">
        <f t="shared" si="79"/>
        <v>5</v>
      </c>
      <c r="E927" s="114" t="str">
        <f t="shared" si="80"/>
        <v>8</v>
      </c>
      <c r="F927" s="114" t="str">
        <f t="shared" si="81"/>
        <v>01</v>
      </c>
      <c r="G927" s="114" t="str">
        <f t="shared" si="82"/>
        <v>1</v>
      </c>
      <c r="H927" s="114" t="str">
        <f t="shared" si="83"/>
        <v>0</v>
      </c>
      <c r="I927" s="115">
        <v>24580110</v>
      </c>
      <c r="J927" s="114" t="s">
        <v>4204</v>
      </c>
      <c r="K927" s="114" t="s">
        <v>4694</v>
      </c>
      <c r="L927" s="116"/>
      <c r="M927" s="114"/>
      <c r="N927" s="114"/>
      <c r="O927" s="114" t="s">
        <v>2878</v>
      </c>
      <c r="P927" s="117" t="s">
        <v>2880</v>
      </c>
    </row>
    <row r="928" spans="2:16" ht="45" hidden="1" x14ac:dyDescent="0.25">
      <c r="B928" s="126" t="str">
        <f t="shared" si="77"/>
        <v>2</v>
      </c>
      <c r="C928" s="126" t="str">
        <f t="shared" si="78"/>
        <v>4</v>
      </c>
      <c r="D928" s="126" t="str">
        <f t="shared" si="79"/>
        <v>6</v>
      </c>
      <c r="E928" s="126" t="str">
        <f t="shared" si="80"/>
        <v>0</v>
      </c>
      <c r="F928" s="126" t="str">
        <f t="shared" si="81"/>
        <v>00</v>
      </c>
      <c r="G928" s="126" t="str">
        <f t="shared" si="82"/>
        <v>0</v>
      </c>
      <c r="H928" s="126" t="str">
        <f t="shared" si="83"/>
        <v>0</v>
      </c>
      <c r="I928" s="127">
        <v>24600000</v>
      </c>
      <c r="J928" s="126" t="s">
        <v>1328</v>
      </c>
      <c r="K928" s="126" t="s">
        <v>4695</v>
      </c>
      <c r="L928" s="122"/>
      <c r="M928" s="126" t="s">
        <v>2878</v>
      </c>
      <c r="N928" s="126" t="s">
        <v>5016</v>
      </c>
      <c r="O928" s="126" t="s">
        <v>2878</v>
      </c>
      <c r="P928" s="128" t="s">
        <v>2880</v>
      </c>
    </row>
    <row r="929" spans="2:16" ht="45" hidden="1" x14ac:dyDescent="0.25">
      <c r="B929" s="114" t="str">
        <f t="shared" si="77"/>
        <v>2</v>
      </c>
      <c r="C929" s="114" t="str">
        <f t="shared" si="78"/>
        <v>4</v>
      </c>
      <c r="D929" s="114" t="str">
        <f t="shared" si="79"/>
        <v>6</v>
      </c>
      <c r="E929" s="114" t="str">
        <f t="shared" si="80"/>
        <v>0</v>
      </c>
      <c r="F929" s="114" t="str">
        <f t="shared" si="81"/>
        <v>00</v>
      </c>
      <c r="G929" s="114" t="str">
        <f t="shared" si="82"/>
        <v>1</v>
      </c>
      <c r="H929" s="114" t="str">
        <f t="shared" si="83"/>
        <v>0</v>
      </c>
      <c r="I929" s="115">
        <v>24600010</v>
      </c>
      <c r="J929" s="114" t="s">
        <v>1328</v>
      </c>
      <c r="K929" s="114" t="s">
        <v>4695</v>
      </c>
      <c r="L929" s="116"/>
      <c r="M929" s="114" t="s">
        <v>2878</v>
      </c>
      <c r="N929" s="114" t="s">
        <v>2879</v>
      </c>
      <c r="O929" s="114" t="s">
        <v>2878</v>
      </c>
      <c r="P929" s="117" t="s">
        <v>2880</v>
      </c>
    </row>
    <row r="930" spans="2:16" ht="60" x14ac:dyDescent="0.25">
      <c r="B930" s="104" t="str">
        <f t="shared" si="77"/>
        <v>2</v>
      </c>
      <c r="C930" s="104" t="str">
        <f t="shared" si="78"/>
        <v>4</v>
      </c>
      <c r="D930" s="104" t="str">
        <f t="shared" si="79"/>
        <v>6</v>
      </c>
      <c r="E930" s="104" t="str">
        <f t="shared" si="80"/>
        <v>8</v>
      </c>
      <c r="F930" s="104" t="str">
        <f t="shared" si="81"/>
        <v>00</v>
      </c>
      <c r="G930" s="104" t="str">
        <f t="shared" si="82"/>
        <v>0</v>
      </c>
      <c r="H930" s="104" t="str">
        <f t="shared" si="83"/>
        <v>0</v>
      </c>
      <c r="I930" s="105">
        <v>24680000</v>
      </c>
      <c r="J930" s="104" t="s">
        <v>5027</v>
      </c>
      <c r="K930" s="104" t="s">
        <v>5043</v>
      </c>
      <c r="L930" s="106"/>
      <c r="M930" s="104" t="s">
        <v>2878</v>
      </c>
      <c r="N930" s="104"/>
      <c r="O930" s="104" t="s">
        <v>5018</v>
      </c>
      <c r="P930" s="107" t="s">
        <v>2880</v>
      </c>
    </row>
    <row r="931" spans="2:16" ht="45" x14ac:dyDescent="0.25">
      <c r="B931" s="108" t="str">
        <f t="shared" si="77"/>
        <v>2</v>
      </c>
      <c r="C931" s="108" t="str">
        <f t="shared" si="78"/>
        <v>4</v>
      </c>
      <c r="D931" s="108" t="str">
        <f t="shared" si="79"/>
        <v>6</v>
      </c>
      <c r="E931" s="108" t="str">
        <f t="shared" si="80"/>
        <v>8</v>
      </c>
      <c r="F931" s="108" t="str">
        <f t="shared" si="81"/>
        <v>01</v>
      </c>
      <c r="G931" s="108" t="str">
        <f t="shared" si="82"/>
        <v>0</v>
      </c>
      <c r="H931" s="108" t="str">
        <f t="shared" si="83"/>
        <v>0</v>
      </c>
      <c r="I931" s="109">
        <v>24680100</v>
      </c>
      <c r="J931" s="108" t="s">
        <v>1328</v>
      </c>
      <c r="K931" s="108" t="s">
        <v>4695</v>
      </c>
      <c r="L931" s="110"/>
      <c r="M931" s="108"/>
      <c r="N931" s="108"/>
      <c r="O931" s="108" t="s">
        <v>2878</v>
      </c>
      <c r="P931" s="111" t="s">
        <v>2880</v>
      </c>
    </row>
    <row r="932" spans="2:16" s="148" customFormat="1" ht="60" x14ac:dyDescent="0.25">
      <c r="B932" s="149" t="str">
        <f t="shared" si="77"/>
        <v>2</v>
      </c>
      <c r="C932" s="149" t="str">
        <f t="shared" si="78"/>
        <v>4</v>
      </c>
      <c r="D932" s="149" t="str">
        <f t="shared" si="79"/>
        <v>6</v>
      </c>
      <c r="E932" s="149" t="str">
        <f t="shared" si="80"/>
        <v>8</v>
      </c>
      <c r="F932" s="149" t="str">
        <f t="shared" si="81"/>
        <v>01</v>
      </c>
      <c r="G932" s="149" t="str">
        <f t="shared" si="82"/>
        <v>1</v>
      </c>
      <c r="H932" s="149" t="str">
        <f t="shared" si="83"/>
        <v>0</v>
      </c>
      <c r="I932" s="144">
        <v>24680110</v>
      </c>
      <c r="J932" s="149" t="s">
        <v>5226</v>
      </c>
      <c r="K932" s="149" t="s">
        <v>5228</v>
      </c>
      <c r="L932" s="150"/>
      <c r="M932" s="149" t="s">
        <v>2878</v>
      </c>
      <c r="N932" s="149"/>
      <c r="O932" s="149" t="s">
        <v>2878</v>
      </c>
      <c r="P932" s="151" t="s">
        <v>2880</v>
      </c>
    </row>
    <row r="933" spans="2:16" s="148" customFormat="1" ht="60" x14ac:dyDescent="0.25">
      <c r="B933" s="149" t="str">
        <f t="shared" si="77"/>
        <v>2</v>
      </c>
      <c r="C933" s="149" t="str">
        <f t="shared" si="78"/>
        <v>4</v>
      </c>
      <c r="D933" s="149" t="str">
        <f t="shared" si="79"/>
        <v>6</v>
      </c>
      <c r="E933" s="149" t="str">
        <f t="shared" si="80"/>
        <v>8</v>
      </c>
      <c r="F933" s="149" t="str">
        <f t="shared" si="81"/>
        <v>10</v>
      </c>
      <c r="G933" s="149" t="str">
        <f t="shared" si="82"/>
        <v>1</v>
      </c>
      <c r="H933" s="149" t="str">
        <f t="shared" si="83"/>
        <v>0</v>
      </c>
      <c r="I933" s="144">
        <v>24681010</v>
      </c>
      <c r="J933" s="149" t="s">
        <v>5227</v>
      </c>
      <c r="K933" s="149" t="s">
        <v>5229</v>
      </c>
      <c r="L933" s="150"/>
      <c r="M933" s="149" t="s">
        <v>2878</v>
      </c>
      <c r="N933" s="149"/>
      <c r="O933" s="149" t="s">
        <v>2878</v>
      </c>
      <c r="P933" s="151" t="s">
        <v>2880</v>
      </c>
    </row>
    <row r="934" spans="2:16" ht="60" hidden="1" x14ac:dyDescent="0.25">
      <c r="B934" s="126" t="str">
        <f t="shared" si="77"/>
        <v>2</v>
      </c>
      <c r="C934" s="126" t="str">
        <f t="shared" si="78"/>
        <v>4</v>
      </c>
      <c r="D934" s="126" t="str">
        <f t="shared" si="79"/>
        <v>7</v>
      </c>
      <c r="E934" s="126" t="str">
        <f t="shared" si="80"/>
        <v>0</v>
      </c>
      <c r="F934" s="126" t="str">
        <f t="shared" si="81"/>
        <v>00</v>
      </c>
      <c r="G934" s="126" t="str">
        <f t="shared" si="82"/>
        <v>0</v>
      </c>
      <c r="H934" s="126" t="str">
        <f t="shared" si="83"/>
        <v>0</v>
      </c>
      <c r="I934" s="127">
        <v>24700000</v>
      </c>
      <c r="J934" s="126" t="s">
        <v>4209</v>
      </c>
      <c r="K934" s="126" t="s">
        <v>4696</v>
      </c>
      <c r="L934" s="122"/>
      <c r="M934" s="126" t="s">
        <v>2878</v>
      </c>
      <c r="N934" s="126" t="s">
        <v>5016</v>
      </c>
      <c r="O934" s="126" t="s">
        <v>2878</v>
      </c>
      <c r="P934" s="128" t="s">
        <v>2880</v>
      </c>
    </row>
    <row r="935" spans="2:16" ht="60" hidden="1" x14ac:dyDescent="0.25">
      <c r="B935" s="114" t="str">
        <f t="shared" si="77"/>
        <v>2</v>
      </c>
      <c r="C935" s="114" t="str">
        <f t="shared" si="78"/>
        <v>4</v>
      </c>
      <c r="D935" s="114" t="str">
        <f t="shared" si="79"/>
        <v>7</v>
      </c>
      <c r="E935" s="114" t="str">
        <f t="shared" si="80"/>
        <v>0</v>
      </c>
      <c r="F935" s="114" t="str">
        <f t="shared" si="81"/>
        <v>00</v>
      </c>
      <c r="G935" s="114" t="str">
        <f t="shared" si="82"/>
        <v>1</v>
      </c>
      <c r="H935" s="114" t="str">
        <f t="shared" si="83"/>
        <v>0</v>
      </c>
      <c r="I935" s="115">
        <v>24700010</v>
      </c>
      <c r="J935" s="114" t="s">
        <v>4209</v>
      </c>
      <c r="K935" s="114" t="s">
        <v>4696</v>
      </c>
      <c r="L935" s="116"/>
      <c r="M935" s="114" t="s">
        <v>2878</v>
      </c>
      <c r="N935" s="114" t="s">
        <v>2879</v>
      </c>
      <c r="O935" s="114" t="s">
        <v>2878</v>
      </c>
      <c r="P935" s="117" t="s">
        <v>2880</v>
      </c>
    </row>
    <row r="936" spans="2:16" ht="60" x14ac:dyDescent="0.25">
      <c r="B936" s="104" t="str">
        <f t="shared" si="77"/>
        <v>2</v>
      </c>
      <c r="C936" s="104" t="str">
        <f t="shared" si="78"/>
        <v>4</v>
      </c>
      <c r="D936" s="104" t="str">
        <f t="shared" si="79"/>
        <v>7</v>
      </c>
      <c r="E936" s="104" t="str">
        <f t="shared" si="80"/>
        <v>8</v>
      </c>
      <c r="F936" s="104" t="str">
        <f t="shared" si="81"/>
        <v>00</v>
      </c>
      <c r="G936" s="104" t="str">
        <f t="shared" si="82"/>
        <v>0</v>
      </c>
      <c r="H936" s="104" t="str">
        <f t="shared" si="83"/>
        <v>0</v>
      </c>
      <c r="I936" s="105">
        <v>24780000</v>
      </c>
      <c r="J936" s="104" t="s">
        <v>5028</v>
      </c>
      <c r="K936" s="104" t="s">
        <v>5044</v>
      </c>
      <c r="L936" s="106"/>
      <c r="M936" s="104" t="s">
        <v>2878</v>
      </c>
      <c r="N936" s="104"/>
      <c r="O936" s="104" t="s">
        <v>5018</v>
      </c>
      <c r="P936" s="107" t="s">
        <v>2880</v>
      </c>
    </row>
    <row r="937" spans="2:16" ht="30" x14ac:dyDescent="0.25">
      <c r="B937" s="108" t="str">
        <f t="shared" si="77"/>
        <v>2</v>
      </c>
      <c r="C937" s="108" t="str">
        <f t="shared" si="78"/>
        <v>4</v>
      </c>
      <c r="D937" s="108" t="str">
        <f t="shared" si="79"/>
        <v>7</v>
      </c>
      <c r="E937" s="108" t="str">
        <f t="shared" si="80"/>
        <v>8</v>
      </c>
      <c r="F937" s="108" t="str">
        <f t="shared" si="81"/>
        <v>01</v>
      </c>
      <c r="G937" s="108" t="str">
        <f t="shared" si="82"/>
        <v>0</v>
      </c>
      <c r="H937" s="108" t="str">
        <f t="shared" si="83"/>
        <v>0</v>
      </c>
      <c r="I937" s="109">
        <v>24780100</v>
      </c>
      <c r="J937" s="108" t="s">
        <v>4209</v>
      </c>
      <c r="K937" s="108" t="s">
        <v>4984</v>
      </c>
      <c r="L937" s="110"/>
      <c r="M937" s="108" t="s">
        <v>2878</v>
      </c>
      <c r="N937" s="108"/>
      <c r="O937" s="108" t="s">
        <v>2878</v>
      </c>
      <c r="P937" s="111" t="s">
        <v>2880</v>
      </c>
    </row>
    <row r="938" spans="2:16" s="148" customFormat="1" ht="30" x14ac:dyDescent="0.25">
      <c r="B938" s="149" t="str">
        <f t="shared" si="77"/>
        <v>2</v>
      </c>
      <c r="C938" s="149" t="str">
        <f t="shared" si="78"/>
        <v>4</v>
      </c>
      <c r="D938" s="149" t="str">
        <f t="shared" si="79"/>
        <v>7</v>
      </c>
      <c r="E938" s="149" t="str">
        <f t="shared" si="80"/>
        <v>8</v>
      </c>
      <c r="F938" s="149" t="str">
        <f t="shared" si="81"/>
        <v>01</v>
      </c>
      <c r="G938" s="149" t="str">
        <f t="shared" si="82"/>
        <v>1</v>
      </c>
      <c r="H938" s="149" t="str">
        <f t="shared" si="83"/>
        <v>0</v>
      </c>
      <c r="I938" s="144">
        <v>24780110</v>
      </c>
      <c r="J938" s="149" t="s">
        <v>5231</v>
      </c>
      <c r="K938" s="149" t="s">
        <v>5232</v>
      </c>
      <c r="L938" s="150"/>
      <c r="M938" s="149" t="s">
        <v>2878</v>
      </c>
      <c r="N938" s="149"/>
      <c r="O938" s="149" t="s">
        <v>2878</v>
      </c>
      <c r="P938" s="151" t="s">
        <v>2880</v>
      </c>
    </row>
    <row r="939" spans="2:16" s="148" customFormat="1" ht="30" x14ac:dyDescent="0.25">
      <c r="B939" s="149" t="str">
        <f t="shared" si="77"/>
        <v>2</v>
      </c>
      <c r="C939" s="149" t="str">
        <f t="shared" si="78"/>
        <v>4</v>
      </c>
      <c r="D939" s="149" t="str">
        <f t="shared" si="79"/>
        <v>7</v>
      </c>
      <c r="E939" s="149" t="str">
        <f t="shared" si="80"/>
        <v>8</v>
      </c>
      <c r="F939" s="149" t="str">
        <f t="shared" si="81"/>
        <v>01</v>
      </c>
      <c r="G939" s="149" t="str">
        <f t="shared" si="82"/>
        <v>9</v>
      </c>
      <c r="H939" s="149" t="str">
        <f t="shared" si="83"/>
        <v>0</v>
      </c>
      <c r="I939" s="144">
        <v>24780190</v>
      </c>
      <c r="J939" s="149" t="s">
        <v>5230</v>
      </c>
      <c r="K939" s="149" t="s">
        <v>5233</v>
      </c>
      <c r="L939" s="150"/>
      <c r="M939" s="149" t="s">
        <v>2878</v>
      </c>
      <c r="N939" s="149"/>
      <c r="O939" s="149" t="s">
        <v>2878</v>
      </c>
      <c r="P939" s="151" t="s">
        <v>2880</v>
      </c>
    </row>
    <row r="940" spans="2:16" ht="30" hidden="1" x14ac:dyDescent="0.25">
      <c r="B940" s="126" t="str">
        <f t="shared" ref="B940:B960" si="84">MID($I940,1,1)</f>
        <v>2</v>
      </c>
      <c r="C940" s="126" t="str">
        <f t="shared" ref="C940:C960" si="85">MID($I940,2,1)</f>
        <v>4</v>
      </c>
      <c r="D940" s="126" t="str">
        <f t="shared" ref="D940:D960" si="86">MID($I940,3,1)</f>
        <v>8</v>
      </c>
      <c r="E940" s="126" t="str">
        <f t="shared" ref="E940:E960" si="87">MID($I940,4,1)</f>
        <v>0</v>
      </c>
      <c r="F940" s="126" t="str">
        <f t="shared" ref="F940:F960" si="88">MID($I940,5,2)</f>
        <v>00</v>
      </c>
      <c r="G940" s="126" t="str">
        <f t="shared" ref="G940:G960" si="89">MID($I940,7,1)</f>
        <v>0</v>
      </c>
      <c r="H940" s="126" t="str">
        <f t="shared" ref="H940:H960" si="90">MID($I940,8,1)</f>
        <v>0</v>
      </c>
      <c r="I940" s="127">
        <v>24800000</v>
      </c>
      <c r="J940" s="126" t="s">
        <v>4212</v>
      </c>
      <c r="K940" s="126" t="s">
        <v>4697</v>
      </c>
      <c r="L940" s="122"/>
      <c r="M940" s="126" t="s">
        <v>2878</v>
      </c>
      <c r="N940" s="126" t="s">
        <v>5016</v>
      </c>
      <c r="O940" s="126" t="s">
        <v>2878</v>
      </c>
      <c r="P940" s="128" t="s">
        <v>2880</v>
      </c>
    </row>
    <row r="941" spans="2:16" ht="30" hidden="1" x14ac:dyDescent="0.25">
      <c r="B941" s="114" t="str">
        <f t="shared" si="84"/>
        <v>2</v>
      </c>
      <c r="C941" s="114" t="str">
        <f t="shared" si="85"/>
        <v>4</v>
      </c>
      <c r="D941" s="114" t="str">
        <f t="shared" si="86"/>
        <v>8</v>
      </c>
      <c r="E941" s="114" t="str">
        <f t="shared" si="87"/>
        <v>0</v>
      </c>
      <c r="F941" s="114" t="str">
        <f t="shared" si="88"/>
        <v>00</v>
      </c>
      <c r="G941" s="114" t="str">
        <f t="shared" si="89"/>
        <v>1</v>
      </c>
      <c r="H941" s="114" t="str">
        <f t="shared" si="90"/>
        <v>0</v>
      </c>
      <c r="I941" s="115">
        <v>24800010</v>
      </c>
      <c r="J941" s="114" t="s">
        <v>5048</v>
      </c>
      <c r="K941" s="114" t="s">
        <v>4697</v>
      </c>
      <c r="L941" s="116"/>
      <c r="M941" s="114" t="s">
        <v>2878</v>
      </c>
      <c r="N941" s="114" t="s">
        <v>2879</v>
      </c>
      <c r="O941" s="114" t="s">
        <v>2878</v>
      </c>
      <c r="P941" s="117" t="s">
        <v>2880</v>
      </c>
    </row>
    <row r="942" spans="2:16" ht="45" x14ac:dyDescent="0.25">
      <c r="B942" s="104" t="str">
        <f t="shared" si="84"/>
        <v>2</v>
      </c>
      <c r="C942" s="104" t="str">
        <f t="shared" si="85"/>
        <v>4</v>
      </c>
      <c r="D942" s="104" t="str">
        <f t="shared" si="86"/>
        <v>8</v>
      </c>
      <c r="E942" s="104" t="str">
        <f t="shared" si="87"/>
        <v>8</v>
      </c>
      <c r="F942" s="104" t="str">
        <f t="shared" si="88"/>
        <v>00</v>
      </c>
      <c r="G942" s="104" t="str">
        <f t="shared" si="89"/>
        <v>0</v>
      </c>
      <c r="H942" s="104" t="str">
        <f t="shared" si="90"/>
        <v>0</v>
      </c>
      <c r="I942" s="105">
        <v>24880000</v>
      </c>
      <c r="J942" s="104" t="s">
        <v>5029</v>
      </c>
      <c r="K942" s="104" t="s">
        <v>5045</v>
      </c>
      <c r="L942" s="106"/>
      <c r="M942" s="104" t="s">
        <v>2878</v>
      </c>
      <c r="N942" s="104"/>
      <c r="O942" s="104" t="s">
        <v>5018</v>
      </c>
      <c r="P942" s="107" t="s">
        <v>2880</v>
      </c>
    </row>
    <row r="943" spans="2:16" ht="30" x14ac:dyDescent="0.25">
      <c r="B943" s="108" t="str">
        <f t="shared" si="84"/>
        <v>2</v>
      </c>
      <c r="C943" s="108" t="str">
        <f t="shared" si="85"/>
        <v>4</v>
      </c>
      <c r="D943" s="108" t="str">
        <f t="shared" si="86"/>
        <v>8</v>
      </c>
      <c r="E943" s="108" t="str">
        <f t="shared" si="87"/>
        <v>8</v>
      </c>
      <c r="F943" s="108" t="str">
        <f t="shared" si="88"/>
        <v>01</v>
      </c>
      <c r="G943" s="108" t="str">
        <f t="shared" si="89"/>
        <v>0</v>
      </c>
      <c r="H943" s="108" t="str">
        <f t="shared" si="90"/>
        <v>0</v>
      </c>
      <c r="I943" s="109">
        <v>24880100</v>
      </c>
      <c r="J943" s="108" t="s">
        <v>4981</v>
      </c>
      <c r="K943" s="108" t="s">
        <v>4697</v>
      </c>
      <c r="L943" s="110"/>
      <c r="M943" s="108"/>
      <c r="N943" s="108"/>
      <c r="O943" s="108" t="s">
        <v>2878</v>
      </c>
      <c r="P943" s="111" t="s">
        <v>2880</v>
      </c>
    </row>
    <row r="944" spans="2:16" ht="30" x14ac:dyDescent="0.25">
      <c r="B944" s="114" t="str">
        <f t="shared" si="84"/>
        <v>2</v>
      </c>
      <c r="C944" s="114" t="str">
        <f t="shared" si="85"/>
        <v>4</v>
      </c>
      <c r="D944" s="114" t="str">
        <f t="shared" si="86"/>
        <v>8</v>
      </c>
      <c r="E944" s="114" t="str">
        <f t="shared" si="87"/>
        <v>8</v>
      </c>
      <c r="F944" s="114" t="str">
        <f t="shared" si="88"/>
        <v>01</v>
      </c>
      <c r="G944" s="114" t="str">
        <f t="shared" si="89"/>
        <v>1</v>
      </c>
      <c r="H944" s="114" t="str">
        <f t="shared" si="90"/>
        <v>0</v>
      </c>
      <c r="I944" s="115">
        <v>24880110</v>
      </c>
      <c r="J944" s="114" t="s">
        <v>4981</v>
      </c>
      <c r="K944" s="114" t="s">
        <v>4699</v>
      </c>
      <c r="L944" s="116"/>
      <c r="M944" s="114"/>
      <c r="N944" s="114"/>
      <c r="O944" s="114" t="s">
        <v>2878</v>
      </c>
      <c r="P944" s="117" t="s">
        <v>2880</v>
      </c>
    </row>
    <row r="945" spans="2:16" ht="45" hidden="1" x14ac:dyDescent="0.25">
      <c r="B945" s="123" t="str">
        <f t="shared" si="84"/>
        <v>2</v>
      </c>
      <c r="C945" s="123" t="str">
        <f t="shared" si="85"/>
        <v>9</v>
      </c>
      <c r="D945" s="123" t="str">
        <f t="shared" si="86"/>
        <v>0</v>
      </c>
      <c r="E945" s="123" t="str">
        <f t="shared" si="87"/>
        <v>0</v>
      </c>
      <c r="F945" s="123" t="str">
        <f t="shared" si="88"/>
        <v>00</v>
      </c>
      <c r="G945" s="123" t="str">
        <f t="shared" si="89"/>
        <v>0</v>
      </c>
      <c r="H945" s="123" t="str">
        <f t="shared" si="90"/>
        <v>0</v>
      </c>
      <c r="I945" s="124">
        <v>29000000</v>
      </c>
      <c r="J945" s="123" t="s">
        <v>2839</v>
      </c>
      <c r="K945" s="123" t="s">
        <v>4700</v>
      </c>
      <c r="L945" s="103"/>
      <c r="M945" s="123" t="s">
        <v>2878</v>
      </c>
      <c r="N945" s="123" t="s">
        <v>5016</v>
      </c>
      <c r="O945" s="123" t="s">
        <v>2878</v>
      </c>
      <c r="P945" s="125" t="s">
        <v>2880</v>
      </c>
    </row>
    <row r="946" spans="2:16" ht="60" hidden="1" x14ac:dyDescent="0.25">
      <c r="B946" s="126" t="str">
        <f t="shared" si="84"/>
        <v>2</v>
      </c>
      <c r="C946" s="126" t="str">
        <f t="shared" si="85"/>
        <v>9</v>
      </c>
      <c r="D946" s="126" t="str">
        <f t="shared" si="86"/>
        <v>1</v>
      </c>
      <c r="E946" s="126" t="str">
        <f t="shared" si="87"/>
        <v>0</v>
      </c>
      <c r="F946" s="126" t="str">
        <f t="shared" si="88"/>
        <v>00</v>
      </c>
      <c r="G946" s="126" t="str">
        <f t="shared" si="89"/>
        <v>0</v>
      </c>
      <c r="H946" s="126" t="str">
        <f t="shared" si="90"/>
        <v>0</v>
      </c>
      <c r="I946" s="127">
        <v>29100000</v>
      </c>
      <c r="J946" s="126" t="s">
        <v>4701</v>
      </c>
      <c r="K946" s="126" t="s">
        <v>4702</v>
      </c>
      <c r="L946" s="122"/>
      <c r="M946" s="126" t="s">
        <v>2878</v>
      </c>
      <c r="N946" s="126" t="s">
        <v>5016</v>
      </c>
      <c r="O946" s="126" t="s">
        <v>2878</v>
      </c>
      <c r="P946" s="128" t="s">
        <v>2880</v>
      </c>
    </row>
    <row r="947" spans="2:16" ht="60" hidden="1" x14ac:dyDescent="0.25">
      <c r="B947" s="114" t="str">
        <f t="shared" si="84"/>
        <v>2</v>
      </c>
      <c r="C947" s="114" t="str">
        <f t="shared" si="85"/>
        <v>9</v>
      </c>
      <c r="D947" s="114" t="str">
        <f t="shared" si="86"/>
        <v>1</v>
      </c>
      <c r="E947" s="114" t="str">
        <f t="shared" si="87"/>
        <v>0</v>
      </c>
      <c r="F947" s="114" t="str">
        <f t="shared" si="88"/>
        <v>00</v>
      </c>
      <c r="G947" s="114" t="str">
        <f t="shared" si="89"/>
        <v>1</v>
      </c>
      <c r="H947" s="114" t="str">
        <f t="shared" si="90"/>
        <v>0</v>
      </c>
      <c r="I947" s="115">
        <v>29100010</v>
      </c>
      <c r="J947" s="114" t="s">
        <v>4701</v>
      </c>
      <c r="K947" s="114" t="s">
        <v>4702</v>
      </c>
      <c r="L947" s="116"/>
      <c r="M947" s="114" t="s">
        <v>2878</v>
      </c>
      <c r="N947" s="114" t="s">
        <v>2879</v>
      </c>
      <c r="O947" s="114" t="s">
        <v>2878</v>
      </c>
      <c r="P947" s="117" t="s">
        <v>2880</v>
      </c>
    </row>
    <row r="948" spans="2:16" ht="45" hidden="1" x14ac:dyDescent="0.25">
      <c r="B948" s="126" t="str">
        <f t="shared" si="84"/>
        <v>2</v>
      </c>
      <c r="C948" s="126" t="str">
        <f t="shared" si="85"/>
        <v>9</v>
      </c>
      <c r="D948" s="126" t="str">
        <f t="shared" si="86"/>
        <v>2</v>
      </c>
      <c r="E948" s="126" t="str">
        <f t="shared" si="87"/>
        <v>0</v>
      </c>
      <c r="F948" s="126" t="str">
        <f t="shared" si="88"/>
        <v>00</v>
      </c>
      <c r="G948" s="126" t="str">
        <f t="shared" si="89"/>
        <v>0</v>
      </c>
      <c r="H948" s="126" t="str">
        <f t="shared" si="90"/>
        <v>0</v>
      </c>
      <c r="I948" s="127">
        <v>29200000</v>
      </c>
      <c r="J948" s="126" t="s">
        <v>4706</v>
      </c>
      <c r="K948" s="126" t="s">
        <v>4707</v>
      </c>
      <c r="L948" s="122"/>
      <c r="M948" s="126" t="s">
        <v>2878</v>
      </c>
      <c r="N948" s="126" t="s">
        <v>5016</v>
      </c>
      <c r="O948" s="126" t="s">
        <v>2878</v>
      </c>
      <c r="P948" s="128" t="s">
        <v>2880</v>
      </c>
    </row>
    <row r="949" spans="2:16" ht="45" hidden="1" x14ac:dyDescent="0.25">
      <c r="B949" s="114" t="str">
        <f t="shared" si="84"/>
        <v>2</v>
      </c>
      <c r="C949" s="114" t="str">
        <f t="shared" si="85"/>
        <v>9</v>
      </c>
      <c r="D949" s="114" t="str">
        <f t="shared" si="86"/>
        <v>2</v>
      </c>
      <c r="E949" s="114" t="str">
        <f t="shared" si="87"/>
        <v>0</v>
      </c>
      <c r="F949" s="114" t="str">
        <f t="shared" si="88"/>
        <v>00</v>
      </c>
      <c r="G949" s="114" t="str">
        <f t="shared" si="89"/>
        <v>1</v>
      </c>
      <c r="H949" s="114" t="str">
        <f t="shared" si="90"/>
        <v>0</v>
      </c>
      <c r="I949" s="115">
        <v>29200010</v>
      </c>
      <c r="J949" s="114" t="s">
        <v>4708</v>
      </c>
      <c r="K949" s="114" t="s">
        <v>4709</v>
      </c>
      <c r="L949" s="116"/>
      <c r="M949" s="114" t="s">
        <v>2878</v>
      </c>
      <c r="N949" s="114" t="s">
        <v>2879</v>
      </c>
      <c r="O949" s="114" t="s">
        <v>2878</v>
      </c>
      <c r="P949" s="117" t="s">
        <v>2880</v>
      </c>
    </row>
    <row r="950" spans="2:16" ht="45" hidden="1" x14ac:dyDescent="0.25">
      <c r="B950" s="114" t="str">
        <f t="shared" si="84"/>
        <v>2</v>
      </c>
      <c r="C950" s="114" t="str">
        <f t="shared" si="85"/>
        <v>9</v>
      </c>
      <c r="D950" s="114" t="str">
        <f t="shared" si="86"/>
        <v>2</v>
      </c>
      <c r="E950" s="114" t="str">
        <f t="shared" si="87"/>
        <v>0</v>
      </c>
      <c r="F950" s="114" t="str">
        <f t="shared" si="88"/>
        <v>00</v>
      </c>
      <c r="G950" s="114" t="str">
        <f t="shared" si="89"/>
        <v>2</v>
      </c>
      <c r="H950" s="114" t="str">
        <f t="shared" si="90"/>
        <v>0</v>
      </c>
      <c r="I950" s="115">
        <v>29200020</v>
      </c>
      <c r="J950" s="114" t="s">
        <v>4714</v>
      </c>
      <c r="K950" s="114" t="s">
        <v>4715</v>
      </c>
      <c r="L950" s="116"/>
      <c r="M950" s="114" t="s">
        <v>2878</v>
      </c>
      <c r="N950" s="114" t="s">
        <v>2879</v>
      </c>
      <c r="O950" s="114" t="s">
        <v>2878</v>
      </c>
      <c r="P950" s="117" t="s">
        <v>2880</v>
      </c>
    </row>
    <row r="951" spans="2:16" ht="60" hidden="1" x14ac:dyDescent="0.25">
      <c r="B951" s="126" t="str">
        <f t="shared" si="84"/>
        <v>2</v>
      </c>
      <c r="C951" s="126" t="str">
        <f t="shared" si="85"/>
        <v>9</v>
      </c>
      <c r="D951" s="126" t="str">
        <f t="shared" si="86"/>
        <v>3</v>
      </c>
      <c r="E951" s="126" t="str">
        <f t="shared" si="87"/>
        <v>0</v>
      </c>
      <c r="F951" s="126" t="str">
        <f t="shared" si="88"/>
        <v>00</v>
      </c>
      <c r="G951" s="126" t="str">
        <f t="shared" si="89"/>
        <v>0</v>
      </c>
      <c r="H951" s="126" t="str">
        <f t="shared" si="90"/>
        <v>0</v>
      </c>
      <c r="I951" s="127">
        <v>29300000</v>
      </c>
      <c r="J951" s="126" t="s">
        <v>4718</v>
      </c>
      <c r="K951" s="126" t="s">
        <v>4719</v>
      </c>
      <c r="L951" s="122"/>
      <c r="M951" s="126" t="s">
        <v>2878</v>
      </c>
      <c r="N951" s="126" t="s">
        <v>5016</v>
      </c>
      <c r="O951" s="126" t="s">
        <v>2878</v>
      </c>
      <c r="P951" s="128" t="s">
        <v>2880</v>
      </c>
    </row>
    <row r="952" spans="2:16" ht="60" hidden="1" x14ac:dyDescent="0.25">
      <c r="B952" s="114" t="str">
        <f t="shared" si="84"/>
        <v>2</v>
      </c>
      <c r="C952" s="114" t="str">
        <f t="shared" si="85"/>
        <v>9</v>
      </c>
      <c r="D952" s="114" t="str">
        <f t="shared" si="86"/>
        <v>3</v>
      </c>
      <c r="E952" s="114" t="str">
        <f t="shared" si="87"/>
        <v>0</v>
      </c>
      <c r="F952" s="114" t="str">
        <f t="shared" si="88"/>
        <v>00</v>
      </c>
      <c r="G952" s="114" t="str">
        <f t="shared" si="89"/>
        <v>1</v>
      </c>
      <c r="H952" s="114" t="str">
        <f t="shared" si="90"/>
        <v>0</v>
      </c>
      <c r="I952" s="115">
        <v>29300010</v>
      </c>
      <c r="J952" s="114" t="s">
        <v>4718</v>
      </c>
      <c r="K952" s="114" t="s">
        <v>4719</v>
      </c>
      <c r="L952" s="116"/>
      <c r="M952" s="114" t="s">
        <v>2878</v>
      </c>
      <c r="N952" s="114" t="s">
        <v>2879</v>
      </c>
      <c r="O952" s="114" t="s">
        <v>2878</v>
      </c>
      <c r="P952" s="117" t="s">
        <v>2880</v>
      </c>
    </row>
    <row r="953" spans="2:16" ht="30" hidden="1" x14ac:dyDescent="0.25">
      <c r="B953" s="126" t="str">
        <f t="shared" si="84"/>
        <v>2</v>
      </c>
      <c r="C953" s="126" t="str">
        <f t="shared" si="85"/>
        <v>9</v>
      </c>
      <c r="D953" s="126" t="str">
        <f t="shared" si="86"/>
        <v>4</v>
      </c>
      <c r="E953" s="126" t="str">
        <f t="shared" si="87"/>
        <v>0</v>
      </c>
      <c r="F953" s="126" t="str">
        <f t="shared" si="88"/>
        <v>00</v>
      </c>
      <c r="G953" s="126" t="str">
        <f t="shared" si="89"/>
        <v>0</v>
      </c>
      <c r="H953" s="126" t="str">
        <f t="shared" si="90"/>
        <v>0</v>
      </c>
      <c r="I953" s="127">
        <v>29400000</v>
      </c>
      <c r="J953" s="126" t="s">
        <v>4723</v>
      </c>
      <c r="K953" s="126" t="s">
        <v>4724</v>
      </c>
      <c r="L953" s="122"/>
      <c r="M953" s="126" t="s">
        <v>2878</v>
      </c>
      <c r="N953" s="126" t="s">
        <v>5016</v>
      </c>
      <c r="O953" s="126" t="s">
        <v>2878</v>
      </c>
      <c r="P953" s="128" t="s">
        <v>2880</v>
      </c>
    </row>
    <row r="954" spans="2:16" ht="30" hidden="1" x14ac:dyDescent="0.25">
      <c r="B954" s="114" t="str">
        <f t="shared" si="84"/>
        <v>2</v>
      </c>
      <c r="C954" s="114" t="str">
        <f t="shared" si="85"/>
        <v>9</v>
      </c>
      <c r="D954" s="114" t="str">
        <f t="shared" si="86"/>
        <v>4</v>
      </c>
      <c r="E954" s="114" t="str">
        <f t="shared" si="87"/>
        <v>0</v>
      </c>
      <c r="F954" s="114" t="str">
        <f t="shared" si="88"/>
        <v>00</v>
      </c>
      <c r="G954" s="114" t="str">
        <f t="shared" si="89"/>
        <v>1</v>
      </c>
      <c r="H954" s="114" t="str">
        <f t="shared" si="90"/>
        <v>0</v>
      </c>
      <c r="I954" s="115">
        <v>29400010</v>
      </c>
      <c r="J954" s="114" t="s">
        <v>4723</v>
      </c>
      <c r="K954" s="114" t="s">
        <v>4724</v>
      </c>
      <c r="L954" s="116"/>
      <c r="M954" s="114" t="s">
        <v>2878</v>
      </c>
      <c r="N954" s="114" t="s">
        <v>2879</v>
      </c>
      <c r="O954" s="114" t="s">
        <v>2878</v>
      </c>
      <c r="P954" s="117" t="s">
        <v>2880</v>
      </c>
    </row>
    <row r="955" spans="2:16" ht="30" hidden="1" x14ac:dyDescent="0.25">
      <c r="B955" s="126" t="str">
        <f t="shared" si="84"/>
        <v>2</v>
      </c>
      <c r="C955" s="126" t="str">
        <f t="shared" si="85"/>
        <v>9</v>
      </c>
      <c r="D955" s="126" t="str">
        <f t="shared" si="86"/>
        <v>9</v>
      </c>
      <c r="E955" s="126" t="str">
        <f t="shared" si="87"/>
        <v>0</v>
      </c>
      <c r="F955" s="126" t="str">
        <f t="shared" si="88"/>
        <v>00</v>
      </c>
      <c r="G955" s="126" t="str">
        <f t="shared" si="89"/>
        <v>0</v>
      </c>
      <c r="H955" s="126" t="str">
        <f t="shared" si="90"/>
        <v>0</v>
      </c>
      <c r="I955" s="127">
        <v>29900000</v>
      </c>
      <c r="J955" s="126" t="s">
        <v>4728</v>
      </c>
      <c r="K955" s="126" t="s">
        <v>4729</v>
      </c>
      <c r="L955" s="122"/>
      <c r="M955" s="126" t="s">
        <v>2878</v>
      </c>
      <c r="N955" s="126" t="s">
        <v>5016</v>
      </c>
      <c r="O955" s="126" t="s">
        <v>2878</v>
      </c>
      <c r="P955" s="128" t="s">
        <v>2880</v>
      </c>
    </row>
    <row r="956" spans="2:16" ht="30" hidden="1" x14ac:dyDescent="0.25">
      <c r="B956" s="114" t="str">
        <f t="shared" si="84"/>
        <v>2</v>
      </c>
      <c r="C956" s="114" t="str">
        <f t="shared" si="85"/>
        <v>9</v>
      </c>
      <c r="D956" s="114" t="str">
        <f t="shared" si="86"/>
        <v>9</v>
      </c>
      <c r="E956" s="114" t="str">
        <f t="shared" si="87"/>
        <v>0</v>
      </c>
      <c r="F956" s="114" t="str">
        <f t="shared" si="88"/>
        <v>00</v>
      </c>
      <c r="G956" s="114" t="str">
        <f t="shared" si="89"/>
        <v>1</v>
      </c>
      <c r="H956" s="114" t="str">
        <f t="shared" si="90"/>
        <v>0</v>
      </c>
      <c r="I956" s="115">
        <v>29900010</v>
      </c>
      <c r="J956" s="114" t="s">
        <v>4728</v>
      </c>
      <c r="K956" s="114" t="s">
        <v>4729</v>
      </c>
      <c r="L956" s="116"/>
      <c r="M956" s="114" t="s">
        <v>2878</v>
      </c>
      <c r="N956" s="114" t="s">
        <v>2879</v>
      </c>
      <c r="O956" s="114" t="s">
        <v>2878</v>
      </c>
      <c r="P956" s="117" t="s">
        <v>2880</v>
      </c>
    </row>
    <row r="957" spans="2:16" ht="45" x14ac:dyDescent="0.25">
      <c r="B957" s="104" t="str">
        <f t="shared" si="84"/>
        <v>2</v>
      </c>
      <c r="C957" s="104" t="str">
        <f t="shared" si="85"/>
        <v>9</v>
      </c>
      <c r="D957" s="104" t="str">
        <f t="shared" si="86"/>
        <v>9</v>
      </c>
      <c r="E957" s="104" t="str">
        <f t="shared" si="87"/>
        <v>8</v>
      </c>
      <c r="F957" s="104" t="str">
        <f t="shared" si="88"/>
        <v>00</v>
      </c>
      <c r="G957" s="104" t="str">
        <f t="shared" si="89"/>
        <v>0</v>
      </c>
      <c r="H957" s="104" t="str">
        <f t="shared" si="90"/>
        <v>0</v>
      </c>
      <c r="I957" s="105">
        <v>29980000</v>
      </c>
      <c r="J957" s="104" t="s">
        <v>5030</v>
      </c>
      <c r="K957" s="104" t="s">
        <v>4989</v>
      </c>
      <c r="L957" s="106"/>
      <c r="M957" s="104" t="s">
        <v>2878</v>
      </c>
      <c r="N957" s="104"/>
      <c r="O957" s="104" t="s">
        <v>5018</v>
      </c>
      <c r="P957" s="107" t="s">
        <v>2880</v>
      </c>
    </row>
    <row r="958" spans="2:16" ht="45" x14ac:dyDescent="0.25">
      <c r="B958" s="108" t="str">
        <f t="shared" si="84"/>
        <v>2</v>
      </c>
      <c r="C958" s="108" t="str">
        <f t="shared" si="85"/>
        <v>9</v>
      </c>
      <c r="D958" s="108" t="str">
        <f t="shared" si="86"/>
        <v>9</v>
      </c>
      <c r="E958" s="108" t="str">
        <f t="shared" si="87"/>
        <v>8</v>
      </c>
      <c r="F958" s="108" t="str">
        <f t="shared" si="88"/>
        <v>01</v>
      </c>
      <c r="G958" s="108" t="str">
        <f t="shared" si="89"/>
        <v>0</v>
      </c>
      <c r="H958" s="108" t="str">
        <f t="shared" si="90"/>
        <v>0</v>
      </c>
      <c r="I958" s="109">
        <v>29980100</v>
      </c>
      <c r="J958" s="108" t="s">
        <v>4988</v>
      </c>
      <c r="K958" s="108" t="s">
        <v>4989</v>
      </c>
      <c r="L958" s="110"/>
      <c r="M958" s="108" t="s">
        <v>2878</v>
      </c>
      <c r="N958" s="108"/>
      <c r="O958" s="108" t="s">
        <v>2878</v>
      </c>
      <c r="P958" s="111" t="s">
        <v>2880</v>
      </c>
    </row>
    <row r="959" spans="2:16" ht="60" x14ac:dyDescent="0.25">
      <c r="B959" s="114" t="str">
        <f t="shared" si="84"/>
        <v>2</v>
      </c>
      <c r="C959" s="114" t="str">
        <f t="shared" si="85"/>
        <v>9</v>
      </c>
      <c r="D959" s="114" t="str">
        <f t="shared" si="86"/>
        <v>9</v>
      </c>
      <c r="E959" s="114" t="str">
        <f t="shared" si="87"/>
        <v>8</v>
      </c>
      <c r="F959" s="114" t="str">
        <f t="shared" si="88"/>
        <v>01</v>
      </c>
      <c r="G959" s="114" t="str">
        <f t="shared" si="89"/>
        <v>1</v>
      </c>
      <c r="H959" s="114" t="str">
        <f t="shared" si="90"/>
        <v>0</v>
      </c>
      <c r="I959" s="115">
        <v>29980110</v>
      </c>
      <c r="J959" s="114" t="s">
        <v>2861</v>
      </c>
      <c r="K959" s="114" t="s">
        <v>2862</v>
      </c>
      <c r="L959" s="116"/>
      <c r="M959" s="114"/>
      <c r="N959" s="114" t="s">
        <v>2863</v>
      </c>
      <c r="O959" s="114" t="s">
        <v>2878</v>
      </c>
      <c r="P959" s="117" t="s">
        <v>2880</v>
      </c>
    </row>
    <row r="960" spans="2:16" ht="60" hidden="1" x14ac:dyDescent="0.25">
      <c r="B960" s="126" t="str">
        <f t="shared" si="84"/>
        <v>9</v>
      </c>
      <c r="C960" s="126" t="str">
        <f t="shared" si="85"/>
        <v>9</v>
      </c>
      <c r="D960" s="126" t="str">
        <f t="shared" si="86"/>
        <v>9</v>
      </c>
      <c r="E960" s="126" t="str">
        <f t="shared" si="87"/>
        <v>0</v>
      </c>
      <c r="F960" s="126" t="str">
        <f t="shared" si="88"/>
        <v>00</v>
      </c>
      <c r="G960" s="126" t="str">
        <f t="shared" si="89"/>
        <v>0</v>
      </c>
      <c r="H960" s="126" t="str">
        <f t="shared" si="90"/>
        <v>0</v>
      </c>
      <c r="I960" s="127">
        <v>99900000</v>
      </c>
      <c r="J960" s="126" t="s">
        <v>2865</v>
      </c>
      <c r="K960" s="126" t="s">
        <v>2866</v>
      </c>
      <c r="L960" s="122"/>
      <c r="M960" s="126"/>
      <c r="N960" s="126" t="s">
        <v>5016</v>
      </c>
      <c r="O960" s="126"/>
      <c r="P960" s="128" t="s">
        <v>2880</v>
      </c>
    </row>
  </sheetData>
  <autoFilter ref="B2:P960" xr:uid="{00000000-0009-0000-0000-000000000000}">
    <filterColumn colId="3">
      <filters>
        <filter val="8"/>
      </filters>
    </filterColumn>
  </autoFilter>
  <pageMargins left="0.511811024" right="0.511811024" top="0.78740157499999996" bottom="0.78740157499999996" header="0.31496062000000002" footer="0.31496062000000002"/>
  <pageSetup paperSize="9" scale="66" orientation="portrait" verticalDpi="0" r:id="rId1"/>
  <colBreaks count="1" manualBreakCount="1">
    <brk id="10" max="156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C76B-DE47-4128-B24D-F8E0BEE1FEAA}">
  <dimension ref="B1:K272"/>
  <sheetViews>
    <sheetView showGridLines="0" tabSelected="1" topLeftCell="I1" workbookViewId="0">
      <pane xSplit="1" ySplit="2" topLeftCell="J244" activePane="bottomRight" state="frozen"/>
      <selection activeCell="C17" sqref="C17"/>
      <selection pane="topRight" activeCell="C17" sqref="C17"/>
      <selection pane="bottomLeft" activeCell="C17" sqref="C17"/>
      <selection pane="bottomRight" activeCell="J250" sqref="J250"/>
    </sheetView>
  </sheetViews>
  <sheetFormatPr defaultRowHeight="15" x14ac:dyDescent="0.25"/>
  <cols>
    <col min="1" max="1" width="1.7109375" customWidth="1"/>
    <col min="2" max="2" width="5.42578125" bestFit="1" customWidth="1"/>
    <col min="3" max="3" width="4.7109375" bestFit="1" customWidth="1"/>
    <col min="4" max="4" width="4.28515625" bestFit="1" customWidth="1"/>
    <col min="5" max="5" width="5.5703125" bestFit="1" customWidth="1"/>
    <col min="6" max="6" width="6.85546875" bestFit="1" customWidth="1"/>
    <col min="7" max="7" width="5.5703125" bestFit="1" customWidth="1"/>
    <col min="8" max="8" width="4.28515625" bestFit="1" customWidth="1"/>
    <col min="9" max="9" width="12.42578125" bestFit="1" customWidth="1"/>
    <col min="10" max="10" width="65" customWidth="1"/>
    <col min="11" max="11" width="140.42578125" customWidth="1"/>
    <col min="13" max="13" width="11.140625" bestFit="1" customWidth="1"/>
    <col min="14" max="14" width="23.7109375" customWidth="1"/>
    <col min="15" max="15" width="31.42578125" customWidth="1"/>
  </cols>
  <sheetData>
    <row r="1" spans="2:11" ht="4.5" customHeight="1" thickBot="1" x14ac:dyDescent="0.3"/>
    <row r="2" spans="2:11" ht="29.25" customHeight="1" thickBot="1" x14ac:dyDescent="0.3">
      <c r="B2" s="131" t="s">
        <v>2868</v>
      </c>
      <c r="C2" s="132" t="s">
        <v>2869</v>
      </c>
      <c r="D2" s="132" t="s">
        <v>494</v>
      </c>
      <c r="E2" s="132" t="s">
        <v>2870</v>
      </c>
      <c r="F2" s="132" t="s">
        <v>2871</v>
      </c>
      <c r="G2" s="132" t="s">
        <v>2872</v>
      </c>
      <c r="H2" s="132" t="s">
        <v>2873</v>
      </c>
      <c r="I2" s="133" t="s">
        <v>2874</v>
      </c>
      <c r="J2" s="132" t="s">
        <v>7</v>
      </c>
      <c r="K2" s="134" t="s">
        <v>5146</v>
      </c>
    </row>
    <row r="3" spans="2:11" s="182" customFormat="1" ht="29.25" customHeight="1" x14ac:dyDescent="0.25">
      <c r="B3" s="183"/>
      <c r="C3" s="184"/>
      <c r="D3" s="184"/>
      <c r="E3" s="184"/>
      <c r="F3" s="184"/>
      <c r="G3" s="184"/>
      <c r="H3" s="184"/>
      <c r="I3" s="185"/>
      <c r="J3" s="184" t="s">
        <v>5327</v>
      </c>
      <c r="K3" s="184"/>
    </row>
    <row r="4" spans="2:11" s="160" customFormat="1" ht="29.25" customHeight="1" x14ac:dyDescent="0.25">
      <c r="B4" s="158"/>
      <c r="C4" s="159"/>
      <c r="D4" s="159"/>
      <c r="E4" s="159"/>
      <c r="F4" s="159"/>
      <c r="G4" s="159"/>
      <c r="H4" s="159"/>
      <c r="I4" s="143">
        <v>11220200</v>
      </c>
      <c r="J4" s="156" t="s">
        <v>256</v>
      </c>
      <c r="K4" s="156" t="s">
        <v>5571</v>
      </c>
    </row>
    <row r="5" spans="2:11" s="160" customFormat="1" ht="29.25" customHeight="1" x14ac:dyDescent="0.25">
      <c r="B5" s="158"/>
      <c r="C5" s="159"/>
      <c r="D5" s="159"/>
      <c r="E5" s="159"/>
      <c r="F5" s="159"/>
      <c r="G5" s="159"/>
      <c r="H5" s="159"/>
      <c r="I5" s="144">
        <v>11220210</v>
      </c>
      <c r="J5" s="157" t="s">
        <v>256</v>
      </c>
      <c r="K5" s="157" t="s">
        <v>5571</v>
      </c>
    </row>
    <row r="6" spans="2:11" x14ac:dyDescent="0.25">
      <c r="I6" s="165">
        <v>12110000</v>
      </c>
      <c r="J6" s="164" t="s">
        <v>5244</v>
      </c>
      <c r="K6" s="164" t="s">
        <v>5187</v>
      </c>
    </row>
    <row r="7" spans="2:11" ht="30" x14ac:dyDescent="0.25">
      <c r="I7" s="143">
        <v>12110100</v>
      </c>
      <c r="J7" s="145" t="s">
        <v>5245</v>
      </c>
      <c r="K7" s="145" t="s">
        <v>5187</v>
      </c>
    </row>
    <row r="8" spans="2:11" ht="30" x14ac:dyDescent="0.25">
      <c r="I8" s="144">
        <v>12110110</v>
      </c>
      <c r="J8" s="149" t="s">
        <v>5245</v>
      </c>
      <c r="K8" s="149" t="s">
        <v>5187</v>
      </c>
    </row>
    <row r="9" spans="2:11" ht="30" x14ac:dyDescent="0.25">
      <c r="I9" s="143">
        <v>12110200</v>
      </c>
      <c r="J9" s="145" t="s">
        <v>5246</v>
      </c>
      <c r="K9" s="145" t="s">
        <v>5187</v>
      </c>
    </row>
    <row r="10" spans="2:11" ht="30" x14ac:dyDescent="0.25">
      <c r="I10" s="144">
        <v>12110210</v>
      </c>
      <c r="J10" s="149" t="s">
        <v>5246</v>
      </c>
      <c r="K10" s="149" t="s">
        <v>5187</v>
      </c>
    </row>
    <row r="11" spans="2:11" ht="30" x14ac:dyDescent="0.25">
      <c r="I11" s="143">
        <v>12114900</v>
      </c>
      <c r="J11" s="145" t="s">
        <v>5247</v>
      </c>
      <c r="K11" s="145" t="s">
        <v>5187</v>
      </c>
    </row>
    <row r="12" spans="2:11" ht="30" x14ac:dyDescent="0.25">
      <c r="I12" s="144">
        <v>12114910</v>
      </c>
      <c r="J12" s="149" t="s">
        <v>5247</v>
      </c>
      <c r="K12" s="149" t="s">
        <v>5187</v>
      </c>
    </row>
    <row r="13" spans="2:11" ht="30" x14ac:dyDescent="0.25">
      <c r="I13" s="165">
        <v>12120000</v>
      </c>
      <c r="J13" s="164" t="s">
        <v>5248</v>
      </c>
      <c r="K13" s="164" t="s">
        <v>5187</v>
      </c>
    </row>
    <row r="14" spans="2:11" x14ac:dyDescent="0.25">
      <c r="I14" s="143">
        <v>12120100</v>
      </c>
      <c r="J14" s="145" t="s">
        <v>5249</v>
      </c>
      <c r="K14" s="145" t="s">
        <v>5187</v>
      </c>
    </row>
    <row r="15" spans="2:11" x14ac:dyDescent="0.25">
      <c r="I15" s="144">
        <v>12120110</v>
      </c>
      <c r="J15" s="149" t="s">
        <v>5249</v>
      </c>
      <c r="K15" s="149" t="s">
        <v>5187</v>
      </c>
    </row>
    <row r="16" spans="2:11" x14ac:dyDescent="0.25">
      <c r="I16" s="143">
        <v>12120200</v>
      </c>
      <c r="J16" s="145" t="s">
        <v>5250</v>
      </c>
      <c r="K16" s="145" t="s">
        <v>5187</v>
      </c>
    </row>
    <row r="17" spans="9:11" x14ac:dyDescent="0.25">
      <c r="I17" s="144">
        <v>12120210</v>
      </c>
      <c r="J17" s="149" t="s">
        <v>5250</v>
      </c>
      <c r="K17" s="149" t="s">
        <v>5187</v>
      </c>
    </row>
    <row r="18" spans="9:11" ht="30" x14ac:dyDescent="0.25">
      <c r="I18" s="143">
        <v>12120300</v>
      </c>
      <c r="J18" s="145" t="s">
        <v>5251</v>
      </c>
      <c r="K18" s="145" t="s">
        <v>5187</v>
      </c>
    </row>
    <row r="19" spans="9:11" ht="30" x14ac:dyDescent="0.25">
      <c r="I19" s="144">
        <v>12120310</v>
      </c>
      <c r="J19" s="149" t="s">
        <v>5251</v>
      </c>
      <c r="K19" s="149" t="s">
        <v>5187</v>
      </c>
    </row>
    <row r="20" spans="9:11" ht="30" x14ac:dyDescent="0.25">
      <c r="I20" s="143">
        <v>12120400</v>
      </c>
      <c r="J20" s="145" t="s">
        <v>5252</v>
      </c>
      <c r="K20" s="145" t="s">
        <v>5187</v>
      </c>
    </row>
    <row r="21" spans="9:11" ht="30" x14ac:dyDescent="0.25">
      <c r="I21" s="144">
        <v>12120410</v>
      </c>
      <c r="J21" s="149" t="s">
        <v>5252</v>
      </c>
      <c r="K21" s="149" t="s">
        <v>5187</v>
      </c>
    </row>
    <row r="22" spans="9:11" ht="30" x14ac:dyDescent="0.25">
      <c r="I22" s="143">
        <v>12120500</v>
      </c>
      <c r="J22" s="145" t="s">
        <v>5253</v>
      </c>
      <c r="K22" s="145" t="s">
        <v>5187</v>
      </c>
    </row>
    <row r="23" spans="9:11" ht="30" x14ac:dyDescent="0.25">
      <c r="I23" s="144">
        <v>12120510</v>
      </c>
      <c r="J23" s="149" t="s">
        <v>5253</v>
      </c>
      <c r="K23" s="149" t="s">
        <v>5187</v>
      </c>
    </row>
    <row r="24" spans="9:11" ht="45" x14ac:dyDescent="0.25">
      <c r="I24" s="143">
        <v>12120600</v>
      </c>
      <c r="J24" s="145" t="s">
        <v>5254</v>
      </c>
      <c r="K24" s="145" t="s">
        <v>5187</v>
      </c>
    </row>
    <row r="25" spans="9:11" ht="45" x14ac:dyDescent="0.25">
      <c r="I25" s="144">
        <v>12120610</v>
      </c>
      <c r="J25" s="149" t="s">
        <v>5254</v>
      </c>
      <c r="K25" s="149" t="s">
        <v>5187</v>
      </c>
    </row>
    <row r="26" spans="9:11" ht="30" x14ac:dyDescent="0.25">
      <c r="I26" s="143">
        <v>12120700</v>
      </c>
      <c r="J26" s="145" t="s">
        <v>5255</v>
      </c>
      <c r="K26" s="145" t="s">
        <v>5187</v>
      </c>
    </row>
    <row r="27" spans="9:11" ht="30" x14ac:dyDescent="0.25">
      <c r="I27" s="144">
        <v>12120710</v>
      </c>
      <c r="J27" s="149" t="s">
        <v>5255</v>
      </c>
      <c r="K27" s="149" t="s">
        <v>5187</v>
      </c>
    </row>
    <row r="28" spans="9:11" ht="30" x14ac:dyDescent="0.25">
      <c r="I28" s="143">
        <v>12120800</v>
      </c>
      <c r="J28" s="145" t="s">
        <v>5256</v>
      </c>
      <c r="K28" s="145" t="s">
        <v>5187</v>
      </c>
    </row>
    <row r="29" spans="9:11" ht="30" x14ac:dyDescent="0.25">
      <c r="I29" s="144">
        <v>12120810</v>
      </c>
      <c r="J29" s="149" t="s">
        <v>5256</v>
      </c>
      <c r="K29" s="149" t="s">
        <v>5187</v>
      </c>
    </row>
    <row r="30" spans="9:11" ht="30" x14ac:dyDescent="0.25">
      <c r="I30" s="143">
        <v>12120900</v>
      </c>
      <c r="J30" s="145" t="s">
        <v>5257</v>
      </c>
      <c r="K30" s="145" t="s">
        <v>5187</v>
      </c>
    </row>
    <row r="31" spans="9:11" ht="30" x14ac:dyDescent="0.25">
      <c r="I31" s="144">
        <v>12120910</v>
      </c>
      <c r="J31" s="149" t="s">
        <v>5257</v>
      </c>
      <c r="K31" s="149" t="s">
        <v>5187</v>
      </c>
    </row>
    <row r="32" spans="9:11" ht="30" x14ac:dyDescent="0.25">
      <c r="I32" s="143">
        <v>12121000</v>
      </c>
      <c r="J32" s="145" t="s">
        <v>5258</v>
      </c>
      <c r="K32" s="145" t="s">
        <v>5187</v>
      </c>
    </row>
    <row r="33" spans="9:11" ht="30" x14ac:dyDescent="0.25">
      <c r="I33" s="144">
        <v>12121010</v>
      </c>
      <c r="J33" s="149" t="s">
        <v>5258</v>
      </c>
      <c r="K33" s="149" t="s">
        <v>5187</v>
      </c>
    </row>
    <row r="34" spans="9:11" ht="30" x14ac:dyDescent="0.25">
      <c r="I34" s="143">
        <v>12121100</v>
      </c>
      <c r="J34" s="145" t="s">
        <v>5259</v>
      </c>
      <c r="K34" s="145" t="s">
        <v>5187</v>
      </c>
    </row>
    <row r="35" spans="9:11" ht="30" x14ac:dyDescent="0.25">
      <c r="I35" s="144">
        <v>12121110</v>
      </c>
      <c r="J35" s="149" t="s">
        <v>5259</v>
      </c>
      <c r="K35" s="149" t="s">
        <v>5187</v>
      </c>
    </row>
    <row r="36" spans="9:11" ht="45" x14ac:dyDescent="0.25">
      <c r="I36" s="143">
        <v>12121200</v>
      </c>
      <c r="J36" s="145" t="s">
        <v>5260</v>
      </c>
      <c r="K36" s="145" t="s">
        <v>5187</v>
      </c>
    </row>
    <row r="37" spans="9:11" ht="45" x14ac:dyDescent="0.25">
      <c r="I37" s="144">
        <v>12121210</v>
      </c>
      <c r="J37" s="149" t="s">
        <v>5260</v>
      </c>
      <c r="K37" s="149" t="s">
        <v>5187</v>
      </c>
    </row>
    <row r="38" spans="9:11" x14ac:dyDescent="0.25">
      <c r="I38" s="143">
        <v>12124900</v>
      </c>
      <c r="J38" s="145" t="s">
        <v>5261</v>
      </c>
      <c r="K38" s="145" t="s">
        <v>5187</v>
      </c>
    </row>
    <row r="39" spans="9:11" x14ac:dyDescent="0.25">
      <c r="I39" s="144">
        <v>12124910</v>
      </c>
      <c r="J39" s="149" t="s">
        <v>5261</v>
      </c>
      <c r="K39" s="149" t="s">
        <v>5187</v>
      </c>
    </row>
    <row r="40" spans="9:11" x14ac:dyDescent="0.25">
      <c r="I40" s="165">
        <v>12130000</v>
      </c>
      <c r="J40" s="164" t="s">
        <v>3116</v>
      </c>
      <c r="K40" s="164" t="s">
        <v>5187</v>
      </c>
    </row>
    <row r="41" spans="9:11" x14ac:dyDescent="0.25">
      <c r="I41" s="143">
        <v>12130100</v>
      </c>
      <c r="J41" s="145" t="s">
        <v>5262</v>
      </c>
      <c r="K41" s="145" t="s">
        <v>5187</v>
      </c>
    </row>
    <row r="42" spans="9:11" x14ac:dyDescent="0.25">
      <c r="I42" s="144">
        <v>12130110</v>
      </c>
      <c r="J42" s="149" t="s">
        <v>5262</v>
      </c>
      <c r="K42" s="149" t="s">
        <v>5187</v>
      </c>
    </row>
    <row r="43" spans="9:11" ht="30" x14ac:dyDescent="0.25">
      <c r="I43" s="143">
        <v>12130200</v>
      </c>
      <c r="J43" s="145" t="s">
        <v>5263</v>
      </c>
      <c r="K43" s="145" t="s">
        <v>5187</v>
      </c>
    </row>
    <row r="44" spans="9:11" ht="30" x14ac:dyDescent="0.25">
      <c r="I44" s="144">
        <v>12130210</v>
      </c>
      <c r="J44" s="149" t="s">
        <v>5263</v>
      </c>
      <c r="K44" s="149" t="s">
        <v>5187</v>
      </c>
    </row>
    <row r="45" spans="9:11" ht="30" x14ac:dyDescent="0.25">
      <c r="I45" s="143">
        <v>12130300</v>
      </c>
      <c r="J45" s="145" t="s">
        <v>5264</v>
      </c>
      <c r="K45" s="145" t="s">
        <v>5187</v>
      </c>
    </row>
    <row r="46" spans="9:11" ht="30" x14ac:dyDescent="0.25">
      <c r="I46" s="144">
        <v>12130310</v>
      </c>
      <c r="J46" s="149" t="s">
        <v>5264</v>
      </c>
      <c r="K46" s="149" t="s">
        <v>5187</v>
      </c>
    </row>
    <row r="47" spans="9:11" x14ac:dyDescent="0.25">
      <c r="I47" s="143">
        <v>12134900</v>
      </c>
      <c r="J47" s="145" t="s">
        <v>5265</v>
      </c>
      <c r="K47" s="145" t="s">
        <v>5187</v>
      </c>
    </row>
    <row r="48" spans="9:11" x14ac:dyDescent="0.25">
      <c r="I48" s="144">
        <v>12134910</v>
      </c>
      <c r="J48" s="149" t="s">
        <v>5265</v>
      </c>
      <c r="K48" s="149" t="s">
        <v>5187</v>
      </c>
    </row>
    <row r="49" spans="9:11" x14ac:dyDescent="0.25">
      <c r="I49" s="143">
        <v>12139900</v>
      </c>
      <c r="J49" s="145" t="s">
        <v>5266</v>
      </c>
      <c r="K49" s="145" t="s">
        <v>5187</v>
      </c>
    </row>
    <row r="50" spans="9:11" x14ac:dyDescent="0.25">
      <c r="I50" s="144">
        <v>12139910</v>
      </c>
      <c r="J50" s="149" t="s">
        <v>5266</v>
      </c>
      <c r="K50" s="149" t="s">
        <v>5187</v>
      </c>
    </row>
    <row r="51" spans="9:11" x14ac:dyDescent="0.25">
      <c r="I51" s="165">
        <v>12140000</v>
      </c>
      <c r="J51" s="164" t="s">
        <v>3125</v>
      </c>
      <c r="K51" s="164" t="s">
        <v>5187</v>
      </c>
    </row>
    <row r="52" spans="9:11" x14ac:dyDescent="0.25">
      <c r="I52" s="143">
        <v>12140100</v>
      </c>
      <c r="J52" s="145" t="s">
        <v>5267</v>
      </c>
      <c r="K52" s="145" t="s">
        <v>5187</v>
      </c>
    </row>
    <row r="53" spans="9:11" x14ac:dyDescent="0.25">
      <c r="I53" s="144">
        <v>12140110</v>
      </c>
      <c r="J53" s="149" t="s">
        <v>5267</v>
      </c>
      <c r="K53" s="149" t="s">
        <v>5187</v>
      </c>
    </row>
    <row r="54" spans="9:11" x14ac:dyDescent="0.25">
      <c r="I54" s="143">
        <v>12140200</v>
      </c>
      <c r="J54" s="145" t="s">
        <v>5268</v>
      </c>
      <c r="K54" s="145" t="s">
        <v>5187</v>
      </c>
    </row>
    <row r="55" spans="9:11" x14ac:dyDescent="0.25">
      <c r="I55" s="144">
        <v>12140210</v>
      </c>
      <c r="J55" s="149" t="s">
        <v>5268</v>
      </c>
      <c r="K55" s="149" t="s">
        <v>5187</v>
      </c>
    </row>
    <row r="56" spans="9:11" x14ac:dyDescent="0.25">
      <c r="I56" s="143">
        <v>12140300</v>
      </c>
      <c r="J56" s="145" t="s">
        <v>5269</v>
      </c>
      <c r="K56" s="145" t="s">
        <v>5187</v>
      </c>
    </row>
    <row r="57" spans="9:11" x14ac:dyDescent="0.25">
      <c r="I57" s="144">
        <v>12140310</v>
      </c>
      <c r="J57" s="149" t="s">
        <v>5270</v>
      </c>
      <c r="K57" s="149" t="s">
        <v>5187</v>
      </c>
    </row>
    <row r="58" spans="9:11" x14ac:dyDescent="0.25">
      <c r="I58" s="144">
        <v>12140320</v>
      </c>
      <c r="J58" s="149" t="s">
        <v>5271</v>
      </c>
      <c r="K58" s="149" t="s">
        <v>5187</v>
      </c>
    </row>
    <row r="59" spans="9:11" x14ac:dyDescent="0.25">
      <c r="I59" s="144">
        <v>12140330</v>
      </c>
      <c r="J59" s="149" t="s">
        <v>5272</v>
      </c>
      <c r="K59" s="149" t="s">
        <v>5187</v>
      </c>
    </row>
    <row r="60" spans="9:11" x14ac:dyDescent="0.25">
      <c r="I60" s="144">
        <v>12140340</v>
      </c>
      <c r="J60" s="149" t="s">
        <v>5273</v>
      </c>
      <c r="K60" s="149" t="s">
        <v>5187</v>
      </c>
    </row>
    <row r="61" spans="9:11" x14ac:dyDescent="0.25">
      <c r="I61" s="144">
        <v>12140350</v>
      </c>
      <c r="J61" s="149" t="s">
        <v>5274</v>
      </c>
      <c r="K61" s="149" t="s">
        <v>5187</v>
      </c>
    </row>
    <row r="62" spans="9:11" x14ac:dyDescent="0.25">
      <c r="I62" s="143">
        <v>12140400</v>
      </c>
      <c r="J62" s="145" t="s">
        <v>5275</v>
      </c>
      <c r="K62" s="145" t="s">
        <v>5187</v>
      </c>
    </row>
    <row r="63" spans="9:11" x14ac:dyDescent="0.25">
      <c r="I63" s="144">
        <v>12140410</v>
      </c>
      <c r="J63" s="149" t="s">
        <v>5275</v>
      </c>
      <c r="K63" s="149" t="s">
        <v>5187</v>
      </c>
    </row>
    <row r="64" spans="9:11" ht="30" x14ac:dyDescent="0.25">
      <c r="I64" s="143">
        <v>12144900</v>
      </c>
      <c r="J64" s="145" t="s">
        <v>5276</v>
      </c>
      <c r="K64" s="145" t="s">
        <v>5187</v>
      </c>
    </row>
    <row r="65" spans="9:11" ht="30" x14ac:dyDescent="0.25">
      <c r="I65" s="144">
        <v>12144910</v>
      </c>
      <c r="J65" s="149" t="s">
        <v>5276</v>
      </c>
      <c r="K65" s="149" t="s">
        <v>5187</v>
      </c>
    </row>
    <row r="66" spans="9:11" ht="30" x14ac:dyDescent="0.25">
      <c r="I66" s="165">
        <v>12150000</v>
      </c>
      <c r="J66" s="164" t="s">
        <v>5277</v>
      </c>
      <c r="K66" s="164" t="s">
        <v>5187</v>
      </c>
    </row>
    <row r="67" spans="9:11" x14ac:dyDescent="0.25">
      <c r="I67" s="143">
        <v>12150100</v>
      </c>
      <c r="J67" s="145" t="s">
        <v>5280</v>
      </c>
      <c r="K67" s="145" t="s">
        <v>5187</v>
      </c>
    </row>
    <row r="68" spans="9:11" x14ac:dyDescent="0.25">
      <c r="I68" s="144">
        <v>12150110</v>
      </c>
      <c r="J68" s="149" t="s">
        <v>5281</v>
      </c>
      <c r="K68" s="149" t="s">
        <v>5187</v>
      </c>
    </row>
    <row r="69" spans="9:11" x14ac:dyDescent="0.25">
      <c r="I69" s="144">
        <v>12150120</v>
      </c>
      <c r="J69" s="149" t="s">
        <v>5282</v>
      </c>
      <c r="K69" s="149" t="s">
        <v>5187</v>
      </c>
    </row>
    <row r="70" spans="9:11" x14ac:dyDescent="0.25">
      <c r="I70" s="144">
        <v>12150130</v>
      </c>
      <c r="J70" s="149" t="s">
        <v>5283</v>
      </c>
      <c r="K70" s="149" t="s">
        <v>5187</v>
      </c>
    </row>
    <row r="71" spans="9:11" x14ac:dyDescent="0.25">
      <c r="I71" s="144">
        <v>12150140</v>
      </c>
      <c r="J71" s="149" t="s">
        <v>5284</v>
      </c>
      <c r="K71" s="149" t="s">
        <v>5187</v>
      </c>
    </row>
    <row r="72" spans="9:11" x14ac:dyDescent="0.25">
      <c r="I72" s="144">
        <v>12150150</v>
      </c>
      <c r="J72" s="149" t="s">
        <v>5285</v>
      </c>
      <c r="K72" s="149" t="s">
        <v>5187</v>
      </c>
    </row>
    <row r="73" spans="9:11" x14ac:dyDescent="0.25">
      <c r="I73" s="144">
        <v>12150160</v>
      </c>
      <c r="J73" s="149" t="s">
        <v>5286</v>
      </c>
      <c r="K73" s="149" t="s">
        <v>5187</v>
      </c>
    </row>
    <row r="74" spans="9:11" x14ac:dyDescent="0.25">
      <c r="I74" s="143">
        <v>12150200</v>
      </c>
      <c r="J74" s="145" t="s">
        <v>5287</v>
      </c>
      <c r="K74" s="145" t="s">
        <v>5187</v>
      </c>
    </row>
    <row r="75" spans="9:11" x14ac:dyDescent="0.25">
      <c r="I75" s="144">
        <v>12150210</v>
      </c>
      <c r="J75" s="149" t="s">
        <v>5288</v>
      </c>
      <c r="K75" s="149" t="s">
        <v>5187</v>
      </c>
    </row>
    <row r="76" spans="9:11" x14ac:dyDescent="0.25">
      <c r="I76" s="144">
        <v>12150220</v>
      </c>
      <c r="J76" s="149" t="s">
        <v>5289</v>
      </c>
      <c r="K76" s="149" t="s">
        <v>5187</v>
      </c>
    </row>
    <row r="77" spans="9:11" x14ac:dyDescent="0.25">
      <c r="I77" s="143">
        <v>12150300</v>
      </c>
      <c r="J77" s="145" t="s">
        <v>5290</v>
      </c>
      <c r="K77" s="145" t="s">
        <v>5187</v>
      </c>
    </row>
    <row r="78" spans="9:11" x14ac:dyDescent="0.25">
      <c r="I78" s="144">
        <v>12150310</v>
      </c>
      <c r="J78" s="149" t="s">
        <v>5290</v>
      </c>
      <c r="K78" s="149" t="s">
        <v>5187</v>
      </c>
    </row>
    <row r="79" spans="9:11" x14ac:dyDescent="0.25">
      <c r="I79" s="165">
        <v>12160000</v>
      </c>
      <c r="J79" s="164" t="s">
        <v>5291</v>
      </c>
      <c r="K79" s="164" t="s">
        <v>5187</v>
      </c>
    </row>
    <row r="80" spans="9:11" x14ac:dyDescent="0.25">
      <c r="I80" s="143">
        <v>12160100</v>
      </c>
      <c r="J80" s="145" t="s">
        <v>5292</v>
      </c>
      <c r="K80" s="145" t="s">
        <v>5187</v>
      </c>
    </row>
    <row r="81" spans="9:11" x14ac:dyDescent="0.25">
      <c r="I81" s="144">
        <v>12160110</v>
      </c>
      <c r="J81" s="149" t="s">
        <v>5292</v>
      </c>
      <c r="K81" s="149" t="s">
        <v>5187</v>
      </c>
    </row>
    <row r="82" spans="9:11" ht="30" x14ac:dyDescent="0.25">
      <c r="I82" s="144">
        <v>12160120</v>
      </c>
      <c r="J82" s="149" t="s">
        <v>5293</v>
      </c>
      <c r="K82" s="149" t="s">
        <v>5187</v>
      </c>
    </row>
    <row r="83" spans="9:11" x14ac:dyDescent="0.25">
      <c r="I83" s="143">
        <v>12160200</v>
      </c>
      <c r="J83" s="145" t="s">
        <v>5294</v>
      </c>
      <c r="K83" s="145" t="s">
        <v>5187</v>
      </c>
    </row>
    <row r="84" spans="9:11" x14ac:dyDescent="0.25">
      <c r="I84" s="144">
        <v>12160210</v>
      </c>
      <c r="J84" s="149" t="s">
        <v>5294</v>
      </c>
      <c r="K84" s="149" t="s">
        <v>5187</v>
      </c>
    </row>
    <row r="85" spans="9:11" ht="30" x14ac:dyDescent="0.25">
      <c r="I85" s="144">
        <v>12160220</v>
      </c>
      <c r="J85" s="149" t="s">
        <v>5295</v>
      </c>
      <c r="K85" s="149" t="s">
        <v>5187</v>
      </c>
    </row>
    <row r="86" spans="9:11" x14ac:dyDescent="0.25">
      <c r="I86" s="143">
        <v>12160300</v>
      </c>
      <c r="J86" s="145" t="s">
        <v>5296</v>
      </c>
      <c r="K86" s="145" t="s">
        <v>5187</v>
      </c>
    </row>
    <row r="87" spans="9:11" x14ac:dyDescent="0.25">
      <c r="I87" s="144">
        <v>12160310</v>
      </c>
      <c r="J87" s="149" t="s">
        <v>5296</v>
      </c>
      <c r="K87" s="149" t="s">
        <v>5187</v>
      </c>
    </row>
    <row r="88" spans="9:11" ht="30" x14ac:dyDescent="0.25">
      <c r="I88" s="144">
        <v>12160320</v>
      </c>
      <c r="J88" s="149" t="s">
        <v>5297</v>
      </c>
      <c r="K88" s="149" t="s">
        <v>5187</v>
      </c>
    </row>
    <row r="89" spans="9:11" x14ac:dyDescent="0.25">
      <c r="I89" s="143">
        <v>12160400</v>
      </c>
      <c r="J89" s="145" t="s">
        <v>5298</v>
      </c>
      <c r="K89" s="145" t="s">
        <v>5187</v>
      </c>
    </row>
    <row r="90" spans="9:11" x14ac:dyDescent="0.25">
      <c r="I90" s="144">
        <v>12160410</v>
      </c>
      <c r="J90" s="149" t="s">
        <v>5298</v>
      </c>
      <c r="K90" s="149" t="s">
        <v>5187</v>
      </c>
    </row>
    <row r="91" spans="9:11" ht="30" x14ac:dyDescent="0.25">
      <c r="I91" s="144">
        <v>12160420</v>
      </c>
      <c r="J91" s="149" t="s">
        <v>5299</v>
      </c>
      <c r="K91" s="149" t="s">
        <v>5187</v>
      </c>
    </row>
    <row r="92" spans="9:11" x14ac:dyDescent="0.25">
      <c r="I92" s="165">
        <v>12170000</v>
      </c>
      <c r="J92" s="164" t="s">
        <v>3179</v>
      </c>
      <c r="K92" s="164" t="s">
        <v>5187</v>
      </c>
    </row>
    <row r="93" spans="9:11" x14ac:dyDescent="0.25">
      <c r="I93" s="143">
        <v>12170100</v>
      </c>
      <c r="J93" s="145" t="s">
        <v>3181</v>
      </c>
      <c r="K93" s="145" t="s">
        <v>5187</v>
      </c>
    </row>
    <row r="94" spans="9:11" x14ac:dyDescent="0.25">
      <c r="I94" s="144">
        <v>12170110</v>
      </c>
      <c r="J94" s="149" t="s">
        <v>3181</v>
      </c>
      <c r="K94" s="149" t="s">
        <v>5187</v>
      </c>
    </row>
    <row r="95" spans="9:11" x14ac:dyDescent="0.25">
      <c r="I95" s="144">
        <v>12170120</v>
      </c>
      <c r="J95" s="149" t="s">
        <v>5300</v>
      </c>
      <c r="K95" s="149" t="s">
        <v>5187</v>
      </c>
    </row>
    <row r="96" spans="9:11" x14ac:dyDescent="0.25">
      <c r="I96" s="143">
        <v>12170200</v>
      </c>
      <c r="J96" s="145" t="s">
        <v>3190</v>
      </c>
      <c r="K96" s="145" t="s">
        <v>5187</v>
      </c>
    </row>
    <row r="97" spans="9:11" x14ac:dyDescent="0.25">
      <c r="I97" s="144">
        <v>12170210</v>
      </c>
      <c r="J97" s="149" t="s">
        <v>3190</v>
      </c>
      <c r="K97" s="149" t="s">
        <v>5187</v>
      </c>
    </row>
    <row r="98" spans="9:11" x14ac:dyDescent="0.25">
      <c r="I98" s="144">
        <v>12170220</v>
      </c>
      <c r="J98" s="149" t="s">
        <v>5301</v>
      </c>
      <c r="K98" s="149" t="s">
        <v>5187</v>
      </c>
    </row>
    <row r="99" spans="9:11" x14ac:dyDescent="0.25">
      <c r="I99" s="143">
        <v>12170300</v>
      </c>
      <c r="J99" s="145" t="s">
        <v>3199</v>
      </c>
      <c r="K99" s="145" t="s">
        <v>5187</v>
      </c>
    </row>
    <row r="100" spans="9:11" x14ac:dyDescent="0.25">
      <c r="I100" s="144">
        <v>12170310</v>
      </c>
      <c r="J100" s="149" t="s">
        <v>3199</v>
      </c>
      <c r="K100" s="149" t="s">
        <v>5187</v>
      </c>
    </row>
    <row r="101" spans="9:11" ht="30" x14ac:dyDescent="0.25">
      <c r="I101" s="144">
        <v>12170320</v>
      </c>
      <c r="J101" s="149" t="s">
        <v>5302</v>
      </c>
      <c r="K101" s="149" t="s">
        <v>5187</v>
      </c>
    </row>
    <row r="102" spans="9:11" x14ac:dyDescent="0.25">
      <c r="I102" s="143">
        <v>12170400</v>
      </c>
      <c r="J102" s="145" t="s">
        <v>3207</v>
      </c>
      <c r="K102" s="145" t="s">
        <v>5187</v>
      </c>
    </row>
    <row r="103" spans="9:11" x14ac:dyDescent="0.25">
      <c r="I103" s="144">
        <v>12170410</v>
      </c>
      <c r="J103" s="149" t="s">
        <v>3207</v>
      </c>
      <c r="K103" s="149" t="s">
        <v>5187</v>
      </c>
    </row>
    <row r="104" spans="9:11" x14ac:dyDescent="0.25">
      <c r="I104" s="144">
        <v>12170420</v>
      </c>
      <c r="J104" s="149" t="s">
        <v>5303</v>
      </c>
      <c r="K104" s="149" t="s">
        <v>5187</v>
      </c>
    </row>
    <row r="105" spans="9:11" x14ac:dyDescent="0.25">
      <c r="I105" s="143">
        <v>12170500</v>
      </c>
      <c r="J105" s="145" t="s">
        <v>5304</v>
      </c>
      <c r="K105" s="145" t="s">
        <v>5187</v>
      </c>
    </row>
    <row r="106" spans="9:11" x14ac:dyDescent="0.25">
      <c r="I106" s="144">
        <v>12170510</v>
      </c>
      <c r="J106" s="149" t="s">
        <v>5304</v>
      </c>
      <c r="K106" s="149" t="s">
        <v>5187</v>
      </c>
    </row>
    <row r="107" spans="9:11" x14ac:dyDescent="0.25">
      <c r="I107" s="144">
        <v>12170520</v>
      </c>
      <c r="J107" s="149" t="s">
        <v>5305</v>
      </c>
      <c r="K107" s="149" t="s">
        <v>5187</v>
      </c>
    </row>
    <row r="108" spans="9:11" x14ac:dyDescent="0.25">
      <c r="I108" s="143">
        <v>12170600</v>
      </c>
      <c r="J108" s="145" t="s">
        <v>5306</v>
      </c>
      <c r="K108" s="145" t="s">
        <v>5187</v>
      </c>
    </row>
    <row r="109" spans="9:11" x14ac:dyDescent="0.25">
      <c r="I109" s="144">
        <v>12170610</v>
      </c>
      <c r="J109" s="149" t="s">
        <v>5306</v>
      </c>
      <c r="K109" s="149" t="s">
        <v>5187</v>
      </c>
    </row>
    <row r="110" spans="9:11" ht="30" x14ac:dyDescent="0.25">
      <c r="I110" s="144">
        <v>12170620</v>
      </c>
      <c r="J110" s="149" t="s">
        <v>5307</v>
      </c>
      <c r="K110" s="149" t="s">
        <v>5187</v>
      </c>
    </row>
    <row r="111" spans="9:11" x14ac:dyDescent="0.25">
      <c r="I111" s="165">
        <v>12190000</v>
      </c>
      <c r="J111" s="164" t="s">
        <v>482</v>
      </c>
      <c r="K111" s="164" t="s">
        <v>5187</v>
      </c>
    </row>
    <row r="112" spans="9:11" x14ac:dyDescent="0.25">
      <c r="I112" s="143">
        <v>12190100</v>
      </c>
      <c r="J112" s="145" t="s">
        <v>3233</v>
      </c>
      <c r="K112" s="145" t="s">
        <v>5187</v>
      </c>
    </row>
    <row r="113" spans="2:11" x14ac:dyDescent="0.25">
      <c r="I113" s="144">
        <v>12190110</v>
      </c>
      <c r="J113" s="149" t="s">
        <v>3233</v>
      </c>
      <c r="K113" s="149" t="s">
        <v>5187</v>
      </c>
    </row>
    <row r="114" spans="2:11" ht="30" x14ac:dyDescent="0.25">
      <c r="I114" s="144">
        <v>12190120</v>
      </c>
      <c r="J114" s="149" t="s">
        <v>5308</v>
      </c>
      <c r="K114" s="149" t="s">
        <v>5187</v>
      </c>
    </row>
    <row r="115" spans="2:11" x14ac:dyDescent="0.25">
      <c r="I115" s="143">
        <v>12190200</v>
      </c>
      <c r="J115" s="145" t="s">
        <v>288</v>
      </c>
      <c r="K115" s="145" t="s">
        <v>5187</v>
      </c>
    </row>
    <row r="116" spans="2:11" x14ac:dyDescent="0.25">
      <c r="I116" s="144">
        <v>12190210</v>
      </c>
      <c r="J116" s="149" t="s">
        <v>288</v>
      </c>
      <c r="K116" s="149" t="s">
        <v>5187</v>
      </c>
    </row>
    <row r="117" spans="2:11" x14ac:dyDescent="0.25">
      <c r="I117" s="144">
        <v>12190220</v>
      </c>
      <c r="J117" s="149" t="s">
        <v>5309</v>
      </c>
      <c r="K117" s="149" t="s">
        <v>5187</v>
      </c>
    </row>
    <row r="118" spans="2:11" ht="30" x14ac:dyDescent="0.25">
      <c r="I118" s="143">
        <v>12190300</v>
      </c>
      <c r="J118" s="145" t="s">
        <v>3257</v>
      </c>
      <c r="K118" s="145" t="s">
        <v>5187</v>
      </c>
    </row>
    <row r="119" spans="2:11" x14ac:dyDescent="0.25">
      <c r="I119" s="144">
        <v>12190310</v>
      </c>
      <c r="J119" s="149" t="s">
        <v>478</v>
      </c>
      <c r="K119" s="149" t="s">
        <v>5187</v>
      </c>
    </row>
    <row r="120" spans="2:11" x14ac:dyDescent="0.25">
      <c r="I120" s="144">
        <v>12190320</v>
      </c>
      <c r="J120" s="149" t="s">
        <v>480</v>
      </c>
      <c r="K120" s="149" t="s">
        <v>5187</v>
      </c>
    </row>
    <row r="121" spans="2:11" ht="30" x14ac:dyDescent="0.25">
      <c r="I121" s="144">
        <v>12190330</v>
      </c>
      <c r="J121" s="149" t="s">
        <v>5310</v>
      </c>
      <c r="K121" s="149" t="s">
        <v>5187</v>
      </c>
    </row>
    <row r="122" spans="2:11" x14ac:dyDescent="0.25">
      <c r="I122" s="143">
        <v>12190400</v>
      </c>
      <c r="J122" s="145" t="s">
        <v>286</v>
      </c>
      <c r="K122" s="145" t="s">
        <v>5187</v>
      </c>
    </row>
    <row r="123" spans="2:11" x14ac:dyDescent="0.25">
      <c r="I123" s="144">
        <v>12190410</v>
      </c>
      <c r="J123" s="149" t="s">
        <v>286</v>
      </c>
      <c r="K123" s="149" t="s">
        <v>5187</v>
      </c>
    </row>
    <row r="124" spans="2:11" x14ac:dyDescent="0.25">
      <c r="I124" s="144">
        <v>12190420</v>
      </c>
      <c r="J124" s="149" t="s">
        <v>5311</v>
      </c>
      <c r="K124" s="149" t="s">
        <v>5187</v>
      </c>
    </row>
    <row r="125" spans="2:11" x14ac:dyDescent="0.25">
      <c r="I125" s="143">
        <v>12190500</v>
      </c>
      <c r="J125" s="145" t="s">
        <v>290</v>
      </c>
      <c r="K125" s="145" t="s">
        <v>5187</v>
      </c>
    </row>
    <row r="126" spans="2:11" s="182" customFormat="1" ht="29.25" customHeight="1" x14ac:dyDescent="0.25">
      <c r="B126" s="183"/>
      <c r="C126" s="184"/>
      <c r="D126" s="184"/>
      <c r="E126" s="184"/>
      <c r="F126" s="184"/>
      <c r="G126" s="184"/>
      <c r="H126" s="184"/>
      <c r="I126" s="144">
        <v>12190510</v>
      </c>
      <c r="J126" s="149" t="s">
        <v>290</v>
      </c>
      <c r="K126" s="149" t="s">
        <v>5187</v>
      </c>
    </row>
    <row r="127" spans="2:11" x14ac:dyDescent="0.25">
      <c r="I127" s="144">
        <v>12190520</v>
      </c>
      <c r="J127" s="149" t="s">
        <v>5312</v>
      </c>
      <c r="K127" s="149" t="s">
        <v>5187</v>
      </c>
    </row>
    <row r="128" spans="2:11" x14ac:dyDescent="0.25">
      <c r="I128" s="143">
        <v>12190600</v>
      </c>
      <c r="J128" s="145" t="s">
        <v>292</v>
      </c>
      <c r="K128" s="145" t="s">
        <v>5187</v>
      </c>
    </row>
    <row r="129" spans="9:11" x14ac:dyDescent="0.25">
      <c r="I129" s="144">
        <v>12190610</v>
      </c>
      <c r="J129" s="149" t="s">
        <v>292</v>
      </c>
      <c r="K129" s="149" t="s">
        <v>5187</v>
      </c>
    </row>
    <row r="130" spans="9:11" ht="30" x14ac:dyDescent="0.25">
      <c r="I130" s="144">
        <v>12190620</v>
      </c>
      <c r="J130" s="149" t="s">
        <v>5313</v>
      </c>
      <c r="K130" s="149" t="s">
        <v>5187</v>
      </c>
    </row>
    <row r="131" spans="9:11" ht="30" x14ac:dyDescent="0.25">
      <c r="I131" s="143">
        <v>12190700</v>
      </c>
      <c r="J131" s="145" t="s">
        <v>296</v>
      </c>
      <c r="K131" s="145" t="s">
        <v>5187</v>
      </c>
    </row>
    <row r="132" spans="9:11" ht="30" x14ac:dyDescent="0.25">
      <c r="I132" s="144">
        <v>12190710</v>
      </c>
      <c r="J132" s="149" t="s">
        <v>296</v>
      </c>
      <c r="K132" s="149" t="s">
        <v>5187</v>
      </c>
    </row>
    <row r="133" spans="9:11" ht="30" x14ac:dyDescent="0.25">
      <c r="I133" s="144">
        <v>12190720</v>
      </c>
      <c r="J133" s="149" t="s">
        <v>5314</v>
      </c>
      <c r="K133" s="149" t="s">
        <v>5187</v>
      </c>
    </row>
    <row r="134" spans="9:11" x14ac:dyDescent="0.25">
      <c r="I134" s="143">
        <v>12190800</v>
      </c>
      <c r="J134" s="145" t="s">
        <v>428</v>
      </c>
      <c r="K134" s="145" t="s">
        <v>5187</v>
      </c>
    </row>
    <row r="135" spans="9:11" x14ac:dyDescent="0.25">
      <c r="I135" s="144">
        <v>12190810</v>
      </c>
      <c r="J135" s="149" t="s">
        <v>428</v>
      </c>
      <c r="K135" s="149" t="s">
        <v>5187</v>
      </c>
    </row>
    <row r="136" spans="9:11" x14ac:dyDescent="0.25">
      <c r="I136" s="144">
        <v>12190820</v>
      </c>
      <c r="J136" s="149" t="s">
        <v>5315</v>
      </c>
      <c r="K136" s="149" t="s">
        <v>5187</v>
      </c>
    </row>
    <row r="137" spans="9:11" x14ac:dyDescent="0.25">
      <c r="I137" s="143">
        <v>12190900</v>
      </c>
      <c r="J137" s="145" t="s">
        <v>3309</v>
      </c>
      <c r="K137" s="145" t="s">
        <v>5187</v>
      </c>
    </row>
    <row r="138" spans="9:11" x14ac:dyDescent="0.25">
      <c r="I138" s="144">
        <v>12190910</v>
      </c>
      <c r="J138" s="149" t="s">
        <v>3309</v>
      </c>
      <c r="K138" s="149" t="s">
        <v>5187</v>
      </c>
    </row>
    <row r="139" spans="9:11" x14ac:dyDescent="0.25">
      <c r="I139" s="144">
        <v>12190920</v>
      </c>
      <c r="J139" s="149" t="s">
        <v>5316</v>
      </c>
      <c r="K139" s="149" t="s">
        <v>5187</v>
      </c>
    </row>
    <row r="140" spans="9:11" ht="30" x14ac:dyDescent="0.25">
      <c r="I140" s="143">
        <v>12191000</v>
      </c>
      <c r="J140" s="145" t="s">
        <v>298</v>
      </c>
      <c r="K140" s="145" t="s">
        <v>5187</v>
      </c>
    </row>
    <row r="141" spans="9:11" ht="30" x14ac:dyDescent="0.25">
      <c r="I141" s="144">
        <v>12191010</v>
      </c>
      <c r="J141" s="149" t="s">
        <v>298</v>
      </c>
      <c r="K141" s="149" t="s">
        <v>5187</v>
      </c>
    </row>
    <row r="142" spans="9:11" ht="30" x14ac:dyDescent="0.25">
      <c r="I142" s="144">
        <v>12191020</v>
      </c>
      <c r="J142" s="149" t="s">
        <v>5317</v>
      </c>
      <c r="K142" s="149" t="s">
        <v>5187</v>
      </c>
    </row>
    <row r="143" spans="9:11" x14ac:dyDescent="0.25">
      <c r="I143" s="143">
        <v>12191100</v>
      </c>
      <c r="J143" s="145" t="s">
        <v>5318</v>
      </c>
      <c r="K143" s="145" t="s">
        <v>5187</v>
      </c>
    </row>
    <row r="144" spans="9:11" x14ac:dyDescent="0.25">
      <c r="I144" s="144">
        <v>12191110</v>
      </c>
      <c r="J144" s="149" t="s">
        <v>5318</v>
      </c>
      <c r="K144" s="149" t="s">
        <v>5187</v>
      </c>
    </row>
    <row r="145" spans="9:11" ht="30" x14ac:dyDescent="0.25">
      <c r="I145" s="144">
        <v>12191120</v>
      </c>
      <c r="J145" s="149" t="s">
        <v>5319</v>
      </c>
      <c r="K145" s="149" t="s">
        <v>5187</v>
      </c>
    </row>
    <row r="146" spans="9:11" x14ac:dyDescent="0.25">
      <c r="I146" s="143">
        <v>12199900</v>
      </c>
      <c r="J146" s="145" t="s">
        <v>5320</v>
      </c>
      <c r="K146" s="145" t="s">
        <v>5187</v>
      </c>
    </row>
    <row r="147" spans="9:11" x14ac:dyDescent="0.25">
      <c r="I147" s="144">
        <v>12199910</v>
      </c>
      <c r="J147" s="149" t="s">
        <v>5320</v>
      </c>
      <c r="K147" s="149" t="s">
        <v>5187</v>
      </c>
    </row>
    <row r="148" spans="9:11" x14ac:dyDescent="0.25">
      <c r="I148" s="144">
        <v>12199920</v>
      </c>
      <c r="J148" s="149" t="s">
        <v>5321</v>
      </c>
      <c r="K148" s="149" t="s">
        <v>5187</v>
      </c>
    </row>
    <row r="149" spans="9:11" ht="30" x14ac:dyDescent="0.25">
      <c r="I149" s="144">
        <v>13430110</v>
      </c>
      <c r="J149" s="149" t="s">
        <v>5324</v>
      </c>
      <c r="K149" s="149" t="s">
        <v>5325</v>
      </c>
    </row>
    <row r="150" spans="9:11" ht="30" x14ac:dyDescent="0.25">
      <c r="I150" s="144">
        <v>13430120</v>
      </c>
      <c r="J150" s="149" t="s">
        <v>5322</v>
      </c>
      <c r="K150" s="149" t="s">
        <v>5187</v>
      </c>
    </row>
    <row r="151" spans="9:11" ht="30" x14ac:dyDescent="0.25">
      <c r="I151" s="144">
        <v>13430130</v>
      </c>
      <c r="J151" s="149" t="s">
        <v>5323</v>
      </c>
      <c r="K151" s="149" t="s">
        <v>5187</v>
      </c>
    </row>
    <row r="152" spans="9:11" ht="30" x14ac:dyDescent="0.25">
      <c r="I152" s="144">
        <v>13450330</v>
      </c>
      <c r="J152" s="149" t="s">
        <v>5240</v>
      </c>
      <c r="K152" s="149" t="s">
        <v>5187</v>
      </c>
    </row>
    <row r="153" spans="9:11" x14ac:dyDescent="0.25">
      <c r="I153" s="185"/>
      <c r="J153" s="184" t="s">
        <v>5326</v>
      </c>
      <c r="K153" s="184"/>
    </row>
    <row r="154" spans="9:11" ht="30" x14ac:dyDescent="0.25">
      <c r="I154" s="143">
        <v>12180100</v>
      </c>
      <c r="J154" s="145" t="s">
        <v>5335</v>
      </c>
      <c r="K154" s="145" t="s">
        <v>5325</v>
      </c>
    </row>
    <row r="155" spans="9:11" x14ac:dyDescent="0.25">
      <c r="I155" s="144">
        <v>12180110</v>
      </c>
      <c r="J155" s="149" t="s">
        <v>5278</v>
      </c>
      <c r="K155" s="149" t="s">
        <v>5325</v>
      </c>
    </row>
    <row r="156" spans="9:11" x14ac:dyDescent="0.25">
      <c r="I156" s="144">
        <v>12180120</v>
      </c>
      <c r="J156" s="149" t="s">
        <v>5279</v>
      </c>
      <c r="K156" s="149" t="s">
        <v>5325</v>
      </c>
    </row>
    <row r="157" spans="9:11" x14ac:dyDescent="0.25">
      <c r="I157" s="144">
        <v>12180130</v>
      </c>
      <c r="J157" s="149" t="s">
        <v>5336</v>
      </c>
      <c r="K157" s="149" t="s">
        <v>5325</v>
      </c>
    </row>
    <row r="158" spans="9:11" x14ac:dyDescent="0.25">
      <c r="I158" s="144">
        <v>12180140</v>
      </c>
      <c r="J158" s="149" t="s">
        <v>5284</v>
      </c>
      <c r="K158" s="149" t="s">
        <v>5325</v>
      </c>
    </row>
    <row r="159" spans="9:11" x14ac:dyDescent="0.25">
      <c r="I159" s="144">
        <v>12180150</v>
      </c>
      <c r="J159" s="149" t="s">
        <v>5285</v>
      </c>
      <c r="K159" s="149" t="s">
        <v>5325</v>
      </c>
    </row>
    <row r="160" spans="9:11" x14ac:dyDescent="0.25">
      <c r="I160" s="144">
        <v>12180160</v>
      </c>
      <c r="J160" s="149" t="s">
        <v>5286</v>
      </c>
      <c r="K160" s="149" t="s">
        <v>5325</v>
      </c>
    </row>
    <row r="161" spans="9:11" x14ac:dyDescent="0.25">
      <c r="I161" s="143">
        <v>12180200</v>
      </c>
      <c r="J161" s="145" t="s">
        <v>5333</v>
      </c>
      <c r="K161" s="145" t="s">
        <v>5325</v>
      </c>
    </row>
    <row r="162" spans="9:11" x14ac:dyDescent="0.25">
      <c r="I162" s="144">
        <v>12180210</v>
      </c>
      <c r="J162" s="149" t="s">
        <v>5334</v>
      </c>
      <c r="K162" s="149" t="s">
        <v>5325</v>
      </c>
    </row>
    <row r="163" spans="9:11" x14ac:dyDescent="0.25">
      <c r="I163" s="144">
        <v>12180220</v>
      </c>
      <c r="J163" s="149" t="s">
        <v>5328</v>
      </c>
      <c r="K163" s="149" t="s">
        <v>5325</v>
      </c>
    </row>
    <row r="164" spans="9:11" x14ac:dyDescent="0.25">
      <c r="I164" s="144">
        <v>12180230</v>
      </c>
      <c r="J164" s="149" t="s">
        <v>5329</v>
      </c>
      <c r="K164" s="149" t="s">
        <v>5325</v>
      </c>
    </row>
    <row r="165" spans="9:11" x14ac:dyDescent="0.25">
      <c r="I165" s="144">
        <v>12180240</v>
      </c>
      <c r="J165" s="149" t="s">
        <v>5330</v>
      </c>
      <c r="K165" s="149" t="s">
        <v>5325</v>
      </c>
    </row>
    <row r="166" spans="9:11" x14ac:dyDescent="0.25">
      <c r="I166" s="144">
        <v>12180250</v>
      </c>
      <c r="J166" s="149" t="s">
        <v>5331</v>
      </c>
      <c r="K166" s="149" t="s">
        <v>5325</v>
      </c>
    </row>
    <row r="167" spans="9:11" ht="30" x14ac:dyDescent="0.25">
      <c r="I167" s="144">
        <v>12180260</v>
      </c>
      <c r="J167" s="149" t="s">
        <v>5332</v>
      </c>
      <c r="K167" s="149" t="s">
        <v>5325</v>
      </c>
    </row>
    <row r="168" spans="9:11" x14ac:dyDescent="0.25">
      <c r="I168" s="143">
        <v>12180300</v>
      </c>
      <c r="J168" s="145" t="s">
        <v>5333</v>
      </c>
      <c r="K168" s="145" t="s">
        <v>5187</v>
      </c>
    </row>
    <row r="169" spans="9:11" x14ac:dyDescent="0.25">
      <c r="I169" s="144">
        <v>12180310</v>
      </c>
      <c r="J169" s="149" t="s">
        <v>5334</v>
      </c>
      <c r="K169" s="149" t="s">
        <v>5187</v>
      </c>
    </row>
    <row r="170" spans="9:11" x14ac:dyDescent="0.25">
      <c r="I170" s="144">
        <v>12180320</v>
      </c>
      <c r="J170" s="149" t="s">
        <v>5328</v>
      </c>
      <c r="K170" s="149" t="s">
        <v>5187</v>
      </c>
    </row>
    <row r="171" spans="9:11" x14ac:dyDescent="0.25">
      <c r="I171" s="144">
        <v>12180330</v>
      </c>
      <c r="J171" s="149" t="s">
        <v>5329</v>
      </c>
      <c r="K171" s="149" t="s">
        <v>5187</v>
      </c>
    </row>
    <row r="172" spans="9:11" x14ac:dyDescent="0.25">
      <c r="I172" s="144">
        <v>12180340</v>
      </c>
      <c r="J172" s="149" t="s">
        <v>5330</v>
      </c>
      <c r="K172" s="149" t="s">
        <v>5187</v>
      </c>
    </row>
    <row r="173" spans="9:11" x14ac:dyDescent="0.25">
      <c r="I173" s="144">
        <v>12180350</v>
      </c>
      <c r="J173" s="149" t="s">
        <v>5331</v>
      </c>
      <c r="K173" s="149" t="s">
        <v>5187</v>
      </c>
    </row>
    <row r="174" spans="9:11" ht="30" x14ac:dyDescent="0.25">
      <c r="I174" s="144">
        <v>12180360</v>
      </c>
      <c r="J174" s="149" t="s">
        <v>5332</v>
      </c>
      <c r="K174" s="149" t="s">
        <v>5187</v>
      </c>
    </row>
    <row r="175" spans="9:11" x14ac:dyDescent="0.25">
      <c r="I175" s="143">
        <v>12180400</v>
      </c>
      <c r="J175" s="145" t="s">
        <v>5359</v>
      </c>
      <c r="K175" s="145" t="s">
        <v>5187</v>
      </c>
    </row>
    <row r="176" spans="9:11" x14ac:dyDescent="0.25">
      <c r="I176" s="144">
        <v>12180410</v>
      </c>
      <c r="J176" s="149" t="s">
        <v>5352</v>
      </c>
      <c r="K176" s="149" t="s">
        <v>5187</v>
      </c>
    </row>
    <row r="177" spans="9:11" x14ac:dyDescent="0.25">
      <c r="I177" s="144">
        <v>12180420</v>
      </c>
      <c r="J177" s="149" t="s">
        <v>5353</v>
      </c>
      <c r="K177" s="149" t="s">
        <v>5187</v>
      </c>
    </row>
    <row r="178" spans="9:11" x14ac:dyDescent="0.25">
      <c r="I178" s="144">
        <v>12180430</v>
      </c>
      <c r="J178" s="149" t="s">
        <v>5354</v>
      </c>
      <c r="K178" s="149" t="s">
        <v>5187</v>
      </c>
    </row>
    <row r="179" spans="9:11" ht="30" x14ac:dyDescent="0.25">
      <c r="I179" s="144">
        <v>12180440</v>
      </c>
      <c r="J179" s="149" t="s">
        <v>5355</v>
      </c>
      <c r="K179" s="149" t="s">
        <v>5187</v>
      </c>
    </row>
    <row r="180" spans="9:11" ht="30" x14ac:dyDescent="0.25">
      <c r="I180" s="144">
        <v>12180450</v>
      </c>
      <c r="J180" s="149" t="s">
        <v>5356</v>
      </c>
      <c r="K180" s="149" t="s">
        <v>5187</v>
      </c>
    </row>
    <row r="181" spans="9:11" ht="30" x14ac:dyDescent="0.25">
      <c r="I181" s="144">
        <v>12180460</v>
      </c>
      <c r="J181" s="149" t="s">
        <v>5357</v>
      </c>
      <c r="K181" s="149" t="s">
        <v>5187</v>
      </c>
    </row>
    <row r="182" spans="9:11" ht="30" x14ac:dyDescent="0.25">
      <c r="I182" s="143">
        <v>12180500</v>
      </c>
      <c r="J182" s="145" t="s">
        <v>5341</v>
      </c>
      <c r="K182" s="145" t="s">
        <v>5187</v>
      </c>
    </row>
    <row r="183" spans="9:11" x14ac:dyDescent="0.25">
      <c r="I183" s="144">
        <v>12180510</v>
      </c>
      <c r="J183" s="149" t="s">
        <v>4909</v>
      </c>
      <c r="K183" s="149" t="s">
        <v>5187</v>
      </c>
    </row>
    <row r="184" spans="9:11" x14ac:dyDescent="0.25">
      <c r="I184" s="144">
        <v>12180520</v>
      </c>
      <c r="J184" s="149" t="s">
        <v>4910</v>
      </c>
      <c r="K184" s="149" t="s">
        <v>5187</v>
      </c>
    </row>
    <row r="185" spans="9:11" x14ac:dyDescent="0.25">
      <c r="I185" s="144">
        <v>12180530</v>
      </c>
      <c r="J185" s="149" t="s">
        <v>4946</v>
      </c>
      <c r="K185" s="149" t="s">
        <v>5187</v>
      </c>
    </row>
    <row r="186" spans="9:11" ht="30" x14ac:dyDescent="0.25">
      <c r="I186" s="143">
        <v>12180600</v>
      </c>
      <c r="J186" s="145" t="s">
        <v>5360</v>
      </c>
      <c r="K186" s="145" t="s">
        <v>5187</v>
      </c>
    </row>
    <row r="187" spans="9:11" ht="30" x14ac:dyDescent="0.25">
      <c r="I187" s="144">
        <v>12180610</v>
      </c>
      <c r="J187" s="149" t="s">
        <v>5361</v>
      </c>
      <c r="K187" s="149" t="s">
        <v>5187</v>
      </c>
    </row>
    <row r="188" spans="9:11" ht="30" x14ac:dyDescent="0.25">
      <c r="I188" s="144">
        <v>12180620</v>
      </c>
      <c r="J188" s="149" t="s">
        <v>5362</v>
      </c>
      <c r="K188" s="149" t="s">
        <v>5187</v>
      </c>
    </row>
    <row r="189" spans="9:11" ht="30" x14ac:dyDescent="0.25">
      <c r="I189" s="144">
        <v>12180630</v>
      </c>
      <c r="J189" s="149" t="s">
        <v>5363</v>
      </c>
      <c r="K189" s="149" t="s">
        <v>5187</v>
      </c>
    </row>
    <row r="190" spans="9:11" x14ac:dyDescent="0.25">
      <c r="I190" s="143">
        <v>12180700</v>
      </c>
      <c r="J190" s="145" t="s">
        <v>5342</v>
      </c>
      <c r="K190" s="145" t="s">
        <v>5187</v>
      </c>
    </row>
    <row r="191" spans="9:11" x14ac:dyDescent="0.25">
      <c r="I191" s="144">
        <v>12180710</v>
      </c>
      <c r="J191" s="149" t="s">
        <v>5343</v>
      </c>
      <c r="K191" s="149" t="s">
        <v>5187</v>
      </c>
    </row>
    <row r="192" spans="9:11" x14ac:dyDescent="0.25">
      <c r="I192" s="144">
        <v>12180720</v>
      </c>
      <c r="J192" s="149" t="s">
        <v>5344</v>
      </c>
      <c r="K192" s="149" t="s">
        <v>5187</v>
      </c>
    </row>
    <row r="193" spans="9:11" x14ac:dyDescent="0.25">
      <c r="I193" s="144">
        <v>12180730</v>
      </c>
      <c r="J193" s="149" t="s">
        <v>5345</v>
      </c>
      <c r="K193" s="149" t="s">
        <v>5187</v>
      </c>
    </row>
    <row r="194" spans="9:11" ht="30" x14ac:dyDescent="0.25">
      <c r="I194" s="143">
        <v>12180800</v>
      </c>
      <c r="J194" s="145" t="s">
        <v>5401</v>
      </c>
      <c r="K194" s="145" t="s">
        <v>5187</v>
      </c>
    </row>
    <row r="195" spans="9:11" x14ac:dyDescent="0.25">
      <c r="I195" s="144">
        <v>12180810</v>
      </c>
      <c r="J195" s="149" t="s">
        <v>5364</v>
      </c>
      <c r="K195" s="149" t="s">
        <v>5187</v>
      </c>
    </row>
    <row r="196" spans="9:11" x14ac:dyDescent="0.25">
      <c r="I196" s="144">
        <v>12180820</v>
      </c>
      <c r="J196" s="149" t="s">
        <v>5365</v>
      </c>
      <c r="K196" s="149" t="s">
        <v>5187</v>
      </c>
    </row>
    <row r="197" spans="9:11" x14ac:dyDescent="0.25">
      <c r="I197" s="144">
        <v>12180830</v>
      </c>
      <c r="J197" s="149" t="s">
        <v>5366</v>
      </c>
      <c r="K197" s="149" t="s">
        <v>5187</v>
      </c>
    </row>
    <row r="198" spans="9:11" x14ac:dyDescent="0.25">
      <c r="I198" s="165">
        <v>11280000</v>
      </c>
      <c r="J198" s="164" t="s">
        <v>5147</v>
      </c>
      <c r="K198" s="164" t="s">
        <v>5176</v>
      </c>
    </row>
    <row r="199" spans="9:11" x14ac:dyDescent="0.25">
      <c r="I199" s="143">
        <v>11280100</v>
      </c>
      <c r="J199" s="145" t="s">
        <v>3040</v>
      </c>
      <c r="K199" s="145" t="s">
        <v>5176</v>
      </c>
    </row>
    <row r="200" spans="9:11" x14ac:dyDescent="0.25">
      <c r="I200" s="144">
        <v>11280110</v>
      </c>
      <c r="J200" s="149" t="s">
        <v>159</v>
      </c>
      <c r="K200" s="149" t="s">
        <v>5176</v>
      </c>
    </row>
    <row r="201" spans="9:11" x14ac:dyDescent="0.25">
      <c r="I201" s="144">
        <v>11280120</v>
      </c>
      <c r="J201" s="149" t="s">
        <v>161</v>
      </c>
      <c r="K201" s="149" t="s">
        <v>5176</v>
      </c>
    </row>
    <row r="202" spans="9:11" x14ac:dyDescent="0.25">
      <c r="I202" s="144">
        <v>11280190</v>
      </c>
      <c r="J202" s="149" t="s">
        <v>5148</v>
      </c>
      <c r="K202" s="149" t="s">
        <v>5176</v>
      </c>
    </row>
    <row r="203" spans="9:11" ht="30" x14ac:dyDescent="0.25">
      <c r="I203" s="165">
        <v>16380000</v>
      </c>
      <c r="J203" s="164" t="s">
        <v>5561</v>
      </c>
      <c r="K203" s="164" t="s">
        <v>5176</v>
      </c>
    </row>
    <row r="204" spans="9:11" x14ac:dyDescent="0.25">
      <c r="I204" s="143">
        <v>16380100</v>
      </c>
      <c r="J204" s="145" t="s">
        <v>5562</v>
      </c>
      <c r="K204" s="145" t="s">
        <v>5176</v>
      </c>
    </row>
    <row r="205" spans="9:11" x14ac:dyDescent="0.25">
      <c r="I205" s="144">
        <v>16380110</v>
      </c>
      <c r="J205" s="149" t="s">
        <v>1014</v>
      </c>
      <c r="K205" s="149" t="s">
        <v>5176</v>
      </c>
    </row>
    <row r="206" spans="9:11" x14ac:dyDescent="0.25">
      <c r="I206" s="144">
        <v>16380120</v>
      </c>
      <c r="J206" s="149" t="s">
        <v>5563</v>
      </c>
      <c r="K206" s="149" t="s">
        <v>5176</v>
      </c>
    </row>
    <row r="207" spans="9:11" x14ac:dyDescent="0.25">
      <c r="I207" s="144">
        <v>16380130</v>
      </c>
      <c r="J207" s="149" t="s">
        <v>1018</v>
      </c>
      <c r="K207" s="149" t="s">
        <v>5176</v>
      </c>
    </row>
    <row r="208" spans="9:11" x14ac:dyDescent="0.25">
      <c r="I208" s="144">
        <v>16380140</v>
      </c>
      <c r="J208" s="149" t="s">
        <v>1022</v>
      </c>
      <c r="K208" s="149" t="s">
        <v>5176</v>
      </c>
    </row>
    <row r="209" spans="9:11" x14ac:dyDescent="0.25">
      <c r="I209" s="144">
        <v>16380190</v>
      </c>
      <c r="J209" s="149" t="s">
        <v>1024</v>
      </c>
      <c r="K209" s="149" t="s">
        <v>5176</v>
      </c>
    </row>
    <row r="210" spans="9:11" ht="45" x14ac:dyDescent="0.25">
      <c r="I210" s="143">
        <v>17180300</v>
      </c>
      <c r="J210" s="145" t="s">
        <v>5601</v>
      </c>
      <c r="K210" s="145" t="s">
        <v>5177</v>
      </c>
    </row>
    <row r="211" spans="9:11" x14ac:dyDescent="0.25">
      <c r="I211" s="144">
        <v>17180310</v>
      </c>
      <c r="J211" s="149" t="s">
        <v>5155</v>
      </c>
      <c r="K211" s="149" t="s">
        <v>5186</v>
      </c>
    </row>
    <row r="212" spans="9:11" ht="30" x14ac:dyDescent="0.25">
      <c r="I212" s="144">
        <v>17180320</v>
      </c>
      <c r="J212" s="149" t="s">
        <v>5156</v>
      </c>
      <c r="K212" s="149" t="s">
        <v>5187</v>
      </c>
    </row>
    <row r="213" spans="9:11" x14ac:dyDescent="0.25">
      <c r="I213" s="144">
        <v>17180330</v>
      </c>
      <c r="J213" s="149" t="s">
        <v>5157</v>
      </c>
      <c r="K213" s="149" t="s">
        <v>5187</v>
      </c>
    </row>
    <row r="214" spans="9:11" x14ac:dyDescent="0.25">
      <c r="I214" s="144">
        <v>17180340</v>
      </c>
      <c r="J214" s="149" t="s">
        <v>5158</v>
      </c>
      <c r="K214" s="149" t="s">
        <v>5187</v>
      </c>
    </row>
    <row r="215" spans="9:11" x14ac:dyDescent="0.25">
      <c r="I215" s="144">
        <v>17180350</v>
      </c>
      <c r="J215" s="149" t="s">
        <v>5159</v>
      </c>
      <c r="K215" s="149" t="s">
        <v>5187</v>
      </c>
    </row>
    <row r="216" spans="9:11" ht="30" x14ac:dyDescent="0.25">
      <c r="I216" s="144">
        <v>17180390</v>
      </c>
      <c r="J216" s="149" t="s">
        <v>5154</v>
      </c>
      <c r="K216" s="149" t="s">
        <v>5187</v>
      </c>
    </row>
    <row r="217" spans="9:11" ht="30" x14ac:dyDescent="0.25">
      <c r="I217" s="143">
        <v>17180400</v>
      </c>
      <c r="J217" s="145" t="s">
        <v>5220</v>
      </c>
      <c r="K217" s="145" t="s">
        <v>5187</v>
      </c>
    </row>
    <row r="218" spans="9:11" ht="30" x14ac:dyDescent="0.25">
      <c r="I218" s="144">
        <v>17180410</v>
      </c>
      <c r="J218" s="149" t="s">
        <v>5213</v>
      </c>
      <c r="K218" s="149" t="s">
        <v>5187</v>
      </c>
    </row>
    <row r="219" spans="9:11" ht="30" x14ac:dyDescent="0.25">
      <c r="I219" s="144">
        <v>17180420</v>
      </c>
      <c r="J219" s="149" t="s">
        <v>5214</v>
      </c>
      <c r="K219" s="149" t="s">
        <v>5187</v>
      </c>
    </row>
    <row r="220" spans="9:11" ht="30" x14ac:dyDescent="0.25">
      <c r="I220" s="144">
        <v>17180430</v>
      </c>
      <c r="J220" s="149" t="s">
        <v>5215</v>
      </c>
      <c r="K220" s="149" t="s">
        <v>5187</v>
      </c>
    </row>
    <row r="221" spans="9:11" ht="45" x14ac:dyDescent="0.25">
      <c r="I221" s="144">
        <v>17180440</v>
      </c>
      <c r="J221" s="149" t="s">
        <v>5216</v>
      </c>
      <c r="K221" s="149" t="s">
        <v>5187</v>
      </c>
    </row>
    <row r="222" spans="9:11" ht="30" x14ac:dyDescent="0.25">
      <c r="I222" s="144">
        <v>17180450</v>
      </c>
      <c r="J222" s="149" t="s">
        <v>5217</v>
      </c>
      <c r="K222" s="149" t="s">
        <v>5187</v>
      </c>
    </row>
    <row r="223" spans="9:11" ht="30" x14ac:dyDescent="0.25">
      <c r="I223" s="144">
        <v>17180460</v>
      </c>
      <c r="J223" s="149" t="s">
        <v>5212</v>
      </c>
      <c r="K223" s="149" t="s">
        <v>5187</v>
      </c>
    </row>
    <row r="224" spans="9:11" ht="30" x14ac:dyDescent="0.25">
      <c r="I224" s="143">
        <v>17181200</v>
      </c>
      <c r="J224" s="145" t="s">
        <v>1258</v>
      </c>
      <c r="K224" s="145" t="s">
        <v>5187</v>
      </c>
    </row>
    <row r="225" spans="9:11" ht="30" x14ac:dyDescent="0.25">
      <c r="I225" s="144">
        <v>17181210</v>
      </c>
      <c r="J225" s="149" t="s">
        <v>1258</v>
      </c>
      <c r="K225" s="149" t="s">
        <v>5187</v>
      </c>
    </row>
    <row r="226" spans="9:11" x14ac:dyDescent="0.25">
      <c r="I226" s="143">
        <v>17480100</v>
      </c>
      <c r="J226" s="145" t="s">
        <v>5180</v>
      </c>
      <c r="K226" s="145" t="s">
        <v>5187</v>
      </c>
    </row>
    <row r="227" spans="9:11" ht="30" x14ac:dyDescent="0.25">
      <c r="I227" s="144">
        <v>17480110</v>
      </c>
      <c r="J227" s="149" t="s">
        <v>5181</v>
      </c>
      <c r="K227" s="149" t="s">
        <v>5187</v>
      </c>
    </row>
    <row r="228" spans="9:11" ht="30" x14ac:dyDescent="0.25">
      <c r="I228" s="143">
        <v>17481000</v>
      </c>
      <c r="J228" s="145" t="s">
        <v>5178</v>
      </c>
      <c r="K228" s="145" t="s">
        <v>5186</v>
      </c>
    </row>
    <row r="229" spans="9:11" ht="30" x14ac:dyDescent="0.25">
      <c r="I229" s="144">
        <v>17481010</v>
      </c>
      <c r="J229" s="149" t="s">
        <v>5178</v>
      </c>
      <c r="K229" s="149" t="s">
        <v>5186</v>
      </c>
    </row>
    <row r="230" spans="9:11" ht="45" x14ac:dyDescent="0.25">
      <c r="I230" s="143">
        <v>17180900</v>
      </c>
      <c r="J230" s="145" t="s">
        <v>5184</v>
      </c>
      <c r="K230" s="145" t="s">
        <v>5187</v>
      </c>
    </row>
    <row r="231" spans="9:11" ht="45" x14ac:dyDescent="0.25">
      <c r="I231" s="144">
        <v>17180910</v>
      </c>
      <c r="J231" s="149" t="s">
        <v>1322</v>
      </c>
      <c r="K231" s="149" t="s">
        <v>5187</v>
      </c>
    </row>
    <row r="232" spans="9:11" ht="45" x14ac:dyDescent="0.25">
      <c r="I232" s="169">
        <v>17580120</v>
      </c>
      <c r="J232" s="168" t="s">
        <v>1322</v>
      </c>
      <c r="K232" s="173" t="s">
        <v>5188</v>
      </c>
    </row>
    <row r="233" spans="9:11" x14ac:dyDescent="0.25">
      <c r="I233" s="143">
        <v>17680100</v>
      </c>
      <c r="J233" s="145" t="s">
        <v>1366</v>
      </c>
      <c r="K233" s="145" t="s">
        <v>5187</v>
      </c>
    </row>
    <row r="234" spans="9:11" x14ac:dyDescent="0.25">
      <c r="I234" s="144">
        <v>17680110</v>
      </c>
      <c r="J234" s="149" t="s">
        <v>5191</v>
      </c>
      <c r="K234" s="149" t="s">
        <v>5187</v>
      </c>
    </row>
    <row r="235" spans="9:11" ht="30" x14ac:dyDescent="0.25">
      <c r="I235" s="144">
        <v>17681010</v>
      </c>
      <c r="J235" s="149" t="s">
        <v>5189</v>
      </c>
      <c r="K235" s="149" t="s">
        <v>5186</v>
      </c>
    </row>
    <row r="236" spans="9:11" ht="30" x14ac:dyDescent="0.25">
      <c r="I236" s="165">
        <v>17780000</v>
      </c>
      <c r="J236" s="164" t="s">
        <v>5028</v>
      </c>
      <c r="K236" s="164" t="s">
        <v>5187</v>
      </c>
    </row>
    <row r="237" spans="9:11" x14ac:dyDescent="0.25">
      <c r="I237" s="143">
        <v>17780100</v>
      </c>
      <c r="J237" s="145" t="s">
        <v>5196</v>
      </c>
      <c r="K237" s="145" t="s">
        <v>5187</v>
      </c>
    </row>
    <row r="238" spans="9:11" ht="30" x14ac:dyDescent="0.25">
      <c r="I238" s="144">
        <v>17780110</v>
      </c>
      <c r="J238" s="149" t="s">
        <v>5195</v>
      </c>
      <c r="K238" s="149" t="s">
        <v>5187</v>
      </c>
    </row>
    <row r="239" spans="9:11" ht="30" x14ac:dyDescent="0.25">
      <c r="I239" s="144">
        <v>17781010</v>
      </c>
      <c r="J239" s="149" t="s">
        <v>5194</v>
      </c>
      <c r="K239" s="149" t="s">
        <v>5187</v>
      </c>
    </row>
    <row r="240" spans="9:11" ht="30" x14ac:dyDescent="0.25">
      <c r="I240" s="165">
        <v>19280000</v>
      </c>
      <c r="J240" s="164" t="s">
        <v>5199</v>
      </c>
      <c r="K240" s="164" t="s">
        <v>5187</v>
      </c>
    </row>
    <row r="241" spans="9:11" x14ac:dyDescent="0.25">
      <c r="I241" s="143">
        <v>19280100</v>
      </c>
      <c r="J241" s="145" t="s">
        <v>5201</v>
      </c>
      <c r="K241" s="145" t="s">
        <v>5187</v>
      </c>
    </row>
    <row r="242" spans="9:11" x14ac:dyDescent="0.25">
      <c r="I242" s="144">
        <v>19280110</v>
      </c>
      <c r="J242" s="149" t="s">
        <v>5202</v>
      </c>
      <c r="K242" s="149" t="s">
        <v>5187</v>
      </c>
    </row>
    <row r="243" spans="9:11" x14ac:dyDescent="0.25">
      <c r="I243" s="143">
        <v>19280200</v>
      </c>
      <c r="J243" s="145" t="s">
        <v>5203</v>
      </c>
      <c r="K243" s="145" t="s">
        <v>5187</v>
      </c>
    </row>
    <row r="244" spans="9:11" ht="30" x14ac:dyDescent="0.25">
      <c r="I244" s="144">
        <v>19280210</v>
      </c>
      <c r="J244" s="149" t="s">
        <v>5207</v>
      </c>
      <c r="K244" s="149" t="s">
        <v>5187</v>
      </c>
    </row>
    <row r="245" spans="9:11" ht="30" x14ac:dyDescent="0.25">
      <c r="I245" s="144">
        <v>19280290</v>
      </c>
      <c r="J245" s="149" t="s">
        <v>5206</v>
      </c>
      <c r="K245" s="149" t="s">
        <v>5187</v>
      </c>
    </row>
    <row r="246" spans="9:11" x14ac:dyDescent="0.25">
      <c r="I246" s="143">
        <v>19280300</v>
      </c>
      <c r="J246" s="145" t="s">
        <v>5204</v>
      </c>
      <c r="K246" s="145" t="s">
        <v>5187</v>
      </c>
    </row>
    <row r="247" spans="9:11" x14ac:dyDescent="0.25">
      <c r="I247" s="144">
        <v>19280310</v>
      </c>
      <c r="J247" s="149" t="s">
        <v>5205</v>
      </c>
      <c r="K247" s="149" t="s">
        <v>5187</v>
      </c>
    </row>
    <row r="248" spans="9:11" ht="30" x14ac:dyDescent="0.25">
      <c r="I248" s="143">
        <v>24180300</v>
      </c>
      <c r="J248" s="145" t="s">
        <v>5633</v>
      </c>
      <c r="K248" s="145" t="s">
        <v>5177</v>
      </c>
    </row>
    <row r="249" spans="9:11" ht="30" x14ac:dyDescent="0.25">
      <c r="I249" s="144">
        <v>24180310</v>
      </c>
      <c r="J249" s="149" t="s">
        <v>5213</v>
      </c>
      <c r="K249" s="149" t="s">
        <v>5187</v>
      </c>
    </row>
    <row r="250" spans="9:11" ht="30" x14ac:dyDescent="0.25">
      <c r="I250" s="144">
        <v>24180320</v>
      </c>
      <c r="J250" s="149" t="s">
        <v>5214</v>
      </c>
      <c r="K250" s="149" t="s">
        <v>5187</v>
      </c>
    </row>
    <row r="251" spans="9:11" ht="30" x14ac:dyDescent="0.25">
      <c r="I251" s="144">
        <v>24180330</v>
      </c>
      <c r="J251" s="149" t="s">
        <v>5215</v>
      </c>
      <c r="K251" s="149" t="s">
        <v>5187</v>
      </c>
    </row>
    <row r="252" spans="9:11" ht="45" x14ac:dyDescent="0.25">
      <c r="I252" s="144">
        <v>24180340</v>
      </c>
      <c r="J252" s="149" t="s">
        <v>5216</v>
      </c>
      <c r="K252" s="149" t="s">
        <v>5187</v>
      </c>
    </row>
    <row r="253" spans="9:11" ht="30" x14ac:dyDescent="0.25">
      <c r="I253" s="144">
        <v>24180350</v>
      </c>
      <c r="J253" s="149" t="s">
        <v>5217</v>
      </c>
      <c r="K253" s="149" t="s">
        <v>5187</v>
      </c>
    </row>
    <row r="254" spans="9:11" ht="30" x14ac:dyDescent="0.25">
      <c r="I254" s="144">
        <v>24180390</v>
      </c>
      <c r="J254" s="149" t="s">
        <v>5212</v>
      </c>
      <c r="K254" s="149" t="s">
        <v>5186</v>
      </c>
    </row>
    <row r="255" spans="9:11" ht="30" x14ac:dyDescent="0.25">
      <c r="I255" s="143">
        <v>24180400</v>
      </c>
      <c r="J255" s="145" t="s">
        <v>5220</v>
      </c>
      <c r="K255" s="145" t="s">
        <v>5187</v>
      </c>
    </row>
    <row r="256" spans="9:11" ht="30" x14ac:dyDescent="0.25">
      <c r="I256" s="144">
        <v>24180410</v>
      </c>
      <c r="J256" s="149" t="s">
        <v>5213</v>
      </c>
      <c r="K256" s="149" t="s">
        <v>5187</v>
      </c>
    </row>
    <row r="257" spans="9:11" ht="30" x14ac:dyDescent="0.25">
      <c r="I257" s="144">
        <v>24180420</v>
      </c>
      <c r="J257" s="149" t="s">
        <v>5214</v>
      </c>
      <c r="K257" s="149" t="s">
        <v>5187</v>
      </c>
    </row>
    <row r="258" spans="9:11" ht="30" x14ac:dyDescent="0.25">
      <c r="I258" s="144">
        <v>24180430</v>
      </c>
      <c r="J258" s="149" t="s">
        <v>5215</v>
      </c>
      <c r="K258" s="149" t="s">
        <v>5187</v>
      </c>
    </row>
    <row r="259" spans="9:11" ht="45" x14ac:dyDescent="0.25">
      <c r="I259" s="144">
        <v>24180440</v>
      </c>
      <c r="J259" s="149" t="s">
        <v>5216</v>
      </c>
      <c r="K259" s="149" t="s">
        <v>5187</v>
      </c>
    </row>
    <row r="260" spans="9:11" ht="30" x14ac:dyDescent="0.25">
      <c r="I260" s="144">
        <v>24180450</v>
      </c>
      <c r="J260" s="149" t="s">
        <v>5217</v>
      </c>
      <c r="K260" s="149" t="s">
        <v>5187</v>
      </c>
    </row>
    <row r="261" spans="9:11" ht="30" x14ac:dyDescent="0.25">
      <c r="I261" s="144">
        <v>24180460</v>
      </c>
      <c r="J261" s="149" t="s">
        <v>5212</v>
      </c>
      <c r="K261" s="149" t="s">
        <v>5187</v>
      </c>
    </row>
    <row r="262" spans="9:11" ht="30" x14ac:dyDescent="0.25">
      <c r="I262" s="143">
        <v>24181200</v>
      </c>
      <c r="J262" s="145" t="s">
        <v>1258</v>
      </c>
      <c r="K262" s="145" t="s">
        <v>5187</v>
      </c>
    </row>
    <row r="263" spans="9:11" ht="30" x14ac:dyDescent="0.25">
      <c r="I263" s="144">
        <v>24181210</v>
      </c>
      <c r="J263" s="149" t="s">
        <v>1258</v>
      </c>
      <c r="K263" s="149" t="s">
        <v>5187</v>
      </c>
    </row>
    <row r="264" spans="9:11" ht="30" x14ac:dyDescent="0.25">
      <c r="I264" s="144">
        <v>24381030</v>
      </c>
      <c r="J264" s="149" t="s">
        <v>5218</v>
      </c>
      <c r="K264" s="149" t="s">
        <v>5187</v>
      </c>
    </row>
    <row r="265" spans="9:11" x14ac:dyDescent="0.25">
      <c r="I265" s="143">
        <v>24480100</v>
      </c>
      <c r="J265" s="145" t="s">
        <v>2831</v>
      </c>
      <c r="K265" s="145" t="s">
        <v>5187</v>
      </c>
    </row>
    <row r="266" spans="9:11" ht="30" x14ac:dyDescent="0.25">
      <c r="I266" s="144">
        <v>24480110</v>
      </c>
      <c r="J266" s="149" t="s">
        <v>5221</v>
      </c>
      <c r="K266" s="149" t="s">
        <v>5187</v>
      </c>
    </row>
    <row r="267" spans="9:11" x14ac:dyDescent="0.25">
      <c r="I267" s="143">
        <v>24481000</v>
      </c>
      <c r="J267" s="145" t="s">
        <v>5222</v>
      </c>
      <c r="K267" s="145" t="s">
        <v>5177</v>
      </c>
    </row>
    <row r="268" spans="9:11" x14ac:dyDescent="0.25">
      <c r="I268" s="144">
        <v>24481010</v>
      </c>
      <c r="J268" s="149" t="s">
        <v>5222</v>
      </c>
      <c r="K268" s="149" t="s">
        <v>5177</v>
      </c>
    </row>
    <row r="269" spans="9:11" x14ac:dyDescent="0.25">
      <c r="I269" s="144">
        <v>24680110</v>
      </c>
      <c r="J269" s="149" t="s">
        <v>5226</v>
      </c>
      <c r="K269" s="149" t="s">
        <v>5177</v>
      </c>
    </row>
    <row r="270" spans="9:11" x14ac:dyDescent="0.25">
      <c r="I270" s="144">
        <v>24681010</v>
      </c>
      <c r="J270" s="149" t="s">
        <v>5227</v>
      </c>
      <c r="K270" s="149" t="s">
        <v>5187</v>
      </c>
    </row>
    <row r="271" spans="9:11" x14ac:dyDescent="0.25">
      <c r="I271" s="144">
        <v>24780110</v>
      </c>
      <c r="J271" s="149" t="s">
        <v>5231</v>
      </c>
      <c r="K271" s="149" t="s">
        <v>5177</v>
      </c>
    </row>
    <row r="272" spans="9:11" ht="30" x14ac:dyDescent="0.25">
      <c r="I272" s="144">
        <v>24780190</v>
      </c>
      <c r="J272" s="149" t="s">
        <v>5230</v>
      </c>
      <c r="K272" s="149" t="s">
        <v>5187</v>
      </c>
    </row>
  </sheetData>
  <autoFilter ref="B2:K2" xr:uid="{00000000-0009-0000-0000-000001000000}"/>
  <pageMargins left="0.511811024" right="0.511811024" top="0.78740157499999996" bottom="0.78740157499999996" header="0.31496062000000002" footer="0.31496062000000002"/>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1649"/>
  <sheetViews>
    <sheetView showGridLines="0" zoomScale="90" zoomScaleNormal="90" workbookViewId="0">
      <pane xSplit="10" ySplit="2" topLeftCell="K3" activePane="bottomRight" state="frozen"/>
      <selection pane="topRight" activeCell="K1" sqref="K1"/>
      <selection pane="bottomLeft" activeCell="A4" sqref="A4"/>
      <selection pane="bottomRight" activeCell="K3" sqref="K3"/>
    </sheetView>
  </sheetViews>
  <sheetFormatPr defaultRowHeight="15" x14ac:dyDescent="0.25"/>
  <cols>
    <col min="1" max="1" width="1.85546875" customWidth="1"/>
    <col min="2" max="2" width="7.42578125" style="47" customWidth="1"/>
    <col min="3" max="3" width="7" style="47" bestFit="1" customWidth="1"/>
    <col min="4" max="4" width="6.5703125" style="47" bestFit="1" customWidth="1"/>
    <col min="5" max="5" width="7.85546875" style="47" bestFit="1" customWidth="1"/>
    <col min="6" max="6" width="9.140625" style="47" bestFit="1" customWidth="1"/>
    <col min="7" max="7" width="7.85546875" style="47" bestFit="1" customWidth="1"/>
    <col min="8" max="8" width="6.7109375" style="47" bestFit="1" customWidth="1"/>
    <col min="9" max="9" width="14" style="70" customWidth="1"/>
    <col min="10" max="10" width="71" style="47" customWidth="1"/>
    <col min="11" max="11" width="76.28515625" style="47" customWidth="1"/>
    <col min="12" max="12" width="20.28515625" style="47" bestFit="1" customWidth="1"/>
    <col min="13" max="13" width="55.85546875" style="71" customWidth="1"/>
    <col min="14" max="14" width="38.5703125" style="71" bestFit="1" customWidth="1"/>
    <col min="15" max="15" width="57" style="71" customWidth="1"/>
    <col min="16" max="16" width="15.42578125" style="46" bestFit="1" customWidth="1"/>
  </cols>
  <sheetData>
    <row r="1" spans="2:16" ht="8.25" customHeight="1" thickBot="1" x14ac:dyDescent="0.3"/>
    <row r="2" spans="2:16" ht="15.75" thickBot="1" x14ac:dyDescent="0.3">
      <c r="B2" s="118" t="s">
        <v>2868</v>
      </c>
      <c r="C2" s="119" t="s">
        <v>2869</v>
      </c>
      <c r="D2" s="119" t="s">
        <v>494</v>
      </c>
      <c r="E2" s="119" t="s">
        <v>2870</v>
      </c>
      <c r="F2" s="119" t="s">
        <v>2871</v>
      </c>
      <c r="G2" s="119" t="s">
        <v>2872</v>
      </c>
      <c r="H2" s="119" t="s">
        <v>2873</v>
      </c>
      <c r="I2" s="120" t="s">
        <v>2874</v>
      </c>
      <c r="J2" s="119" t="s">
        <v>7</v>
      </c>
      <c r="K2" s="119" t="s">
        <v>8</v>
      </c>
      <c r="L2" s="119" t="s">
        <v>4734</v>
      </c>
      <c r="M2" s="119" t="s">
        <v>2875</v>
      </c>
      <c r="N2" s="119" t="s">
        <v>5015</v>
      </c>
      <c r="O2" s="119" t="s">
        <v>12</v>
      </c>
      <c r="P2" s="121" t="s">
        <v>2876</v>
      </c>
    </row>
    <row r="3" spans="2:16" ht="60" x14ac:dyDescent="0.25">
      <c r="B3" s="139" t="str">
        <f t="shared" ref="B3:B66" si="0">MID($I3,1,1)</f>
        <v>1</v>
      </c>
      <c r="C3" s="139" t="str">
        <f t="shared" ref="C3:C66" si="1">MID($I3,2,1)</f>
        <v>0</v>
      </c>
      <c r="D3" s="139" t="str">
        <f t="shared" ref="D3:D66" si="2">MID($I3,3,1)</f>
        <v>0</v>
      </c>
      <c r="E3" s="139" t="str">
        <f t="shared" ref="E3:E66" si="3">MID($I3,4,1)</f>
        <v>0</v>
      </c>
      <c r="F3" s="139" t="str">
        <f t="shared" ref="F3:F66" si="4">MID($I3,5,2)</f>
        <v>00</v>
      </c>
      <c r="G3" s="139" t="str">
        <f t="shared" ref="G3:G66" si="5">MID($I3,7,1)</f>
        <v>0</v>
      </c>
      <c r="H3" s="139" t="str">
        <f t="shared" ref="H3:H66" si="6">MID($I3,8,1)</f>
        <v>0</v>
      </c>
      <c r="I3" s="140">
        <v>10000000</v>
      </c>
      <c r="J3" s="139" t="s">
        <v>15</v>
      </c>
      <c r="K3" s="139" t="s">
        <v>2877</v>
      </c>
      <c r="L3" s="141"/>
      <c r="M3" s="139" t="s">
        <v>2878</v>
      </c>
      <c r="N3" s="139" t="s">
        <v>5016</v>
      </c>
      <c r="O3" s="139" t="s">
        <v>17</v>
      </c>
      <c r="P3" s="142" t="s">
        <v>2880</v>
      </c>
    </row>
    <row r="4" spans="2:16" ht="26.25" customHeight="1" x14ac:dyDescent="0.25">
      <c r="B4" s="123" t="str">
        <f t="shared" si="0"/>
        <v>1</v>
      </c>
      <c r="C4" s="123" t="str">
        <f t="shared" si="1"/>
        <v>1</v>
      </c>
      <c r="D4" s="123" t="str">
        <f t="shared" si="2"/>
        <v>0</v>
      </c>
      <c r="E4" s="123" t="str">
        <f t="shared" si="3"/>
        <v>0</v>
      </c>
      <c r="F4" s="123" t="str">
        <f t="shared" si="4"/>
        <v>00</v>
      </c>
      <c r="G4" s="123" t="str">
        <f t="shared" si="5"/>
        <v>0</v>
      </c>
      <c r="H4" s="123" t="str">
        <f t="shared" si="6"/>
        <v>0</v>
      </c>
      <c r="I4" s="124">
        <v>11000000</v>
      </c>
      <c r="J4" s="123" t="s">
        <v>2881</v>
      </c>
      <c r="K4" s="123" t="s">
        <v>2882</v>
      </c>
      <c r="L4" s="103"/>
      <c r="M4" s="123" t="s">
        <v>2878</v>
      </c>
      <c r="N4" s="123" t="s">
        <v>5016</v>
      </c>
      <c r="O4" s="123" t="s">
        <v>20</v>
      </c>
      <c r="P4" s="125" t="s">
        <v>2880</v>
      </c>
    </row>
    <row r="5" spans="2:16" ht="75" x14ac:dyDescent="0.25">
      <c r="B5" s="126" t="str">
        <f t="shared" si="0"/>
        <v>1</v>
      </c>
      <c r="C5" s="126" t="str">
        <f t="shared" si="1"/>
        <v>1</v>
      </c>
      <c r="D5" s="126" t="str">
        <f t="shared" si="2"/>
        <v>1</v>
      </c>
      <c r="E5" s="126" t="str">
        <f t="shared" si="3"/>
        <v>0</v>
      </c>
      <c r="F5" s="126" t="str">
        <f t="shared" si="4"/>
        <v>00</v>
      </c>
      <c r="G5" s="126" t="str">
        <f t="shared" si="5"/>
        <v>0</v>
      </c>
      <c r="H5" s="126" t="str">
        <f t="shared" si="6"/>
        <v>0</v>
      </c>
      <c r="I5" s="127">
        <v>11100000</v>
      </c>
      <c r="J5" s="126" t="s">
        <v>21</v>
      </c>
      <c r="K5" s="126" t="s">
        <v>2883</v>
      </c>
      <c r="L5" s="122"/>
      <c r="M5" s="126" t="s">
        <v>2878</v>
      </c>
      <c r="N5" s="126" t="s">
        <v>5016</v>
      </c>
      <c r="O5" s="126" t="s">
        <v>23</v>
      </c>
      <c r="P5" s="128" t="s">
        <v>2880</v>
      </c>
    </row>
    <row r="6" spans="2:16" ht="30" x14ac:dyDescent="0.25">
      <c r="B6" s="104" t="str">
        <f t="shared" si="0"/>
        <v>1</v>
      </c>
      <c r="C6" s="104" t="str">
        <f t="shared" si="1"/>
        <v>1</v>
      </c>
      <c r="D6" s="104" t="str">
        <f t="shared" si="2"/>
        <v>1</v>
      </c>
      <c r="E6" s="104" t="str">
        <f t="shared" si="3"/>
        <v>1</v>
      </c>
      <c r="F6" s="104" t="str">
        <f t="shared" si="4"/>
        <v>00</v>
      </c>
      <c r="G6" s="104" t="str">
        <f t="shared" si="5"/>
        <v>0</v>
      </c>
      <c r="H6" s="104" t="str">
        <f t="shared" si="6"/>
        <v>0</v>
      </c>
      <c r="I6" s="105">
        <v>11110000</v>
      </c>
      <c r="J6" s="104" t="s">
        <v>24</v>
      </c>
      <c r="K6" s="104" t="s">
        <v>2884</v>
      </c>
      <c r="L6" s="106"/>
      <c r="M6" s="104" t="s">
        <v>2878</v>
      </c>
      <c r="N6" s="104" t="s">
        <v>2879</v>
      </c>
      <c r="O6" s="104" t="s">
        <v>26</v>
      </c>
      <c r="P6" s="107" t="s">
        <v>2880</v>
      </c>
    </row>
    <row r="7" spans="2:16" ht="75" x14ac:dyDescent="0.25">
      <c r="B7" s="108" t="str">
        <f t="shared" si="0"/>
        <v>1</v>
      </c>
      <c r="C7" s="108" t="str">
        <f t="shared" si="1"/>
        <v>1</v>
      </c>
      <c r="D7" s="108" t="str">
        <f t="shared" si="2"/>
        <v>1</v>
      </c>
      <c r="E7" s="108" t="str">
        <f t="shared" si="3"/>
        <v>1</v>
      </c>
      <c r="F7" s="108" t="str">
        <f t="shared" si="4"/>
        <v>01</v>
      </c>
      <c r="G7" s="108" t="str">
        <f t="shared" si="5"/>
        <v>0</v>
      </c>
      <c r="H7" s="108" t="str">
        <f t="shared" si="6"/>
        <v>0</v>
      </c>
      <c r="I7" s="109">
        <v>11110100</v>
      </c>
      <c r="J7" s="108" t="s">
        <v>27</v>
      </c>
      <c r="K7" s="108" t="s">
        <v>2885</v>
      </c>
      <c r="L7" s="110"/>
      <c r="M7" s="108" t="s">
        <v>2878</v>
      </c>
      <c r="N7" s="108" t="s">
        <v>2879</v>
      </c>
      <c r="O7" s="108" t="s">
        <v>2878</v>
      </c>
      <c r="P7" s="111" t="s">
        <v>2880</v>
      </c>
    </row>
    <row r="8" spans="2:16" ht="144" customHeight="1" x14ac:dyDescent="0.25">
      <c r="B8" s="114" t="str">
        <f t="shared" si="0"/>
        <v>1</v>
      </c>
      <c r="C8" s="114" t="str">
        <f t="shared" si="1"/>
        <v>1</v>
      </c>
      <c r="D8" s="114" t="str">
        <f t="shared" si="2"/>
        <v>1</v>
      </c>
      <c r="E8" s="114" t="str">
        <f t="shared" si="3"/>
        <v>1</v>
      </c>
      <c r="F8" s="114" t="str">
        <f t="shared" si="4"/>
        <v>01</v>
      </c>
      <c r="G8" s="114" t="str">
        <f t="shared" si="5"/>
        <v>1</v>
      </c>
      <c r="H8" s="114" t="str">
        <f t="shared" si="6"/>
        <v>0</v>
      </c>
      <c r="I8" s="115">
        <v>11110110</v>
      </c>
      <c r="J8" s="114" t="s">
        <v>27</v>
      </c>
      <c r="K8" s="114" t="s">
        <v>2886</v>
      </c>
      <c r="L8" s="116"/>
      <c r="M8" s="114" t="s">
        <v>2878</v>
      </c>
      <c r="N8" s="114" t="s">
        <v>2879</v>
      </c>
      <c r="O8" s="114" t="s">
        <v>2878</v>
      </c>
      <c r="P8" s="117" t="s">
        <v>2880</v>
      </c>
    </row>
    <row r="9" spans="2:16" ht="163.5" customHeight="1" x14ac:dyDescent="0.25">
      <c r="B9" s="85" t="str">
        <f t="shared" si="0"/>
        <v>1</v>
      </c>
      <c r="C9" s="85" t="str">
        <f t="shared" si="1"/>
        <v>1</v>
      </c>
      <c r="D9" s="85" t="str">
        <f t="shared" si="2"/>
        <v>1</v>
      </c>
      <c r="E9" s="85" t="str">
        <f t="shared" si="3"/>
        <v>1</v>
      </c>
      <c r="F9" s="85" t="str">
        <f t="shared" si="4"/>
        <v>01</v>
      </c>
      <c r="G9" s="85" t="str">
        <f t="shared" si="5"/>
        <v>1</v>
      </c>
      <c r="H9" s="85" t="str">
        <f t="shared" si="6"/>
        <v>1</v>
      </c>
      <c r="I9" s="87">
        <v>11110111</v>
      </c>
      <c r="J9" s="85" t="s">
        <v>2887</v>
      </c>
      <c r="K9" s="85" t="s">
        <v>2888</v>
      </c>
      <c r="L9" s="84"/>
      <c r="M9" s="85" t="s">
        <v>2889</v>
      </c>
      <c r="N9" s="85" t="s">
        <v>2879</v>
      </c>
      <c r="O9" s="85" t="s">
        <v>29</v>
      </c>
      <c r="P9" s="86" t="s">
        <v>2890</v>
      </c>
    </row>
    <row r="10" spans="2:16" ht="15.75" x14ac:dyDescent="0.25">
      <c r="B10" s="85" t="str">
        <f t="shared" si="0"/>
        <v>1</v>
      </c>
      <c r="C10" s="85" t="str">
        <f t="shared" si="1"/>
        <v>1</v>
      </c>
      <c r="D10" s="85" t="str">
        <f t="shared" si="2"/>
        <v>1</v>
      </c>
      <c r="E10" s="85" t="str">
        <f t="shared" si="3"/>
        <v>1</v>
      </c>
      <c r="F10" s="85" t="str">
        <f t="shared" si="4"/>
        <v>01</v>
      </c>
      <c r="G10" s="85" t="str">
        <f t="shared" si="5"/>
        <v>1</v>
      </c>
      <c r="H10" s="85" t="str">
        <f t="shared" si="6"/>
        <v>2</v>
      </c>
      <c r="I10" s="87">
        <v>11110112</v>
      </c>
      <c r="J10" s="85" t="s">
        <v>2891</v>
      </c>
      <c r="K10" s="85" t="s">
        <v>2892</v>
      </c>
      <c r="L10" s="84"/>
      <c r="M10" s="85" t="s">
        <v>2892</v>
      </c>
      <c r="N10" s="85" t="s">
        <v>2879</v>
      </c>
      <c r="O10" s="85" t="s">
        <v>2892</v>
      </c>
      <c r="P10" s="86" t="s">
        <v>2890</v>
      </c>
    </row>
    <row r="11" spans="2:16" ht="15.75" x14ac:dyDescent="0.25">
      <c r="B11" s="85" t="str">
        <f t="shared" si="0"/>
        <v>1</v>
      </c>
      <c r="C11" s="85" t="str">
        <f t="shared" si="1"/>
        <v>1</v>
      </c>
      <c r="D11" s="85" t="str">
        <f t="shared" si="2"/>
        <v>1</v>
      </c>
      <c r="E11" s="85" t="str">
        <f t="shared" si="3"/>
        <v>1</v>
      </c>
      <c r="F11" s="85" t="str">
        <f t="shared" si="4"/>
        <v>01</v>
      </c>
      <c r="G11" s="85" t="str">
        <f t="shared" si="5"/>
        <v>1</v>
      </c>
      <c r="H11" s="85" t="str">
        <f t="shared" si="6"/>
        <v>3</v>
      </c>
      <c r="I11" s="87">
        <v>11110113</v>
      </c>
      <c r="J11" s="85" t="s">
        <v>2893</v>
      </c>
      <c r="K11" s="85" t="s">
        <v>2892</v>
      </c>
      <c r="L11" s="84"/>
      <c r="M11" s="85" t="s">
        <v>2892</v>
      </c>
      <c r="N11" s="85" t="s">
        <v>2879</v>
      </c>
      <c r="O11" s="85" t="s">
        <v>2892</v>
      </c>
      <c r="P11" s="86" t="s">
        <v>2890</v>
      </c>
    </row>
    <row r="12" spans="2:16" ht="15.75" x14ac:dyDescent="0.25">
      <c r="B12" s="85" t="str">
        <f t="shared" si="0"/>
        <v>1</v>
      </c>
      <c r="C12" s="85" t="str">
        <f t="shared" si="1"/>
        <v>1</v>
      </c>
      <c r="D12" s="85" t="str">
        <f t="shared" si="2"/>
        <v>1</v>
      </c>
      <c r="E12" s="85" t="str">
        <f t="shared" si="3"/>
        <v>1</v>
      </c>
      <c r="F12" s="85" t="str">
        <f t="shared" si="4"/>
        <v>01</v>
      </c>
      <c r="G12" s="85" t="str">
        <f t="shared" si="5"/>
        <v>1</v>
      </c>
      <c r="H12" s="85" t="str">
        <f t="shared" si="6"/>
        <v>4</v>
      </c>
      <c r="I12" s="87">
        <v>11110114</v>
      </c>
      <c r="J12" s="85" t="s">
        <v>2894</v>
      </c>
      <c r="K12" s="85" t="s">
        <v>2892</v>
      </c>
      <c r="L12" s="84"/>
      <c r="M12" s="85" t="s">
        <v>2892</v>
      </c>
      <c r="N12" s="85" t="s">
        <v>2879</v>
      </c>
      <c r="O12" s="85" t="s">
        <v>2892</v>
      </c>
      <c r="P12" s="86" t="s">
        <v>2890</v>
      </c>
    </row>
    <row r="13" spans="2:16" ht="45" x14ac:dyDescent="0.25">
      <c r="B13" s="108" t="str">
        <f t="shared" si="0"/>
        <v>1</v>
      </c>
      <c r="C13" s="108" t="str">
        <f t="shared" si="1"/>
        <v>1</v>
      </c>
      <c r="D13" s="108" t="str">
        <f t="shared" si="2"/>
        <v>1</v>
      </c>
      <c r="E13" s="108" t="str">
        <f t="shared" si="3"/>
        <v>1</v>
      </c>
      <c r="F13" s="108" t="str">
        <f t="shared" si="4"/>
        <v>02</v>
      </c>
      <c r="G13" s="108" t="str">
        <f t="shared" si="5"/>
        <v>0</v>
      </c>
      <c r="H13" s="108" t="str">
        <f t="shared" si="6"/>
        <v>0</v>
      </c>
      <c r="I13" s="109">
        <v>11110200</v>
      </c>
      <c r="J13" s="108" t="s">
        <v>36</v>
      </c>
      <c r="K13" s="108" t="s">
        <v>2895</v>
      </c>
      <c r="L13" s="110"/>
      <c r="M13" s="108" t="s">
        <v>2878</v>
      </c>
      <c r="N13" s="108" t="s">
        <v>2879</v>
      </c>
      <c r="O13" s="108" t="s">
        <v>2878</v>
      </c>
      <c r="P13" s="111" t="s">
        <v>2880</v>
      </c>
    </row>
    <row r="14" spans="2:16" ht="30" x14ac:dyDescent="0.25">
      <c r="B14" s="114" t="str">
        <f t="shared" si="0"/>
        <v>1</v>
      </c>
      <c r="C14" s="114" t="str">
        <f t="shared" si="1"/>
        <v>1</v>
      </c>
      <c r="D14" s="114" t="str">
        <f t="shared" si="2"/>
        <v>1</v>
      </c>
      <c r="E14" s="114" t="str">
        <f t="shared" si="3"/>
        <v>1</v>
      </c>
      <c r="F14" s="114" t="str">
        <f t="shared" si="4"/>
        <v>02</v>
      </c>
      <c r="G14" s="114" t="str">
        <f t="shared" si="5"/>
        <v>1</v>
      </c>
      <c r="H14" s="114" t="str">
        <f t="shared" si="6"/>
        <v>0</v>
      </c>
      <c r="I14" s="115">
        <v>11110210</v>
      </c>
      <c r="J14" s="114" t="s">
        <v>36</v>
      </c>
      <c r="K14" s="114" t="s">
        <v>2896</v>
      </c>
      <c r="L14" s="116"/>
      <c r="M14" s="114" t="s">
        <v>2878</v>
      </c>
      <c r="N14" s="114" t="s">
        <v>2879</v>
      </c>
      <c r="O14" s="114" t="s">
        <v>2878</v>
      </c>
      <c r="P14" s="117" t="s">
        <v>2880</v>
      </c>
    </row>
    <row r="15" spans="2:16" ht="37.5" customHeight="1" x14ac:dyDescent="0.25">
      <c r="B15" s="85" t="str">
        <f t="shared" si="0"/>
        <v>1</v>
      </c>
      <c r="C15" s="85" t="str">
        <f t="shared" si="1"/>
        <v>1</v>
      </c>
      <c r="D15" s="85" t="str">
        <f t="shared" si="2"/>
        <v>1</v>
      </c>
      <c r="E15" s="85" t="str">
        <f t="shared" si="3"/>
        <v>1</v>
      </c>
      <c r="F15" s="85" t="str">
        <f t="shared" si="4"/>
        <v>02</v>
      </c>
      <c r="G15" s="85" t="str">
        <f t="shared" si="5"/>
        <v>1</v>
      </c>
      <c r="H15" s="85" t="str">
        <f t="shared" si="6"/>
        <v>1</v>
      </c>
      <c r="I15" s="87">
        <v>11110211</v>
      </c>
      <c r="J15" s="85" t="s">
        <v>2897</v>
      </c>
      <c r="K15" s="85" t="s">
        <v>2898</v>
      </c>
      <c r="L15" s="84"/>
      <c r="M15" s="85" t="s">
        <v>2889</v>
      </c>
      <c r="N15" s="85" t="s">
        <v>2879</v>
      </c>
      <c r="O15" s="85" t="s">
        <v>38</v>
      </c>
      <c r="P15" s="86" t="s">
        <v>2890</v>
      </c>
    </row>
    <row r="16" spans="2:16" ht="15.75" x14ac:dyDescent="0.25">
      <c r="B16" s="85" t="str">
        <f t="shared" si="0"/>
        <v>1</v>
      </c>
      <c r="C16" s="85" t="str">
        <f t="shared" si="1"/>
        <v>1</v>
      </c>
      <c r="D16" s="85" t="str">
        <f t="shared" si="2"/>
        <v>1</v>
      </c>
      <c r="E16" s="85" t="str">
        <f t="shared" si="3"/>
        <v>1</v>
      </c>
      <c r="F16" s="85" t="str">
        <f t="shared" si="4"/>
        <v>02</v>
      </c>
      <c r="G16" s="85" t="str">
        <f t="shared" si="5"/>
        <v>1</v>
      </c>
      <c r="H16" s="85" t="str">
        <f t="shared" si="6"/>
        <v>2</v>
      </c>
      <c r="I16" s="87">
        <v>11110212</v>
      </c>
      <c r="J16" s="85" t="s">
        <v>2899</v>
      </c>
      <c r="K16" s="85" t="s">
        <v>2892</v>
      </c>
      <c r="L16" s="84"/>
      <c r="M16" s="85" t="s">
        <v>2892</v>
      </c>
      <c r="N16" s="85" t="s">
        <v>2879</v>
      </c>
      <c r="O16" s="85" t="s">
        <v>2892</v>
      </c>
      <c r="P16" s="86" t="s">
        <v>2890</v>
      </c>
    </row>
    <row r="17" spans="2:16" ht="15.75" x14ac:dyDescent="0.25">
      <c r="B17" s="85" t="str">
        <f t="shared" si="0"/>
        <v>1</v>
      </c>
      <c r="C17" s="85" t="str">
        <f t="shared" si="1"/>
        <v>1</v>
      </c>
      <c r="D17" s="85" t="str">
        <f t="shared" si="2"/>
        <v>1</v>
      </c>
      <c r="E17" s="85" t="str">
        <f t="shared" si="3"/>
        <v>1</v>
      </c>
      <c r="F17" s="85" t="str">
        <f t="shared" si="4"/>
        <v>02</v>
      </c>
      <c r="G17" s="85" t="str">
        <f t="shared" si="5"/>
        <v>1</v>
      </c>
      <c r="H17" s="85" t="str">
        <f t="shared" si="6"/>
        <v>3</v>
      </c>
      <c r="I17" s="87">
        <v>11110213</v>
      </c>
      <c r="J17" s="85" t="s">
        <v>2900</v>
      </c>
      <c r="K17" s="85" t="s">
        <v>2892</v>
      </c>
      <c r="L17" s="84"/>
      <c r="M17" s="85" t="s">
        <v>2892</v>
      </c>
      <c r="N17" s="85" t="s">
        <v>2879</v>
      </c>
      <c r="O17" s="85" t="s">
        <v>2892</v>
      </c>
      <c r="P17" s="86" t="s">
        <v>2890</v>
      </c>
    </row>
    <row r="18" spans="2:16" ht="15.75" x14ac:dyDescent="0.25">
      <c r="B18" s="85" t="str">
        <f t="shared" si="0"/>
        <v>1</v>
      </c>
      <c r="C18" s="85" t="str">
        <f t="shared" si="1"/>
        <v>1</v>
      </c>
      <c r="D18" s="85" t="str">
        <f t="shared" si="2"/>
        <v>1</v>
      </c>
      <c r="E18" s="85" t="str">
        <f t="shared" si="3"/>
        <v>1</v>
      </c>
      <c r="F18" s="85" t="str">
        <f t="shared" si="4"/>
        <v>02</v>
      </c>
      <c r="G18" s="85" t="str">
        <f t="shared" si="5"/>
        <v>1</v>
      </c>
      <c r="H18" s="85" t="str">
        <f t="shared" si="6"/>
        <v>4</v>
      </c>
      <c r="I18" s="87">
        <v>11110214</v>
      </c>
      <c r="J18" s="85" t="s">
        <v>2901</v>
      </c>
      <c r="K18" s="85" t="s">
        <v>2892</v>
      </c>
      <c r="L18" s="84"/>
      <c r="M18" s="85" t="s">
        <v>2892</v>
      </c>
      <c r="N18" s="85" t="s">
        <v>2879</v>
      </c>
      <c r="O18" s="85" t="s">
        <v>2892</v>
      </c>
      <c r="P18" s="86" t="s">
        <v>2890</v>
      </c>
    </row>
    <row r="19" spans="2:16" ht="30" x14ac:dyDescent="0.25">
      <c r="B19" s="104" t="str">
        <f t="shared" si="0"/>
        <v>1</v>
      </c>
      <c r="C19" s="104" t="str">
        <f t="shared" si="1"/>
        <v>1</v>
      </c>
      <c r="D19" s="104" t="str">
        <f t="shared" si="2"/>
        <v>1</v>
      </c>
      <c r="E19" s="104" t="str">
        <f t="shared" si="3"/>
        <v>2</v>
      </c>
      <c r="F19" s="104" t="str">
        <f t="shared" si="4"/>
        <v>00</v>
      </c>
      <c r="G19" s="104" t="str">
        <f t="shared" si="5"/>
        <v>0</v>
      </c>
      <c r="H19" s="104" t="str">
        <f t="shared" si="6"/>
        <v>0</v>
      </c>
      <c r="I19" s="105">
        <v>11120000</v>
      </c>
      <c r="J19" s="104" t="s">
        <v>2902</v>
      </c>
      <c r="K19" s="104" t="s">
        <v>2903</v>
      </c>
      <c r="L19" s="106"/>
      <c r="M19" s="104" t="s">
        <v>2878</v>
      </c>
      <c r="N19" s="104" t="s">
        <v>2879</v>
      </c>
      <c r="O19" s="104" t="s">
        <v>2878</v>
      </c>
      <c r="P19" s="107" t="s">
        <v>2880</v>
      </c>
    </row>
    <row r="20" spans="2:16" ht="75" x14ac:dyDescent="0.25">
      <c r="B20" s="108" t="str">
        <f t="shared" si="0"/>
        <v>1</v>
      </c>
      <c r="C20" s="108" t="str">
        <f t="shared" si="1"/>
        <v>1</v>
      </c>
      <c r="D20" s="108" t="str">
        <f t="shared" si="2"/>
        <v>1</v>
      </c>
      <c r="E20" s="108" t="str">
        <f t="shared" si="3"/>
        <v>2</v>
      </c>
      <c r="F20" s="108" t="str">
        <f t="shared" si="4"/>
        <v>01</v>
      </c>
      <c r="G20" s="108" t="str">
        <f t="shared" si="5"/>
        <v>0</v>
      </c>
      <c r="H20" s="108" t="str">
        <f t="shared" si="6"/>
        <v>0</v>
      </c>
      <c r="I20" s="109">
        <v>11120100</v>
      </c>
      <c r="J20" s="108" t="s">
        <v>45</v>
      </c>
      <c r="K20" s="108" t="s">
        <v>2904</v>
      </c>
      <c r="L20" s="110"/>
      <c r="M20" s="108" t="s">
        <v>2878</v>
      </c>
      <c r="N20" s="108" t="s">
        <v>2879</v>
      </c>
      <c r="O20" s="108" t="s">
        <v>47</v>
      </c>
      <c r="P20" s="111" t="s">
        <v>2880</v>
      </c>
    </row>
    <row r="21" spans="2:16" ht="45" x14ac:dyDescent="0.25">
      <c r="B21" s="114" t="str">
        <f t="shared" si="0"/>
        <v>1</v>
      </c>
      <c r="C21" s="114" t="str">
        <f t="shared" si="1"/>
        <v>1</v>
      </c>
      <c r="D21" s="114" t="str">
        <f t="shared" si="2"/>
        <v>1</v>
      </c>
      <c r="E21" s="114" t="str">
        <f t="shared" si="3"/>
        <v>2</v>
      </c>
      <c r="F21" s="114" t="str">
        <f t="shared" si="4"/>
        <v>01</v>
      </c>
      <c r="G21" s="114" t="str">
        <f t="shared" si="5"/>
        <v>1</v>
      </c>
      <c r="H21" s="114" t="str">
        <f t="shared" si="6"/>
        <v>0</v>
      </c>
      <c r="I21" s="115">
        <v>11120110</v>
      </c>
      <c r="J21" s="114" t="s">
        <v>48</v>
      </c>
      <c r="K21" s="114" t="s">
        <v>2905</v>
      </c>
      <c r="L21" s="116"/>
      <c r="M21" s="114" t="s">
        <v>2878</v>
      </c>
      <c r="N21" s="114" t="s">
        <v>2879</v>
      </c>
      <c r="O21" s="114" t="s">
        <v>2878</v>
      </c>
      <c r="P21" s="117" t="s">
        <v>2880</v>
      </c>
    </row>
    <row r="22" spans="2:16" ht="75" x14ac:dyDescent="0.25">
      <c r="B22" s="85" t="str">
        <f t="shared" si="0"/>
        <v>1</v>
      </c>
      <c r="C22" s="85" t="str">
        <f t="shared" si="1"/>
        <v>1</v>
      </c>
      <c r="D22" s="85" t="str">
        <f t="shared" si="2"/>
        <v>1</v>
      </c>
      <c r="E22" s="85" t="str">
        <f t="shared" si="3"/>
        <v>2</v>
      </c>
      <c r="F22" s="85" t="str">
        <f t="shared" si="4"/>
        <v>01</v>
      </c>
      <c r="G22" s="85" t="str">
        <f t="shared" si="5"/>
        <v>1</v>
      </c>
      <c r="H22" s="85" t="str">
        <f t="shared" si="6"/>
        <v>1</v>
      </c>
      <c r="I22" s="87">
        <v>11120111</v>
      </c>
      <c r="J22" s="85" t="s">
        <v>2906</v>
      </c>
      <c r="K22" s="85" t="s">
        <v>2907</v>
      </c>
      <c r="L22" s="84"/>
      <c r="M22" s="85" t="s">
        <v>2908</v>
      </c>
      <c r="N22" s="85" t="s">
        <v>2879</v>
      </c>
      <c r="O22" s="85" t="s">
        <v>50</v>
      </c>
      <c r="P22" s="86" t="s">
        <v>2890</v>
      </c>
    </row>
    <row r="23" spans="2:16" ht="30" x14ac:dyDescent="0.25">
      <c r="B23" s="85" t="str">
        <f t="shared" si="0"/>
        <v>1</v>
      </c>
      <c r="C23" s="85" t="str">
        <f t="shared" si="1"/>
        <v>1</v>
      </c>
      <c r="D23" s="85" t="str">
        <f t="shared" si="2"/>
        <v>1</v>
      </c>
      <c r="E23" s="85" t="str">
        <f t="shared" si="3"/>
        <v>2</v>
      </c>
      <c r="F23" s="85" t="str">
        <f t="shared" si="4"/>
        <v>01</v>
      </c>
      <c r="G23" s="85" t="str">
        <f t="shared" si="5"/>
        <v>1</v>
      </c>
      <c r="H23" s="85" t="str">
        <f t="shared" si="6"/>
        <v>2</v>
      </c>
      <c r="I23" s="87">
        <v>11120112</v>
      </c>
      <c r="J23" s="85" t="s">
        <v>2909</v>
      </c>
      <c r="K23" s="85" t="s">
        <v>2892</v>
      </c>
      <c r="L23" s="84"/>
      <c r="M23" s="85" t="s">
        <v>2892</v>
      </c>
      <c r="N23" s="85" t="s">
        <v>2879</v>
      </c>
      <c r="O23" s="85" t="s">
        <v>2892</v>
      </c>
      <c r="P23" s="86" t="s">
        <v>2890</v>
      </c>
    </row>
    <row r="24" spans="2:16" ht="30" x14ac:dyDescent="0.25">
      <c r="B24" s="85" t="str">
        <f t="shared" si="0"/>
        <v>1</v>
      </c>
      <c r="C24" s="85" t="str">
        <f t="shared" si="1"/>
        <v>1</v>
      </c>
      <c r="D24" s="85" t="str">
        <f t="shared" si="2"/>
        <v>1</v>
      </c>
      <c r="E24" s="85" t="str">
        <f t="shared" si="3"/>
        <v>2</v>
      </c>
      <c r="F24" s="85" t="str">
        <f t="shared" si="4"/>
        <v>01</v>
      </c>
      <c r="G24" s="85" t="str">
        <f t="shared" si="5"/>
        <v>1</v>
      </c>
      <c r="H24" s="85" t="str">
        <f t="shared" si="6"/>
        <v>3</v>
      </c>
      <c r="I24" s="87">
        <v>11120113</v>
      </c>
      <c r="J24" s="85" t="s">
        <v>2910</v>
      </c>
      <c r="K24" s="85" t="s">
        <v>2892</v>
      </c>
      <c r="L24" s="84"/>
      <c r="M24" s="85" t="s">
        <v>2892</v>
      </c>
      <c r="N24" s="85" t="s">
        <v>2879</v>
      </c>
      <c r="O24" s="85" t="s">
        <v>2892</v>
      </c>
      <c r="P24" s="86" t="s">
        <v>2890</v>
      </c>
    </row>
    <row r="25" spans="2:16" ht="30" x14ac:dyDescent="0.25">
      <c r="B25" s="85" t="str">
        <f t="shared" si="0"/>
        <v>1</v>
      </c>
      <c r="C25" s="85" t="str">
        <f t="shared" si="1"/>
        <v>1</v>
      </c>
      <c r="D25" s="85" t="str">
        <f t="shared" si="2"/>
        <v>1</v>
      </c>
      <c r="E25" s="85" t="str">
        <f t="shared" si="3"/>
        <v>2</v>
      </c>
      <c r="F25" s="85" t="str">
        <f t="shared" si="4"/>
        <v>01</v>
      </c>
      <c r="G25" s="85" t="str">
        <f t="shared" si="5"/>
        <v>1</v>
      </c>
      <c r="H25" s="85" t="str">
        <f t="shared" si="6"/>
        <v>4</v>
      </c>
      <c r="I25" s="87">
        <v>11120114</v>
      </c>
      <c r="J25" s="85" t="s">
        <v>2911</v>
      </c>
      <c r="K25" s="85" t="s">
        <v>2892</v>
      </c>
      <c r="L25" s="84"/>
      <c r="M25" s="85" t="s">
        <v>2892</v>
      </c>
      <c r="N25" s="85" t="s">
        <v>2879</v>
      </c>
      <c r="O25" s="85" t="s">
        <v>2892</v>
      </c>
      <c r="P25" s="86" t="s">
        <v>2890</v>
      </c>
    </row>
    <row r="26" spans="2:16" ht="45" x14ac:dyDescent="0.25">
      <c r="B26" s="114" t="str">
        <f t="shared" si="0"/>
        <v>1</v>
      </c>
      <c r="C26" s="114" t="str">
        <f t="shared" si="1"/>
        <v>1</v>
      </c>
      <c r="D26" s="114" t="str">
        <f t="shared" si="2"/>
        <v>1</v>
      </c>
      <c r="E26" s="114" t="str">
        <f t="shared" si="3"/>
        <v>2</v>
      </c>
      <c r="F26" s="114" t="str">
        <f t="shared" si="4"/>
        <v>01</v>
      </c>
      <c r="G26" s="114" t="str">
        <f t="shared" si="5"/>
        <v>2</v>
      </c>
      <c r="H26" s="114" t="str">
        <f t="shared" si="6"/>
        <v>0</v>
      </c>
      <c r="I26" s="115">
        <v>11120120</v>
      </c>
      <c r="J26" s="114" t="s">
        <v>51</v>
      </c>
      <c r="K26" s="114" t="s">
        <v>2912</v>
      </c>
      <c r="L26" s="116"/>
      <c r="M26" s="114" t="s">
        <v>2878</v>
      </c>
      <c r="N26" s="114" t="s">
        <v>2879</v>
      </c>
      <c r="O26" s="114" t="s">
        <v>2878</v>
      </c>
      <c r="P26" s="117" t="s">
        <v>2880</v>
      </c>
    </row>
    <row r="27" spans="2:16" ht="120" x14ac:dyDescent="0.25">
      <c r="B27" s="85" t="str">
        <f t="shared" si="0"/>
        <v>1</v>
      </c>
      <c r="C27" s="85" t="str">
        <f t="shared" si="1"/>
        <v>1</v>
      </c>
      <c r="D27" s="85" t="str">
        <f t="shared" si="2"/>
        <v>1</v>
      </c>
      <c r="E27" s="85" t="str">
        <f t="shared" si="3"/>
        <v>2</v>
      </c>
      <c r="F27" s="85" t="str">
        <f t="shared" si="4"/>
        <v>01</v>
      </c>
      <c r="G27" s="85" t="str">
        <f t="shared" si="5"/>
        <v>2</v>
      </c>
      <c r="H27" s="85" t="str">
        <f t="shared" si="6"/>
        <v>1</v>
      </c>
      <c r="I27" s="87">
        <v>11120121</v>
      </c>
      <c r="J27" s="85" t="s">
        <v>2913</v>
      </c>
      <c r="K27" s="85" t="s">
        <v>2914</v>
      </c>
      <c r="L27" s="84"/>
      <c r="M27" s="85" t="s">
        <v>2915</v>
      </c>
      <c r="N27" s="85" t="s">
        <v>2879</v>
      </c>
      <c r="O27" s="85" t="s">
        <v>50</v>
      </c>
      <c r="P27" s="86" t="s">
        <v>2890</v>
      </c>
    </row>
    <row r="28" spans="2:16" ht="30" x14ac:dyDescent="0.25">
      <c r="B28" s="85" t="str">
        <f t="shared" si="0"/>
        <v>1</v>
      </c>
      <c r="C28" s="85" t="str">
        <f t="shared" si="1"/>
        <v>1</v>
      </c>
      <c r="D28" s="85" t="str">
        <f t="shared" si="2"/>
        <v>1</v>
      </c>
      <c r="E28" s="85" t="str">
        <f t="shared" si="3"/>
        <v>2</v>
      </c>
      <c r="F28" s="85" t="str">
        <f t="shared" si="4"/>
        <v>01</v>
      </c>
      <c r="G28" s="85" t="str">
        <f t="shared" si="5"/>
        <v>2</v>
      </c>
      <c r="H28" s="85" t="str">
        <f t="shared" si="6"/>
        <v>2</v>
      </c>
      <c r="I28" s="87">
        <v>11120122</v>
      </c>
      <c r="J28" s="85" t="s">
        <v>2916</v>
      </c>
      <c r="K28" s="85" t="s">
        <v>2892</v>
      </c>
      <c r="L28" s="84"/>
      <c r="M28" s="85" t="s">
        <v>2892</v>
      </c>
      <c r="N28" s="85" t="s">
        <v>2879</v>
      </c>
      <c r="O28" s="85" t="s">
        <v>2892</v>
      </c>
      <c r="P28" s="86" t="s">
        <v>2890</v>
      </c>
    </row>
    <row r="29" spans="2:16" ht="30" x14ac:dyDescent="0.25">
      <c r="B29" s="85" t="str">
        <f t="shared" si="0"/>
        <v>1</v>
      </c>
      <c r="C29" s="85" t="str">
        <f t="shared" si="1"/>
        <v>1</v>
      </c>
      <c r="D29" s="85" t="str">
        <f t="shared" si="2"/>
        <v>1</v>
      </c>
      <c r="E29" s="85" t="str">
        <f t="shared" si="3"/>
        <v>2</v>
      </c>
      <c r="F29" s="85" t="str">
        <f t="shared" si="4"/>
        <v>01</v>
      </c>
      <c r="G29" s="85" t="str">
        <f t="shared" si="5"/>
        <v>2</v>
      </c>
      <c r="H29" s="85" t="str">
        <f t="shared" si="6"/>
        <v>3</v>
      </c>
      <c r="I29" s="87">
        <v>11120123</v>
      </c>
      <c r="J29" s="85" t="s">
        <v>2917</v>
      </c>
      <c r="K29" s="85" t="s">
        <v>2892</v>
      </c>
      <c r="L29" s="84"/>
      <c r="M29" s="85" t="s">
        <v>2892</v>
      </c>
      <c r="N29" s="85" t="s">
        <v>2879</v>
      </c>
      <c r="O29" s="85" t="s">
        <v>2892</v>
      </c>
      <c r="P29" s="86" t="s">
        <v>2890</v>
      </c>
    </row>
    <row r="30" spans="2:16" ht="30" x14ac:dyDescent="0.25">
      <c r="B30" s="85" t="str">
        <f t="shared" si="0"/>
        <v>1</v>
      </c>
      <c r="C30" s="85" t="str">
        <f t="shared" si="1"/>
        <v>1</v>
      </c>
      <c r="D30" s="85" t="str">
        <f t="shared" si="2"/>
        <v>1</v>
      </c>
      <c r="E30" s="85" t="str">
        <f t="shared" si="3"/>
        <v>2</v>
      </c>
      <c r="F30" s="85" t="str">
        <f t="shared" si="4"/>
        <v>01</v>
      </c>
      <c r="G30" s="85" t="str">
        <f t="shared" si="5"/>
        <v>2</v>
      </c>
      <c r="H30" s="85" t="str">
        <f t="shared" si="6"/>
        <v>4</v>
      </c>
      <c r="I30" s="87">
        <v>11120124</v>
      </c>
      <c r="J30" s="85" t="s">
        <v>2918</v>
      </c>
      <c r="K30" s="85" t="s">
        <v>2892</v>
      </c>
      <c r="L30" s="84"/>
      <c r="M30" s="85" t="s">
        <v>2892</v>
      </c>
      <c r="N30" s="85" t="s">
        <v>2879</v>
      </c>
      <c r="O30" s="85" t="s">
        <v>2892</v>
      </c>
      <c r="P30" s="86" t="s">
        <v>2890</v>
      </c>
    </row>
    <row r="31" spans="2:16" ht="30" x14ac:dyDescent="0.25">
      <c r="B31" s="104" t="str">
        <f t="shared" si="0"/>
        <v>1</v>
      </c>
      <c r="C31" s="104" t="str">
        <f t="shared" si="1"/>
        <v>1</v>
      </c>
      <c r="D31" s="104" t="str">
        <f t="shared" si="2"/>
        <v>1</v>
      </c>
      <c r="E31" s="104" t="str">
        <f t="shared" si="3"/>
        <v>3</v>
      </c>
      <c r="F31" s="104" t="str">
        <f t="shared" si="4"/>
        <v>00</v>
      </c>
      <c r="G31" s="104" t="str">
        <f t="shared" si="5"/>
        <v>0</v>
      </c>
      <c r="H31" s="104" t="str">
        <f t="shared" si="6"/>
        <v>0</v>
      </c>
      <c r="I31" s="105">
        <v>11130000</v>
      </c>
      <c r="J31" s="104" t="s">
        <v>2919</v>
      </c>
      <c r="K31" s="104" t="s">
        <v>2920</v>
      </c>
      <c r="L31" s="106"/>
      <c r="M31" s="104" t="s">
        <v>2878</v>
      </c>
      <c r="N31" s="104" t="s">
        <v>2879</v>
      </c>
      <c r="O31" s="104" t="s">
        <v>2878</v>
      </c>
      <c r="P31" s="107" t="s">
        <v>2880</v>
      </c>
    </row>
    <row r="32" spans="2:16" ht="45" x14ac:dyDescent="0.25">
      <c r="B32" s="108" t="str">
        <f t="shared" si="0"/>
        <v>1</v>
      </c>
      <c r="C32" s="108" t="str">
        <f t="shared" si="1"/>
        <v>1</v>
      </c>
      <c r="D32" s="108" t="str">
        <f t="shared" si="2"/>
        <v>1</v>
      </c>
      <c r="E32" s="108" t="str">
        <f t="shared" si="3"/>
        <v>3</v>
      </c>
      <c r="F32" s="108" t="str">
        <f t="shared" si="4"/>
        <v>01</v>
      </c>
      <c r="G32" s="108" t="str">
        <f t="shared" si="5"/>
        <v>0</v>
      </c>
      <c r="H32" s="108" t="str">
        <f t="shared" si="6"/>
        <v>0</v>
      </c>
      <c r="I32" s="109">
        <v>11130100</v>
      </c>
      <c r="J32" s="108" t="s">
        <v>2921</v>
      </c>
      <c r="K32" s="108" t="s">
        <v>2922</v>
      </c>
      <c r="L32" s="110"/>
      <c r="M32" s="108" t="s">
        <v>2878</v>
      </c>
      <c r="N32" s="108" t="s">
        <v>2879</v>
      </c>
      <c r="O32" s="108" t="s">
        <v>2878</v>
      </c>
      <c r="P32" s="111" t="s">
        <v>2880</v>
      </c>
    </row>
    <row r="33" spans="2:16" ht="45" x14ac:dyDescent="0.25">
      <c r="B33" s="114" t="str">
        <f t="shared" si="0"/>
        <v>1</v>
      </c>
      <c r="C33" s="114" t="str">
        <f t="shared" si="1"/>
        <v>1</v>
      </c>
      <c r="D33" s="114" t="str">
        <f t="shared" si="2"/>
        <v>1</v>
      </c>
      <c r="E33" s="114" t="str">
        <f t="shared" si="3"/>
        <v>3</v>
      </c>
      <c r="F33" s="114" t="str">
        <f t="shared" si="4"/>
        <v>01</v>
      </c>
      <c r="G33" s="114" t="str">
        <f t="shared" si="5"/>
        <v>1</v>
      </c>
      <c r="H33" s="114" t="str">
        <f t="shared" si="6"/>
        <v>0</v>
      </c>
      <c r="I33" s="115">
        <v>11130110</v>
      </c>
      <c r="J33" s="114" t="s">
        <v>2921</v>
      </c>
      <c r="K33" s="114" t="s">
        <v>2922</v>
      </c>
      <c r="L33" s="116"/>
      <c r="M33" s="114" t="s">
        <v>2878</v>
      </c>
      <c r="N33" s="114" t="s">
        <v>2879</v>
      </c>
      <c r="O33" s="114" t="s">
        <v>2878</v>
      </c>
      <c r="P33" s="117" t="s">
        <v>2880</v>
      </c>
    </row>
    <row r="34" spans="2:16" ht="85.5" customHeight="1" x14ac:dyDescent="0.25">
      <c r="B34" s="85" t="str">
        <f t="shared" si="0"/>
        <v>1</v>
      </c>
      <c r="C34" s="85" t="str">
        <f t="shared" si="1"/>
        <v>1</v>
      </c>
      <c r="D34" s="85" t="str">
        <f t="shared" si="2"/>
        <v>1</v>
      </c>
      <c r="E34" s="85" t="str">
        <f t="shared" si="3"/>
        <v>3</v>
      </c>
      <c r="F34" s="85" t="str">
        <f t="shared" si="4"/>
        <v>01</v>
      </c>
      <c r="G34" s="85" t="str">
        <f t="shared" si="5"/>
        <v>1</v>
      </c>
      <c r="H34" s="85" t="str">
        <f t="shared" si="6"/>
        <v>1</v>
      </c>
      <c r="I34" s="87">
        <v>11130111</v>
      </c>
      <c r="J34" s="85" t="s">
        <v>2923</v>
      </c>
      <c r="K34" s="85" t="s">
        <v>2924</v>
      </c>
      <c r="L34" s="84"/>
      <c r="M34" s="85" t="s">
        <v>2925</v>
      </c>
      <c r="N34" s="85" t="s">
        <v>2879</v>
      </c>
      <c r="O34" s="85" t="s">
        <v>2926</v>
      </c>
      <c r="P34" s="86" t="s">
        <v>2890</v>
      </c>
    </row>
    <row r="35" spans="2:16" ht="15.75" x14ac:dyDescent="0.25">
      <c r="B35" s="85" t="str">
        <f t="shared" si="0"/>
        <v>1</v>
      </c>
      <c r="C35" s="85" t="str">
        <f t="shared" si="1"/>
        <v>1</v>
      </c>
      <c r="D35" s="85" t="str">
        <f t="shared" si="2"/>
        <v>1</v>
      </c>
      <c r="E35" s="85" t="str">
        <f t="shared" si="3"/>
        <v>3</v>
      </c>
      <c r="F35" s="85" t="str">
        <f t="shared" si="4"/>
        <v>01</v>
      </c>
      <c r="G35" s="85" t="str">
        <f t="shared" si="5"/>
        <v>1</v>
      </c>
      <c r="H35" s="85" t="str">
        <f t="shared" si="6"/>
        <v>2</v>
      </c>
      <c r="I35" s="87">
        <v>11130112</v>
      </c>
      <c r="J35" s="85" t="s">
        <v>2927</v>
      </c>
      <c r="K35" s="85" t="s">
        <v>2892</v>
      </c>
      <c r="L35" s="84"/>
      <c r="M35" s="85" t="s">
        <v>2892</v>
      </c>
      <c r="N35" s="85" t="s">
        <v>2879</v>
      </c>
      <c r="O35" s="85" t="s">
        <v>2892</v>
      </c>
      <c r="P35" s="86" t="s">
        <v>2890</v>
      </c>
    </row>
    <row r="36" spans="2:16" ht="15.75" x14ac:dyDescent="0.25">
      <c r="B36" s="85" t="str">
        <f t="shared" si="0"/>
        <v>1</v>
      </c>
      <c r="C36" s="85" t="str">
        <f t="shared" si="1"/>
        <v>1</v>
      </c>
      <c r="D36" s="85" t="str">
        <f t="shared" si="2"/>
        <v>1</v>
      </c>
      <c r="E36" s="85" t="str">
        <f t="shared" si="3"/>
        <v>3</v>
      </c>
      <c r="F36" s="85" t="str">
        <f t="shared" si="4"/>
        <v>01</v>
      </c>
      <c r="G36" s="85" t="str">
        <f t="shared" si="5"/>
        <v>1</v>
      </c>
      <c r="H36" s="85" t="str">
        <f t="shared" si="6"/>
        <v>3</v>
      </c>
      <c r="I36" s="87">
        <v>11130113</v>
      </c>
      <c r="J36" s="85" t="s">
        <v>2928</v>
      </c>
      <c r="K36" s="85" t="s">
        <v>2892</v>
      </c>
      <c r="L36" s="84"/>
      <c r="M36" s="85" t="s">
        <v>2892</v>
      </c>
      <c r="N36" s="85" t="s">
        <v>2879</v>
      </c>
      <c r="O36" s="85" t="s">
        <v>2892</v>
      </c>
      <c r="P36" s="86" t="s">
        <v>2890</v>
      </c>
    </row>
    <row r="37" spans="2:16" ht="15.75" x14ac:dyDescent="0.25">
      <c r="B37" s="85" t="str">
        <f t="shared" si="0"/>
        <v>1</v>
      </c>
      <c r="C37" s="85" t="str">
        <f t="shared" si="1"/>
        <v>1</v>
      </c>
      <c r="D37" s="85" t="str">
        <f t="shared" si="2"/>
        <v>1</v>
      </c>
      <c r="E37" s="85" t="str">
        <f t="shared" si="3"/>
        <v>3</v>
      </c>
      <c r="F37" s="85" t="str">
        <f t="shared" si="4"/>
        <v>01</v>
      </c>
      <c r="G37" s="85" t="str">
        <f t="shared" si="5"/>
        <v>1</v>
      </c>
      <c r="H37" s="85" t="str">
        <f t="shared" si="6"/>
        <v>4</v>
      </c>
      <c r="I37" s="87">
        <v>11130114</v>
      </c>
      <c r="J37" s="85" t="s">
        <v>2929</v>
      </c>
      <c r="K37" s="85" t="s">
        <v>2892</v>
      </c>
      <c r="L37" s="84"/>
      <c r="M37" s="85" t="s">
        <v>2892</v>
      </c>
      <c r="N37" s="85" t="s">
        <v>1646</v>
      </c>
      <c r="O37" s="85" t="s">
        <v>2892</v>
      </c>
      <c r="P37" s="86" t="s">
        <v>2890</v>
      </c>
    </row>
    <row r="38" spans="2:16" ht="135" x14ac:dyDescent="0.25">
      <c r="B38" s="108" t="str">
        <f t="shared" si="0"/>
        <v>1</v>
      </c>
      <c r="C38" s="108" t="str">
        <f t="shared" si="1"/>
        <v>1</v>
      </c>
      <c r="D38" s="108" t="str">
        <f t="shared" si="2"/>
        <v>1</v>
      </c>
      <c r="E38" s="108" t="str">
        <f t="shared" si="3"/>
        <v>3</v>
      </c>
      <c r="F38" s="108" t="str">
        <f t="shared" si="4"/>
        <v>02</v>
      </c>
      <c r="G38" s="108" t="str">
        <f t="shared" si="5"/>
        <v>0</v>
      </c>
      <c r="H38" s="108" t="str">
        <f t="shared" si="6"/>
        <v>0</v>
      </c>
      <c r="I38" s="109">
        <v>11130200</v>
      </c>
      <c r="J38" s="108" t="s">
        <v>2930</v>
      </c>
      <c r="K38" s="108" t="s">
        <v>2931</v>
      </c>
      <c r="L38" s="110"/>
      <c r="M38" s="108" t="s">
        <v>2878</v>
      </c>
      <c r="N38" s="108" t="s">
        <v>2879</v>
      </c>
      <c r="O38" s="108" t="s">
        <v>2878</v>
      </c>
      <c r="P38" s="111" t="s">
        <v>2880</v>
      </c>
    </row>
    <row r="39" spans="2:16" ht="135" x14ac:dyDescent="0.25">
      <c r="B39" s="114" t="str">
        <f t="shared" si="0"/>
        <v>1</v>
      </c>
      <c r="C39" s="114" t="str">
        <f t="shared" si="1"/>
        <v>1</v>
      </c>
      <c r="D39" s="114" t="str">
        <f t="shared" si="2"/>
        <v>1</v>
      </c>
      <c r="E39" s="114" t="str">
        <f t="shared" si="3"/>
        <v>3</v>
      </c>
      <c r="F39" s="114" t="str">
        <f t="shared" si="4"/>
        <v>02</v>
      </c>
      <c r="G39" s="114" t="str">
        <f t="shared" si="5"/>
        <v>1</v>
      </c>
      <c r="H39" s="114" t="str">
        <f t="shared" si="6"/>
        <v>0</v>
      </c>
      <c r="I39" s="115">
        <v>11130210</v>
      </c>
      <c r="J39" s="114" t="s">
        <v>2930</v>
      </c>
      <c r="K39" s="114" t="s">
        <v>2931</v>
      </c>
      <c r="L39" s="116"/>
      <c r="M39" s="114" t="s">
        <v>2878</v>
      </c>
      <c r="N39" s="114" t="s">
        <v>2879</v>
      </c>
      <c r="O39" s="114" t="s">
        <v>2878</v>
      </c>
      <c r="P39" s="117" t="s">
        <v>2880</v>
      </c>
    </row>
    <row r="40" spans="2:16" ht="141" customHeight="1" x14ac:dyDescent="0.25">
      <c r="B40" s="85" t="str">
        <f t="shared" si="0"/>
        <v>1</v>
      </c>
      <c r="C40" s="85" t="str">
        <f t="shared" si="1"/>
        <v>1</v>
      </c>
      <c r="D40" s="85" t="str">
        <f t="shared" si="2"/>
        <v>1</v>
      </c>
      <c r="E40" s="85" t="str">
        <f t="shared" si="3"/>
        <v>3</v>
      </c>
      <c r="F40" s="85" t="str">
        <f t="shared" si="4"/>
        <v>02</v>
      </c>
      <c r="G40" s="85" t="str">
        <f t="shared" si="5"/>
        <v>1</v>
      </c>
      <c r="H40" s="85" t="str">
        <f t="shared" si="6"/>
        <v>1</v>
      </c>
      <c r="I40" s="87">
        <v>11130211</v>
      </c>
      <c r="J40" s="85" t="s">
        <v>2932</v>
      </c>
      <c r="K40" s="85" t="s">
        <v>2933</v>
      </c>
      <c r="L40" s="84"/>
      <c r="M40" s="85" t="s">
        <v>2925</v>
      </c>
      <c r="N40" s="85" t="s">
        <v>2879</v>
      </c>
      <c r="O40" s="85" t="s">
        <v>2934</v>
      </c>
      <c r="P40" s="86" t="s">
        <v>2890</v>
      </c>
    </row>
    <row r="41" spans="2:16" ht="30" x14ac:dyDescent="0.25">
      <c r="B41" s="85" t="str">
        <f t="shared" si="0"/>
        <v>1</v>
      </c>
      <c r="C41" s="85" t="str">
        <f t="shared" si="1"/>
        <v>1</v>
      </c>
      <c r="D41" s="85" t="str">
        <f t="shared" si="2"/>
        <v>1</v>
      </c>
      <c r="E41" s="85" t="str">
        <f t="shared" si="3"/>
        <v>3</v>
      </c>
      <c r="F41" s="85" t="str">
        <f t="shared" si="4"/>
        <v>02</v>
      </c>
      <c r="G41" s="85" t="str">
        <f t="shared" si="5"/>
        <v>1</v>
      </c>
      <c r="H41" s="85" t="str">
        <f t="shared" si="6"/>
        <v>2</v>
      </c>
      <c r="I41" s="87">
        <v>11130212</v>
      </c>
      <c r="J41" s="85" t="s">
        <v>2935</v>
      </c>
      <c r="K41" s="85" t="s">
        <v>2892</v>
      </c>
      <c r="L41" s="84"/>
      <c r="M41" s="85" t="s">
        <v>2892</v>
      </c>
      <c r="N41" s="85" t="s">
        <v>2879</v>
      </c>
      <c r="O41" s="85" t="s">
        <v>2892</v>
      </c>
      <c r="P41" s="86" t="s">
        <v>2890</v>
      </c>
    </row>
    <row r="42" spans="2:16" ht="30" x14ac:dyDescent="0.25">
      <c r="B42" s="85" t="str">
        <f t="shared" si="0"/>
        <v>1</v>
      </c>
      <c r="C42" s="85" t="str">
        <f t="shared" si="1"/>
        <v>1</v>
      </c>
      <c r="D42" s="85" t="str">
        <f t="shared" si="2"/>
        <v>1</v>
      </c>
      <c r="E42" s="85" t="str">
        <f t="shared" si="3"/>
        <v>3</v>
      </c>
      <c r="F42" s="85" t="str">
        <f t="shared" si="4"/>
        <v>02</v>
      </c>
      <c r="G42" s="85" t="str">
        <f t="shared" si="5"/>
        <v>1</v>
      </c>
      <c r="H42" s="85" t="str">
        <f t="shared" si="6"/>
        <v>3</v>
      </c>
      <c r="I42" s="87">
        <v>11130213</v>
      </c>
      <c r="J42" s="85" t="s">
        <v>2936</v>
      </c>
      <c r="K42" s="85" t="s">
        <v>2892</v>
      </c>
      <c r="L42" s="84"/>
      <c r="M42" s="85" t="s">
        <v>2892</v>
      </c>
      <c r="N42" s="85" t="s">
        <v>2879</v>
      </c>
      <c r="O42" s="85" t="s">
        <v>2892</v>
      </c>
      <c r="P42" s="86" t="s">
        <v>2890</v>
      </c>
    </row>
    <row r="43" spans="2:16" ht="30" x14ac:dyDescent="0.25">
      <c r="B43" s="85" t="str">
        <f t="shared" si="0"/>
        <v>1</v>
      </c>
      <c r="C43" s="85" t="str">
        <f t="shared" si="1"/>
        <v>1</v>
      </c>
      <c r="D43" s="85" t="str">
        <f t="shared" si="2"/>
        <v>1</v>
      </c>
      <c r="E43" s="85" t="str">
        <f t="shared" si="3"/>
        <v>3</v>
      </c>
      <c r="F43" s="85" t="str">
        <f t="shared" si="4"/>
        <v>02</v>
      </c>
      <c r="G43" s="85" t="str">
        <f t="shared" si="5"/>
        <v>1</v>
      </c>
      <c r="H43" s="85" t="str">
        <f t="shared" si="6"/>
        <v>4</v>
      </c>
      <c r="I43" s="87">
        <v>11130214</v>
      </c>
      <c r="J43" s="85" t="s">
        <v>2937</v>
      </c>
      <c r="K43" s="85" t="s">
        <v>2892</v>
      </c>
      <c r="L43" s="84"/>
      <c r="M43" s="85" t="s">
        <v>2892</v>
      </c>
      <c r="N43" s="85" t="s">
        <v>1646</v>
      </c>
      <c r="O43" s="85" t="s">
        <v>2892</v>
      </c>
      <c r="P43" s="86" t="s">
        <v>2890</v>
      </c>
    </row>
    <row r="44" spans="2:16" ht="30" x14ac:dyDescent="0.25">
      <c r="B44" s="108" t="str">
        <f t="shared" si="0"/>
        <v>1</v>
      </c>
      <c r="C44" s="108" t="str">
        <f t="shared" si="1"/>
        <v>1</v>
      </c>
      <c r="D44" s="108" t="str">
        <f t="shared" si="2"/>
        <v>1</v>
      </c>
      <c r="E44" s="108" t="str">
        <f t="shared" si="3"/>
        <v>3</v>
      </c>
      <c r="F44" s="108" t="str">
        <f t="shared" si="4"/>
        <v>03</v>
      </c>
      <c r="G44" s="108" t="str">
        <f t="shared" si="5"/>
        <v>0</v>
      </c>
      <c r="H44" s="108" t="str">
        <f t="shared" si="6"/>
        <v>0</v>
      </c>
      <c r="I44" s="109">
        <v>11130300</v>
      </c>
      <c r="J44" s="108" t="s">
        <v>2938</v>
      </c>
      <c r="K44" s="108" t="s">
        <v>2939</v>
      </c>
      <c r="L44" s="110"/>
      <c r="M44" s="108" t="s">
        <v>2878</v>
      </c>
      <c r="N44" s="108" t="s">
        <v>2879</v>
      </c>
      <c r="O44" s="108" t="s">
        <v>2878</v>
      </c>
      <c r="P44" s="111" t="s">
        <v>2880</v>
      </c>
    </row>
    <row r="45" spans="2:16" ht="30" x14ac:dyDescent="0.25">
      <c r="B45" s="114" t="str">
        <f t="shared" si="0"/>
        <v>1</v>
      </c>
      <c r="C45" s="114" t="str">
        <f t="shared" si="1"/>
        <v>1</v>
      </c>
      <c r="D45" s="114" t="str">
        <f t="shared" si="2"/>
        <v>1</v>
      </c>
      <c r="E45" s="114" t="str">
        <f t="shared" si="3"/>
        <v>3</v>
      </c>
      <c r="F45" s="114" t="str">
        <f t="shared" si="4"/>
        <v>03</v>
      </c>
      <c r="G45" s="114" t="str">
        <f t="shared" si="5"/>
        <v>1</v>
      </c>
      <c r="H45" s="114" t="str">
        <f t="shared" si="6"/>
        <v>0</v>
      </c>
      <c r="I45" s="115">
        <v>11130310</v>
      </c>
      <c r="J45" s="114" t="s">
        <v>2940</v>
      </c>
      <c r="K45" s="114" t="s">
        <v>2941</v>
      </c>
      <c r="L45" s="116"/>
      <c r="M45" s="114" t="s">
        <v>2878</v>
      </c>
      <c r="N45" s="114" t="s">
        <v>2879</v>
      </c>
      <c r="O45" s="114" t="s">
        <v>2878</v>
      </c>
      <c r="P45" s="117" t="s">
        <v>2880</v>
      </c>
    </row>
    <row r="46" spans="2:16" ht="121.5" customHeight="1" x14ac:dyDescent="0.25">
      <c r="B46" s="85" t="str">
        <f t="shared" si="0"/>
        <v>1</v>
      </c>
      <c r="C46" s="85" t="str">
        <f t="shared" si="1"/>
        <v>1</v>
      </c>
      <c r="D46" s="85" t="str">
        <f t="shared" si="2"/>
        <v>1</v>
      </c>
      <c r="E46" s="85" t="str">
        <f t="shared" si="3"/>
        <v>3</v>
      </c>
      <c r="F46" s="85" t="str">
        <f t="shared" si="4"/>
        <v>03</v>
      </c>
      <c r="G46" s="85" t="str">
        <f t="shared" si="5"/>
        <v>1</v>
      </c>
      <c r="H46" s="85" t="str">
        <f t="shared" si="6"/>
        <v>1</v>
      </c>
      <c r="I46" s="87">
        <v>11130311</v>
      </c>
      <c r="J46" s="85" t="s">
        <v>2942</v>
      </c>
      <c r="K46" s="85" t="s">
        <v>2943</v>
      </c>
      <c r="L46" s="84"/>
      <c r="M46" s="85" t="s">
        <v>2925</v>
      </c>
      <c r="N46" s="85" t="s">
        <v>2879</v>
      </c>
      <c r="O46" s="85" t="s">
        <v>2944</v>
      </c>
      <c r="P46" s="86" t="s">
        <v>2890</v>
      </c>
    </row>
    <row r="47" spans="2:16" ht="15.75" x14ac:dyDescent="0.25">
      <c r="B47" s="85" t="str">
        <f t="shared" si="0"/>
        <v>1</v>
      </c>
      <c r="C47" s="85" t="str">
        <f t="shared" si="1"/>
        <v>1</v>
      </c>
      <c r="D47" s="85" t="str">
        <f t="shared" si="2"/>
        <v>1</v>
      </c>
      <c r="E47" s="85" t="str">
        <f t="shared" si="3"/>
        <v>3</v>
      </c>
      <c r="F47" s="85" t="str">
        <f t="shared" si="4"/>
        <v>03</v>
      </c>
      <c r="G47" s="85" t="str">
        <f t="shared" si="5"/>
        <v>1</v>
      </c>
      <c r="H47" s="85" t="str">
        <f t="shared" si="6"/>
        <v>2</v>
      </c>
      <c r="I47" s="87">
        <v>11130312</v>
      </c>
      <c r="J47" s="85" t="s">
        <v>2945</v>
      </c>
      <c r="K47" s="85" t="s">
        <v>2892</v>
      </c>
      <c r="L47" s="84"/>
      <c r="M47" s="85" t="s">
        <v>2892</v>
      </c>
      <c r="N47" s="85" t="s">
        <v>2879</v>
      </c>
      <c r="O47" s="85" t="s">
        <v>2892</v>
      </c>
      <c r="P47" s="86" t="s">
        <v>2890</v>
      </c>
    </row>
    <row r="48" spans="2:16" ht="15.75" x14ac:dyDescent="0.25">
      <c r="B48" s="85" t="str">
        <f t="shared" si="0"/>
        <v>1</v>
      </c>
      <c r="C48" s="85" t="str">
        <f t="shared" si="1"/>
        <v>1</v>
      </c>
      <c r="D48" s="85" t="str">
        <f t="shared" si="2"/>
        <v>1</v>
      </c>
      <c r="E48" s="85" t="str">
        <f t="shared" si="3"/>
        <v>3</v>
      </c>
      <c r="F48" s="85" t="str">
        <f t="shared" si="4"/>
        <v>03</v>
      </c>
      <c r="G48" s="85" t="str">
        <f t="shared" si="5"/>
        <v>1</v>
      </c>
      <c r="H48" s="85" t="str">
        <f t="shared" si="6"/>
        <v>3</v>
      </c>
      <c r="I48" s="87">
        <v>11130313</v>
      </c>
      <c r="J48" s="85" t="s">
        <v>2946</v>
      </c>
      <c r="K48" s="85" t="s">
        <v>2892</v>
      </c>
      <c r="L48" s="84"/>
      <c r="M48" s="85" t="s">
        <v>2892</v>
      </c>
      <c r="N48" s="85" t="s">
        <v>2879</v>
      </c>
      <c r="O48" s="85" t="s">
        <v>2892</v>
      </c>
      <c r="P48" s="86" t="s">
        <v>2890</v>
      </c>
    </row>
    <row r="49" spans="2:16" ht="30" x14ac:dyDescent="0.25">
      <c r="B49" s="85" t="str">
        <f t="shared" si="0"/>
        <v>1</v>
      </c>
      <c r="C49" s="85" t="str">
        <f t="shared" si="1"/>
        <v>1</v>
      </c>
      <c r="D49" s="85" t="str">
        <f t="shared" si="2"/>
        <v>1</v>
      </c>
      <c r="E49" s="85" t="str">
        <f t="shared" si="3"/>
        <v>3</v>
      </c>
      <c r="F49" s="85" t="str">
        <f t="shared" si="4"/>
        <v>03</v>
      </c>
      <c r="G49" s="85" t="str">
        <f t="shared" si="5"/>
        <v>1</v>
      </c>
      <c r="H49" s="85" t="str">
        <f t="shared" si="6"/>
        <v>4</v>
      </c>
      <c r="I49" s="87">
        <v>11130314</v>
      </c>
      <c r="J49" s="85" t="s">
        <v>2947</v>
      </c>
      <c r="K49" s="85" t="s">
        <v>2892</v>
      </c>
      <c r="L49" s="84"/>
      <c r="M49" s="85" t="s">
        <v>2892</v>
      </c>
      <c r="N49" s="85" t="s">
        <v>1646</v>
      </c>
      <c r="O49" s="85" t="s">
        <v>2892</v>
      </c>
      <c r="P49" s="86" t="s">
        <v>2890</v>
      </c>
    </row>
    <row r="50" spans="2:16" ht="75" x14ac:dyDescent="0.25">
      <c r="B50" s="114" t="str">
        <f t="shared" si="0"/>
        <v>1</v>
      </c>
      <c r="C50" s="114" t="str">
        <f t="shared" si="1"/>
        <v>1</v>
      </c>
      <c r="D50" s="114" t="str">
        <f t="shared" si="2"/>
        <v>1</v>
      </c>
      <c r="E50" s="114" t="str">
        <f t="shared" si="3"/>
        <v>3</v>
      </c>
      <c r="F50" s="114" t="str">
        <f t="shared" si="4"/>
        <v>03</v>
      </c>
      <c r="G50" s="114" t="str">
        <f t="shared" si="5"/>
        <v>2</v>
      </c>
      <c r="H50" s="114" t="str">
        <f t="shared" si="6"/>
        <v>0</v>
      </c>
      <c r="I50" s="115">
        <v>11130320</v>
      </c>
      <c r="J50" s="114" t="s">
        <v>2948</v>
      </c>
      <c r="K50" s="114" t="s">
        <v>2949</v>
      </c>
      <c r="L50" s="116"/>
      <c r="M50" s="114" t="s">
        <v>2878</v>
      </c>
      <c r="N50" s="114" t="s">
        <v>2879</v>
      </c>
      <c r="O50" s="114" t="s">
        <v>2878</v>
      </c>
      <c r="P50" s="117" t="s">
        <v>2880</v>
      </c>
    </row>
    <row r="51" spans="2:16" ht="108" customHeight="1" x14ac:dyDescent="0.25">
      <c r="B51" s="85" t="str">
        <f t="shared" si="0"/>
        <v>1</v>
      </c>
      <c r="C51" s="85" t="str">
        <f t="shared" si="1"/>
        <v>1</v>
      </c>
      <c r="D51" s="85" t="str">
        <f t="shared" si="2"/>
        <v>1</v>
      </c>
      <c r="E51" s="85" t="str">
        <f t="shared" si="3"/>
        <v>3</v>
      </c>
      <c r="F51" s="85" t="str">
        <f t="shared" si="4"/>
        <v>03</v>
      </c>
      <c r="G51" s="85" t="str">
        <f t="shared" si="5"/>
        <v>2</v>
      </c>
      <c r="H51" s="85" t="str">
        <f t="shared" si="6"/>
        <v>1</v>
      </c>
      <c r="I51" s="87">
        <v>11130321</v>
      </c>
      <c r="J51" s="85" t="s">
        <v>2950</v>
      </c>
      <c r="K51" s="85" t="s">
        <v>2951</v>
      </c>
      <c r="L51" s="84"/>
      <c r="M51" s="85" t="s">
        <v>2925</v>
      </c>
      <c r="N51" s="85" t="s">
        <v>2879</v>
      </c>
      <c r="O51" s="85" t="s">
        <v>2952</v>
      </c>
      <c r="P51" s="86" t="s">
        <v>2890</v>
      </c>
    </row>
    <row r="52" spans="2:16" ht="15.75" x14ac:dyDescent="0.25">
      <c r="B52" s="85" t="str">
        <f t="shared" si="0"/>
        <v>1</v>
      </c>
      <c r="C52" s="85" t="str">
        <f t="shared" si="1"/>
        <v>1</v>
      </c>
      <c r="D52" s="85" t="str">
        <f t="shared" si="2"/>
        <v>1</v>
      </c>
      <c r="E52" s="85" t="str">
        <f t="shared" si="3"/>
        <v>3</v>
      </c>
      <c r="F52" s="85" t="str">
        <f t="shared" si="4"/>
        <v>03</v>
      </c>
      <c r="G52" s="85" t="str">
        <f t="shared" si="5"/>
        <v>2</v>
      </c>
      <c r="H52" s="85" t="str">
        <f t="shared" si="6"/>
        <v>2</v>
      </c>
      <c r="I52" s="87">
        <v>11130322</v>
      </c>
      <c r="J52" s="85" t="s">
        <v>2953</v>
      </c>
      <c r="K52" s="85" t="s">
        <v>2892</v>
      </c>
      <c r="L52" s="84"/>
      <c r="M52" s="85" t="s">
        <v>2892</v>
      </c>
      <c r="N52" s="85" t="s">
        <v>2879</v>
      </c>
      <c r="O52" s="85" t="s">
        <v>2892</v>
      </c>
      <c r="P52" s="86" t="s">
        <v>2890</v>
      </c>
    </row>
    <row r="53" spans="2:16" ht="15.75" x14ac:dyDescent="0.25">
      <c r="B53" s="85" t="str">
        <f t="shared" si="0"/>
        <v>1</v>
      </c>
      <c r="C53" s="85" t="str">
        <f t="shared" si="1"/>
        <v>1</v>
      </c>
      <c r="D53" s="85" t="str">
        <f t="shared" si="2"/>
        <v>1</v>
      </c>
      <c r="E53" s="85" t="str">
        <f t="shared" si="3"/>
        <v>3</v>
      </c>
      <c r="F53" s="85" t="str">
        <f t="shared" si="4"/>
        <v>03</v>
      </c>
      <c r="G53" s="85" t="str">
        <f t="shared" si="5"/>
        <v>2</v>
      </c>
      <c r="H53" s="85" t="str">
        <f t="shared" si="6"/>
        <v>3</v>
      </c>
      <c r="I53" s="87">
        <v>11130323</v>
      </c>
      <c r="J53" s="85" t="s">
        <v>2954</v>
      </c>
      <c r="K53" s="85" t="s">
        <v>2892</v>
      </c>
      <c r="L53" s="84"/>
      <c r="M53" s="85" t="s">
        <v>2892</v>
      </c>
      <c r="N53" s="85" t="s">
        <v>2879</v>
      </c>
      <c r="O53" s="85" t="s">
        <v>2892</v>
      </c>
      <c r="P53" s="86" t="s">
        <v>2890</v>
      </c>
    </row>
    <row r="54" spans="2:16" ht="30" x14ac:dyDescent="0.25">
      <c r="B54" s="85" t="str">
        <f t="shared" si="0"/>
        <v>1</v>
      </c>
      <c r="C54" s="85" t="str">
        <f t="shared" si="1"/>
        <v>1</v>
      </c>
      <c r="D54" s="85" t="str">
        <f t="shared" si="2"/>
        <v>1</v>
      </c>
      <c r="E54" s="85" t="str">
        <f t="shared" si="3"/>
        <v>3</v>
      </c>
      <c r="F54" s="85" t="str">
        <f t="shared" si="4"/>
        <v>03</v>
      </c>
      <c r="G54" s="85" t="str">
        <f t="shared" si="5"/>
        <v>2</v>
      </c>
      <c r="H54" s="85" t="str">
        <f t="shared" si="6"/>
        <v>4</v>
      </c>
      <c r="I54" s="87">
        <v>11130324</v>
      </c>
      <c r="J54" s="85" t="s">
        <v>2955</v>
      </c>
      <c r="K54" s="85" t="s">
        <v>2892</v>
      </c>
      <c r="L54" s="84"/>
      <c r="M54" s="85" t="s">
        <v>2892</v>
      </c>
      <c r="N54" s="85" t="s">
        <v>2879</v>
      </c>
      <c r="O54" s="85" t="s">
        <v>2892</v>
      </c>
      <c r="P54" s="86" t="s">
        <v>2890</v>
      </c>
    </row>
    <row r="55" spans="2:16" ht="75" customHeight="1" x14ac:dyDescent="0.25">
      <c r="B55" s="114" t="str">
        <f t="shared" si="0"/>
        <v>1</v>
      </c>
      <c r="C55" s="114" t="str">
        <f t="shared" si="1"/>
        <v>1</v>
      </c>
      <c r="D55" s="114" t="str">
        <f t="shared" si="2"/>
        <v>1</v>
      </c>
      <c r="E55" s="114" t="str">
        <f t="shared" si="3"/>
        <v>3</v>
      </c>
      <c r="F55" s="114" t="str">
        <f t="shared" si="4"/>
        <v>03</v>
      </c>
      <c r="G55" s="114" t="str">
        <f t="shared" si="5"/>
        <v>3</v>
      </c>
      <c r="H55" s="114" t="str">
        <f t="shared" si="6"/>
        <v>0</v>
      </c>
      <c r="I55" s="115">
        <v>11130330</v>
      </c>
      <c r="J55" s="114" t="s">
        <v>2956</v>
      </c>
      <c r="K55" s="114" t="s">
        <v>2957</v>
      </c>
      <c r="L55" s="116"/>
      <c r="M55" s="114" t="s">
        <v>2878</v>
      </c>
      <c r="N55" s="114" t="s">
        <v>2879</v>
      </c>
      <c r="O55" s="114" t="s">
        <v>2878</v>
      </c>
      <c r="P55" s="117" t="s">
        <v>2880</v>
      </c>
    </row>
    <row r="56" spans="2:16" ht="82.5" customHeight="1" x14ac:dyDescent="0.25">
      <c r="B56" s="85" t="str">
        <f t="shared" si="0"/>
        <v>1</v>
      </c>
      <c r="C56" s="85" t="str">
        <f t="shared" si="1"/>
        <v>1</v>
      </c>
      <c r="D56" s="85" t="str">
        <f t="shared" si="2"/>
        <v>1</v>
      </c>
      <c r="E56" s="85" t="str">
        <f t="shared" si="3"/>
        <v>3</v>
      </c>
      <c r="F56" s="85" t="str">
        <f t="shared" si="4"/>
        <v>03</v>
      </c>
      <c r="G56" s="85" t="str">
        <f t="shared" si="5"/>
        <v>3</v>
      </c>
      <c r="H56" s="85" t="str">
        <f t="shared" si="6"/>
        <v>1</v>
      </c>
      <c r="I56" s="87">
        <v>11130331</v>
      </c>
      <c r="J56" s="85" t="s">
        <v>2958</v>
      </c>
      <c r="K56" s="85" t="s">
        <v>2959</v>
      </c>
      <c r="L56" s="84"/>
      <c r="M56" s="85" t="s">
        <v>2925</v>
      </c>
      <c r="N56" s="85" t="s">
        <v>2879</v>
      </c>
      <c r="O56" s="85" t="s">
        <v>2960</v>
      </c>
      <c r="P56" s="86" t="s">
        <v>2890</v>
      </c>
    </row>
    <row r="57" spans="2:16" ht="30" x14ac:dyDescent="0.25">
      <c r="B57" s="85" t="str">
        <f t="shared" si="0"/>
        <v>1</v>
      </c>
      <c r="C57" s="85" t="str">
        <f t="shared" si="1"/>
        <v>1</v>
      </c>
      <c r="D57" s="85" t="str">
        <f t="shared" si="2"/>
        <v>1</v>
      </c>
      <c r="E57" s="85" t="str">
        <f t="shared" si="3"/>
        <v>3</v>
      </c>
      <c r="F57" s="85" t="str">
        <f t="shared" si="4"/>
        <v>03</v>
      </c>
      <c r="G57" s="85" t="str">
        <f t="shared" si="5"/>
        <v>3</v>
      </c>
      <c r="H57" s="85" t="str">
        <f t="shared" si="6"/>
        <v>2</v>
      </c>
      <c r="I57" s="87">
        <v>11130332</v>
      </c>
      <c r="J57" s="85" t="s">
        <v>2961</v>
      </c>
      <c r="K57" s="85" t="s">
        <v>2892</v>
      </c>
      <c r="L57" s="84"/>
      <c r="M57" s="85" t="s">
        <v>2892</v>
      </c>
      <c r="N57" s="85" t="s">
        <v>2879</v>
      </c>
      <c r="O57" s="85" t="s">
        <v>2892</v>
      </c>
      <c r="P57" s="86" t="s">
        <v>2890</v>
      </c>
    </row>
    <row r="58" spans="2:16" ht="15.75" x14ac:dyDescent="0.25">
      <c r="B58" s="85" t="str">
        <f t="shared" si="0"/>
        <v>1</v>
      </c>
      <c r="C58" s="85" t="str">
        <f t="shared" si="1"/>
        <v>1</v>
      </c>
      <c r="D58" s="85" t="str">
        <f t="shared" si="2"/>
        <v>1</v>
      </c>
      <c r="E58" s="85" t="str">
        <f t="shared" si="3"/>
        <v>3</v>
      </c>
      <c r="F58" s="85" t="str">
        <f t="shared" si="4"/>
        <v>03</v>
      </c>
      <c r="G58" s="85" t="str">
        <f t="shared" si="5"/>
        <v>3</v>
      </c>
      <c r="H58" s="85" t="str">
        <f t="shared" si="6"/>
        <v>3</v>
      </c>
      <c r="I58" s="87">
        <v>11130333</v>
      </c>
      <c r="J58" s="85" t="s">
        <v>2962</v>
      </c>
      <c r="K58" s="85" t="s">
        <v>2892</v>
      </c>
      <c r="L58" s="84"/>
      <c r="M58" s="85" t="s">
        <v>2892</v>
      </c>
      <c r="N58" s="85" t="s">
        <v>2879</v>
      </c>
      <c r="O58" s="85" t="s">
        <v>2892</v>
      </c>
      <c r="P58" s="86" t="s">
        <v>2890</v>
      </c>
    </row>
    <row r="59" spans="2:16" ht="30" x14ac:dyDescent="0.25">
      <c r="B59" s="85" t="str">
        <f t="shared" si="0"/>
        <v>1</v>
      </c>
      <c r="C59" s="85" t="str">
        <f t="shared" si="1"/>
        <v>1</v>
      </c>
      <c r="D59" s="85" t="str">
        <f t="shared" si="2"/>
        <v>1</v>
      </c>
      <c r="E59" s="85" t="str">
        <f t="shared" si="3"/>
        <v>3</v>
      </c>
      <c r="F59" s="85" t="str">
        <f t="shared" si="4"/>
        <v>03</v>
      </c>
      <c r="G59" s="85" t="str">
        <f t="shared" si="5"/>
        <v>3</v>
      </c>
      <c r="H59" s="85" t="str">
        <f t="shared" si="6"/>
        <v>4</v>
      </c>
      <c r="I59" s="87">
        <v>11130334</v>
      </c>
      <c r="J59" s="85" t="s">
        <v>2963</v>
      </c>
      <c r="K59" s="85" t="s">
        <v>2892</v>
      </c>
      <c r="L59" s="84"/>
      <c r="M59" s="85" t="s">
        <v>2892</v>
      </c>
      <c r="N59" s="85" t="s">
        <v>2879</v>
      </c>
      <c r="O59" s="85" t="s">
        <v>2892</v>
      </c>
      <c r="P59" s="86" t="s">
        <v>2890</v>
      </c>
    </row>
    <row r="60" spans="2:16" ht="122.25" customHeight="1" x14ac:dyDescent="0.25">
      <c r="B60" s="114" t="str">
        <f t="shared" si="0"/>
        <v>1</v>
      </c>
      <c r="C60" s="114" t="str">
        <f t="shared" si="1"/>
        <v>1</v>
      </c>
      <c r="D60" s="114" t="str">
        <f t="shared" si="2"/>
        <v>1</v>
      </c>
      <c r="E60" s="114" t="str">
        <f t="shared" si="3"/>
        <v>3</v>
      </c>
      <c r="F60" s="114" t="str">
        <f t="shared" si="4"/>
        <v>03</v>
      </c>
      <c r="G60" s="114" t="str">
        <f t="shared" si="5"/>
        <v>4</v>
      </c>
      <c r="H60" s="114" t="str">
        <f t="shared" si="6"/>
        <v>0</v>
      </c>
      <c r="I60" s="115">
        <v>11130340</v>
      </c>
      <c r="J60" s="114" t="s">
        <v>2964</v>
      </c>
      <c r="K60" s="114" t="s">
        <v>2965</v>
      </c>
      <c r="L60" s="116"/>
      <c r="M60" s="114" t="s">
        <v>2878</v>
      </c>
      <c r="N60" s="114" t="s">
        <v>2879</v>
      </c>
      <c r="O60" s="114" t="s">
        <v>2878</v>
      </c>
      <c r="P60" s="117" t="s">
        <v>2880</v>
      </c>
    </row>
    <row r="61" spans="2:16" ht="83.25" customHeight="1" x14ac:dyDescent="0.25">
      <c r="B61" s="85" t="str">
        <f t="shared" si="0"/>
        <v>1</v>
      </c>
      <c r="C61" s="85" t="str">
        <f t="shared" si="1"/>
        <v>1</v>
      </c>
      <c r="D61" s="85" t="str">
        <f t="shared" si="2"/>
        <v>1</v>
      </c>
      <c r="E61" s="85" t="str">
        <f t="shared" si="3"/>
        <v>3</v>
      </c>
      <c r="F61" s="85" t="str">
        <f t="shared" si="4"/>
        <v>03</v>
      </c>
      <c r="G61" s="85" t="str">
        <f t="shared" si="5"/>
        <v>4</v>
      </c>
      <c r="H61" s="85" t="str">
        <f t="shared" si="6"/>
        <v>1</v>
      </c>
      <c r="I61" s="87">
        <v>11130341</v>
      </c>
      <c r="J61" s="85" t="s">
        <v>2966</v>
      </c>
      <c r="K61" s="85" t="s">
        <v>2967</v>
      </c>
      <c r="L61" s="84"/>
      <c r="M61" s="85" t="s">
        <v>2925</v>
      </c>
      <c r="N61" s="85" t="s">
        <v>2879</v>
      </c>
      <c r="O61" s="85" t="s">
        <v>2952</v>
      </c>
      <c r="P61" s="86" t="s">
        <v>2890</v>
      </c>
    </row>
    <row r="62" spans="2:16" ht="30" x14ac:dyDescent="0.25">
      <c r="B62" s="85" t="str">
        <f t="shared" si="0"/>
        <v>1</v>
      </c>
      <c r="C62" s="85" t="str">
        <f t="shared" si="1"/>
        <v>1</v>
      </c>
      <c r="D62" s="85" t="str">
        <f t="shared" si="2"/>
        <v>1</v>
      </c>
      <c r="E62" s="85" t="str">
        <f t="shared" si="3"/>
        <v>3</v>
      </c>
      <c r="F62" s="85" t="str">
        <f t="shared" si="4"/>
        <v>03</v>
      </c>
      <c r="G62" s="85" t="str">
        <f t="shared" si="5"/>
        <v>4</v>
      </c>
      <c r="H62" s="85" t="str">
        <f t="shared" si="6"/>
        <v>2</v>
      </c>
      <c r="I62" s="87">
        <v>11130342</v>
      </c>
      <c r="J62" s="85" t="s">
        <v>2968</v>
      </c>
      <c r="K62" s="85" t="s">
        <v>2892</v>
      </c>
      <c r="L62" s="84"/>
      <c r="M62" s="85" t="s">
        <v>2892</v>
      </c>
      <c r="N62" s="85" t="s">
        <v>2879</v>
      </c>
      <c r="O62" s="85" t="s">
        <v>2892</v>
      </c>
      <c r="P62" s="86" t="s">
        <v>2890</v>
      </c>
    </row>
    <row r="63" spans="2:16" ht="15.75" x14ac:dyDescent="0.25">
      <c r="B63" s="85" t="str">
        <f t="shared" si="0"/>
        <v>1</v>
      </c>
      <c r="C63" s="85" t="str">
        <f t="shared" si="1"/>
        <v>1</v>
      </c>
      <c r="D63" s="85" t="str">
        <f t="shared" si="2"/>
        <v>1</v>
      </c>
      <c r="E63" s="85" t="str">
        <f t="shared" si="3"/>
        <v>3</v>
      </c>
      <c r="F63" s="85" t="str">
        <f t="shared" si="4"/>
        <v>03</v>
      </c>
      <c r="G63" s="85" t="str">
        <f t="shared" si="5"/>
        <v>4</v>
      </c>
      <c r="H63" s="85" t="str">
        <f t="shared" si="6"/>
        <v>3</v>
      </c>
      <c r="I63" s="87">
        <v>11130343</v>
      </c>
      <c r="J63" s="85" t="s">
        <v>2969</v>
      </c>
      <c r="K63" s="85" t="s">
        <v>2892</v>
      </c>
      <c r="L63" s="84"/>
      <c r="M63" s="85" t="s">
        <v>2892</v>
      </c>
      <c r="N63" s="85" t="s">
        <v>2879</v>
      </c>
      <c r="O63" s="85" t="s">
        <v>2892</v>
      </c>
      <c r="P63" s="86" t="s">
        <v>2890</v>
      </c>
    </row>
    <row r="64" spans="2:16" ht="30" x14ac:dyDescent="0.25">
      <c r="B64" s="85" t="str">
        <f t="shared" si="0"/>
        <v>1</v>
      </c>
      <c r="C64" s="85" t="str">
        <f t="shared" si="1"/>
        <v>1</v>
      </c>
      <c r="D64" s="85" t="str">
        <f t="shared" si="2"/>
        <v>1</v>
      </c>
      <c r="E64" s="85" t="str">
        <f t="shared" si="3"/>
        <v>3</v>
      </c>
      <c r="F64" s="85" t="str">
        <f t="shared" si="4"/>
        <v>03</v>
      </c>
      <c r="G64" s="85" t="str">
        <f t="shared" si="5"/>
        <v>4</v>
      </c>
      <c r="H64" s="85" t="str">
        <f t="shared" si="6"/>
        <v>4</v>
      </c>
      <c r="I64" s="87">
        <v>11130344</v>
      </c>
      <c r="J64" s="85" t="s">
        <v>2970</v>
      </c>
      <c r="K64" s="85" t="s">
        <v>2892</v>
      </c>
      <c r="L64" s="84"/>
      <c r="M64" s="85" t="s">
        <v>2892</v>
      </c>
      <c r="N64" s="85" t="s">
        <v>2879</v>
      </c>
      <c r="O64" s="85" t="s">
        <v>2892</v>
      </c>
      <c r="P64" s="86" t="s">
        <v>2890</v>
      </c>
    </row>
    <row r="65" spans="2:16" ht="120" x14ac:dyDescent="0.25">
      <c r="B65" s="104" t="str">
        <f t="shared" si="0"/>
        <v>1</v>
      </c>
      <c r="C65" s="104" t="str">
        <f t="shared" si="1"/>
        <v>1</v>
      </c>
      <c r="D65" s="104" t="str">
        <f t="shared" si="2"/>
        <v>1</v>
      </c>
      <c r="E65" s="104" t="str">
        <f t="shared" si="3"/>
        <v>4</v>
      </c>
      <c r="F65" s="104" t="str">
        <f t="shared" si="4"/>
        <v>00</v>
      </c>
      <c r="G65" s="104" t="str">
        <f t="shared" si="5"/>
        <v>0</v>
      </c>
      <c r="H65" s="104" t="str">
        <f t="shared" si="6"/>
        <v>0</v>
      </c>
      <c r="I65" s="105">
        <v>11140000</v>
      </c>
      <c r="J65" s="104" t="s">
        <v>5047</v>
      </c>
      <c r="K65" s="104" t="s">
        <v>2972</v>
      </c>
      <c r="L65" s="106"/>
      <c r="M65" s="104" t="s">
        <v>2878</v>
      </c>
      <c r="N65" s="104" t="s">
        <v>4980</v>
      </c>
      <c r="O65" s="104" t="s">
        <v>2878</v>
      </c>
      <c r="P65" s="107" t="s">
        <v>2880</v>
      </c>
    </row>
    <row r="66" spans="2:16" ht="72.75" customHeight="1" x14ac:dyDescent="0.25">
      <c r="B66" s="108" t="str">
        <f t="shared" si="0"/>
        <v>1</v>
      </c>
      <c r="C66" s="108" t="str">
        <f t="shared" si="1"/>
        <v>1</v>
      </c>
      <c r="D66" s="108" t="str">
        <f t="shared" si="2"/>
        <v>1</v>
      </c>
      <c r="E66" s="108" t="str">
        <f t="shared" si="3"/>
        <v>4</v>
      </c>
      <c r="F66" s="108" t="str">
        <f t="shared" si="4"/>
        <v>01</v>
      </c>
      <c r="G66" s="108" t="str">
        <f t="shared" si="5"/>
        <v>0</v>
      </c>
      <c r="H66" s="108" t="str">
        <f t="shared" si="6"/>
        <v>0</v>
      </c>
      <c r="I66" s="109">
        <v>11140100</v>
      </c>
      <c r="J66" s="108" t="s">
        <v>2973</v>
      </c>
      <c r="K66" s="108" t="s">
        <v>2974</v>
      </c>
      <c r="L66" s="110"/>
      <c r="M66" s="108" t="s">
        <v>2878</v>
      </c>
      <c r="N66" s="108" t="s">
        <v>2879</v>
      </c>
      <c r="O66" s="108" t="s">
        <v>2878</v>
      </c>
      <c r="P66" s="111" t="s">
        <v>2880</v>
      </c>
    </row>
    <row r="67" spans="2:16" ht="45" x14ac:dyDescent="0.25">
      <c r="B67" s="114" t="str">
        <f t="shared" ref="B67:B130" si="7">MID($I67,1,1)</f>
        <v>1</v>
      </c>
      <c r="C67" s="114" t="str">
        <f t="shared" ref="C67:C130" si="8">MID($I67,2,1)</f>
        <v>1</v>
      </c>
      <c r="D67" s="114" t="str">
        <f t="shared" ref="D67:D130" si="9">MID($I67,3,1)</f>
        <v>1</v>
      </c>
      <c r="E67" s="114" t="str">
        <f t="shared" ref="E67:E130" si="10">MID($I67,4,1)</f>
        <v>4</v>
      </c>
      <c r="F67" s="114" t="str">
        <f t="shared" ref="F67:F130" si="11">MID($I67,5,2)</f>
        <v>01</v>
      </c>
      <c r="G67" s="114" t="str">
        <f t="shared" ref="G67:G130" si="12">MID($I67,7,1)</f>
        <v>1</v>
      </c>
      <c r="H67" s="114" t="str">
        <f t="shared" ref="H67:H130" si="13">MID($I67,8,1)</f>
        <v>0</v>
      </c>
      <c r="I67" s="115">
        <v>11140110</v>
      </c>
      <c r="J67" s="114" t="s">
        <v>2975</v>
      </c>
      <c r="K67" s="114" t="s">
        <v>2976</v>
      </c>
      <c r="L67" s="116"/>
      <c r="M67" s="114" t="s">
        <v>2878</v>
      </c>
      <c r="N67" s="114" t="s">
        <v>2879</v>
      </c>
      <c r="O67" s="114" t="s">
        <v>2878</v>
      </c>
      <c r="P67" s="117" t="s">
        <v>2880</v>
      </c>
    </row>
    <row r="68" spans="2:16" ht="60" customHeight="1" x14ac:dyDescent="0.25">
      <c r="B68" s="85" t="str">
        <f t="shared" si="7"/>
        <v>1</v>
      </c>
      <c r="C68" s="85" t="str">
        <f t="shared" si="8"/>
        <v>1</v>
      </c>
      <c r="D68" s="85" t="str">
        <f t="shared" si="9"/>
        <v>1</v>
      </c>
      <c r="E68" s="85" t="str">
        <f t="shared" si="10"/>
        <v>4</v>
      </c>
      <c r="F68" s="85" t="str">
        <f t="shared" si="11"/>
        <v>01</v>
      </c>
      <c r="G68" s="85" t="str">
        <f t="shared" si="12"/>
        <v>1</v>
      </c>
      <c r="H68" s="85" t="str">
        <f t="shared" si="13"/>
        <v>1</v>
      </c>
      <c r="I68" s="87">
        <v>11140111</v>
      </c>
      <c r="J68" s="85" t="s">
        <v>2977</v>
      </c>
      <c r="K68" s="85" t="s">
        <v>2978</v>
      </c>
      <c r="L68" s="84"/>
      <c r="M68" s="85" t="s">
        <v>2979</v>
      </c>
      <c r="N68" s="85" t="s">
        <v>2879</v>
      </c>
      <c r="O68" s="85" t="s">
        <v>2980</v>
      </c>
      <c r="P68" s="86" t="s">
        <v>2890</v>
      </c>
    </row>
    <row r="69" spans="2:16" ht="15.75" x14ac:dyDescent="0.25">
      <c r="B69" s="85" t="str">
        <f t="shared" si="7"/>
        <v>1</v>
      </c>
      <c r="C69" s="85" t="str">
        <f t="shared" si="8"/>
        <v>1</v>
      </c>
      <c r="D69" s="85" t="str">
        <f t="shared" si="9"/>
        <v>1</v>
      </c>
      <c r="E69" s="85" t="str">
        <f t="shared" si="10"/>
        <v>4</v>
      </c>
      <c r="F69" s="85" t="str">
        <f t="shared" si="11"/>
        <v>01</v>
      </c>
      <c r="G69" s="85" t="str">
        <f t="shared" si="12"/>
        <v>1</v>
      </c>
      <c r="H69" s="85" t="str">
        <f t="shared" si="13"/>
        <v>2</v>
      </c>
      <c r="I69" s="87">
        <v>11140112</v>
      </c>
      <c r="J69" s="85" t="s">
        <v>2981</v>
      </c>
      <c r="K69" s="85" t="s">
        <v>2892</v>
      </c>
      <c r="L69" s="84"/>
      <c r="M69" s="85" t="s">
        <v>2892</v>
      </c>
      <c r="N69" s="85" t="s">
        <v>2879</v>
      </c>
      <c r="O69" s="85" t="s">
        <v>2892</v>
      </c>
      <c r="P69" s="86" t="s">
        <v>2890</v>
      </c>
    </row>
    <row r="70" spans="2:16" ht="15.75" x14ac:dyDescent="0.25">
      <c r="B70" s="85" t="str">
        <f t="shared" si="7"/>
        <v>1</v>
      </c>
      <c r="C70" s="85" t="str">
        <f t="shared" si="8"/>
        <v>1</v>
      </c>
      <c r="D70" s="85" t="str">
        <f t="shared" si="9"/>
        <v>1</v>
      </c>
      <c r="E70" s="85" t="str">
        <f t="shared" si="10"/>
        <v>4</v>
      </c>
      <c r="F70" s="85" t="str">
        <f t="shared" si="11"/>
        <v>01</v>
      </c>
      <c r="G70" s="85" t="str">
        <f t="shared" si="12"/>
        <v>1</v>
      </c>
      <c r="H70" s="85" t="str">
        <f t="shared" si="13"/>
        <v>3</v>
      </c>
      <c r="I70" s="87">
        <v>11140113</v>
      </c>
      <c r="J70" s="85" t="s">
        <v>2982</v>
      </c>
      <c r="K70" s="85" t="s">
        <v>2892</v>
      </c>
      <c r="L70" s="84"/>
      <c r="M70" s="85" t="s">
        <v>2892</v>
      </c>
      <c r="N70" s="85" t="s">
        <v>2879</v>
      </c>
      <c r="O70" s="85" t="s">
        <v>2892</v>
      </c>
      <c r="P70" s="86" t="s">
        <v>2890</v>
      </c>
    </row>
    <row r="71" spans="2:16" ht="30" x14ac:dyDescent="0.25">
      <c r="B71" s="85" t="str">
        <f t="shared" si="7"/>
        <v>1</v>
      </c>
      <c r="C71" s="85" t="str">
        <f t="shared" si="8"/>
        <v>1</v>
      </c>
      <c r="D71" s="85" t="str">
        <f t="shared" si="9"/>
        <v>1</v>
      </c>
      <c r="E71" s="85" t="str">
        <f t="shared" si="10"/>
        <v>4</v>
      </c>
      <c r="F71" s="85" t="str">
        <f t="shared" si="11"/>
        <v>01</v>
      </c>
      <c r="G71" s="85" t="str">
        <f t="shared" si="12"/>
        <v>1</v>
      </c>
      <c r="H71" s="85" t="str">
        <f t="shared" si="13"/>
        <v>4</v>
      </c>
      <c r="I71" s="87">
        <v>11140114</v>
      </c>
      <c r="J71" s="85" t="s">
        <v>2983</v>
      </c>
      <c r="K71" s="85" t="s">
        <v>2892</v>
      </c>
      <c r="L71" s="84"/>
      <c r="M71" s="85" t="s">
        <v>2892</v>
      </c>
      <c r="N71" s="85" t="s">
        <v>2879</v>
      </c>
      <c r="O71" s="85" t="s">
        <v>2892</v>
      </c>
      <c r="P71" s="86" t="s">
        <v>2890</v>
      </c>
    </row>
    <row r="72" spans="2:16" ht="78.75" customHeight="1" x14ac:dyDescent="0.25">
      <c r="B72" s="114" t="str">
        <f t="shared" si="7"/>
        <v>1</v>
      </c>
      <c r="C72" s="114" t="str">
        <f t="shared" si="8"/>
        <v>1</v>
      </c>
      <c r="D72" s="114" t="str">
        <f t="shared" si="9"/>
        <v>1</v>
      </c>
      <c r="E72" s="114" t="str">
        <f t="shared" si="10"/>
        <v>4</v>
      </c>
      <c r="F72" s="114" t="str">
        <f t="shared" si="11"/>
        <v>01</v>
      </c>
      <c r="G72" s="114" t="str">
        <f t="shared" si="12"/>
        <v>2</v>
      </c>
      <c r="H72" s="114" t="str">
        <f t="shared" si="13"/>
        <v>0</v>
      </c>
      <c r="I72" s="115">
        <v>11140120</v>
      </c>
      <c r="J72" s="114" t="s">
        <v>2984</v>
      </c>
      <c r="K72" s="114" t="s">
        <v>2985</v>
      </c>
      <c r="L72" s="116"/>
      <c r="M72" s="114" t="s">
        <v>2878</v>
      </c>
      <c r="N72" s="114" t="s">
        <v>2879</v>
      </c>
      <c r="O72" s="114" t="s">
        <v>2878</v>
      </c>
      <c r="P72" s="117" t="s">
        <v>2880</v>
      </c>
    </row>
    <row r="73" spans="2:16" ht="72" customHeight="1" x14ac:dyDescent="0.25">
      <c r="B73" s="85" t="str">
        <f t="shared" si="7"/>
        <v>1</v>
      </c>
      <c r="C73" s="85" t="str">
        <f t="shared" si="8"/>
        <v>1</v>
      </c>
      <c r="D73" s="85" t="str">
        <f t="shared" si="9"/>
        <v>1</v>
      </c>
      <c r="E73" s="85" t="str">
        <f t="shared" si="10"/>
        <v>4</v>
      </c>
      <c r="F73" s="85" t="str">
        <f t="shared" si="11"/>
        <v>01</v>
      </c>
      <c r="G73" s="85" t="str">
        <f t="shared" si="12"/>
        <v>2</v>
      </c>
      <c r="H73" s="85" t="str">
        <f t="shared" si="13"/>
        <v>1</v>
      </c>
      <c r="I73" s="87">
        <v>11140121</v>
      </c>
      <c r="J73" s="85" t="s">
        <v>4755</v>
      </c>
      <c r="K73" s="85" t="s">
        <v>2986</v>
      </c>
      <c r="L73" s="84"/>
      <c r="M73" s="85" t="s">
        <v>2979</v>
      </c>
      <c r="N73" s="85" t="s">
        <v>2879</v>
      </c>
      <c r="O73" s="85" t="s">
        <v>2980</v>
      </c>
      <c r="P73" s="86" t="s">
        <v>2890</v>
      </c>
    </row>
    <row r="74" spans="2:16" ht="15.75" x14ac:dyDescent="0.25">
      <c r="B74" s="85" t="str">
        <f t="shared" si="7"/>
        <v>1</v>
      </c>
      <c r="C74" s="85" t="str">
        <f t="shared" si="8"/>
        <v>1</v>
      </c>
      <c r="D74" s="85" t="str">
        <f t="shared" si="9"/>
        <v>1</v>
      </c>
      <c r="E74" s="85" t="str">
        <f t="shared" si="10"/>
        <v>4</v>
      </c>
      <c r="F74" s="85" t="str">
        <f t="shared" si="11"/>
        <v>01</v>
      </c>
      <c r="G74" s="85" t="str">
        <f t="shared" si="12"/>
        <v>2</v>
      </c>
      <c r="H74" s="85" t="str">
        <f t="shared" si="13"/>
        <v>2</v>
      </c>
      <c r="I74" s="87">
        <v>11140122</v>
      </c>
      <c r="J74" s="85" t="s">
        <v>4756</v>
      </c>
      <c r="K74" s="85" t="s">
        <v>2892</v>
      </c>
      <c r="L74" s="84"/>
      <c r="M74" s="85" t="s">
        <v>2892</v>
      </c>
      <c r="N74" s="85" t="s">
        <v>2879</v>
      </c>
      <c r="O74" s="85" t="s">
        <v>2892</v>
      </c>
      <c r="P74" s="86" t="s">
        <v>2890</v>
      </c>
    </row>
    <row r="75" spans="2:16" ht="15.75" x14ac:dyDescent="0.25">
      <c r="B75" s="85" t="str">
        <f t="shared" si="7"/>
        <v>1</v>
      </c>
      <c r="C75" s="85" t="str">
        <f t="shared" si="8"/>
        <v>1</v>
      </c>
      <c r="D75" s="85" t="str">
        <f t="shared" si="9"/>
        <v>1</v>
      </c>
      <c r="E75" s="85" t="str">
        <f t="shared" si="10"/>
        <v>4</v>
      </c>
      <c r="F75" s="85" t="str">
        <f t="shared" si="11"/>
        <v>01</v>
      </c>
      <c r="G75" s="85" t="str">
        <f t="shared" si="12"/>
        <v>2</v>
      </c>
      <c r="H75" s="85" t="str">
        <f t="shared" si="13"/>
        <v>3</v>
      </c>
      <c r="I75" s="87">
        <v>11140123</v>
      </c>
      <c r="J75" s="85" t="s">
        <v>4757</v>
      </c>
      <c r="K75" s="85" t="s">
        <v>2892</v>
      </c>
      <c r="L75" s="84"/>
      <c r="M75" s="85" t="s">
        <v>2892</v>
      </c>
      <c r="N75" s="85" t="s">
        <v>2879</v>
      </c>
      <c r="O75" s="85" t="s">
        <v>2892</v>
      </c>
      <c r="P75" s="86" t="s">
        <v>2890</v>
      </c>
    </row>
    <row r="76" spans="2:16" ht="30" x14ac:dyDescent="0.25">
      <c r="B76" s="85" t="str">
        <f t="shared" si="7"/>
        <v>1</v>
      </c>
      <c r="C76" s="85" t="str">
        <f t="shared" si="8"/>
        <v>1</v>
      </c>
      <c r="D76" s="85" t="str">
        <f t="shared" si="9"/>
        <v>1</v>
      </c>
      <c r="E76" s="85" t="str">
        <f t="shared" si="10"/>
        <v>4</v>
      </c>
      <c r="F76" s="85" t="str">
        <f t="shared" si="11"/>
        <v>01</v>
      </c>
      <c r="G76" s="85" t="str">
        <f t="shared" si="12"/>
        <v>2</v>
      </c>
      <c r="H76" s="85" t="str">
        <f t="shared" si="13"/>
        <v>4</v>
      </c>
      <c r="I76" s="87">
        <v>11140124</v>
      </c>
      <c r="J76" s="85" t="s">
        <v>4758</v>
      </c>
      <c r="K76" s="85" t="s">
        <v>2892</v>
      </c>
      <c r="L76" s="84"/>
      <c r="M76" s="85" t="s">
        <v>2892</v>
      </c>
      <c r="N76" s="85" t="s">
        <v>2879</v>
      </c>
      <c r="O76" s="85" t="s">
        <v>2892</v>
      </c>
      <c r="P76" s="86" t="s">
        <v>2890</v>
      </c>
    </row>
    <row r="77" spans="2:16" ht="90" x14ac:dyDescent="0.25">
      <c r="B77" s="114" t="str">
        <f t="shared" si="7"/>
        <v>1</v>
      </c>
      <c r="C77" s="114" t="str">
        <f t="shared" si="8"/>
        <v>1</v>
      </c>
      <c r="D77" s="114" t="str">
        <f t="shared" si="9"/>
        <v>1</v>
      </c>
      <c r="E77" s="114" t="str">
        <f t="shared" si="10"/>
        <v>4</v>
      </c>
      <c r="F77" s="114" t="str">
        <f t="shared" si="11"/>
        <v>01</v>
      </c>
      <c r="G77" s="114" t="str">
        <f t="shared" si="12"/>
        <v>3</v>
      </c>
      <c r="H77" s="114" t="str">
        <f t="shared" si="13"/>
        <v>0</v>
      </c>
      <c r="I77" s="115">
        <v>11140130</v>
      </c>
      <c r="J77" s="114" t="s">
        <v>2987</v>
      </c>
      <c r="K77" s="114" t="s">
        <v>2988</v>
      </c>
      <c r="L77" s="116"/>
      <c r="M77" s="114" t="s">
        <v>2878</v>
      </c>
      <c r="N77" s="114" t="s">
        <v>2879</v>
      </c>
      <c r="O77" s="114" t="s">
        <v>2878</v>
      </c>
      <c r="P77" s="117" t="s">
        <v>2880</v>
      </c>
    </row>
    <row r="78" spans="2:16" ht="94.5" customHeight="1" x14ac:dyDescent="0.25">
      <c r="B78" s="85" t="str">
        <f t="shared" si="7"/>
        <v>1</v>
      </c>
      <c r="C78" s="85" t="str">
        <f t="shared" si="8"/>
        <v>1</v>
      </c>
      <c r="D78" s="85" t="str">
        <f t="shared" si="9"/>
        <v>1</v>
      </c>
      <c r="E78" s="85" t="str">
        <f t="shared" si="10"/>
        <v>4</v>
      </c>
      <c r="F78" s="85" t="str">
        <f t="shared" si="11"/>
        <v>01</v>
      </c>
      <c r="G78" s="85" t="str">
        <f t="shared" si="12"/>
        <v>3</v>
      </c>
      <c r="H78" s="85" t="str">
        <f t="shared" si="13"/>
        <v>1</v>
      </c>
      <c r="I78" s="87">
        <v>11140131</v>
      </c>
      <c r="J78" s="85" t="s">
        <v>2989</v>
      </c>
      <c r="K78" s="85" t="s">
        <v>2990</v>
      </c>
      <c r="L78" s="84"/>
      <c r="M78" s="85" t="s">
        <v>2979</v>
      </c>
      <c r="N78" s="85" t="s">
        <v>2879</v>
      </c>
      <c r="O78" s="85" t="s">
        <v>2980</v>
      </c>
      <c r="P78" s="86" t="s">
        <v>2890</v>
      </c>
    </row>
    <row r="79" spans="2:16" ht="15.75" x14ac:dyDescent="0.25">
      <c r="B79" s="85" t="str">
        <f t="shared" si="7"/>
        <v>1</v>
      </c>
      <c r="C79" s="85" t="str">
        <f t="shared" si="8"/>
        <v>1</v>
      </c>
      <c r="D79" s="85" t="str">
        <f t="shared" si="9"/>
        <v>1</v>
      </c>
      <c r="E79" s="85" t="str">
        <f t="shared" si="10"/>
        <v>4</v>
      </c>
      <c r="F79" s="85" t="str">
        <f t="shared" si="11"/>
        <v>01</v>
      </c>
      <c r="G79" s="85" t="str">
        <f t="shared" si="12"/>
        <v>3</v>
      </c>
      <c r="H79" s="85" t="str">
        <f t="shared" si="13"/>
        <v>2</v>
      </c>
      <c r="I79" s="87">
        <v>11140132</v>
      </c>
      <c r="J79" s="85" t="s">
        <v>2991</v>
      </c>
      <c r="K79" s="85" t="s">
        <v>2892</v>
      </c>
      <c r="L79" s="84"/>
      <c r="M79" s="85" t="s">
        <v>2892</v>
      </c>
      <c r="N79" s="85" t="s">
        <v>2879</v>
      </c>
      <c r="O79" s="85" t="s">
        <v>2892</v>
      </c>
      <c r="P79" s="86" t="s">
        <v>2890</v>
      </c>
    </row>
    <row r="80" spans="2:16" ht="15.75" x14ac:dyDescent="0.25">
      <c r="B80" s="85" t="str">
        <f t="shared" si="7"/>
        <v>1</v>
      </c>
      <c r="C80" s="85" t="str">
        <f t="shared" si="8"/>
        <v>1</v>
      </c>
      <c r="D80" s="85" t="str">
        <f t="shared" si="9"/>
        <v>1</v>
      </c>
      <c r="E80" s="85" t="str">
        <f t="shared" si="10"/>
        <v>4</v>
      </c>
      <c r="F80" s="85" t="str">
        <f t="shared" si="11"/>
        <v>01</v>
      </c>
      <c r="G80" s="85" t="str">
        <f t="shared" si="12"/>
        <v>3</v>
      </c>
      <c r="H80" s="85" t="str">
        <f t="shared" si="13"/>
        <v>3</v>
      </c>
      <c r="I80" s="87">
        <v>11140133</v>
      </c>
      <c r="J80" s="85" t="s">
        <v>2992</v>
      </c>
      <c r="K80" s="85" t="s">
        <v>2892</v>
      </c>
      <c r="L80" s="84"/>
      <c r="M80" s="85" t="s">
        <v>2892</v>
      </c>
      <c r="N80" s="85" t="s">
        <v>2879</v>
      </c>
      <c r="O80" s="85" t="s">
        <v>2892</v>
      </c>
      <c r="P80" s="86" t="s">
        <v>2890</v>
      </c>
    </row>
    <row r="81" spans="2:16" ht="30" x14ac:dyDescent="0.25">
      <c r="B81" s="85" t="str">
        <f t="shared" si="7"/>
        <v>1</v>
      </c>
      <c r="C81" s="85" t="str">
        <f t="shared" si="8"/>
        <v>1</v>
      </c>
      <c r="D81" s="85" t="str">
        <f t="shared" si="9"/>
        <v>1</v>
      </c>
      <c r="E81" s="85" t="str">
        <f t="shared" si="10"/>
        <v>4</v>
      </c>
      <c r="F81" s="85" t="str">
        <f t="shared" si="11"/>
        <v>01</v>
      </c>
      <c r="G81" s="85" t="str">
        <f t="shared" si="12"/>
        <v>3</v>
      </c>
      <c r="H81" s="85" t="str">
        <f t="shared" si="13"/>
        <v>4</v>
      </c>
      <c r="I81" s="87">
        <v>11140134</v>
      </c>
      <c r="J81" s="85" t="s">
        <v>2993</v>
      </c>
      <c r="K81" s="85" t="s">
        <v>2892</v>
      </c>
      <c r="L81" s="84"/>
      <c r="M81" s="85" t="s">
        <v>2892</v>
      </c>
      <c r="N81" s="85" t="s">
        <v>2879</v>
      </c>
      <c r="O81" s="85" t="s">
        <v>2892</v>
      </c>
      <c r="P81" s="86" t="s">
        <v>2890</v>
      </c>
    </row>
    <row r="82" spans="2:16" ht="45" x14ac:dyDescent="0.25">
      <c r="B82" s="114" t="str">
        <f t="shared" si="7"/>
        <v>1</v>
      </c>
      <c r="C82" s="114" t="str">
        <f t="shared" si="8"/>
        <v>1</v>
      </c>
      <c r="D82" s="114" t="str">
        <f t="shared" si="9"/>
        <v>1</v>
      </c>
      <c r="E82" s="114" t="str">
        <f t="shared" si="10"/>
        <v>4</v>
      </c>
      <c r="F82" s="114" t="str">
        <f t="shared" si="11"/>
        <v>01</v>
      </c>
      <c r="G82" s="114" t="str">
        <f t="shared" si="12"/>
        <v>4</v>
      </c>
      <c r="H82" s="114" t="str">
        <f t="shared" si="13"/>
        <v>0</v>
      </c>
      <c r="I82" s="115">
        <v>11140140</v>
      </c>
      <c r="J82" s="114" t="s">
        <v>2994</v>
      </c>
      <c r="K82" s="114" t="s">
        <v>2995</v>
      </c>
      <c r="L82" s="116"/>
      <c r="M82" s="114" t="s">
        <v>2878</v>
      </c>
      <c r="N82" s="114" t="s">
        <v>2879</v>
      </c>
      <c r="O82" s="114" t="s">
        <v>2878</v>
      </c>
      <c r="P82" s="117" t="s">
        <v>2880</v>
      </c>
    </row>
    <row r="83" spans="2:16" ht="60" customHeight="1" x14ac:dyDescent="0.25">
      <c r="B83" s="85" t="str">
        <f t="shared" si="7"/>
        <v>1</v>
      </c>
      <c r="C83" s="85" t="str">
        <f t="shared" si="8"/>
        <v>1</v>
      </c>
      <c r="D83" s="85" t="str">
        <f t="shared" si="9"/>
        <v>1</v>
      </c>
      <c r="E83" s="85" t="str">
        <f t="shared" si="10"/>
        <v>4</v>
      </c>
      <c r="F83" s="85" t="str">
        <f t="shared" si="11"/>
        <v>01</v>
      </c>
      <c r="G83" s="85" t="str">
        <f t="shared" si="12"/>
        <v>4</v>
      </c>
      <c r="H83" s="85" t="str">
        <f t="shared" si="13"/>
        <v>1</v>
      </c>
      <c r="I83" s="87">
        <v>11140141</v>
      </c>
      <c r="J83" s="85" t="s">
        <v>2996</v>
      </c>
      <c r="K83" s="85" t="s">
        <v>2997</v>
      </c>
      <c r="L83" s="84"/>
      <c r="M83" s="85" t="s">
        <v>2979</v>
      </c>
      <c r="N83" s="85" t="s">
        <v>2879</v>
      </c>
      <c r="O83" s="85" t="s">
        <v>2980</v>
      </c>
      <c r="P83" s="86" t="s">
        <v>2890</v>
      </c>
    </row>
    <row r="84" spans="2:16" ht="30" x14ac:dyDescent="0.25">
      <c r="B84" s="85" t="str">
        <f t="shared" si="7"/>
        <v>1</v>
      </c>
      <c r="C84" s="85" t="str">
        <f t="shared" si="8"/>
        <v>1</v>
      </c>
      <c r="D84" s="85" t="str">
        <f t="shared" si="9"/>
        <v>1</v>
      </c>
      <c r="E84" s="85" t="str">
        <f t="shared" si="10"/>
        <v>4</v>
      </c>
      <c r="F84" s="85" t="str">
        <f t="shared" si="11"/>
        <v>01</v>
      </c>
      <c r="G84" s="85" t="str">
        <f t="shared" si="12"/>
        <v>4</v>
      </c>
      <c r="H84" s="85" t="str">
        <f t="shared" si="13"/>
        <v>2</v>
      </c>
      <c r="I84" s="87">
        <v>11140142</v>
      </c>
      <c r="J84" s="85" t="s">
        <v>2998</v>
      </c>
      <c r="K84" s="85" t="s">
        <v>2892</v>
      </c>
      <c r="L84" s="84"/>
      <c r="M84" s="85" t="s">
        <v>2892</v>
      </c>
      <c r="N84" s="85" t="s">
        <v>2879</v>
      </c>
      <c r="O84" s="85" t="s">
        <v>2892</v>
      </c>
      <c r="P84" s="86" t="s">
        <v>2890</v>
      </c>
    </row>
    <row r="85" spans="2:16" ht="30" x14ac:dyDescent="0.25">
      <c r="B85" s="85" t="str">
        <f t="shared" si="7"/>
        <v>1</v>
      </c>
      <c r="C85" s="85" t="str">
        <f t="shared" si="8"/>
        <v>1</v>
      </c>
      <c r="D85" s="85" t="str">
        <f t="shared" si="9"/>
        <v>1</v>
      </c>
      <c r="E85" s="85" t="str">
        <f t="shared" si="10"/>
        <v>4</v>
      </c>
      <c r="F85" s="85" t="str">
        <f t="shared" si="11"/>
        <v>01</v>
      </c>
      <c r="G85" s="85" t="str">
        <f t="shared" si="12"/>
        <v>4</v>
      </c>
      <c r="H85" s="85" t="str">
        <f t="shared" si="13"/>
        <v>3</v>
      </c>
      <c r="I85" s="87">
        <v>11140143</v>
      </c>
      <c r="J85" s="85" t="s">
        <v>2999</v>
      </c>
      <c r="K85" s="85" t="s">
        <v>2892</v>
      </c>
      <c r="L85" s="84"/>
      <c r="M85" s="85" t="s">
        <v>2892</v>
      </c>
      <c r="N85" s="85" t="s">
        <v>2879</v>
      </c>
      <c r="O85" s="85" t="s">
        <v>2892</v>
      </c>
      <c r="P85" s="86" t="s">
        <v>2890</v>
      </c>
    </row>
    <row r="86" spans="2:16" ht="30" x14ac:dyDescent="0.25">
      <c r="B86" s="85" t="str">
        <f t="shared" si="7"/>
        <v>1</v>
      </c>
      <c r="C86" s="85" t="str">
        <f t="shared" si="8"/>
        <v>1</v>
      </c>
      <c r="D86" s="85" t="str">
        <f t="shared" si="9"/>
        <v>1</v>
      </c>
      <c r="E86" s="85" t="str">
        <f t="shared" si="10"/>
        <v>4</v>
      </c>
      <c r="F86" s="85" t="str">
        <f t="shared" si="11"/>
        <v>01</v>
      </c>
      <c r="G86" s="85" t="str">
        <f t="shared" si="12"/>
        <v>4</v>
      </c>
      <c r="H86" s="85" t="str">
        <f t="shared" si="13"/>
        <v>4</v>
      </c>
      <c r="I86" s="87">
        <v>11140144</v>
      </c>
      <c r="J86" s="85" t="s">
        <v>3000</v>
      </c>
      <c r="K86" s="85" t="s">
        <v>2892</v>
      </c>
      <c r="L86" s="84"/>
      <c r="M86" s="85" t="s">
        <v>2892</v>
      </c>
      <c r="N86" s="85" t="s">
        <v>2879</v>
      </c>
      <c r="O86" s="85" t="s">
        <v>2892</v>
      </c>
      <c r="P86" s="86" t="s">
        <v>2890</v>
      </c>
    </row>
    <row r="87" spans="2:16" ht="45" x14ac:dyDescent="0.25">
      <c r="B87" s="114" t="str">
        <f t="shared" si="7"/>
        <v>1</v>
      </c>
      <c r="C87" s="114" t="str">
        <f t="shared" si="8"/>
        <v>1</v>
      </c>
      <c r="D87" s="114" t="str">
        <f t="shared" si="9"/>
        <v>1</v>
      </c>
      <c r="E87" s="114" t="str">
        <f t="shared" si="10"/>
        <v>4</v>
      </c>
      <c r="F87" s="114" t="str">
        <f t="shared" si="11"/>
        <v>01</v>
      </c>
      <c r="G87" s="114" t="str">
        <f t="shared" si="12"/>
        <v>5</v>
      </c>
      <c r="H87" s="114" t="str">
        <f t="shared" si="13"/>
        <v>0</v>
      </c>
      <c r="I87" s="115">
        <v>11140150</v>
      </c>
      <c r="J87" s="114" t="s">
        <v>3001</v>
      </c>
      <c r="K87" s="114" t="s">
        <v>3002</v>
      </c>
      <c r="L87" s="116"/>
      <c r="M87" s="114" t="s">
        <v>2878</v>
      </c>
      <c r="N87" s="114" t="s">
        <v>2879</v>
      </c>
      <c r="O87" s="114" t="s">
        <v>2878</v>
      </c>
      <c r="P87" s="117" t="s">
        <v>2880</v>
      </c>
    </row>
    <row r="88" spans="2:16" ht="60" customHeight="1" x14ac:dyDescent="0.25">
      <c r="B88" s="85" t="str">
        <f t="shared" si="7"/>
        <v>1</v>
      </c>
      <c r="C88" s="85" t="str">
        <f t="shared" si="8"/>
        <v>1</v>
      </c>
      <c r="D88" s="85" t="str">
        <f t="shared" si="9"/>
        <v>1</v>
      </c>
      <c r="E88" s="85" t="str">
        <f t="shared" si="10"/>
        <v>4</v>
      </c>
      <c r="F88" s="85" t="str">
        <f t="shared" si="11"/>
        <v>01</v>
      </c>
      <c r="G88" s="85" t="str">
        <f t="shared" si="12"/>
        <v>5</v>
      </c>
      <c r="H88" s="85" t="str">
        <f t="shared" si="13"/>
        <v>1</v>
      </c>
      <c r="I88" s="87">
        <v>11140151</v>
      </c>
      <c r="J88" s="85" t="s">
        <v>3003</v>
      </c>
      <c r="K88" s="85" t="s">
        <v>3004</v>
      </c>
      <c r="L88" s="84"/>
      <c r="M88" s="85" t="s">
        <v>2979</v>
      </c>
      <c r="N88" s="85" t="s">
        <v>2879</v>
      </c>
      <c r="O88" s="85" t="s">
        <v>2980</v>
      </c>
      <c r="P88" s="86" t="s">
        <v>2890</v>
      </c>
    </row>
    <row r="89" spans="2:16" ht="30" x14ac:dyDescent="0.25">
      <c r="B89" s="85" t="str">
        <f t="shared" si="7"/>
        <v>1</v>
      </c>
      <c r="C89" s="85" t="str">
        <f t="shared" si="8"/>
        <v>1</v>
      </c>
      <c r="D89" s="85" t="str">
        <f t="shared" si="9"/>
        <v>1</v>
      </c>
      <c r="E89" s="85" t="str">
        <f t="shared" si="10"/>
        <v>4</v>
      </c>
      <c r="F89" s="85" t="str">
        <f t="shared" si="11"/>
        <v>01</v>
      </c>
      <c r="G89" s="85" t="str">
        <f t="shared" si="12"/>
        <v>5</v>
      </c>
      <c r="H89" s="85" t="str">
        <f t="shared" si="13"/>
        <v>2</v>
      </c>
      <c r="I89" s="87">
        <v>11140152</v>
      </c>
      <c r="J89" s="85" t="s">
        <v>3005</v>
      </c>
      <c r="K89" s="85" t="s">
        <v>2892</v>
      </c>
      <c r="L89" s="84"/>
      <c r="M89" s="85" t="s">
        <v>2892</v>
      </c>
      <c r="N89" s="85" t="s">
        <v>2879</v>
      </c>
      <c r="O89" s="85" t="s">
        <v>2892</v>
      </c>
      <c r="P89" s="86" t="s">
        <v>2890</v>
      </c>
    </row>
    <row r="90" spans="2:16" ht="15.75" x14ac:dyDescent="0.25">
      <c r="B90" s="85" t="str">
        <f t="shared" si="7"/>
        <v>1</v>
      </c>
      <c r="C90" s="85" t="str">
        <f t="shared" si="8"/>
        <v>1</v>
      </c>
      <c r="D90" s="85" t="str">
        <f t="shared" si="9"/>
        <v>1</v>
      </c>
      <c r="E90" s="85" t="str">
        <f t="shared" si="10"/>
        <v>4</v>
      </c>
      <c r="F90" s="85" t="str">
        <f t="shared" si="11"/>
        <v>01</v>
      </c>
      <c r="G90" s="85" t="str">
        <f t="shared" si="12"/>
        <v>5</v>
      </c>
      <c r="H90" s="85" t="str">
        <f t="shared" si="13"/>
        <v>3</v>
      </c>
      <c r="I90" s="87">
        <v>11140153</v>
      </c>
      <c r="J90" s="85" t="s">
        <v>3006</v>
      </c>
      <c r="K90" s="85" t="s">
        <v>2892</v>
      </c>
      <c r="L90" s="84"/>
      <c r="M90" s="85" t="s">
        <v>2892</v>
      </c>
      <c r="N90" s="85" t="s">
        <v>2879</v>
      </c>
      <c r="O90" s="85" t="s">
        <v>2892</v>
      </c>
      <c r="P90" s="86" t="s">
        <v>2890</v>
      </c>
    </row>
    <row r="91" spans="2:16" ht="30" x14ac:dyDescent="0.25">
      <c r="B91" s="85" t="str">
        <f t="shared" si="7"/>
        <v>1</v>
      </c>
      <c r="C91" s="85" t="str">
        <f t="shared" si="8"/>
        <v>1</v>
      </c>
      <c r="D91" s="85" t="str">
        <f t="shared" si="9"/>
        <v>1</v>
      </c>
      <c r="E91" s="85" t="str">
        <f t="shared" si="10"/>
        <v>4</v>
      </c>
      <c r="F91" s="85" t="str">
        <f t="shared" si="11"/>
        <v>01</v>
      </c>
      <c r="G91" s="85" t="str">
        <f t="shared" si="12"/>
        <v>5</v>
      </c>
      <c r="H91" s="85" t="str">
        <f t="shared" si="13"/>
        <v>4</v>
      </c>
      <c r="I91" s="87">
        <v>11140154</v>
      </c>
      <c r="J91" s="85" t="s">
        <v>3007</v>
      </c>
      <c r="K91" s="85" t="s">
        <v>2892</v>
      </c>
      <c r="L91" s="84"/>
      <c r="M91" s="85" t="s">
        <v>2892</v>
      </c>
      <c r="N91" s="85" t="s">
        <v>2879</v>
      </c>
      <c r="O91" s="85" t="s">
        <v>2892</v>
      </c>
      <c r="P91" s="86" t="s">
        <v>2890</v>
      </c>
    </row>
    <row r="92" spans="2:16" ht="30" x14ac:dyDescent="0.25">
      <c r="B92" s="104" t="str">
        <f t="shared" si="7"/>
        <v>1</v>
      </c>
      <c r="C92" s="104" t="str">
        <f t="shared" si="8"/>
        <v>1</v>
      </c>
      <c r="D92" s="104" t="str">
        <f t="shared" si="9"/>
        <v>1</v>
      </c>
      <c r="E92" s="104" t="str">
        <f t="shared" si="10"/>
        <v>5</v>
      </c>
      <c r="F92" s="104" t="str">
        <f t="shared" si="11"/>
        <v>00</v>
      </c>
      <c r="G92" s="104" t="str">
        <f t="shared" si="12"/>
        <v>0</v>
      </c>
      <c r="H92" s="104" t="str">
        <f t="shared" si="13"/>
        <v>0</v>
      </c>
      <c r="I92" s="105">
        <v>11150000</v>
      </c>
      <c r="J92" s="104" t="s">
        <v>3008</v>
      </c>
      <c r="K92" s="104" t="s">
        <v>3009</v>
      </c>
      <c r="L92" s="106"/>
      <c r="M92" s="104" t="s">
        <v>2878</v>
      </c>
      <c r="N92" s="104" t="s">
        <v>2879</v>
      </c>
      <c r="O92" s="104" t="s">
        <v>2878</v>
      </c>
      <c r="P92" s="107" t="s">
        <v>2880</v>
      </c>
    </row>
    <row r="93" spans="2:16" ht="30" x14ac:dyDescent="0.25">
      <c r="B93" s="108" t="str">
        <f t="shared" si="7"/>
        <v>1</v>
      </c>
      <c r="C93" s="108" t="str">
        <f t="shared" si="8"/>
        <v>1</v>
      </c>
      <c r="D93" s="108" t="str">
        <f t="shared" si="9"/>
        <v>1</v>
      </c>
      <c r="E93" s="108" t="str">
        <f t="shared" si="10"/>
        <v>5</v>
      </c>
      <c r="F93" s="108" t="str">
        <f t="shared" si="11"/>
        <v>01</v>
      </c>
      <c r="G93" s="108" t="str">
        <f t="shared" si="12"/>
        <v>0</v>
      </c>
      <c r="H93" s="108" t="str">
        <f t="shared" si="13"/>
        <v>0</v>
      </c>
      <c r="I93" s="109">
        <v>11150100</v>
      </c>
      <c r="J93" s="108" t="s">
        <v>3010</v>
      </c>
      <c r="K93" s="108" t="s">
        <v>3009</v>
      </c>
      <c r="L93" s="110"/>
      <c r="M93" s="108" t="s">
        <v>2878</v>
      </c>
      <c r="N93" s="108" t="s">
        <v>2879</v>
      </c>
      <c r="O93" s="108" t="s">
        <v>2878</v>
      </c>
      <c r="P93" s="111" t="s">
        <v>2880</v>
      </c>
    </row>
    <row r="94" spans="2:16" ht="75" x14ac:dyDescent="0.25">
      <c r="B94" s="114" t="str">
        <f t="shared" si="7"/>
        <v>1</v>
      </c>
      <c r="C94" s="114" t="str">
        <f t="shared" si="8"/>
        <v>1</v>
      </c>
      <c r="D94" s="114" t="str">
        <f t="shared" si="9"/>
        <v>1</v>
      </c>
      <c r="E94" s="114" t="str">
        <f t="shared" si="10"/>
        <v>5</v>
      </c>
      <c r="F94" s="114" t="str">
        <f t="shared" si="11"/>
        <v>01</v>
      </c>
      <c r="G94" s="114" t="str">
        <f t="shared" si="12"/>
        <v>1</v>
      </c>
      <c r="H94" s="114" t="str">
        <f t="shared" si="13"/>
        <v>0</v>
      </c>
      <c r="I94" s="115">
        <v>11150110</v>
      </c>
      <c r="J94" s="114" t="s">
        <v>3011</v>
      </c>
      <c r="K94" s="114" t="s">
        <v>3012</v>
      </c>
      <c r="L94" s="116"/>
      <c r="M94" s="114" t="s">
        <v>2878</v>
      </c>
      <c r="N94" s="114" t="s">
        <v>2879</v>
      </c>
      <c r="O94" s="114" t="s">
        <v>2878</v>
      </c>
      <c r="P94" s="117" t="s">
        <v>2880</v>
      </c>
    </row>
    <row r="95" spans="2:16" ht="75" x14ac:dyDescent="0.25">
      <c r="B95" s="85" t="str">
        <f t="shared" si="7"/>
        <v>1</v>
      </c>
      <c r="C95" s="85" t="str">
        <f t="shared" si="8"/>
        <v>1</v>
      </c>
      <c r="D95" s="85" t="str">
        <f t="shared" si="9"/>
        <v>1</v>
      </c>
      <c r="E95" s="85" t="str">
        <f t="shared" si="10"/>
        <v>5</v>
      </c>
      <c r="F95" s="85" t="str">
        <f t="shared" si="11"/>
        <v>01</v>
      </c>
      <c r="G95" s="85" t="str">
        <f t="shared" si="12"/>
        <v>1</v>
      </c>
      <c r="H95" s="85" t="str">
        <f t="shared" si="13"/>
        <v>1</v>
      </c>
      <c r="I95" s="87">
        <v>11150111</v>
      </c>
      <c r="J95" s="85" t="s">
        <v>3013</v>
      </c>
      <c r="K95" s="85" t="s">
        <v>3014</v>
      </c>
      <c r="L95" s="84"/>
      <c r="M95" s="85" t="s">
        <v>3015</v>
      </c>
      <c r="N95" s="85" t="s">
        <v>2879</v>
      </c>
      <c r="O95" s="85" t="s">
        <v>3016</v>
      </c>
      <c r="P95" s="86" t="s">
        <v>2890</v>
      </c>
    </row>
    <row r="96" spans="2:16" ht="15.75" x14ac:dyDescent="0.25">
      <c r="B96" s="85" t="str">
        <f t="shared" si="7"/>
        <v>1</v>
      </c>
      <c r="C96" s="85" t="str">
        <f t="shared" si="8"/>
        <v>1</v>
      </c>
      <c r="D96" s="85" t="str">
        <f t="shared" si="9"/>
        <v>1</v>
      </c>
      <c r="E96" s="85" t="str">
        <f t="shared" si="10"/>
        <v>5</v>
      </c>
      <c r="F96" s="85" t="str">
        <f t="shared" si="11"/>
        <v>01</v>
      </c>
      <c r="G96" s="85" t="str">
        <f t="shared" si="12"/>
        <v>1</v>
      </c>
      <c r="H96" s="85" t="str">
        <f t="shared" si="13"/>
        <v>2</v>
      </c>
      <c r="I96" s="87">
        <v>11150112</v>
      </c>
      <c r="J96" s="85" t="s">
        <v>3017</v>
      </c>
      <c r="K96" s="85" t="s">
        <v>2892</v>
      </c>
      <c r="L96" s="84"/>
      <c r="M96" s="85" t="s">
        <v>2892</v>
      </c>
      <c r="N96" s="85" t="s">
        <v>2879</v>
      </c>
      <c r="O96" s="85" t="s">
        <v>2892</v>
      </c>
      <c r="P96" s="86" t="s">
        <v>2890</v>
      </c>
    </row>
    <row r="97" spans="2:16" ht="15.75" x14ac:dyDescent="0.25">
      <c r="B97" s="85" t="str">
        <f t="shared" si="7"/>
        <v>1</v>
      </c>
      <c r="C97" s="85" t="str">
        <f t="shared" si="8"/>
        <v>1</v>
      </c>
      <c r="D97" s="85" t="str">
        <f t="shared" si="9"/>
        <v>1</v>
      </c>
      <c r="E97" s="85" t="str">
        <f t="shared" si="10"/>
        <v>5</v>
      </c>
      <c r="F97" s="85" t="str">
        <f t="shared" si="11"/>
        <v>01</v>
      </c>
      <c r="G97" s="85" t="str">
        <f t="shared" si="12"/>
        <v>1</v>
      </c>
      <c r="H97" s="85" t="str">
        <f t="shared" si="13"/>
        <v>3</v>
      </c>
      <c r="I97" s="87">
        <v>11150113</v>
      </c>
      <c r="J97" s="85" t="s">
        <v>3018</v>
      </c>
      <c r="K97" s="85" t="s">
        <v>2892</v>
      </c>
      <c r="L97" s="84"/>
      <c r="M97" s="85" t="s">
        <v>2892</v>
      </c>
      <c r="N97" s="85" t="s">
        <v>2879</v>
      </c>
      <c r="O97" s="85" t="s">
        <v>2892</v>
      </c>
      <c r="P97" s="86" t="s">
        <v>2890</v>
      </c>
    </row>
    <row r="98" spans="2:16" ht="30" x14ac:dyDescent="0.25">
      <c r="B98" s="85" t="str">
        <f t="shared" si="7"/>
        <v>1</v>
      </c>
      <c r="C98" s="85" t="str">
        <f t="shared" si="8"/>
        <v>1</v>
      </c>
      <c r="D98" s="85" t="str">
        <f t="shared" si="9"/>
        <v>1</v>
      </c>
      <c r="E98" s="85" t="str">
        <f t="shared" si="10"/>
        <v>5</v>
      </c>
      <c r="F98" s="85" t="str">
        <f t="shared" si="11"/>
        <v>01</v>
      </c>
      <c r="G98" s="85" t="str">
        <f t="shared" si="12"/>
        <v>1</v>
      </c>
      <c r="H98" s="85" t="str">
        <f t="shared" si="13"/>
        <v>4</v>
      </c>
      <c r="I98" s="87">
        <v>11150114</v>
      </c>
      <c r="J98" s="85" t="s">
        <v>3019</v>
      </c>
      <c r="K98" s="85" t="s">
        <v>2892</v>
      </c>
      <c r="L98" s="84"/>
      <c r="M98" s="85" t="s">
        <v>2892</v>
      </c>
      <c r="N98" s="85" t="s">
        <v>2879</v>
      </c>
      <c r="O98" s="85" t="s">
        <v>2892</v>
      </c>
      <c r="P98" s="86" t="s">
        <v>2890</v>
      </c>
    </row>
    <row r="99" spans="2:16" ht="231.75" customHeight="1" x14ac:dyDescent="0.25">
      <c r="B99" s="114" t="str">
        <f t="shared" si="7"/>
        <v>1</v>
      </c>
      <c r="C99" s="114" t="str">
        <f t="shared" si="8"/>
        <v>1</v>
      </c>
      <c r="D99" s="114" t="str">
        <f t="shared" si="9"/>
        <v>1</v>
      </c>
      <c r="E99" s="114" t="str">
        <f t="shared" si="10"/>
        <v>5</v>
      </c>
      <c r="F99" s="114" t="str">
        <f t="shared" si="11"/>
        <v>01</v>
      </c>
      <c r="G99" s="114" t="str">
        <f t="shared" si="12"/>
        <v>2</v>
      </c>
      <c r="H99" s="114" t="str">
        <f t="shared" si="13"/>
        <v>0</v>
      </c>
      <c r="I99" s="115">
        <v>11150120</v>
      </c>
      <c r="J99" s="114" t="s">
        <v>3020</v>
      </c>
      <c r="K99" s="114" t="s">
        <v>3021</v>
      </c>
      <c r="L99" s="116"/>
      <c r="M99" s="114" t="s">
        <v>2878</v>
      </c>
      <c r="N99" s="114" t="s">
        <v>2879</v>
      </c>
      <c r="O99" s="114" t="s">
        <v>2878</v>
      </c>
      <c r="P99" s="117" t="s">
        <v>2880</v>
      </c>
    </row>
    <row r="100" spans="2:16" ht="195" x14ac:dyDescent="0.25">
      <c r="B100" s="85" t="str">
        <f t="shared" si="7"/>
        <v>1</v>
      </c>
      <c r="C100" s="85" t="str">
        <f t="shared" si="8"/>
        <v>1</v>
      </c>
      <c r="D100" s="85" t="str">
        <f t="shared" si="9"/>
        <v>1</v>
      </c>
      <c r="E100" s="85" t="str">
        <f t="shared" si="10"/>
        <v>5</v>
      </c>
      <c r="F100" s="85" t="str">
        <f t="shared" si="11"/>
        <v>01</v>
      </c>
      <c r="G100" s="85" t="str">
        <f t="shared" si="12"/>
        <v>2</v>
      </c>
      <c r="H100" s="85" t="str">
        <f t="shared" si="13"/>
        <v>1</v>
      </c>
      <c r="I100" s="87">
        <v>11150121</v>
      </c>
      <c r="J100" s="85" t="s">
        <v>3022</v>
      </c>
      <c r="K100" s="85" t="s">
        <v>3023</v>
      </c>
      <c r="L100" s="84"/>
      <c r="M100" s="85" t="s">
        <v>3024</v>
      </c>
      <c r="N100" s="85" t="s">
        <v>2879</v>
      </c>
      <c r="O100" s="85" t="s">
        <v>3025</v>
      </c>
      <c r="P100" s="86" t="s">
        <v>2890</v>
      </c>
    </row>
    <row r="101" spans="2:16" ht="30" x14ac:dyDescent="0.25">
      <c r="B101" s="85" t="str">
        <f t="shared" si="7"/>
        <v>1</v>
      </c>
      <c r="C101" s="85" t="str">
        <f t="shared" si="8"/>
        <v>1</v>
      </c>
      <c r="D101" s="85" t="str">
        <f t="shared" si="9"/>
        <v>1</v>
      </c>
      <c r="E101" s="85" t="str">
        <f t="shared" si="10"/>
        <v>5</v>
      </c>
      <c r="F101" s="85" t="str">
        <f t="shared" si="11"/>
        <v>01</v>
      </c>
      <c r="G101" s="85" t="str">
        <f t="shared" si="12"/>
        <v>2</v>
      </c>
      <c r="H101" s="85" t="str">
        <f t="shared" si="13"/>
        <v>2</v>
      </c>
      <c r="I101" s="87">
        <v>11150122</v>
      </c>
      <c r="J101" s="85" t="s">
        <v>3026</v>
      </c>
      <c r="K101" s="85" t="s">
        <v>2892</v>
      </c>
      <c r="L101" s="84"/>
      <c r="M101" s="85" t="s">
        <v>2892</v>
      </c>
      <c r="N101" s="85" t="s">
        <v>2879</v>
      </c>
      <c r="O101" s="85" t="s">
        <v>2892</v>
      </c>
      <c r="P101" s="86" t="s">
        <v>2890</v>
      </c>
    </row>
    <row r="102" spans="2:16" ht="15.75" x14ac:dyDescent="0.25">
      <c r="B102" s="85" t="str">
        <f t="shared" si="7"/>
        <v>1</v>
      </c>
      <c r="C102" s="85" t="str">
        <f t="shared" si="8"/>
        <v>1</v>
      </c>
      <c r="D102" s="85" t="str">
        <f t="shared" si="9"/>
        <v>1</v>
      </c>
      <c r="E102" s="85" t="str">
        <f t="shared" si="10"/>
        <v>5</v>
      </c>
      <c r="F102" s="85" t="str">
        <f t="shared" si="11"/>
        <v>01</v>
      </c>
      <c r="G102" s="85" t="str">
        <f t="shared" si="12"/>
        <v>2</v>
      </c>
      <c r="H102" s="85" t="str">
        <f t="shared" si="13"/>
        <v>3</v>
      </c>
      <c r="I102" s="87">
        <v>11150123</v>
      </c>
      <c r="J102" s="85" t="s">
        <v>3027</v>
      </c>
      <c r="K102" s="85" t="s">
        <v>2892</v>
      </c>
      <c r="L102" s="84"/>
      <c r="M102" s="85" t="s">
        <v>2892</v>
      </c>
      <c r="N102" s="85" t="s">
        <v>2879</v>
      </c>
      <c r="O102" s="85" t="s">
        <v>2892</v>
      </c>
      <c r="P102" s="86" t="s">
        <v>2890</v>
      </c>
    </row>
    <row r="103" spans="2:16" ht="30" x14ac:dyDescent="0.25">
      <c r="B103" s="85" t="str">
        <f t="shared" si="7"/>
        <v>1</v>
      </c>
      <c r="C103" s="85" t="str">
        <f t="shared" si="8"/>
        <v>1</v>
      </c>
      <c r="D103" s="85" t="str">
        <f t="shared" si="9"/>
        <v>1</v>
      </c>
      <c r="E103" s="85" t="str">
        <f t="shared" si="10"/>
        <v>5</v>
      </c>
      <c r="F103" s="85" t="str">
        <f t="shared" si="11"/>
        <v>01</v>
      </c>
      <c r="G103" s="85" t="str">
        <f t="shared" si="12"/>
        <v>2</v>
      </c>
      <c r="H103" s="85" t="str">
        <f t="shared" si="13"/>
        <v>4</v>
      </c>
      <c r="I103" s="87">
        <v>11150124</v>
      </c>
      <c r="J103" s="85" t="s">
        <v>3028</v>
      </c>
      <c r="K103" s="85" t="s">
        <v>2892</v>
      </c>
      <c r="L103" s="84"/>
      <c r="M103" s="85" t="s">
        <v>2892</v>
      </c>
      <c r="N103" s="85" t="s">
        <v>2879</v>
      </c>
      <c r="O103" s="85" t="s">
        <v>2892</v>
      </c>
      <c r="P103" s="86" t="s">
        <v>2890</v>
      </c>
    </row>
    <row r="104" spans="2:16" s="153" customFormat="1" ht="30" x14ac:dyDescent="0.25">
      <c r="B104" s="155" t="str">
        <f t="shared" si="7"/>
        <v>1</v>
      </c>
      <c r="C104" s="155" t="str">
        <f t="shared" si="8"/>
        <v>1</v>
      </c>
      <c r="D104" s="155" t="str">
        <f t="shared" si="9"/>
        <v>1</v>
      </c>
      <c r="E104" s="155" t="str">
        <f t="shared" si="10"/>
        <v>8</v>
      </c>
      <c r="F104" s="155" t="str">
        <f t="shared" si="11"/>
        <v>00</v>
      </c>
      <c r="G104" s="155" t="str">
        <f t="shared" si="12"/>
        <v>0</v>
      </c>
      <c r="H104" s="155" t="str">
        <f t="shared" si="13"/>
        <v>0</v>
      </c>
      <c r="I104" s="161">
        <v>11180000</v>
      </c>
      <c r="J104" s="155" t="s">
        <v>5020</v>
      </c>
      <c r="K104" s="155" t="s">
        <v>4976</v>
      </c>
      <c r="L104" s="106"/>
      <c r="M104" s="155" t="s">
        <v>2878</v>
      </c>
      <c r="N104" s="155"/>
      <c r="O104" s="155" t="s">
        <v>5018</v>
      </c>
      <c r="P104" s="162" t="s">
        <v>2880</v>
      </c>
    </row>
    <row r="105" spans="2:16" s="153" customFormat="1" ht="30" x14ac:dyDescent="0.25">
      <c r="B105" s="113" t="str">
        <f t="shared" si="7"/>
        <v>1</v>
      </c>
      <c r="C105" s="113" t="str">
        <f t="shared" si="8"/>
        <v>1</v>
      </c>
      <c r="D105" s="113" t="str">
        <f t="shared" si="9"/>
        <v>1</v>
      </c>
      <c r="E105" s="113" t="str">
        <f t="shared" si="10"/>
        <v>8</v>
      </c>
      <c r="F105" s="113" t="str">
        <f t="shared" si="11"/>
        <v>01</v>
      </c>
      <c r="G105" s="113" t="str">
        <f t="shared" si="12"/>
        <v>0</v>
      </c>
      <c r="H105" s="113" t="str">
        <f t="shared" si="13"/>
        <v>0</v>
      </c>
      <c r="I105" s="112">
        <v>11180100</v>
      </c>
      <c r="J105" s="113" t="s">
        <v>4893</v>
      </c>
      <c r="K105" s="113" t="s">
        <v>4977</v>
      </c>
      <c r="L105" s="110"/>
      <c r="M105" s="113" t="s">
        <v>2878</v>
      </c>
      <c r="N105" s="113"/>
      <c r="O105" s="113"/>
      <c r="P105" s="163" t="s">
        <v>2880</v>
      </c>
    </row>
    <row r="106" spans="2:16" s="153" customFormat="1" ht="60" x14ac:dyDescent="0.25">
      <c r="B106" s="130" t="str">
        <f t="shared" si="7"/>
        <v>1</v>
      </c>
      <c r="C106" s="130" t="str">
        <f t="shared" si="8"/>
        <v>1</v>
      </c>
      <c r="D106" s="130" t="str">
        <f t="shared" si="9"/>
        <v>1</v>
      </c>
      <c r="E106" s="130" t="str">
        <f t="shared" si="10"/>
        <v>8</v>
      </c>
      <c r="F106" s="130" t="str">
        <f t="shared" si="11"/>
        <v>01</v>
      </c>
      <c r="G106" s="130" t="str">
        <f t="shared" si="12"/>
        <v>1</v>
      </c>
      <c r="H106" s="130" t="str">
        <f t="shared" si="13"/>
        <v>0</v>
      </c>
      <c r="I106" s="129">
        <v>11180110</v>
      </c>
      <c r="J106" s="130" t="s">
        <v>53</v>
      </c>
      <c r="K106" s="130" t="s">
        <v>54</v>
      </c>
      <c r="L106" s="116"/>
      <c r="M106" s="130"/>
      <c r="N106" s="130"/>
      <c r="O106" s="130"/>
      <c r="P106" s="152" t="s">
        <v>2880</v>
      </c>
    </row>
    <row r="107" spans="2:16" s="153" customFormat="1" ht="60" x14ac:dyDescent="0.25">
      <c r="B107" s="93" t="str">
        <f t="shared" si="7"/>
        <v>1</v>
      </c>
      <c r="C107" s="93" t="str">
        <f t="shared" si="8"/>
        <v>1</v>
      </c>
      <c r="D107" s="93" t="str">
        <f t="shared" si="9"/>
        <v>1</v>
      </c>
      <c r="E107" s="93" t="str">
        <f t="shared" si="10"/>
        <v>8</v>
      </c>
      <c r="F107" s="93" t="str">
        <f t="shared" si="11"/>
        <v>01</v>
      </c>
      <c r="G107" s="93" t="str">
        <f t="shared" si="12"/>
        <v>1</v>
      </c>
      <c r="H107" s="93" t="str">
        <f t="shared" si="13"/>
        <v>1</v>
      </c>
      <c r="I107" s="135">
        <v>11180111</v>
      </c>
      <c r="J107" s="93" t="s">
        <v>4739</v>
      </c>
      <c r="K107" s="93" t="s">
        <v>54</v>
      </c>
      <c r="L107" s="84"/>
      <c r="M107" s="93"/>
      <c r="N107" s="93"/>
      <c r="O107" s="93"/>
      <c r="P107" s="154" t="s">
        <v>2890</v>
      </c>
    </row>
    <row r="108" spans="2:16" s="153" customFormat="1" ht="30" x14ac:dyDescent="0.25">
      <c r="B108" s="93" t="str">
        <f t="shared" si="7"/>
        <v>1</v>
      </c>
      <c r="C108" s="93" t="str">
        <f t="shared" si="8"/>
        <v>1</v>
      </c>
      <c r="D108" s="93" t="str">
        <f t="shared" si="9"/>
        <v>1</v>
      </c>
      <c r="E108" s="93" t="str">
        <f t="shared" si="10"/>
        <v>8</v>
      </c>
      <c r="F108" s="93" t="str">
        <f t="shared" si="11"/>
        <v>01</v>
      </c>
      <c r="G108" s="93" t="str">
        <f t="shared" si="12"/>
        <v>1</v>
      </c>
      <c r="H108" s="93" t="str">
        <f t="shared" si="13"/>
        <v>2</v>
      </c>
      <c r="I108" s="135">
        <v>11180112</v>
      </c>
      <c r="J108" s="93" t="s">
        <v>4740</v>
      </c>
      <c r="K108" s="93" t="s">
        <v>1455</v>
      </c>
      <c r="L108" s="84"/>
      <c r="M108" s="93"/>
      <c r="N108" s="93"/>
      <c r="O108" s="93"/>
      <c r="P108" s="154" t="s">
        <v>2890</v>
      </c>
    </row>
    <row r="109" spans="2:16" s="153" customFormat="1" ht="45" x14ac:dyDescent="0.25">
      <c r="B109" s="93" t="str">
        <f t="shared" si="7"/>
        <v>1</v>
      </c>
      <c r="C109" s="93" t="str">
        <f t="shared" si="8"/>
        <v>1</v>
      </c>
      <c r="D109" s="93" t="str">
        <f t="shared" si="9"/>
        <v>1</v>
      </c>
      <c r="E109" s="93" t="str">
        <f t="shared" si="10"/>
        <v>8</v>
      </c>
      <c r="F109" s="93" t="str">
        <f t="shared" si="11"/>
        <v>01</v>
      </c>
      <c r="G109" s="93" t="str">
        <f t="shared" si="12"/>
        <v>1</v>
      </c>
      <c r="H109" s="93" t="str">
        <f t="shared" si="13"/>
        <v>3</v>
      </c>
      <c r="I109" s="135">
        <v>11180113</v>
      </c>
      <c r="J109" s="93" t="s">
        <v>4741</v>
      </c>
      <c r="K109" s="93" t="s">
        <v>2279</v>
      </c>
      <c r="L109" s="84"/>
      <c r="M109" s="93"/>
      <c r="N109" s="93"/>
      <c r="O109" s="93"/>
      <c r="P109" s="154" t="s">
        <v>2890</v>
      </c>
    </row>
    <row r="110" spans="2:16" s="153" customFormat="1" ht="45" x14ac:dyDescent="0.25">
      <c r="B110" s="93" t="str">
        <f t="shared" si="7"/>
        <v>1</v>
      </c>
      <c r="C110" s="93" t="str">
        <f t="shared" si="8"/>
        <v>1</v>
      </c>
      <c r="D110" s="93" t="str">
        <f t="shared" si="9"/>
        <v>1</v>
      </c>
      <c r="E110" s="93" t="str">
        <f t="shared" si="10"/>
        <v>8</v>
      </c>
      <c r="F110" s="93" t="str">
        <f t="shared" si="11"/>
        <v>01</v>
      </c>
      <c r="G110" s="93" t="str">
        <f t="shared" si="12"/>
        <v>1</v>
      </c>
      <c r="H110" s="93" t="str">
        <f t="shared" si="13"/>
        <v>4</v>
      </c>
      <c r="I110" s="135">
        <v>11180114</v>
      </c>
      <c r="J110" s="93" t="s">
        <v>4742</v>
      </c>
      <c r="K110" s="93" t="s">
        <v>1698</v>
      </c>
      <c r="L110" s="84"/>
      <c r="M110" s="93"/>
      <c r="N110" s="93"/>
      <c r="O110" s="93"/>
      <c r="P110" s="154" t="s">
        <v>2890</v>
      </c>
    </row>
    <row r="111" spans="2:16" s="153" customFormat="1" ht="45" x14ac:dyDescent="0.25">
      <c r="B111" s="130" t="str">
        <f t="shared" si="7"/>
        <v>1</v>
      </c>
      <c r="C111" s="130" t="str">
        <f t="shared" si="8"/>
        <v>1</v>
      </c>
      <c r="D111" s="130" t="str">
        <f t="shared" si="9"/>
        <v>1</v>
      </c>
      <c r="E111" s="130" t="str">
        <f t="shared" si="10"/>
        <v>8</v>
      </c>
      <c r="F111" s="130" t="str">
        <f t="shared" si="11"/>
        <v>01</v>
      </c>
      <c r="G111" s="130" t="str">
        <f t="shared" si="12"/>
        <v>2</v>
      </c>
      <c r="H111" s="130" t="str">
        <f t="shared" si="13"/>
        <v>0</v>
      </c>
      <c r="I111" s="129">
        <v>11180120</v>
      </c>
      <c r="J111" s="130" t="s">
        <v>77</v>
      </c>
      <c r="K111" s="130" t="s">
        <v>78</v>
      </c>
      <c r="L111" s="116"/>
      <c r="M111" s="130"/>
      <c r="N111" s="130"/>
      <c r="O111" s="130"/>
      <c r="P111" s="152" t="s">
        <v>2880</v>
      </c>
    </row>
    <row r="112" spans="2:16" s="153" customFormat="1" ht="45" x14ac:dyDescent="0.25">
      <c r="B112" s="93" t="str">
        <f t="shared" si="7"/>
        <v>1</v>
      </c>
      <c r="C112" s="93" t="str">
        <f t="shared" si="8"/>
        <v>1</v>
      </c>
      <c r="D112" s="93" t="str">
        <f t="shared" si="9"/>
        <v>1</v>
      </c>
      <c r="E112" s="93" t="str">
        <f t="shared" si="10"/>
        <v>8</v>
      </c>
      <c r="F112" s="93" t="str">
        <f t="shared" si="11"/>
        <v>01</v>
      </c>
      <c r="G112" s="93" t="str">
        <f t="shared" si="12"/>
        <v>2</v>
      </c>
      <c r="H112" s="93" t="str">
        <f t="shared" si="13"/>
        <v>1</v>
      </c>
      <c r="I112" s="135">
        <v>11180121</v>
      </c>
      <c r="J112" s="93" t="s">
        <v>4743</v>
      </c>
      <c r="K112" s="93" t="s">
        <v>78</v>
      </c>
      <c r="L112" s="84"/>
      <c r="M112" s="93"/>
      <c r="N112" s="93"/>
      <c r="O112" s="93"/>
      <c r="P112" s="154" t="s">
        <v>2890</v>
      </c>
    </row>
    <row r="113" spans="2:16" s="153" customFormat="1" ht="30" x14ac:dyDescent="0.25">
      <c r="B113" s="93" t="str">
        <f t="shared" si="7"/>
        <v>1</v>
      </c>
      <c r="C113" s="93" t="str">
        <f t="shared" si="8"/>
        <v>1</v>
      </c>
      <c r="D113" s="93" t="str">
        <f t="shared" si="9"/>
        <v>1</v>
      </c>
      <c r="E113" s="93" t="str">
        <f t="shared" si="10"/>
        <v>8</v>
      </c>
      <c r="F113" s="93" t="str">
        <f t="shared" si="11"/>
        <v>01</v>
      </c>
      <c r="G113" s="93" t="str">
        <f t="shared" si="12"/>
        <v>2</v>
      </c>
      <c r="H113" s="93" t="str">
        <f t="shared" si="13"/>
        <v>2</v>
      </c>
      <c r="I113" s="135">
        <v>11180122</v>
      </c>
      <c r="J113" s="93" t="s">
        <v>4744</v>
      </c>
      <c r="K113" s="93" t="s">
        <v>1461</v>
      </c>
      <c r="L113" s="84"/>
      <c r="M113" s="93"/>
      <c r="N113" s="93"/>
      <c r="O113" s="93"/>
      <c r="P113" s="154" t="s">
        <v>2890</v>
      </c>
    </row>
    <row r="114" spans="2:16" s="153" customFormat="1" ht="45" x14ac:dyDescent="0.25">
      <c r="B114" s="93" t="str">
        <f t="shared" si="7"/>
        <v>1</v>
      </c>
      <c r="C114" s="93" t="str">
        <f t="shared" si="8"/>
        <v>1</v>
      </c>
      <c r="D114" s="93" t="str">
        <f t="shared" si="9"/>
        <v>1</v>
      </c>
      <c r="E114" s="93" t="str">
        <f t="shared" si="10"/>
        <v>8</v>
      </c>
      <c r="F114" s="93" t="str">
        <f t="shared" si="11"/>
        <v>01</v>
      </c>
      <c r="G114" s="93" t="str">
        <f t="shared" si="12"/>
        <v>2</v>
      </c>
      <c r="H114" s="93" t="str">
        <f t="shared" si="13"/>
        <v>3</v>
      </c>
      <c r="I114" s="135">
        <v>11180123</v>
      </c>
      <c r="J114" s="93" t="s">
        <v>4745</v>
      </c>
      <c r="K114" s="93" t="s">
        <v>2285</v>
      </c>
      <c r="L114" s="84"/>
      <c r="M114" s="93"/>
      <c r="N114" s="93"/>
      <c r="O114" s="93"/>
      <c r="P114" s="154" t="s">
        <v>2890</v>
      </c>
    </row>
    <row r="115" spans="2:16" s="153" customFormat="1" ht="45" x14ac:dyDescent="0.25">
      <c r="B115" s="93" t="str">
        <f t="shared" si="7"/>
        <v>1</v>
      </c>
      <c r="C115" s="93" t="str">
        <f t="shared" si="8"/>
        <v>1</v>
      </c>
      <c r="D115" s="93" t="str">
        <f t="shared" si="9"/>
        <v>1</v>
      </c>
      <c r="E115" s="93" t="str">
        <f t="shared" si="10"/>
        <v>8</v>
      </c>
      <c r="F115" s="93" t="str">
        <f t="shared" si="11"/>
        <v>01</v>
      </c>
      <c r="G115" s="93" t="str">
        <f t="shared" si="12"/>
        <v>2</v>
      </c>
      <c r="H115" s="93" t="str">
        <f t="shared" si="13"/>
        <v>4</v>
      </c>
      <c r="I115" s="135">
        <v>11180124</v>
      </c>
      <c r="J115" s="93" t="s">
        <v>4746</v>
      </c>
      <c r="K115" s="93" t="s">
        <v>1704</v>
      </c>
      <c r="L115" s="84"/>
      <c r="M115" s="93"/>
      <c r="N115" s="93"/>
      <c r="O115" s="93"/>
      <c r="P115" s="154" t="s">
        <v>2890</v>
      </c>
    </row>
    <row r="116" spans="2:16" s="153" customFormat="1" ht="75" x14ac:dyDescent="0.25">
      <c r="B116" s="130" t="str">
        <f t="shared" si="7"/>
        <v>1</v>
      </c>
      <c r="C116" s="130" t="str">
        <f t="shared" si="8"/>
        <v>1</v>
      </c>
      <c r="D116" s="130" t="str">
        <f t="shared" si="9"/>
        <v>1</v>
      </c>
      <c r="E116" s="130" t="str">
        <f t="shared" si="10"/>
        <v>8</v>
      </c>
      <c r="F116" s="130" t="str">
        <f t="shared" si="11"/>
        <v>01</v>
      </c>
      <c r="G116" s="130" t="str">
        <f t="shared" si="12"/>
        <v>3</v>
      </c>
      <c r="H116" s="130" t="str">
        <f t="shared" si="13"/>
        <v>0</v>
      </c>
      <c r="I116" s="129">
        <v>11180130</v>
      </c>
      <c r="J116" s="130" t="s">
        <v>79</v>
      </c>
      <c r="K116" s="130" t="s">
        <v>80</v>
      </c>
      <c r="L116" s="116"/>
      <c r="M116" s="130"/>
      <c r="N116" s="130"/>
      <c r="O116" s="130"/>
      <c r="P116" s="152" t="s">
        <v>2880</v>
      </c>
    </row>
    <row r="117" spans="2:16" s="153" customFormat="1" ht="75" x14ac:dyDescent="0.25">
      <c r="B117" s="93" t="str">
        <f t="shared" si="7"/>
        <v>1</v>
      </c>
      <c r="C117" s="93" t="str">
        <f t="shared" si="8"/>
        <v>1</v>
      </c>
      <c r="D117" s="93" t="str">
        <f t="shared" si="9"/>
        <v>1</v>
      </c>
      <c r="E117" s="93" t="str">
        <f t="shared" si="10"/>
        <v>8</v>
      </c>
      <c r="F117" s="93" t="str">
        <f t="shared" si="11"/>
        <v>01</v>
      </c>
      <c r="G117" s="93" t="str">
        <f t="shared" si="12"/>
        <v>3</v>
      </c>
      <c r="H117" s="93" t="str">
        <f t="shared" si="13"/>
        <v>1</v>
      </c>
      <c r="I117" s="135">
        <v>11180131</v>
      </c>
      <c r="J117" s="93" t="s">
        <v>4747</v>
      </c>
      <c r="K117" s="93" t="s">
        <v>80</v>
      </c>
      <c r="L117" s="84"/>
      <c r="M117" s="93"/>
      <c r="N117" s="93"/>
      <c r="O117" s="93"/>
      <c r="P117" s="154" t="s">
        <v>2890</v>
      </c>
    </row>
    <row r="118" spans="2:16" s="153" customFormat="1" ht="60" x14ac:dyDescent="0.25">
      <c r="B118" s="93" t="str">
        <f t="shared" si="7"/>
        <v>1</v>
      </c>
      <c r="C118" s="93" t="str">
        <f t="shared" si="8"/>
        <v>1</v>
      </c>
      <c r="D118" s="93" t="str">
        <f t="shared" si="9"/>
        <v>1</v>
      </c>
      <c r="E118" s="93" t="str">
        <f t="shared" si="10"/>
        <v>8</v>
      </c>
      <c r="F118" s="93" t="str">
        <f t="shared" si="11"/>
        <v>01</v>
      </c>
      <c r="G118" s="93" t="str">
        <f t="shared" si="12"/>
        <v>3</v>
      </c>
      <c r="H118" s="93" t="str">
        <f t="shared" si="13"/>
        <v>2</v>
      </c>
      <c r="I118" s="135">
        <v>11180132</v>
      </c>
      <c r="J118" s="93" t="s">
        <v>4748</v>
      </c>
      <c r="K118" s="93" t="s">
        <v>1433</v>
      </c>
      <c r="L118" s="84"/>
      <c r="M118" s="93"/>
      <c r="N118" s="93"/>
      <c r="O118" s="93"/>
      <c r="P118" s="154" t="s">
        <v>2890</v>
      </c>
    </row>
    <row r="119" spans="2:16" s="153" customFormat="1" ht="30" x14ac:dyDescent="0.25">
      <c r="B119" s="93" t="str">
        <f t="shared" si="7"/>
        <v>1</v>
      </c>
      <c r="C119" s="93" t="str">
        <f t="shared" si="8"/>
        <v>1</v>
      </c>
      <c r="D119" s="93" t="str">
        <f t="shared" si="9"/>
        <v>1</v>
      </c>
      <c r="E119" s="93" t="str">
        <f t="shared" si="10"/>
        <v>8</v>
      </c>
      <c r="F119" s="93" t="str">
        <f t="shared" si="11"/>
        <v>01</v>
      </c>
      <c r="G119" s="93" t="str">
        <f t="shared" si="12"/>
        <v>3</v>
      </c>
      <c r="H119" s="93" t="str">
        <f t="shared" si="13"/>
        <v>3</v>
      </c>
      <c r="I119" s="135">
        <v>11180133</v>
      </c>
      <c r="J119" s="93" t="s">
        <v>4749</v>
      </c>
      <c r="K119" s="93" t="s">
        <v>2289</v>
      </c>
      <c r="L119" s="84"/>
      <c r="M119" s="93"/>
      <c r="N119" s="93"/>
      <c r="O119" s="93"/>
      <c r="P119" s="154" t="s">
        <v>2890</v>
      </c>
    </row>
    <row r="120" spans="2:16" s="153" customFormat="1" ht="45" x14ac:dyDescent="0.25">
      <c r="B120" s="93" t="str">
        <f t="shared" si="7"/>
        <v>1</v>
      </c>
      <c r="C120" s="93" t="str">
        <f t="shared" si="8"/>
        <v>1</v>
      </c>
      <c r="D120" s="93" t="str">
        <f t="shared" si="9"/>
        <v>1</v>
      </c>
      <c r="E120" s="93" t="str">
        <f t="shared" si="10"/>
        <v>8</v>
      </c>
      <c r="F120" s="93" t="str">
        <f t="shared" si="11"/>
        <v>01</v>
      </c>
      <c r="G120" s="93" t="str">
        <f t="shared" si="12"/>
        <v>3</v>
      </c>
      <c r="H120" s="93" t="str">
        <f t="shared" si="13"/>
        <v>4</v>
      </c>
      <c r="I120" s="135">
        <v>11180134</v>
      </c>
      <c r="J120" s="93" t="s">
        <v>4750</v>
      </c>
      <c r="K120" s="93" t="s">
        <v>1710</v>
      </c>
      <c r="L120" s="84"/>
      <c r="M120" s="93"/>
      <c r="N120" s="93"/>
      <c r="O120" s="93"/>
      <c r="P120" s="154" t="s">
        <v>2890</v>
      </c>
    </row>
    <row r="121" spans="2:16" s="153" customFormat="1" ht="75" x14ac:dyDescent="0.25">
      <c r="B121" s="130" t="str">
        <f t="shared" si="7"/>
        <v>1</v>
      </c>
      <c r="C121" s="130" t="str">
        <f t="shared" si="8"/>
        <v>1</v>
      </c>
      <c r="D121" s="130" t="str">
        <f t="shared" si="9"/>
        <v>1</v>
      </c>
      <c r="E121" s="130" t="str">
        <f t="shared" si="10"/>
        <v>8</v>
      </c>
      <c r="F121" s="130" t="str">
        <f t="shared" si="11"/>
        <v>01</v>
      </c>
      <c r="G121" s="130" t="str">
        <f t="shared" si="12"/>
        <v>4</v>
      </c>
      <c r="H121" s="130" t="str">
        <f t="shared" si="13"/>
        <v>0</v>
      </c>
      <c r="I121" s="129">
        <v>11180140</v>
      </c>
      <c r="J121" s="130" t="s">
        <v>81</v>
      </c>
      <c r="K121" s="130" t="s">
        <v>82</v>
      </c>
      <c r="L121" s="116"/>
      <c r="M121" s="130"/>
      <c r="N121" s="130"/>
      <c r="O121" s="130"/>
      <c r="P121" s="152" t="s">
        <v>2880</v>
      </c>
    </row>
    <row r="122" spans="2:16" s="153" customFormat="1" ht="75" x14ac:dyDescent="0.25">
      <c r="B122" s="93" t="str">
        <f t="shared" si="7"/>
        <v>1</v>
      </c>
      <c r="C122" s="93" t="str">
        <f t="shared" si="8"/>
        <v>1</v>
      </c>
      <c r="D122" s="93" t="str">
        <f t="shared" si="9"/>
        <v>1</v>
      </c>
      <c r="E122" s="93" t="str">
        <f t="shared" si="10"/>
        <v>8</v>
      </c>
      <c r="F122" s="93" t="str">
        <f t="shared" si="11"/>
        <v>01</v>
      </c>
      <c r="G122" s="93" t="str">
        <f t="shared" si="12"/>
        <v>4</v>
      </c>
      <c r="H122" s="93" t="str">
        <f t="shared" si="13"/>
        <v>1</v>
      </c>
      <c r="I122" s="135">
        <v>11180141</v>
      </c>
      <c r="J122" s="93" t="s">
        <v>4751</v>
      </c>
      <c r="K122" s="93" t="s">
        <v>82</v>
      </c>
      <c r="L122" s="84"/>
      <c r="M122" s="93"/>
      <c r="N122" s="93"/>
      <c r="O122" s="93"/>
      <c r="P122" s="154" t="s">
        <v>2890</v>
      </c>
    </row>
    <row r="123" spans="2:16" s="153" customFormat="1" ht="30" x14ac:dyDescent="0.25">
      <c r="B123" s="93" t="str">
        <f t="shared" si="7"/>
        <v>1</v>
      </c>
      <c r="C123" s="93" t="str">
        <f t="shared" si="8"/>
        <v>1</v>
      </c>
      <c r="D123" s="93" t="str">
        <f t="shared" si="9"/>
        <v>1</v>
      </c>
      <c r="E123" s="93" t="str">
        <f t="shared" si="10"/>
        <v>8</v>
      </c>
      <c r="F123" s="93" t="str">
        <f t="shared" si="11"/>
        <v>01</v>
      </c>
      <c r="G123" s="93" t="str">
        <f t="shared" si="12"/>
        <v>4</v>
      </c>
      <c r="H123" s="93" t="str">
        <f t="shared" si="13"/>
        <v>2</v>
      </c>
      <c r="I123" s="135">
        <v>11180142</v>
      </c>
      <c r="J123" s="93" t="s">
        <v>4752</v>
      </c>
      <c r="K123" s="93" t="s">
        <v>1457</v>
      </c>
      <c r="L123" s="84"/>
      <c r="M123" s="93"/>
      <c r="N123" s="93"/>
      <c r="O123" s="93"/>
      <c r="P123" s="154" t="s">
        <v>2890</v>
      </c>
    </row>
    <row r="124" spans="2:16" s="153" customFormat="1" ht="45" x14ac:dyDescent="0.25">
      <c r="B124" s="93" t="str">
        <f t="shared" si="7"/>
        <v>1</v>
      </c>
      <c r="C124" s="93" t="str">
        <f t="shared" si="8"/>
        <v>1</v>
      </c>
      <c r="D124" s="93" t="str">
        <f t="shared" si="9"/>
        <v>1</v>
      </c>
      <c r="E124" s="93" t="str">
        <f t="shared" si="10"/>
        <v>8</v>
      </c>
      <c r="F124" s="93" t="str">
        <f t="shared" si="11"/>
        <v>01</v>
      </c>
      <c r="G124" s="93" t="str">
        <f t="shared" si="12"/>
        <v>4</v>
      </c>
      <c r="H124" s="93" t="str">
        <f t="shared" si="13"/>
        <v>3</v>
      </c>
      <c r="I124" s="135">
        <v>11180143</v>
      </c>
      <c r="J124" s="93" t="s">
        <v>4753</v>
      </c>
      <c r="K124" s="93" t="s">
        <v>2281</v>
      </c>
      <c r="L124" s="84"/>
      <c r="M124" s="93"/>
      <c r="N124" s="93"/>
      <c r="O124" s="93"/>
      <c r="P124" s="154" t="s">
        <v>2890</v>
      </c>
    </row>
    <row r="125" spans="2:16" s="153" customFormat="1" ht="45" x14ac:dyDescent="0.25">
      <c r="B125" s="93" t="str">
        <f t="shared" si="7"/>
        <v>1</v>
      </c>
      <c r="C125" s="93" t="str">
        <f t="shared" si="8"/>
        <v>1</v>
      </c>
      <c r="D125" s="93" t="str">
        <f t="shared" si="9"/>
        <v>1</v>
      </c>
      <c r="E125" s="93" t="str">
        <f t="shared" si="10"/>
        <v>8</v>
      </c>
      <c r="F125" s="93" t="str">
        <f t="shared" si="11"/>
        <v>01</v>
      </c>
      <c r="G125" s="93" t="str">
        <f t="shared" si="12"/>
        <v>4</v>
      </c>
      <c r="H125" s="93" t="str">
        <f t="shared" si="13"/>
        <v>4</v>
      </c>
      <c r="I125" s="135">
        <v>11180144</v>
      </c>
      <c r="J125" s="93" t="s">
        <v>4754</v>
      </c>
      <c r="K125" s="93" t="s">
        <v>1700</v>
      </c>
      <c r="L125" s="84"/>
      <c r="M125" s="93"/>
      <c r="N125" s="93"/>
      <c r="O125" s="93"/>
      <c r="P125" s="154" t="s">
        <v>2890</v>
      </c>
    </row>
    <row r="126" spans="2:16" s="153" customFormat="1" ht="45" x14ac:dyDescent="0.25">
      <c r="B126" s="113" t="str">
        <f t="shared" si="7"/>
        <v>1</v>
      </c>
      <c r="C126" s="113" t="str">
        <f t="shared" si="8"/>
        <v>1</v>
      </c>
      <c r="D126" s="113" t="str">
        <f t="shared" si="9"/>
        <v>1</v>
      </c>
      <c r="E126" s="113" t="str">
        <f t="shared" si="10"/>
        <v>8</v>
      </c>
      <c r="F126" s="113" t="str">
        <f t="shared" si="11"/>
        <v>02</v>
      </c>
      <c r="G126" s="113" t="str">
        <f t="shared" si="12"/>
        <v>0</v>
      </c>
      <c r="H126" s="113" t="str">
        <f t="shared" si="13"/>
        <v>0</v>
      </c>
      <c r="I126" s="112">
        <v>11180200</v>
      </c>
      <c r="J126" s="113" t="s">
        <v>5047</v>
      </c>
      <c r="K126" s="113" t="s">
        <v>4978</v>
      </c>
      <c r="L126" s="110"/>
      <c r="M126" s="113" t="s">
        <v>2878</v>
      </c>
      <c r="N126" s="113"/>
      <c r="O126" s="113"/>
      <c r="P126" s="163" t="s">
        <v>2880</v>
      </c>
    </row>
    <row r="127" spans="2:16" s="153" customFormat="1" ht="90" x14ac:dyDescent="0.25">
      <c r="B127" s="130" t="str">
        <f t="shared" si="7"/>
        <v>1</v>
      </c>
      <c r="C127" s="130" t="str">
        <f t="shared" si="8"/>
        <v>1</v>
      </c>
      <c r="D127" s="130" t="str">
        <f t="shared" si="9"/>
        <v>1</v>
      </c>
      <c r="E127" s="130" t="str">
        <f t="shared" si="10"/>
        <v>8</v>
      </c>
      <c r="F127" s="130" t="str">
        <f t="shared" si="11"/>
        <v>02</v>
      </c>
      <c r="G127" s="130" t="str">
        <f t="shared" si="12"/>
        <v>1</v>
      </c>
      <c r="H127" s="130" t="str">
        <f t="shared" si="13"/>
        <v>0</v>
      </c>
      <c r="I127" s="129">
        <v>11180210</v>
      </c>
      <c r="J127" s="130" t="s">
        <v>101</v>
      </c>
      <c r="K127" s="130" t="s">
        <v>102</v>
      </c>
      <c r="L127" s="116"/>
      <c r="M127" s="130"/>
      <c r="N127" s="130"/>
      <c r="O127" s="130"/>
      <c r="P127" s="152" t="s">
        <v>2880</v>
      </c>
    </row>
    <row r="128" spans="2:16" s="153" customFormat="1" ht="90" x14ac:dyDescent="0.25">
      <c r="B128" s="93" t="str">
        <f t="shared" si="7"/>
        <v>1</v>
      </c>
      <c r="C128" s="93" t="str">
        <f t="shared" si="8"/>
        <v>1</v>
      </c>
      <c r="D128" s="93" t="str">
        <f t="shared" si="9"/>
        <v>1</v>
      </c>
      <c r="E128" s="93" t="str">
        <f t="shared" si="10"/>
        <v>8</v>
      </c>
      <c r="F128" s="93" t="str">
        <f t="shared" si="11"/>
        <v>02</v>
      </c>
      <c r="G128" s="93" t="str">
        <f t="shared" si="12"/>
        <v>1</v>
      </c>
      <c r="H128" s="93" t="str">
        <f t="shared" si="13"/>
        <v>1</v>
      </c>
      <c r="I128" s="135">
        <v>11180211</v>
      </c>
      <c r="J128" s="93" t="s">
        <v>4759</v>
      </c>
      <c r="K128" s="93" t="s">
        <v>103</v>
      </c>
      <c r="L128" s="84"/>
      <c r="M128" s="93"/>
      <c r="N128" s="93"/>
      <c r="O128" s="93"/>
      <c r="P128" s="154" t="s">
        <v>2890</v>
      </c>
    </row>
    <row r="129" spans="2:16" s="153" customFormat="1" ht="45" x14ac:dyDescent="0.25">
      <c r="B129" s="93" t="str">
        <f t="shared" si="7"/>
        <v>1</v>
      </c>
      <c r="C129" s="93" t="str">
        <f t="shared" si="8"/>
        <v>1</v>
      </c>
      <c r="D129" s="93" t="str">
        <f t="shared" si="9"/>
        <v>1</v>
      </c>
      <c r="E129" s="93" t="str">
        <f t="shared" si="10"/>
        <v>8</v>
      </c>
      <c r="F129" s="93" t="str">
        <f t="shared" si="11"/>
        <v>02</v>
      </c>
      <c r="G129" s="93" t="str">
        <f t="shared" si="12"/>
        <v>1</v>
      </c>
      <c r="H129" s="93" t="str">
        <f t="shared" si="13"/>
        <v>2</v>
      </c>
      <c r="I129" s="135">
        <v>11180212</v>
      </c>
      <c r="J129" s="93" t="s">
        <v>4760</v>
      </c>
      <c r="K129" s="93" t="s">
        <v>1463</v>
      </c>
      <c r="L129" s="84"/>
      <c r="M129" s="93"/>
      <c r="N129" s="93"/>
      <c r="O129" s="93"/>
      <c r="P129" s="154" t="s">
        <v>2890</v>
      </c>
    </row>
    <row r="130" spans="2:16" s="153" customFormat="1" ht="45" x14ac:dyDescent="0.25">
      <c r="B130" s="93" t="str">
        <f t="shared" si="7"/>
        <v>1</v>
      </c>
      <c r="C130" s="93" t="str">
        <f t="shared" si="8"/>
        <v>1</v>
      </c>
      <c r="D130" s="93" t="str">
        <f t="shared" si="9"/>
        <v>1</v>
      </c>
      <c r="E130" s="93" t="str">
        <f t="shared" si="10"/>
        <v>8</v>
      </c>
      <c r="F130" s="93" t="str">
        <f t="shared" si="11"/>
        <v>02</v>
      </c>
      <c r="G130" s="93" t="str">
        <f t="shared" si="12"/>
        <v>1</v>
      </c>
      <c r="H130" s="93" t="str">
        <f t="shared" si="13"/>
        <v>3</v>
      </c>
      <c r="I130" s="135">
        <v>11180213</v>
      </c>
      <c r="J130" s="93" t="s">
        <v>4761</v>
      </c>
      <c r="K130" s="93" t="s">
        <v>2287</v>
      </c>
      <c r="L130" s="84"/>
      <c r="M130" s="93"/>
      <c r="N130" s="93"/>
      <c r="O130" s="93"/>
      <c r="P130" s="154" t="s">
        <v>2890</v>
      </c>
    </row>
    <row r="131" spans="2:16" s="153" customFormat="1" ht="45" x14ac:dyDescent="0.25">
      <c r="B131" s="93" t="str">
        <f t="shared" ref="B131:B228" si="14">MID($I131,1,1)</f>
        <v>1</v>
      </c>
      <c r="C131" s="93" t="str">
        <f t="shared" ref="C131:C228" si="15">MID($I131,2,1)</f>
        <v>1</v>
      </c>
      <c r="D131" s="93" t="str">
        <f t="shared" ref="D131:D228" si="16">MID($I131,3,1)</f>
        <v>1</v>
      </c>
      <c r="E131" s="93" t="str">
        <f t="shared" ref="E131:E228" si="17">MID($I131,4,1)</f>
        <v>8</v>
      </c>
      <c r="F131" s="93" t="str">
        <f t="shared" ref="F131:F228" si="18">MID($I131,5,2)</f>
        <v>02</v>
      </c>
      <c r="G131" s="93" t="str">
        <f t="shared" ref="G131:G228" si="19">MID($I131,7,1)</f>
        <v>1</v>
      </c>
      <c r="H131" s="93" t="str">
        <f t="shared" ref="H131:H228" si="20">MID($I131,8,1)</f>
        <v>4</v>
      </c>
      <c r="I131" s="135">
        <v>11180214</v>
      </c>
      <c r="J131" s="93" t="s">
        <v>4762</v>
      </c>
      <c r="K131" s="93" t="s">
        <v>1706</v>
      </c>
      <c r="L131" s="84"/>
      <c r="M131" s="93"/>
      <c r="N131" s="93"/>
      <c r="O131" s="93"/>
      <c r="P131" s="154" t="s">
        <v>2890</v>
      </c>
    </row>
    <row r="132" spans="2:16" s="153" customFormat="1" ht="90" x14ac:dyDescent="0.25">
      <c r="B132" s="130" t="str">
        <f t="shared" si="14"/>
        <v>1</v>
      </c>
      <c r="C132" s="130" t="str">
        <f t="shared" si="15"/>
        <v>1</v>
      </c>
      <c r="D132" s="130" t="str">
        <f t="shared" si="16"/>
        <v>1</v>
      </c>
      <c r="E132" s="130" t="str">
        <f t="shared" si="17"/>
        <v>8</v>
      </c>
      <c r="F132" s="130" t="str">
        <f t="shared" si="18"/>
        <v>02</v>
      </c>
      <c r="G132" s="130" t="str">
        <f t="shared" si="19"/>
        <v>2</v>
      </c>
      <c r="H132" s="130" t="str">
        <f t="shared" si="20"/>
        <v>0</v>
      </c>
      <c r="I132" s="129">
        <v>11180220</v>
      </c>
      <c r="J132" s="130" t="s">
        <v>104</v>
      </c>
      <c r="K132" s="130" t="s">
        <v>105</v>
      </c>
      <c r="L132" s="116"/>
      <c r="M132" s="130"/>
      <c r="N132" s="130"/>
      <c r="O132" s="130"/>
      <c r="P132" s="152" t="s">
        <v>2880</v>
      </c>
    </row>
    <row r="133" spans="2:16" s="153" customFormat="1" ht="90" x14ac:dyDescent="0.25">
      <c r="B133" s="93" t="str">
        <f t="shared" si="14"/>
        <v>1</v>
      </c>
      <c r="C133" s="93" t="str">
        <f t="shared" si="15"/>
        <v>1</v>
      </c>
      <c r="D133" s="93" t="str">
        <f t="shared" si="16"/>
        <v>1</v>
      </c>
      <c r="E133" s="93" t="str">
        <f t="shared" si="17"/>
        <v>8</v>
      </c>
      <c r="F133" s="93" t="str">
        <f t="shared" si="18"/>
        <v>02</v>
      </c>
      <c r="G133" s="93" t="str">
        <f t="shared" si="19"/>
        <v>2</v>
      </c>
      <c r="H133" s="93" t="str">
        <f t="shared" si="20"/>
        <v>1</v>
      </c>
      <c r="I133" s="135">
        <v>11180221</v>
      </c>
      <c r="J133" s="93" t="s">
        <v>4763</v>
      </c>
      <c r="K133" s="93" t="s">
        <v>105</v>
      </c>
      <c r="L133" s="84"/>
      <c r="M133" s="93"/>
      <c r="N133" s="93"/>
      <c r="O133" s="93"/>
      <c r="P133" s="154" t="s">
        <v>2890</v>
      </c>
    </row>
    <row r="134" spans="2:16" s="153" customFormat="1" ht="60" x14ac:dyDescent="0.25">
      <c r="B134" s="130" t="str">
        <f t="shared" si="14"/>
        <v>1</v>
      </c>
      <c r="C134" s="130" t="str">
        <f t="shared" si="15"/>
        <v>1</v>
      </c>
      <c r="D134" s="130" t="str">
        <f t="shared" si="16"/>
        <v>1</v>
      </c>
      <c r="E134" s="130" t="str">
        <f t="shared" si="17"/>
        <v>8</v>
      </c>
      <c r="F134" s="130" t="str">
        <f t="shared" si="18"/>
        <v>02</v>
      </c>
      <c r="G134" s="130" t="str">
        <f t="shared" si="19"/>
        <v>3</v>
      </c>
      <c r="H134" s="130" t="str">
        <f t="shared" si="20"/>
        <v>0</v>
      </c>
      <c r="I134" s="129">
        <v>11180230</v>
      </c>
      <c r="J134" s="130" t="s">
        <v>116</v>
      </c>
      <c r="K134" s="130" t="s">
        <v>117</v>
      </c>
      <c r="L134" s="116"/>
      <c r="M134" s="130"/>
      <c r="N134" s="130"/>
      <c r="O134" s="130"/>
      <c r="P134" s="152" t="s">
        <v>2880</v>
      </c>
    </row>
    <row r="135" spans="2:16" s="153" customFormat="1" ht="75" x14ac:dyDescent="0.25">
      <c r="B135" s="93" t="str">
        <f t="shared" si="14"/>
        <v>1</v>
      </c>
      <c r="C135" s="93" t="str">
        <f t="shared" si="15"/>
        <v>1</v>
      </c>
      <c r="D135" s="93" t="str">
        <f t="shared" si="16"/>
        <v>1</v>
      </c>
      <c r="E135" s="93" t="str">
        <f t="shared" si="17"/>
        <v>8</v>
      </c>
      <c r="F135" s="93" t="str">
        <f t="shared" si="18"/>
        <v>02</v>
      </c>
      <c r="G135" s="93" t="str">
        <f t="shared" si="19"/>
        <v>3</v>
      </c>
      <c r="H135" s="93" t="str">
        <f t="shared" si="20"/>
        <v>1</v>
      </c>
      <c r="I135" s="135">
        <v>11180231</v>
      </c>
      <c r="J135" s="93" t="s">
        <v>4764</v>
      </c>
      <c r="K135" s="93" t="s">
        <v>118</v>
      </c>
      <c r="L135" s="84"/>
      <c r="M135" s="93"/>
      <c r="N135" s="93"/>
      <c r="O135" s="93"/>
      <c r="P135" s="154" t="s">
        <v>2890</v>
      </c>
    </row>
    <row r="136" spans="2:16" s="153" customFormat="1" ht="30" x14ac:dyDescent="0.25">
      <c r="B136" s="93" t="str">
        <f t="shared" si="14"/>
        <v>1</v>
      </c>
      <c r="C136" s="93" t="str">
        <f t="shared" si="15"/>
        <v>1</v>
      </c>
      <c r="D136" s="93" t="str">
        <f t="shared" si="16"/>
        <v>1</v>
      </c>
      <c r="E136" s="93" t="str">
        <f t="shared" si="17"/>
        <v>8</v>
      </c>
      <c r="F136" s="93" t="str">
        <f t="shared" si="18"/>
        <v>02</v>
      </c>
      <c r="G136" s="93" t="str">
        <f t="shared" si="19"/>
        <v>3</v>
      </c>
      <c r="H136" s="93" t="str">
        <f t="shared" si="20"/>
        <v>2</v>
      </c>
      <c r="I136" s="135">
        <v>11180232</v>
      </c>
      <c r="J136" s="93" t="s">
        <v>4765</v>
      </c>
      <c r="K136" s="93" t="s">
        <v>1459</v>
      </c>
      <c r="L136" s="84"/>
      <c r="M136" s="93"/>
      <c r="N136" s="93"/>
      <c r="O136" s="93"/>
      <c r="P136" s="154" t="s">
        <v>2890</v>
      </c>
    </row>
    <row r="137" spans="2:16" s="153" customFormat="1" ht="45" x14ac:dyDescent="0.25">
      <c r="B137" s="93" t="str">
        <f t="shared" si="14"/>
        <v>1</v>
      </c>
      <c r="C137" s="93" t="str">
        <f t="shared" si="15"/>
        <v>1</v>
      </c>
      <c r="D137" s="93" t="str">
        <f t="shared" si="16"/>
        <v>1</v>
      </c>
      <c r="E137" s="93" t="str">
        <f t="shared" si="17"/>
        <v>8</v>
      </c>
      <c r="F137" s="93" t="str">
        <f t="shared" si="18"/>
        <v>02</v>
      </c>
      <c r="G137" s="93" t="str">
        <f t="shared" si="19"/>
        <v>3</v>
      </c>
      <c r="H137" s="93" t="str">
        <f t="shared" si="20"/>
        <v>3</v>
      </c>
      <c r="I137" s="135">
        <v>11180233</v>
      </c>
      <c r="J137" s="93" t="s">
        <v>4766</v>
      </c>
      <c r="K137" s="93" t="s">
        <v>2283</v>
      </c>
      <c r="L137" s="84"/>
      <c r="M137" s="93"/>
      <c r="N137" s="93"/>
      <c r="O137" s="93"/>
      <c r="P137" s="154" t="s">
        <v>2890</v>
      </c>
    </row>
    <row r="138" spans="2:16" s="153" customFormat="1" ht="30" x14ac:dyDescent="0.25">
      <c r="B138" s="93" t="str">
        <f t="shared" si="14"/>
        <v>1</v>
      </c>
      <c r="C138" s="93" t="str">
        <f t="shared" si="15"/>
        <v>1</v>
      </c>
      <c r="D138" s="93" t="str">
        <f t="shared" si="16"/>
        <v>1</v>
      </c>
      <c r="E138" s="93" t="str">
        <f t="shared" si="17"/>
        <v>8</v>
      </c>
      <c r="F138" s="93" t="str">
        <f t="shared" si="18"/>
        <v>02</v>
      </c>
      <c r="G138" s="93" t="str">
        <f t="shared" si="19"/>
        <v>3</v>
      </c>
      <c r="H138" s="93" t="str">
        <f t="shared" si="20"/>
        <v>4</v>
      </c>
      <c r="I138" s="135">
        <v>11180234</v>
      </c>
      <c r="J138" s="93" t="s">
        <v>4767</v>
      </c>
      <c r="K138" s="93" t="s">
        <v>1702</v>
      </c>
      <c r="L138" s="84"/>
      <c r="M138" s="93"/>
      <c r="N138" s="93"/>
      <c r="O138" s="93"/>
      <c r="P138" s="154" t="s">
        <v>2890</v>
      </c>
    </row>
    <row r="139" spans="2:16" s="153" customFormat="1" ht="60" x14ac:dyDescent="0.25">
      <c r="B139" s="130" t="str">
        <f t="shared" si="14"/>
        <v>1</v>
      </c>
      <c r="C139" s="130" t="str">
        <f t="shared" si="15"/>
        <v>1</v>
      </c>
      <c r="D139" s="130" t="str">
        <f t="shared" si="16"/>
        <v>1</v>
      </c>
      <c r="E139" s="130" t="str">
        <f t="shared" si="17"/>
        <v>8</v>
      </c>
      <c r="F139" s="130" t="str">
        <f t="shared" si="18"/>
        <v>02</v>
      </c>
      <c r="G139" s="130" t="str">
        <f t="shared" si="19"/>
        <v>4</v>
      </c>
      <c r="H139" s="130" t="str">
        <f t="shared" si="20"/>
        <v>0</v>
      </c>
      <c r="I139" s="129">
        <v>11180240</v>
      </c>
      <c r="J139" s="130" t="s">
        <v>119</v>
      </c>
      <c r="K139" s="130" t="s">
        <v>120</v>
      </c>
      <c r="L139" s="116"/>
      <c r="M139" s="130"/>
      <c r="N139" s="130"/>
      <c r="O139" s="130"/>
      <c r="P139" s="152" t="s">
        <v>2880</v>
      </c>
    </row>
    <row r="140" spans="2:16" s="153" customFormat="1" ht="60" x14ac:dyDescent="0.25">
      <c r="B140" s="93" t="str">
        <f t="shared" si="14"/>
        <v>1</v>
      </c>
      <c r="C140" s="93" t="str">
        <f t="shared" si="15"/>
        <v>1</v>
      </c>
      <c r="D140" s="93" t="str">
        <f t="shared" si="16"/>
        <v>1</v>
      </c>
      <c r="E140" s="93" t="str">
        <f t="shared" si="17"/>
        <v>8</v>
      </c>
      <c r="F140" s="93" t="str">
        <f t="shared" si="18"/>
        <v>02</v>
      </c>
      <c r="G140" s="93" t="str">
        <f t="shared" si="19"/>
        <v>4</v>
      </c>
      <c r="H140" s="93" t="str">
        <f t="shared" si="20"/>
        <v>1</v>
      </c>
      <c r="I140" s="135">
        <v>11180241</v>
      </c>
      <c r="J140" s="93" t="s">
        <v>4768</v>
      </c>
      <c r="K140" s="93" t="s">
        <v>120</v>
      </c>
      <c r="L140" s="84"/>
      <c r="M140" s="93"/>
      <c r="N140" s="93"/>
      <c r="O140" s="93"/>
      <c r="P140" s="154" t="s">
        <v>2890</v>
      </c>
    </row>
    <row r="141" spans="2:16" s="153" customFormat="1" ht="75" x14ac:dyDescent="0.25">
      <c r="B141" s="130" t="str">
        <f t="shared" si="14"/>
        <v>1</v>
      </c>
      <c r="C141" s="130" t="str">
        <f t="shared" si="15"/>
        <v>1</v>
      </c>
      <c r="D141" s="130" t="str">
        <f t="shared" si="16"/>
        <v>1</v>
      </c>
      <c r="E141" s="130" t="str">
        <f t="shared" si="17"/>
        <v>8</v>
      </c>
      <c r="F141" s="130" t="str">
        <f t="shared" si="18"/>
        <v>02</v>
      </c>
      <c r="G141" s="130" t="str">
        <f t="shared" si="19"/>
        <v>5</v>
      </c>
      <c r="H141" s="130" t="str">
        <f t="shared" si="20"/>
        <v>0</v>
      </c>
      <c r="I141" s="129">
        <v>11180250</v>
      </c>
      <c r="J141" s="130" t="s">
        <v>5070</v>
      </c>
      <c r="K141" s="130" t="s">
        <v>5071</v>
      </c>
      <c r="L141" s="116"/>
      <c r="M141" s="130" t="s">
        <v>2878</v>
      </c>
      <c r="N141" s="130"/>
      <c r="O141" s="130"/>
      <c r="P141" s="152" t="s">
        <v>2880</v>
      </c>
    </row>
    <row r="142" spans="2:16" s="153" customFormat="1" ht="75" x14ac:dyDescent="0.25">
      <c r="B142" s="93" t="str">
        <f t="shared" si="14"/>
        <v>1</v>
      </c>
      <c r="C142" s="93" t="str">
        <f t="shared" si="15"/>
        <v>1</v>
      </c>
      <c r="D142" s="93" t="str">
        <f t="shared" si="16"/>
        <v>1</v>
      </c>
      <c r="E142" s="93" t="str">
        <f t="shared" si="17"/>
        <v>8</v>
      </c>
      <c r="F142" s="93" t="str">
        <f t="shared" si="18"/>
        <v>02</v>
      </c>
      <c r="G142" s="93" t="str">
        <f t="shared" si="19"/>
        <v>5</v>
      </c>
      <c r="H142" s="93" t="str">
        <f t="shared" si="20"/>
        <v>1</v>
      </c>
      <c r="I142" s="135">
        <v>11180251</v>
      </c>
      <c r="J142" s="93" t="s">
        <v>5072</v>
      </c>
      <c r="K142" s="93" t="s">
        <v>5071</v>
      </c>
      <c r="L142" s="84"/>
      <c r="M142" s="93" t="s">
        <v>5073</v>
      </c>
      <c r="N142" s="93"/>
      <c r="O142" s="93"/>
      <c r="P142" s="154" t="s">
        <v>2890</v>
      </c>
    </row>
    <row r="143" spans="2:16" s="153" customFormat="1" ht="30" x14ac:dyDescent="0.25">
      <c r="B143" s="93" t="str">
        <f t="shared" si="14"/>
        <v>1</v>
      </c>
      <c r="C143" s="93" t="str">
        <f t="shared" si="15"/>
        <v>1</v>
      </c>
      <c r="D143" s="93" t="str">
        <f t="shared" si="16"/>
        <v>1</v>
      </c>
      <c r="E143" s="93" t="str">
        <f t="shared" si="17"/>
        <v>8</v>
      </c>
      <c r="F143" s="93" t="str">
        <f t="shared" si="18"/>
        <v>02</v>
      </c>
      <c r="G143" s="93" t="str">
        <f t="shared" si="19"/>
        <v>5</v>
      </c>
      <c r="H143" s="93" t="str">
        <f t="shared" si="20"/>
        <v>2</v>
      </c>
      <c r="I143" s="135">
        <v>11180252</v>
      </c>
      <c r="J143" s="93" t="s">
        <v>5074</v>
      </c>
      <c r="K143" s="93" t="s">
        <v>2892</v>
      </c>
      <c r="L143" s="84"/>
      <c r="M143" s="93" t="s">
        <v>2892</v>
      </c>
      <c r="N143" s="93"/>
      <c r="O143" s="93"/>
      <c r="P143" s="154" t="s">
        <v>2890</v>
      </c>
    </row>
    <row r="144" spans="2:16" s="153" customFormat="1" ht="30" x14ac:dyDescent="0.25">
      <c r="B144" s="93" t="str">
        <f t="shared" si="14"/>
        <v>1</v>
      </c>
      <c r="C144" s="93" t="str">
        <f t="shared" si="15"/>
        <v>1</v>
      </c>
      <c r="D144" s="93" t="str">
        <f t="shared" si="16"/>
        <v>1</v>
      </c>
      <c r="E144" s="93" t="str">
        <f t="shared" si="17"/>
        <v>8</v>
      </c>
      <c r="F144" s="93" t="str">
        <f t="shared" si="18"/>
        <v>02</v>
      </c>
      <c r="G144" s="93" t="str">
        <f t="shared" si="19"/>
        <v>5</v>
      </c>
      <c r="H144" s="93" t="str">
        <f t="shared" si="20"/>
        <v>3</v>
      </c>
      <c r="I144" s="135">
        <v>11180253</v>
      </c>
      <c r="J144" s="93" t="s">
        <v>5075</v>
      </c>
      <c r="K144" s="93" t="s">
        <v>2892</v>
      </c>
      <c r="L144" s="84"/>
      <c r="M144" s="93" t="s">
        <v>2892</v>
      </c>
      <c r="N144" s="93"/>
      <c r="O144" s="93"/>
      <c r="P144" s="154" t="s">
        <v>2890</v>
      </c>
    </row>
    <row r="145" spans="2:16" s="153" customFormat="1" ht="30" x14ac:dyDescent="0.25">
      <c r="B145" s="93" t="str">
        <f t="shared" si="14"/>
        <v>1</v>
      </c>
      <c r="C145" s="93" t="str">
        <f t="shared" si="15"/>
        <v>1</v>
      </c>
      <c r="D145" s="93" t="str">
        <f t="shared" si="16"/>
        <v>1</v>
      </c>
      <c r="E145" s="93" t="str">
        <f t="shared" si="17"/>
        <v>8</v>
      </c>
      <c r="F145" s="93" t="str">
        <f t="shared" si="18"/>
        <v>02</v>
      </c>
      <c r="G145" s="93" t="str">
        <f t="shared" si="19"/>
        <v>5</v>
      </c>
      <c r="H145" s="93" t="str">
        <f t="shared" si="20"/>
        <v>4</v>
      </c>
      <c r="I145" s="135">
        <v>11180254</v>
      </c>
      <c r="J145" s="93" t="s">
        <v>5076</v>
      </c>
      <c r="K145" s="93" t="s">
        <v>2892</v>
      </c>
      <c r="L145" s="84"/>
      <c r="M145" s="93" t="s">
        <v>2892</v>
      </c>
      <c r="N145" s="93"/>
      <c r="O145" s="93"/>
      <c r="P145" s="154" t="s">
        <v>2890</v>
      </c>
    </row>
    <row r="146" spans="2:16" ht="30" x14ac:dyDescent="0.25">
      <c r="B146" s="104" t="str">
        <f t="shared" si="14"/>
        <v>1</v>
      </c>
      <c r="C146" s="104" t="str">
        <f t="shared" si="15"/>
        <v>1</v>
      </c>
      <c r="D146" s="104" t="str">
        <f t="shared" si="16"/>
        <v>1</v>
      </c>
      <c r="E146" s="104" t="str">
        <f t="shared" si="17"/>
        <v>9</v>
      </c>
      <c r="F146" s="104" t="str">
        <f t="shared" si="18"/>
        <v>00</v>
      </c>
      <c r="G146" s="104" t="str">
        <f t="shared" si="19"/>
        <v>0</v>
      </c>
      <c r="H146" s="104" t="str">
        <f t="shared" si="20"/>
        <v>0</v>
      </c>
      <c r="I146" s="105">
        <v>11190000</v>
      </c>
      <c r="J146" s="104" t="s">
        <v>3029</v>
      </c>
      <c r="K146" s="104" t="s">
        <v>3030</v>
      </c>
      <c r="L146" s="106"/>
      <c r="M146" s="104" t="s">
        <v>2878</v>
      </c>
      <c r="N146" s="104" t="s">
        <v>2879</v>
      </c>
      <c r="O146" s="104" t="s">
        <v>2878</v>
      </c>
      <c r="P146" s="107" t="s">
        <v>2880</v>
      </c>
    </row>
    <row r="147" spans="2:16" ht="30" x14ac:dyDescent="0.25">
      <c r="B147" s="108" t="str">
        <f t="shared" si="14"/>
        <v>1</v>
      </c>
      <c r="C147" s="108" t="str">
        <f t="shared" si="15"/>
        <v>1</v>
      </c>
      <c r="D147" s="108" t="str">
        <f t="shared" si="16"/>
        <v>1</v>
      </c>
      <c r="E147" s="108" t="str">
        <f t="shared" si="17"/>
        <v>9</v>
      </c>
      <c r="F147" s="108" t="str">
        <f t="shared" si="18"/>
        <v>01</v>
      </c>
      <c r="G147" s="108" t="str">
        <f t="shared" si="19"/>
        <v>0</v>
      </c>
      <c r="H147" s="108" t="str">
        <f t="shared" si="20"/>
        <v>0</v>
      </c>
      <c r="I147" s="109">
        <v>11190100</v>
      </c>
      <c r="J147" s="108" t="s">
        <v>3029</v>
      </c>
      <c r="K147" s="108" t="s">
        <v>3030</v>
      </c>
      <c r="L147" s="110"/>
      <c r="M147" s="108" t="s">
        <v>2878</v>
      </c>
      <c r="N147" s="108" t="s">
        <v>2879</v>
      </c>
      <c r="O147" s="108" t="s">
        <v>2878</v>
      </c>
      <c r="P147" s="111" t="s">
        <v>2880</v>
      </c>
    </row>
    <row r="148" spans="2:16" ht="30" x14ac:dyDescent="0.25">
      <c r="B148" s="114" t="str">
        <f t="shared" si="14"/>
        <v>1</v>
      </c>
      <c r="C148" s="114" t="str">
        <f t="shared" si="15"/>
        <v>1</v>
      </c>
      <c r="D148" s="114" t="str">
        <f t="shared" si="16"/>
        <v>1</v>
      </c>
      <c r="E148" s="114" t="str">
        <f t="shared" si="17"/>
        <v>9</v>
      </c>
      <c r="F148" s="114" t="str">
        <f t="shared" si="18"/>
        <v>01</v>
      </c>
      <c r="G148" s="114" t="str">
        <f t="shared" si="19"/>
        <v>1</v>
      </c>
      <c r="H148" s="114" t="str">
        <f t="shared" si="20"/>
        <v>0</v>
      </c>
      <c r="I148" s="115">
        <v>11190110</v>
      </c>
      <c r="J148" s="114" t="s">
        <v>3029</v>
      </c>
      <c r="K148" s="114" t="s">
        <v>3030</v>
      </c>
      <c r="L148" s="116"/>
      <c r="M148" s="114" t="s">
        <v>2878</v>
      </c>
      <c r="N148" s="114" t="s">
        <v>2879</v>
      </c>
      <c r="O148" s="114" t="s">
        <v>2878</v>
      </c>
      <c r="P148" s="117" t="s">
        <v>2880</v>
      </c>
    </row>
    <row r="149" spans="2:16" ht="15.75" x14ac:dyDescent="0.25">
      <c r="B149" s="85" t="str">
        <f t="shared" si="14"/>
        <v>1</v>
      </c>
      <c r="C149" s="85" t="str">
        <f t="shared" si="15"/>
        <v>1</v>
      </c>
      <c r="D149" s="85" t="str">
        <f t="shared" si="16"/>
        <v>1</v>
      </c>
      <c r="E149" s="85" t="str">
        <f t="shared" si="17"/>
        <v>9</v>
      </c>
      <c r="F149" s="85" t="str">
        <f t="shared" si="18"/>
        <v>01</v>
      </c>
      <c r="G149" s="85" t="str">
        <f t="shared" si="19"/>
        <v>1</v>
      </c>
      <c r="H149" s="85" t="str">
        <f t="shared" si="20"/>
        <v>1</v>
      </c>
      <c r="I149" s="87">
        <v>11190111</v>
      </c>
      <c r="J149" s="85" t="s">
        <v>3031</v>
      </c>
      <c r="K149" s="85" t="s">
        <v>3032</v>
      </c>
      <c r="L149" s="84"/>
      <c r="M149" s="85" t="s">
        <v>3033</v>
      </c>
      <c r="N149" s="85" t="s">
        <v>2879</v>
      </c>
      <c r="O149" s="85" t="s">
        <v>3034</v>
      </c>
      <c r="P149" s="86" t="s">
        <v>2890</v>
      </c>
    </row>
    <row r="150" spans="2:16" ht="15.75" x14ac:dyDescent="0.25">
      <c r="B150" s="85" t="str">
        <f t="shared" si="14"/>
        <v>1</v>
      </c>
      <c r="C150" s="85" t="str">
        <f t="shared" si="15"/>
        <v>1</v>
      </c>
      <c r="D150" s="85" t="str">
        <f t="shared" si="16"/>
        <v>1</v>
      </c>
      <c r="E150" s="85" t="str">
        <f t="shared" si="17"/>
        <v>9</v>
      </c>
      <c r="F150" s="85" t="str">
        <f t="shared" si="18"/>
        <v>01</v>
      </c>
      <c r="G150" s="85" t="str">
        <f t="shared" si="19"/>
        <v>1</v>
      </c>
      <c r="H150" s="85" t="str">
        <f t="shared" si="20"/>
        <v>2</v>
      </c>
      <c r="I150" s="87">
        <v>11190112</v>
      </c>
      <c r="J150" s="85" t="s">
        <v>3035</v>
      </c>
      <c r="K150" s="85" t="s">
        <v>2892</v>
      </c>
      <c r="L150" s="84"/>
      <c r="M150" s="85" t="s">
        <v>2892</v>
      </c>
      <c r="N150" s="85" t="s">
        <v>2879</v>
      </c>
      <c r="O150" s="85" t="s">
        <v>2892</v>
      </c>
      <c r="P150" s="86" t="s">
        <v>2890</v>
      </c>
    </row>
    <row r="151" spans="2:16" ht="15.75" x14ac:dyDescent="0.25">
      <c r="B151" s="85" t="str">
        <f t="shared" si="14"/>
        <v>1</v>
      </c>
      <c r="C151" s="85" t="str">
        <f t="shared" si="15"/>
        <v>1</v>
      </c>
      <c r="D151" s="85" t="str">
        <f t="shared" si="16"/>
        <v>1</v>
      </c>
      <c r="E151" s="85" t="str">
        <f t="shared" si="17"/>
        <v>9</v>
      </c>
      <c r="F151" s="85" t="str">
        <f t="shared" si="18"/>
        <v>01</v>
      </c>
      <c r="G151" s="85" t="str">
        <f t="shared" si="19"/>
        <v>1</v>
      </c>
      <c r="H151" s="85" t="str">
        <f t="shared" si="20"/>
        <v>3</v>
      </c>
      <c r="I151" s="87">
        <v>11190113</v>
      </c>
      <c r="J151" s="85" t="s">
        <v>3036</v>
      </c>
      <c r="K151" s="85" t="s">
        <v>2892</v>
      </c>
      <c r="L151" s="84"/>
      <c r="M151" s="85" t="s">
        <v>2892</v>
      </c>
      <c r="N151" s="85" t="s">
        <v>2879</v>
      </c>
      <c r="O151" s="85" t="s">
        <v>2892</v>
      </c>
      <c r="P151" s="86" t="s">
        <v>2890</v>
      </c>
    </row>
    <row r="152" spans="2:16" ht="15.75" x14ac:dyDescent="0.25">
      <c r="B152" s="85" t="str">
        <f t="shared" si="14"/>
        <v>1</v>
      </c>
      <c r="C152" s="85" t="str">
        <f t="shared" si="15"/>
        <v>1</v>
      </c>
      <c r="D152" s="85" t="str">
        <f t="shared" si="16"/>
        <v>1</v>
      </c>
      <c r="E152" s="85" t="str">
        <f t="shared" si="17"/>
        <v>9</v>
      </c>
      <c r="F152" s="85" t="str">
        <f t="shared" si="18"/>
        <v>01</v>
      </c>
      <c r="G152" s="85" t="str">
        <f t="shared" si="19"/>
        <v>1</v>
      </c>
      <c r="H152" s="85" t="str">
        <f t="shared" si="20"/>
        <v>4</v>
      </c>
      <c r="I152" s="87">
        <v>11190114</v>
      </c>
      <c r="J152" s="85" t="s">
        <v>3037</v>
      </c>
      <c r="K152" s="85" t="s">
        <v>2892</v>
      </c>
      <c r="L152" s="84"/>
      <c r="M152" s="85" t="s">
        <v>2892</v>
      </c>
      <c r="N152" s="85" t="s">
        <v>2879</v>
      </c>
      <c r="O152" s="85" t="s">
        <v>2892</v>
      </c>
      <c r="P152" s="86" t="s">
        <v>2890</v>
      </c>
    </row>
    <row r="153" spans="2:16" ht="45" x14ac:dyDescent="0.25">
      <c r="B153" s="126" t="str">
        <f t="shared" si="14"/>
        <v>1</v>
      </c>
      <c r="C153" s="126" t="str">
        <f t="shared" si="15"/>
        <v>1</v>
      </c>
      <c r="D153" s="126" t="str">
        <f t="shared" si="16"/>
        <v>2</v>
      </c>
      <c r="E153" s="126" t="str">
        <f t="shared" si="17"/>
        <v>0</v>
      </c>
      <c r="F153" s="126" t="str">
        <f t="shared" si="18"/>
        <v>00</v>
      </c>
      <c r="G153" s="126" t="str">
        <f t="shared" si="19"/>
        <v>0</v>
      </c>
      <c r="H153" s="126" t="str">
        <f t="shared" si="20"/>
        <v>0</v>
      </c>
      <c r="I153" s="127">
        <v>11200000</v>
      </c>
      <c r="J153" s="126" t="s">
        <v>123</v>
      </c>
      <c r="K153" s="126" t="s">
        <v>3038</v>
      </c>
      <c r="L153" s="122"/>
      <c r="M153" s="126" t="s">
        <v>2878</v>
      </c>
      <c r="N153" s="126" t="s">
        <v>5016</v>
      </c>
      <c r="O153" s="126" t="s">
        <v>2878</v>
      </c>
      <c r="P153" s="128" t="s">
        <v>2880</v>
      </c>
    </row>
    <row r="154" spans="2:16" ht="30" x14ac:dyDescent="0.25">
      <c r="B154" s="104" t="str">
        <f t="shared" si="14"/>
        <v>1</v>
      </c>
      <c r="C154" s="104" t="str">
        <f t="shared" si="15"/>
        <v>1</v>
      </c>
      <c r="D154" s="104" t="str">
        <f t="shared" si="16"/>
        <v>2</v>
      </c>
      <c r="E154" s="104" t="str">
        <f t="shared" si="17"/>
        <v>1</v>
      </c>
      <c r="F154" s="104" t="str">
        <f t="shared" si="18"/>
        <v>00</v>
      </c>
      <c r="G154" s="104" t="str">
        <f t="shared" si="19"/>
        <v>0</v>
      </c>
      <c r="H154" s="104" t="str">
        <f t="shared" si="20"/>
        <v>0</v>
      </c>
      <c r="I154" s="105">
        <v>11210000</v>
      </c>
      <c r="J154" s="104" t="s">
        <v>125</v>
      </c>
      <c r="K154" s="104" t="s">
        <v>3039</v>
      </c>
      <c r="L154" s="106"/>
      <c r="M154" s="104" t="s">
        <v>2878</v>
      </c>
      <c r="N154" s="104" t="s">
        <v>2879</v>
      </c>
      <c r="O154" s="104" t="s">
        <v>2878</v>
      </c>
      <c r="P154" s="107" t="s">
        <v>2880</v>
      </c>
    </row>
    <row r="155" spans="2:16" ht="30" x14ac:dyDescent="0.25">
      <c r="B155" s="108" t="str">
        <f t="shared" si="14"/>
        <v>1</v>
      </c>
      <c r="C155" s="108" t="str">
        <f t="shared" si="15"/>
        <v>1</v>
      </c>
      <c r="D155" s="108" t="str">
        <f t="shared" si="16"/>
        <v>2</v>
      </c>
      <c r="E155" s="108" t="str">
        <f t="shared" si="17"/>
        <v>1</v>
      </c>
      <c r="F155" s="108" t="str">
        <f t="shared" si="18"/>
        <v>01</v>
      </c>
      <c r="G155" s="108" t="str">
        <f t="shared" si="19"/>
        <v>0</v>
      </c>
      <c r="H155" s="108" t="str">
        <f t="shared" si="20"/>
        <v>0</v>
      </c>
      <c r="I155" s="109">
        <v>11210100</v>
      </c>
      <c r="J155" s="108" t="s">
        <v>3040</v>
      </c>
      <c r="K155" s="108" t="s">
        <v>3039</v>
      </c>
      <c r="L155" s="110"/>
      <c r="M155" s="108" t="s">
        <v>2878</v>
      </c>
      <c r="N155" s="108" t="s">
        <v>2879</v>
      </c>
      <c r="O155" s="108" t="s">
        <v>2878</v>
      </c>
      <c r="P155" s="111" t="s">
        <v>2880</v>
      </c>
    </row>
    <row r="156" spans="2:16" ht="30" x14ac:dyDescent="0.25">
      <c r="B156" s="114" t="str">
        <f t="shared" si="14"/>
        <v>1</v>
      </c>
      <c r="C156" s="114" t="str">
        <f t="shared" si="15"/>
        <v>1</v>
      </c>
      <c r="D156" s="114" t="str">
        <f t="shared" si="16"/>
        <v>2</v>
      </c>
      <c r="E156" s="114" t="str">
        <f t="shared" si="17"/>
        <v>1</v>
      </c>
      <c r="F156" s="114" t="str">
        <f t="shared" si="18"/>
        <v>01</v>
      </c>
      <c r="G156" s="114" t="str">
        <f t="shared" si="19"/>
        <v>1</v>
      </c>
      <c r="H156" s="114" t="str">
        <f t="shared" si="20"/>
        <v>0</v>
      </c>
      <c r="I156" s="115">
        <v>11210110</v>
      </c>
      <c r="J156" s="114" t="s">
        <v>3040</v>
      </c>
      <c r="K156" s="114" t="s">
        <v>3041</v>
      </c>
      <c r="L156" s="116"/>
      <c r="M156" s="114" t="s">
        <v>2878</v>
      </c>
      <c r="N156" s="114" t="s">
        <v>2879</v>
      </c>
      <c r="O156" s="114" t="s">
        <v>2878</v>
      </c>
      <c r="P156" s="117" t="s">
        <v>2880</v>
      </c>
    </row>
    <row r="157" spans="2:16" ht="54" customHeight="1" x14ac:dyDescent="0.25">
      <c r="B157" s="85" t="str">
        <f t="shared" si="14"/>
        <v>1</v>
      </c>
      <c r="C157" s="85" t="str">
        <f t="shared" si="15"/>
        <v>1</v>
      </c>
      <c r="D157" s="85" t="str">
        <f t="shared" si="16"/>
        <v>2</v>
      </c>
      <c r="E157" s="85" t="str">
        <f t="shared" si="17"/>
        <v>1</v>
      </c>
      <c r="F157" s="85" t="str">
        <f t="shared" si="18"/>
        <v>01</v>
      </c>
      <c r="G157" s="85" t="str">
        <f t="shared" si="19"/>
        <v>1</v>
      </c>
      <c r="H157" s="85" t="str">
        <f t="shared" si="20"/>
        <v>1</v>
      </c>
      <c r="I157" s="87">
        <v>11210111</v>
      </c>
      <c r="J157" s="85" t="s">
        <v>3042</v>
      </c>
      <c r="K157" s="85" t="s">
        <v>3043</v>
      </c>
      <c r="L157" s="84"/>
      <c r="M157" s="85" t="s">
        <v>3044</v>
      </c>
      <c r="N157" s="85" t="s">
        <v>2879</v>
      </c>
      <c r="O157" s="85" t="s">
        <v>3045</v>
      </c>
      <c r="P157" s="86" t="s">
        <v>2890</v>
      </c>
    </row>
    <row r="158" spans="2:16" ht="15.75" x14ac:dyDescent="0.25">
      <c r="B158" s="85" t="str">
        <f t="shared" si="14"/>
        <v>1</v>
      </c>
      <c r="C158" s="85" t="str">
        <f t="shared" si="15"/>
        <v>1</v>
      </c>
      <c r="D158" s="85" t="str">
        <f t="shared" si="16"/>
        <v>2</v>
      </c>
      <c r="E158" s="85" t="str">
        <f t="shared" si="17"/>
        <v>1</v>
      </c>
      <c r="F158" s="85" t="str">
        <f t="shared" si="18"/>
        <v>01</v>
      </c>
      <c r="G158" s="85" t="str">
        <f t="shared" si="19"/>
        <v>1</v>
      </c>
      <c r="H158" s="85" t="str">
        <f t="shared" si="20"/>
        <v>2</v>
      </c>
      <c r="I158" s="87">
        <v>11210112</v>
      </c>
      <c r="J158" s="85" t="s">
        <v>3046</v>
      </c>
      <c r="K158" s="85" t="s">
        <v>2892</v>
      </c>
      <c r="L158" s="84"/>
      <c r="M158" s="85" t="s">
        <v>2892</v>
      </c>
      <c r="N158" s="85" t="s">
        <v>152</v>
      </c>
      <c r="O158" s="85" t="s">
        <v>2892</v>
      </c>
      <c r="P158" s="86" t="s">
        <v>2890</v>
      </c>
    </row>
    <row r="159" spans="2:16" ht="15.75" x14ac:dyDescent="0.25">
      <c r="B159" s="85" t="str">
        <f t="shared" si="14"/>
        <v>1</v>
      </c>
      <c r="C159" s="85" t="str">
        <f t="shared" si="15"/>
        <v>1</v>
      </c>
      <c r="D159" s="85" t="str">
        <f t="shared" si="16"/>
        <v>2</v>
      </c>
      <c r="E159" s="85" t="str">
        <f t="shared" si="17"/>
        <v>1</v>
      </c>
      <c r="F159" s="85" t="str">
        <f t="shared" si="18"/>
        <v>01</v>
      </c>
      <c r="G159" s="85" t="str">
        <f t="shared" si="19"/>
        <v>1</v>
      </c>
      <c r="H159" s="85" t="str">
        <f t="shared" si="20"/>
        <v>3</v>
      </c>
      <c r="I159" s="87">
        <v>11210113</v>
      </c>
      <c r="J159" s="85" t="s">
        <v>3047</v>
      </c>
      <c r="K159" s="85" t="s">
        <v>2892</v>
      </c>
      <c r="L159" s="84"/>
      <c r="M159" s="85" t="s">
        <v>2892</v>
      </c>
      <c r="N159" s="85" t="s">
        <v>2879</v>
      </c>
      <c r="O159" s="85" t="s">
        <v>2892</v>
      </c>
      <c r="P159" s="86" t="s">
        <v>2890</v>
      </c>
    </row>
    <row r="160" spans="2:16" ht="15.75" x14ac:dyDescent="0.25">
      <c r="B160" s="85" t="str">
        <f t="shared" si="14"/>
        <v>1</v>
      </c>
      <c r="C160" s="85" t="str">
        <f t="shared" si="15"/>
        <v>1</v>
      </c>
      <c r="D160" s="85" t="str">
        <f t="shared" si="16"/>
        <v>2</v>
      </c>
      <c r="E160" s="85" t="str">
        <f t="shared" si="17"/>
        <v>1</v>
      </c>
      <c r="F160" s="85" t="str">
        <f t="shared" si="18"/>
        <v>01</v>
      </c>
      <c r="G160" s="85" t="str">
        <f t="shared" si="19"/>
        <v>1</v>
      </c>
      <c r="H160" s="85" t="str">
        <f t="shared" si="20"/>
        <v>4</v>
      </c>
      <c r="I160" s="87">
        <v>11210114</v>
      </c>
      <c r="J160" s="85" t="s">
        <v>3048</v>
      </c>
      <c r="K160" s="85" t="s">
        <v>2892</v>
      </c>
      <c r="L160" s="84"/>
      <c r="M160" s="85" t="s">
        <v>2892</v>
      </c>
      <c r="N160" s="85" t="s">
        <v>2879</v>
      </c>
      <c r="O160" s="85" t="s">
        <v>2892</v>
      </c>
      <c r="P160" s="86" t="s">
        <v>2890</v>
      </c>
    </row>
    <row r="161" spans="2:16" ht="30" x14ac:dyDescent="0.25">
      <c r="B161" s="108" t="str">
        <f t="shared" si="14"/>
        <v>1</v>
      </c>
      <c r="C161" s="108" t="str">
        <f t="shared" si="15"/>
        <v>1</v>
      </c>
      <c r="D161" s="108" t="str">
        <f t="shared" si="16"/>
        <v>2</v>
      </c>
      <c r="E161" s="108" t="str">
        <f t="shared" si="17"/>
        <v>1</v>
      </c>
      <c r="F161" s="108" t="str">
        <f t="shared" si="18"/>
        <v>02</v>
      </c>
      <c r="G161" s="108" t="str">
        <f t="shared" si="19"/>
        <v>0</v>
      </c>
      <c r="H161" s="108" t="str">
        <f t="shared" si="20"/>
        <v>0</v>
      </c>
      <c r="I161" s="109">
        <v>11210200</v>
      </c>
      <c r="J161" s="108" t="s">
        <v>3049</v>
      </c>
      <c r="K161" s="108" t="s">
        <v>3050</v>
      </c>
      <c r="L161" s="110"/>
      <c r="M161" s="108" t="s">
        <v>2878</v>
      </c>
      <c r="N161" s="108" t="s">
        <v>2879</v>
      </c>
      <c r="O161" s="108" t="s">
        <v>2878</v>
      </c>
      <c r="P161" s="111" t="s">
        <v>2880</v>
      </c>
    </row>
    <row r="162" spans="2:16" ht="60" x14ac:dyDescent="0.25">
      <c r="B162" s="114" t="str">
        <f t="shared" si="14"/>
        <v>1</v>
      </c>
      <c r="C162" s="114" t="str">
        <f t="shared" si="15"/>
        <v>1</v>
      </c>
      <c r="D162" s="114" t="str">
        <f t="shared" si="16"/>
        <v>2</v>
      </c>
      <c r="E162" s="114" t="str">
        <f t="shared" si="17"/>
        <v>1</v>
      </c>
      <c r="F162" s="114" t="str">
        <f t="shared" si="18"/>
        <v>02</v>
      </c>
      <c r="G162" s="114" t="str">
        <f t="shared" si="19"/>
        <v>1</v>
      </c>
      <c r="H162" s="114" t="str">
        <f t="shared" si="20"/>
        <v>0</v>
      </c>
      <c r="I162" s="115">
        <v>11210210</v>
      </c>
      <c r="J162" s="114" t="s">
        <v>3051</v>
      </c>
      <c r="K162" s="114" t="s">
        <v>3052</v>
      </c>
      <c r="L162" s="116"/>
      <c r="M162" s="114" t="s">
        <v>2878</v>
      </c>
      <c r="N162" s="114" t="s">
        <v>2879</v>
      </c>
      <c r="O162" s="114" t="s">
        <v>2878</v>
      </c>
      <c r="P162" s="117" t="s">
        <v>2880</v>
      </c>
    </row>
    <row r="163" spans="2:16" ht="60" x14ac:dyDescent="0.25">
      <c r="B163" s="85" t="str">
        <f t="shared" si="14"/>
        <v>1</v>
      </c>
      <c r="C163" s="85" t="str">
        <f t="shared" si="15"/>
        <v>1</v>
      </c>
      <c r="D163" s="85" t="str">
        <f t="shared" si="16"/>
        <v>2</v>
      </c>
      <c r="E163" s="85" t="str">
        <f t="shared" si="17"/>
        <v>1</v>
      </c>
      <c r="F163" s="85" t="str">
        <f t="shared" si="18"/>
        <v>02</v>
      </c>
      <c r="G163" s="85" t="str">
        <f t="shared" si="19"/>
        <v>1</v>
      </c>
      <c r="H163" s="85" t="str">
        <f t="shared" si="20"/>
        <v>1</v>
      </c>
      <c r="I163" s="87">
        <v>11210211</v>
      </c>
      <c r="J163" s="85" t="s">
        <v>3053</v>
      </c>
      <c r="K163" s="85" t="s">
        <v>3054</v>
      </c>
      <c r="L163" s="84"/>
      <c r="M163" s="85" t="s">
        <v>3055</v>
      </c>
      <c r="N163" s="85" t="s">
        <v>2879</v>
      </c>
      <c r="O163" s="85" t="s">
        <v>3056</v>
      </c>
      <c r="P163" s="86" t="s">
        <v>2890</v>
      </c>
    </row>
    <row r="164" spans="2:16" ht="15.75" x14ac:dyDescent="0.25">
      <c r="B164" s="85" t="str">
        <f t="shared" si="14"/>
        <v>1</v>
      </c>
      <c r="C164" s="85" t="str">
        <f t="shared" si="15"/>
        <v>1</v>
      </c>
      <c r="D164" s="85" t="str">
        <f t="shared" si="16"/>
        <v>2</v>
      </c>
      <c r="E164" s="85" t="str">
        <f t="shared" si="17"/>
        <v>1</v>
      </c>
      <c r="F164" s="85" t="str">
        <f t="shared" si="18"/>
        <v>02</v>
      </c>
      <c r="G164" s="85" t="str">
        <f t="shared" si="19"/>
        <v>1</v>
      </c>
      <c r="H164" s="85" t="str">
        <f t="shared" si="20"/>
        <v>2</v>
      </c>
      <c r="I164" s="87">
        <v>11210212</v>
      </c>
      <c r="J164" s="85" t="s">
        <v>3057</v>
      </c>
      <c r="K164" s="85" t="s">
        <v>2892</v>
      </c>
      <c r="L164" s="84"/>
      <c r="M164" s="85" t="s">
        <v>2892</v>
      </c>
      <c r="N164" s="85" t="s">
        <v>1439</v>
      </c>
      <c r="O164" s="85" t="s">
        <v>2892</v>
      </c>
      <c r="P164" s="86" t="s">
        <v>2890</v>
      </c>
    </row>
    <row r="165" spans="2:16" ht="15.75" x14ac:dyDescent="0.25">
      <c r="B165" s="85" t="str">
        <f t="shared" si="14"/>
        <v>1</v>
      </c>
      <c r="C165" s="85" t="str">
        <f t="shared" si="15"/>
        <v>1</v>
      </c>
      <c r="D165" s="85" t="str">
        <f t="shared" si="16"/>
        <v>2</v>
      </c>
      <c r="E165" s="85" t="str">
        <f t="shared" si="17"/>
        <v>1</v>
      </c>
      <c r="F165" s="85" t="str">
        <f t="shared" si="18"/>
        <v>02</v>
      </c>
      <c r="G165" s="85" t="str">
        <f t="shared" si="19"/>
        <v>1</v>
      </c>
      <c r="H165" s="85" t="str">
        <f t="shared" si="20"/>
        <v>3</v>
      </c>
      <c r="I165" s="87">
        <v>11210213</v>
      </c>
      <c r="J165" s="85" t="s">
        <v>3058</v>
      </c>
      <c r="K165" s="85" t="s">
        <v>2892</v>
      </c>
      <c r="L165" s="84"/>
      <c r="M165" s="85" t="s">
        <v>2892</v>
      </c>
      <c r="N165" s="85" t="s">
        <v>1439</v>
      </c>
      <c r="O165" s="85" t="s">
        <v>2892</v>
      </c>
      <c r="P165" s="86" t="s">
        <v>2890</v>
      </c>
    </row>
    <row r="166" spans="2:16" ht="15.75" x14ac:dyDescent="0.25">
      <c r="B166" s="85" t="str">
        <f t="shared" si="14"/>
        <v>1</v>
      </c>
      <c r="C166" s="85" t="str">
        <f t="shared" si="15"/>
        <v>1</v>
      </c>
      <c r="D166" s="85" t="str">
        <f t="shared" si="16"/>
        <v>2</v>
      </c>
      <c r="E166" s="85" t="str">
        <f t="shared" si="17"/>
        <v>1</v>
      </c>
      <c r="F166" s="85" t="str">
        <f t="shared" si="18"/>
        <v>02</v>
      </c>
      <c r="G166" s="85" t="str">
        <f t="shared" si="19"/>
        <v>1</v>
      </c>
      <c r="H166" s="85" t="str">
        <f t="shared" si="20"/>
        <v>4</v>
      </c>
      <c r="I166" s="87">
        <v>11210214</v>
      </c>
      <c r="J166" s="85" t="s">
        <v>3059</v>
      </c>
      <c r="K166" s="85" t="s">
        <v>2892</v>
      </c>
      <c r="L166" s="84"/>
      <c r="M166" s="85" t="s">
        <v>2892</v>
      </c>
      <c r="N166" s="85" t="s">
        <v>1439</v>
      </c>
      <c r="O166" s="85" t="s">
        <v>2892</v>
      </c>
      <c r="P166" s="86" t="s">
        <v>2890</v>
      </c>
    </row>
    <row r="167" spans="2:16" ht="60" x14ac:dyDescent="0.25">
      <c r="B167" s="114" t="str">
        <f t="shared" si="14"/>
        <v>1</v>
      </c>
      <c r="C167" s="114" t="str">
        <f t="shared" si="15"/>
        <v>1</v>
      </c>
      <c r="D167" s="114" t="str">
        <f t="shared" si="16"/>
        <v>2</v>
      </c>
      <c r="E167" s="114" t="str">
        <f t="shared" si="17"/>
        <v>1</v>
      </c>
      <c r="F167" s="114" t="str">
        <f t="shared" si="18"/>
        <v>02</v>
      </c>
      <c r="G167" s="114" t="str">
        <f t="shared" si="19"/>
        <v>2</v>
      </c>
      <c r="H167" s="114" t="str">
        <f t="shared" si="20"/>
        <v>0</v>
      </c>
      <c r="I167" s="115">
        <v>11210220</v>
      </c>
      <c r="J167" s="114" t="s">
        <v>3060</v>
      </c>
      <c r="K167" s="114" t="s">
        <v>3061</v>
      </c>
      <c r="L167" s="116"/>
      <c r="M167" s="114" t="s">
        <v>2878</v>
      </c>
      <c r="N167" s="114" t="s">
        <v>2879</v>
      </c>
      <c r="O167" s="114" t="s">
        <v>2878</v>
      </c>
      <c r="P167" s="117" t="s">
        <v>2880</v>
      </c>
    </row>
    <row r="168" spans="2:16" ht="60" x14ac:dyDescent="0.25">
      <c r="B168" s="85" t="str">
        <f t="shared" si="14"/>
        <v>1</v>
      </c>
      <c r="C168" s="85" t="str">
        <f t="shared" si="15"/>
        <v>1</v>
      </c>
      <c r="D168" s="85" t="str">
        <f t="shared" si="16"/>
        <v>2</v>
      </c>
      <c r="E168" s="85" t="str">
        <f t="shared" si="17"/>
        <v>1</v>
      </c>
      <c r="F168" s="85" t="str">
        <f t="shared" si="18"/>
        <v>02</v>
      </c>
      <c r="G168" s="85" t="str">
        <f t="shared" si="19"/>
        <v>2</v>
      </c>
      <c r="H168" s="85" t="str">
        <f t="shared" si="20"/>
        <v>1</v>
      </c>
      <c r="I168" s="87">
        <v>11210221</v>
      </c>
      <c r="J168" s="85" t="s">
        <v>3062</v>
      </c>
      <c r="K168" s="85" t="s">
        <v>3063</v>
      </c>
      <c r="L168" s="84"/>
      <c r="M168" s="85" t="s">
        <v>3055</v>
      </c>
      <c r="N168" s="85" t="s">
        <v>2879</v>
      </c>
      <c r="O168" s="85" t="s">
        <v>3056</v>
      </c>
      <c r="P168" s="86" t="s">
        <v>2890</v>
      </c>
    </row>
    <row r="169" spans="2:16" ht="15.75" x14ac:dyDescent="0.25">
      <c r="B169" s="85" t="str">
        <f t="shared" si="14"/>
        <v>1</v>
      </c>
      <c r="C169" s="85" t="str">
        <f t="shared" si="15"/>
        <v>1</v>
      </c>
      <c r="D169" s="85" t="str">
        <f t="shared" si="16"/>
        <v>2</v>
      </c>
      <c r="E169" s="85" t="str">
        <f t="shared" si="17"/>
        <v>1</v>
      </c>
      <c r="F169" s="85" t="str">
        <f t="shared" si="18"/>
        <v>02</v>
      </c>
      <c r="G169" s="85" t="str">
        <f t="shared" si="19"/>
        <v>2</v>
      </c>
      <c r="H169" s="85" t="str">
        <f t="shared" si="20"/>
        <v>2</v>
      </c>
      <c r="I169" s="87">
        <v>11210222</v>
      </c>
      <c r="J169" s="85" t="s">
        <v>3064</v>
      </c>
      <c r="K169" s="85" t="s">
        <v>2892</v>
      </c>
      <c r="L169" s="84"/>
      <c r="M169" s="85" t="s">
        <v>2892</v>
      </c>
      <c r="N169" s="85" t="s">
        <v>1439</v>
      </c>
      <c r="O169" s="85" t="s">
        <v>2892</v>
      </c>
      <c r="P169" s="86" t="s">
        <v>2890</v>
      </c>
    </row>
    <row r="170" spans="2:16" ht="15.75" x14ac:dyDescent="0.25">
      <c r="B170" s="85" t="str">
        <f t="shared" si="14"/>
        <v>1</v>
      </c>
      <c r="C170" s="85" t="str">
        <f t="shared" si="15"/>
        <v>1</v>
      </c>
      <c r="D170" s="85" t="str">
        <f t="shared" si="16"/>
        <v>2</v>
      </c>
      <c r="E170" s="85" t="str">
        <f t="shared" si="17"/>
        <v>1</v>
      </c>
      <c r="F170" s="85" t="str">
        <f t="shared" si="18"/>
        <v>02</v>
      </c>
      <c r="G170" s="85" t="str">
        <f t="shared" si="19"/>
        <v>2</v>
      </c>
      <c r="H170" s="85" t="str">
        <f t="shared" si="20"/>
        <v>3</v>
      </c>
      <c r="I170" s="87">
        <v>11210223</v>
      </c>
      <c r="J170" s="85" t="s">
        <v>3065</v>
      </c>
      <c r="K170" s="85" t="s">
        <v>2892</v>
      </c>
      <c r="L170" s="84"/>
      <c r="M170" s="85" t="s">
        <v>2892</v>
      </c>
      <c r="N170" s="85" t="s">
        <v>1439</v>
      </c>
      <c r="O170" s="85" t="s">
        <v>2892</v>
      </c>
      <c r="P170" s="86" t="s">
        <v>2890</v>
      </c>
    </row>
    <row r="171" spans="2:16" ht="15.75" x14ac:dyDescent="0.25">
      <c r="B171" s="85" t="str">
        <f t="shared" si="14"/>
        <v>1</v>
      </c>
      <c r="C171" s="85" t="str">
        <f t="shared" si="15"/>
        <v>1</v>
      </c>
      <c r="D171" s="85" t="str">
        <f t="shared" si="16"/>
        <v>2</v>
      </c>
      <c r="E171" s="85" t="str">
        <f t="shared" si="17"/>
        <v>1</v>
      </c>
      <c r="F171" s="85" t="str">
        <f t="shared" si="18"/>
        <v>02</v>
      </c>
      <c r="G171" s="85" t="str">
        <f t="shared" si="19"/>
        <v>2</v>
      </c>
      <c r="H171" s="85" t="str">
        <f t="shared" si="20"/>
        <v>4</v>
      </c>
      <c r="I171" s="87">
        <v>11210224</v>
      </c>
      <c r="J171" s="85" t="s">
        <v>3066</v>
      </c>
      <c r="K171" s="85" t="s">
        <v>2892</v>
      </c>
      <c r="L171" s="84"/>
      <c r="M171" s="85" t="s">
        <v>2892</v>
      </c>
      <c r="N171" s="85" t="s">
        <v>1439</v>
      </c>
      <c r="O171" s="85" t="s">
        <v>2892</v>
      </c>
      <c r="P171" s="86" t="s">
        <v>2890</v>
      </c>
    </row>
    <row r="172" spans="2:16" ht="30" x14ac:dyDescent="0.25">
      <c r="B172" s="108" t="str">
        <f t="shared" si="14"/>
        <v>1</v>
      </c>
      <c r="C172" s="108" t="str">
        <f t="shared" si="15"/>
        <v>1</v>
      </c>
      <c r="D172" s="108" t="str">
        <f t="shared" si="16"/>
        <v>2</v>
      </c>
      <c r="E172" s="108" t="str">
        <f t="shared" si="17"/>
        <v>1</v>
      </c>
      <c r="F172" s="108" t="str">
        <f t="shared" si="18"/>
        <v>03</v>
      </c>
      <c r="G172" s="108" t="str">
        <f t="shared" si="19"/>
        <v>0</v>
      </c>
      <c r="H172" s="108" t="str">
        <f t="shared" si="20"/>
        <v>0</v>
      </c>
      <c r="I172" s="109">
        <v>11210300</v>
      </c>
      <c r="J172" s="108" t="s">
        <v>135</v>
      </c>
      <c r="K172" s="108" t="s">
        <v>3067</v>
      </c>
      <c r="L172" s="110"/>
      <c r="M172" s="108" t="s">
        <v>2878</v>
      </c>
      <c r="N172" s="108" t="s">
        <v>2879</v>
      </c>
      <c r="O172" s="108" t="s">
        <v>2878</v>
      </c>
      <c r="P172" s="111" t="s">
        <v>2880</v>
      </c>
    </row>
    <row r="173" spans="2:16" ht="30" x14ac:dyDescent="0.25">
      <c r="B173" s="114" t="str">
        <f t="shared" si="14"/>
        <v>1</v>
      </c>
      <c r="C173" s="114" t="str">
        <f t="shared" si="15"/>
        <v>1</v>
      </c>
      <c r="D173" s="114" t="str">
        <f t="shared" si="16"/>
        <v>2</v>
      </c>
      <c r="E173" s="114" t="str">
        <f t="shared" si="17"/>
        <v>1</v>
      </c>
      <c r="F173" s="114" t="str">
        <f t="shared" si="18"/>
        <v>03</v>
      </c>
      <c r="G173" s="114" t="str">
        <f t="shared" si="19"/>
        <v>1</v>
      </c>
      <c r="H173" s="114" t="str">
        <f t="shared" si="20"/>
        <v>0</v>
      </c>
      <c r="I173" s="115">
        <v>11210310</v>
      </c>
      <c r="J173" s="114" t="s">
        <v>135</v>
      </c>
      <c r="K173" s="114" t="s">
        <v>3067</v>
      </c>
      <c r="L173" s="116"/>
      <c r="M173" s="114" t="s">
        <v>2878</v>
      </c>
      <c r="N173" s="114" t="s">
        <v>2879</v>
      </c>
      <c r="O173" s="114" t="s">
        <v>2878</v>
      </c>
      <c r="P173" s="117" t="s">
        <v>2880</v>
      </c>
    </row>
    <row r="174" spans="2:16" ht="58.5" customHeight="1" x14ac:dyDescent="0.25">
      <c r="B174" s="85" t="str">
        <f t="shared" si="14"/>
        <v>1</v>
      </c>
      <c r="C174" s="85" t="str">
        <f t="shared" si="15"/>
        <v>1</v>
      </c>
      <c r="D174" s="85" t="str">
        <f t="shared" si="16"/>
        <v>2</v>
      </c>
      <c r="E174" s="85" t="str">
        <f t="shared" si="17"/>
        <v>1</v>
      </c>
      <c r="F174" s="85" t="str">
        <f t="shared" si="18"/>
        <v>03</v>
      </c>
      <c r="G174" s="85" t="str">
        <f t="shared" si="19"/>
        <v>1</v>
      </c>
      <c r="H174" s="85" t="str">
        <f t="shared" si="20"/>
        <v>1</v>
      </c>
      <c r="I174" s="87">
        <v>11210311</v>
      </c>
      <c r="J174" s="85" t="s">
        <v>3068</v>
      </c>
      <c r="K174" s="85" t="s">
        <v>3069</v>
      </c>
      <c r="L174" s="84"/>
      <c r="M174" s="85" t="s">
        <v>3070</v>
      </c>
      <c r="N174" s="85" t="s">
        <v>2879</v>
      </c>
      <c r="O174" s="85" t="s">
        <v>3071</v>
      </c>
      <c r="P174" s="86" t="s">
        <v>2890</v>
      </c>
    </row>
    <row r="175" spans="2:16" ht="15.75" x14ac:dyDescent="0.25">
      <c r="B175" s="85" t="str">
        <f t="shared" si="14"/>
        <v>1</v>
      </c>
      <c r="C175" s="85" t="str">
        <f t="shared" si="15"/>
        <v>1</v>
      </c>
      <c r="D175" s="85" t="str">
        <f t="shared" si="16"/>
        <v>2</v>
      </c>
      <c r="E175" s="85" t="str">
        <f t="shared" si="17"/>
        <v>1</v>
      </c>
      <c r="F175" s="85" t="str">
        <f t="shared" si="18"/>
        <v>03</v>
      </c>
      <c r="G175" s="85" t="str">
        <f t="shared" si="19"/>
        <v>1</v>
      </c>
      <c r="H175" s="85" t="str">
        <f t="shared" si="20"/>
        <v>2</v>
      </c>
      <c r="I175" s="87">
        <v>11210312</v>
      </c>
      <c r="J175" s="85" t="s">
        <v>3072</v>
      </c>
      <c r="K175" s="85" t="s">
        <v>2892</v>
      </c>
      <c r="L175" s="84"/>
      <c r="M175" s="85" t="s">
        <v>2892</v>
      </c>
      <c r="N175" s="85" t="s">
        <v>2879</v>
      </c>
      <c r="O175" s="85" t="s">
        <v>2892</v>
      </c>
      <c r="P175" s="86" t="s">
        <v>2890</v>
      </c>
    </row>
    <row r="176" spans="2:16" ht="15.75" x14ac:dyDescent="0.25">
      <c r="B176" s="85" t="str">
        <f t="shared" si="14"/>
        <v>1</v>
      </c>
      <c r="C176" s="85" t="str">
        <f t="shared" si="15"/>
        <v>1</v>
      </c>
      <c r="D176" s="85" t="str">
        <f t="shared" si="16"/>
        <v>2</v>
      </c>
      <c r="E176" s="85" t="str">
        <f t="shared" si="17"/>
        <v>1</v>
      </c>
      <c r="F176" s="85" t="str">
        <f t="shared" si="18"/>
        <v>03</v>
      </c>
      <c r="G176" s="85" t="str">
        <f t="shared" si="19"/>
        <v>1</v>
      </c>
      <c r="H176" s="85" t="str">
        <f t="shared" si="20"/>
        <v>3</v>
      </c>
      <c r="I176" s="87">
        <v>11210313</v>
      </c>
      <c r="J176" s="85" t="s">
        <v>3073</v>
      </c>
      <c r="K176" s="85" t="s">
        <v>2892</v>
      </c>
      <c r="L176" s="84"/>
      <c r="M176" s="85" t="s">
        <v>2892</v>
      </c>
      <c r="N176" s="85" t="s">
        <v>2879</v>
      </c>
      <c r="O176" s="85" t="s">
        <v>2892</v>
      </c>
      <c r="P176" s="86" t="s">
        <v>2890</v>
      </c>
    </row>
    <row r="177" spans="2:16" ht="30" x14ac:dyDescent="0.25">
      <c r="B177" s="85" t="str">
        <f t="shared" si="14"/>
        <v>1</v>
      </c>
      <c r="C177" s="85" t="str">
        <f t="shared" si="15"/>
        <v>1</v>
      </c>
      <c r="D177" s="85" t="str">
        <f t="shared" si="16"/>
        <v>2</v>
      </c>
      <c r="E177" s="85" t="str">
        <f t="shared" si="17"/>
        <v>1</v>
      </c>
      <c r="F177" s="85" t="str">
        <f t="shared" si="18"/>
        <v>03</v>
      </c>
      <c r="G177" s="85" t="str">
        <f t="shared" si="19"/>
        <v>1</v>
      </c>
      <c r="H177" s="85" t="str">
        <f t="shared" si="20"/>
        <v>4</v>
      </c>
      <c r="I177" s="87">
        <v>11210314</v>
      </c>
      <c r="J177" s="85" t="s">
        <v>3074</v>
      </c>
      <c r="K177" s="85" t="s">
        <v>2892</v>
      </c>
      <c r="L177" s="84"/>
      <c r="M177" s="85" t="s">
        <v>2892</v>
      </c>
      <c r="N177" s="85" t="s">
        <v>2879</v>
      </c>
      <c r="O177" s="85" t="s">
        <v>2892</v>
      </c>
      <c r="P177" s="86" t="s">
        <v>2890</v>
      </c>
    </row>
    <row r="178" spans="2:16" ht="30" x14ac:dyDescent="0.25">
      <c r="B178" s="108" t="str">
        <f t="shared" si="14"/>
        <v>1</v>
      </c>
      <c r="C178" s="108" t="str">
        <f t="shared" si="15"/>
        <v>1</v>
      </c>
      <c r="D178" s="108" t="str">
        <f t="shared" si="16"/>
        <v>2</v>
      </c>
      <c r="E178" s="108" t="str">
        <f t="shared" si="17"/>
        <v>1</v>
      </c>
      <c r="F178" s="108" t="str">
        <f t="shared" si="18"/>
        <v>04</v>
      </c>
      <c r="G178" s="108" t="str">
        <f t="shared" si="19"/>
        <v>0</v>
      </c>
      <c r="H178" s="108" t="str">
        <f t="shared" si="20"/>
        <v>0</v>
      </c>
      <c r="I178" s="109">
        <v>11210400</v>
      </c>
      <c r="J178" s="108" t="s">
        <v>177</v>
      </c>
      <c r="K178" s="108" t="s">
        <v>3075</v>
      </c>
      <c r="L178" s="110"/>
      <c r="M178" s="108" t="s">
        <v>2878</v>
      </c>
      <c r="N178" s="108" t="s">
        <v>2879</v>
      </c>
      <c r="O178" s="108" t="s">
        <v>2878</v>
      </c>
      <c r="P178" s="111" t="s">
        <v>2880</v>
      </c>
    </row>
    <row r="179" spans="2:16" ht="30" x14ac:dyDescent="0.25">
      <c r="B179" s="114" t="str">
        <f t="shared" si="14"/>
        <v>1</v>
      </c>
      <c r="C179" s="114" t="str">
        <f t="shared" si="15"/>
        <v>1</v>
      </c>
      <c r="D179" s="114" t="str">
        <f t="shared" si="16"/>
        <v>2</v>
      </c>
      <c r="E179" s="114" t="str">
        <f t="shared" si="17"/>
        <v>1</v>
      </c>
      <c r="F179" s="114" t="str">
        <f t="shared" si="18"/>
        <v>04</v>
      </c>
      <c r="G179" s="114" t="str">
        <f t="shared" si="19"/>
        <v>1</v>
      </c>
      <c r="H179" s="114" t="str">
        <f t="shared" si="20"/>
        <v>0</v>
      </c>
      <c r="I179" s="115">
        <v>11210410</v>
      </c>
      <c r="J179" s="114" t="s">
        <v>177</v>
      </c>
      <c r="K179" s="114" t="s">
        <v>3075</v>
      </c>
      <c r="L179" s="116"/>
      <c r="M179" s="114" t="s">
        <v>2878</v>
      </c>
      <c r="N179" s="114" t="s">
        <v>2879</v>
      </c>
      <c r="O179" s="114" t="s">
        <v>2878</v>
      </c>
      <c r="P179" s="117" t="s">
        <v>2880</v>
      </c>
    </row>
    <row r="180" spans="2:16" ht="45" x14ac:dyDescent="0.25">
      <c r="B180" s="85" t="str">
        <f t="shared" si="14"/>
        <v>1</v>
      </c>
      <c r="C180" s="85" t="str">
        <f t="shared" si="15"/>
        <v>1</v>
      </c>
      <c r="D180" s="85" t="str">
        <f t="shared" si="16"/>
        <v>2</v>
      </c>
      <c r="E180" s="85" t="str">
        <f t="shared" si="17"/>
        <v>1</v>
      </c>
      <c r="F180" s="85" t="str">
        <f t="shared" si="18"/>
        <v>04</v>
      </c>
      <c r="G180" s="85" t="str">
        <f t="shared" si="19"/>
        <v>1</v>
      </c>
      <c r="H180" s="85" t="str">
        <f t="shared" si="20"/>
        <v>1</v>
      </c>
      <c r="I180" s="87">
        <v>11210411</v>
      </c>
      <c r="J180" s="85" t="s">
        <v>3076</v>
      </c>
      <c r="K180" s="85" t="s">
        <v>3077</v>
      </c>
      <c r="L180" s="84"/>
      <c r="M180" s="85" t="s">
        <v>3078</v>
      </c>
      <c r="N180" s="85" t="s">
        <v>2879</v>
      </c>
      <c r="O180" s="85" t="s">
        <v>3079</v>
      </c>
      <c r="P180" s="86" t="s">
        <v>2890</v>
      </c>
    </row>
    <row r="181" spans="2:16" ht="15.75" x14ac:dyDescent="0.25">
      <c r="B181" s="85" t="str">
        <f t="shared" si="14"/>
        <v>1</v>
      </c>
      <c r="C181" s="85" t="str">
        <f t="shared" si="15"/>
        <v>1</v>
      </c>
      <c r="D181" s="85" t="str">
        <f t="shared" si="16"/>
        <v>2</v>
      </c>
      <c r="E181" s="85" t="str">
        <f t="shared" si="17"/>
        <v>1</v>
      </c>
      <c r="F181" s="85" t="str">
        <f t="shared" si="18"/>
        <v>04</v>
      </c>
      <c r="G181" s="85" t="str">
        <f t="shared" si="19"/>
        <v>1</v>
      </c>
      <c r="H181" s="85" t="str">
        <f t="shared" si="20"/>
        <v>2</v>
      </c>
      <c r="I181" s="87">
        <v>11210412</v>
      </c>
      <c r="J181" s="85" t="s">
        <v>3080</v>
      </c>
      <c r="K181" s="85" t="s">
        <v>2892</v>
      </c>
      <c r="L181" s="84"/>
      <c r="M181" s="85" t="s">
        <v>2892</v>
      </c>
      <c r="N181" s="85" t="s">
        <v>2879</v>
      </c>
      <c r="O181" s="85" t="s">
        <v>2892</v>
      </c>
      <c r="P181" s="86" t="s">
        <v>2890</v>
      </c>
    </row>
    <row r="182" spans="2:16" ht="15.75" x14ac:dyDescent="0.25">
      <c r="B182" s="85" t="str">
        <f t="shared" si="14"/>
        <v>1</v>
      </c>
      <c r="C182" s="85" t="str">
        <f t="shared" si="15"/>
        <v>1</v>
      </c>
      <c r="D182" s="85" t="str">
        <f t="shared" si="16"/>
        <v>2</v>
      </c>
      <c r="E182" s="85" t="str">
        <f t="shared" si="17"/>
        <v>1</v>
      </c>
      <c r="F182" s="85" t="str">
        <f t="shared" si="18"/>
        <v>04</v>
      </c>
      <c r="G182" s="85" t="str">
        <f t="shared" si="19"/>
        <v>1</v>
      </c>
      <c r="H182" s="85" t="str">
        <f t="shared" si="20"/>
        <v>3</v>
      </c>
      <c r="I182" s="87">
        <v>11210413</v>
      </c>
      <c r="J182" s="85" t="s">
        <v>3081</v>
      </c>
      <c r="K182" s="85" t="s">
        <v>2892</v>
      </c>
      <c r="L182" s="84"/>
      <c r="M182" s="85" t="s">
        <v>2892</v>
      </c>
      <c r="N182" s="85" t="s">
        <v>2879</v>
      </c>
      <c r="O182" s="85" t="s">
        <v>2892</v>
      </c>
      <c r="P182" s="86" t="s">
        <v>2890</v>
      </c>
    </row>
    <row r="183" spans="2:16" ht="15.75" x14ac:dyDescent="0.25">
      <c r="B183" s="85" t="str">
        <f t="shared" si="14"/>
        <v>1</v>
      </c>
      <c r="C183" s="85" t="str">
        <f t="shared" si="15"/>
        <v>1</v>
      </c>
      <c r="D183" s="85" t="str">
        <f t="shared" si="16"/>
        <v>2</v>
      </c>
      <c r="E183" s="85" t="str">
        <f t="shared" si="17"/>
        <v>1</v>
      </c>
      <c r="F183" s="85" t="str">
        <f t="shared" si="18"/>
        <v>04</v>
      </c>
      <c r="G183" s="85" t="str">
        <f t="shared" si="19"/>
        <v>1</v>
      </c>
      <c r="H183" s="85" t="str">
        <f t="shared" si="20"/>
        <v>4</v>
      </c>
      <c r="I183" s="87">
        <v>11210414</v>
      </c>
      <c r="J183" s="85" t="s">
        <v>3082</v>
      </c>
      <c r="K183" s="85" t="s">
        <v>2892</v>
      </c>
      <c r="L183" s="84"/>
      <c r="M183" s="85" t="s">
        <v>2892</v>
      </c>
      <c r="N183" s="85" t="s">
        <v>2879</v>
      </c>
      <c r="O183" s="85" t="s">
        <v>2892</v>
      </c>
      <c r="P183" s="86" t="s">
        <v>2890</v>
      </c>
    </row>
    <row r="184" spans="2:16" ht="30" x14ac:dyDescent="0.25">
      <c r="B184" s="108" t="str">
        <f t="shared" si="14"/>
        <v>1</v>
      </c>
      <c r="C184" s="108" t="str">
        <f t="shared" si="15"/>
        <v>1</v>
      </c>
      <c r="D184" s="108" t="str">
        <f t="shared" si="16"/>
        <v>2</v>
      </c>
      <c r="E184" s="108" t="str">
        <f t="shared" si="17"/>
        <v>1</v>
      </c>
      <c r="F184" s="108" t="str">
        <f t="shared" si="18"/>
        <v>05</v>
      </c>
      <c r="G184" s="108" t="str">
        <f t="shared" si="19"/>
        <v>0</v>
      </c>
      <c r="H184" s="108" t="str">
        <f t="shared" si="20"/>
        <v>0</v>
      </c>
      <c r="I184" s="109">
        <v>11210500</v>
      </c>
      <c r="J184" s="108" t="s">
        <v>3083</v>
      </c>
      <c r="K184" s="108" t="s">
        <v>3084</v>
      </c>
      <c r="L184" s="110"/>
      <c r="M184" s="108" t="s">
        <v>2878</v>
      </c>
      <c r="N184" s="108" t="s">
        <v>2879</v>
      </c>
      <c r="O184" s="108" t="s">
        <v>2878</v>
      </c>
      <c r="P184" s="111" t="s">
        <v>2880</v>
      </c>
    </row>
    <row r="185" spans="2:16" ht="30" x14ac:dyDescent="0.25">
      <c r="B185" s="114" t="str">
        <f t="shared" si="14"/>
        <v>1</v>
      </c>
      <c r="C185" s="114" t="str">
        <f t="shared" si="15"/>
        <v>1</v>
      </c>
      <c r="D185" s="114" t="str">
        <f t="shared" si="16"/>
        <v>2</v>
      </c>
      <c r="E185" s="114" t="str">
        <f t="shared" si="17"/>
        <v>1</v>
      </c>
      <c r="F185" s="114" t="str">
        <f t="shared" si="18"/>
        <v>05</v>
      </c>
      <c r="G185" s="114" t="str">
        <f t="shared" si="19"/>
        <v>1</v>
      </c>
      <c r="H185" s="114" t="str">
        <f t="shared" si="20"/>
        <v>0</v>
      </c>
      <c r="I185" s="115">
        <v>11210510</v>
      </c>
      <c r="J185" s="114" t="s">
        <v>3083</v>
      </c>
      <c r="K185" s="114" t="s">
        <v>3084</v>
      </c>
      <c r="L185" s="116"/>
      <c r="M185" s="114" t="s">
        <v>2878</v>
      </c>
      <c r="N185" s="114" t="s">
        <v>2879</v>
      </c>
      <c r="O185" s="114" t="s">
        <v>2878</v>
      </c>
      <c r="P185" s="117" t="s">
        <v>2880</v>
      </c>
    </row>
    <row r="186" spans="2:16" ht="120" x14ac:dyDescent="0.25">
      <c r="B186" s="85" t="str">
        <f t="shared" si="14"/>
        <v>1</v>
      </c>
      <c r="C186" s="85" t="str">
        <f t="shared" si="15"/>
        <v>1</v>
      </c>
      <c r="D186" s="85" t="str">
        <f t="shared" si="16"/>
        <v>2</v>
      </c>
      <c r="E186" s="85" t="str">
        <f t="shared" si="17"/>
        <v>1</v>
      </c>
      <c r="F186" s="85" t="str">
        <f t="shared" si="18"/>
        <v>05</v>
      </c>
      <c r="G186" s="85" t="str">
        <f t="shared" si="19"/>
        <v>1</v>
      </c>
      <c r="H186" s="85" t="str">
        <f t="shared" si="20"/>
        <v>1</v>
      </c>
      <c r="I186" s="87">
        <v>11210511</v>
      </c>
      <c r="J186" s="85" t="s">
        <v>3085</v>
      </c>
      <c r="K186" s="85" t="s">
        <v>3086</v>
      </c>
      <c r="L186" s="84"/>
      <c r="M186" s="85" t="s">
        <v>3087</v>
      </c>
      <c r="N186" s="85" t="s">
        <v>2879</v>
      </c>
      <c r="O186" s="85" t="s">
        <v>3088</v>
      </c>
      <c r="P186" s="86" t="s">
        <v>2890</v>
      </c>
    </row>
    <row r="187" spans="2:16" ht="15.75" x14ac:dyDescent="0.25">
      <c r="B187" s="85" t="str">
        <f t="shared" si="14"/>
        <v>1</v>
      </c>
      <c r="C187" s="85" t="str">
        <f t="shared" si="15"/>
        <v>1</v>
      </c>
      <c r="D187" s="85" t="str">
        <f t="shared" si="16"/>
        <v>2</v>
      </c>
      <c r="E187" s="85" t="str">
        <f t="shared" si="17"/>
        <v>1</v>
      </c>
      <c r="F187" s="85" t="str">
        <f t="shared" si="18"/>
        <v>05</v>
      </c>
      <c r="G187" s="85" t="str">
        <f t="shared" si="19"/>
        <v>1</v>
      </c>
      <c r="H187" s="85" t="str">
        <f t="shared" si="20"/>
        <v>2</v>
      </c>
      <c r="I187" s="87">
        <v>11210512</v>
      </c>
      <c r="J187" s="85" t="s">
        <v>3089</v>
      </c>
      <c r="K187" s="85" t="s">
        <v>2892</v>
      </c>
      <c r="L187" s="84"/>
      <c r="M187" s="85" t="s">
        <v>2892</v>
      </c>
      <c r="N187" s="85" t="s">
        <v>2879</v>
      </c>
      <c r="O187" s="85" t="s">
        <v>2892</v>
      </c>
      <c r="P187" s="86" t="s">
        <v>2890</v>
      </c>
    </row>
    <row r="188" spans="2:16" ht="15.75" x14ac:dyDescent="0.25">
      <c r="B188" s="85" t="str">
        <f t="shared" si="14"/>
        <v>1</v>
      </c>
      <c r="C188" s="85" t="str">
        <f t="shared" si="15"/>
        <v>1</v>
      </c>
      <c r="D188" s="85" t="str">
        <f t="shared" si="16"/>
        <v>2</v>
      </c>
      <c r="E188" s="85" t="str">
        <f t="shared" si="17"/>
        <v>1</v>
      </c>
      <c r="F188" s="85" t="str">
        <f t="shared" si="18"/>
        <v>05</v>
      </c>
      <c r="G188" s="85" t="str">
        <f t="shared" si="19"/>
        <v>1</v>
      </c>
      <c r="H188" s="85" t="str">
        <f t="shared" si="20"/>
        <v>3</v>
      </c>
      <c r="I188" s="87">
        <v>11210513</v>
      </c>
      <c r="J188" s="85" t="s">
        <v>3090</v>
      </c>
      <c r="K188" s="85" t="s">
        <v>2892</v>
      </c>
      <c r="L188" s="84"/>
      <c r="M188" s="85" t="s">
        <v>2892</v>
      </c>
      <c r="N188" s="85" t="s">
        <v>2879</v>
      </c>
      <c r="O188" s="85" t="s">
        <v>2892</v>
      </c>
      <c r="P188" s="86" t="s">
        <v>2890</v>
      </c>
    </row>
    <row r="189" spans="2:16" ht="30" x14ac:dyDescent="0.25">
      <c r="B189" s="85" t="str">
        <f t="shared" si="14"/>
        <v>1</v>
      </c>
      <c r="C189" s="85" t="str">
        <f t="shared" si="15"/>
        <v>1</v>
      </c>
      <c r="D189" s="85" t="str">
        <f t="shared" si="16"/>
        <v>2</v>
      </c>
      <c r="E189" s="85" t="str">
        <f t="shared" si="17"/>
        <v>1</v>
      </c>
      <c r="F189" s="85" t="str">
        <f t="shared" si="18"/>
        <v>05</v>
      </c>
      <c r="G189" s="85" t="str">
        <f t="shared" si="19"/>
        <v>1</v>
      </c>
      <c r="H189" s="85" t="str">
        <f t="shared" si="20"/>
        <v>4</v>
      </c>
      <c r="I189" s="87">
        <v>11210514</v>
      </c>
      <c r="J189" s="85" t="s">
        <v>3091</v>
      </c>
      <c r="K189" s="85" t="s">
        <v>2892</v>
      </c>
      <c r="L189" s="84"/>
      <c r="M189" s="85" t="s">
        <v>2892</v>
      </c>
      <c r="N189" s="85" t="s">
        <v>2879</v>
      </c>
      <c r="O189" s="85" t="s">
        <v>2892</v>
      </c>
      <c r="P189" s="86" t="s">
        <v>2890</v>
      </c>
    </row>
    <row r="190" spans="2:16" ht="45" x14ac:dyDescent="0.25">
      <c r="B190" s="104" t="str">
        <f t="shared" si="14"/>
        <v>1</v>
      </c>
      <c r="C190" s="104" t="str">
        <f t="shared" si="15"/>
        <v>1</v>
      </c>
      <c r="D190" s="104" t="str">
        <f t="shared" si="16"/>
        <v>2</v>
      </c>
      <c r="E190" s="104" t="str">
        <f t="shared" si="17"/>
        <v>2</v>
      </c>
      <c r="F190" s="104" t="str">
        <f t="shared" si="18"/>
        <v>00</v>
      </c>
      <c r="G190" s="104" t="str">
        <f t="shared" si="19"/>
        <v>0</v>
      </c>
      <c r="H190" s="104" t="str">
        <f t="shared" si="20"/>
        <v>0</v>
      </c>
      <c r="I190" s="105">
        <v>11220000</v>
      </c>
      <c r="J190" s="104" t="s">
        <v>222</v>
      </c>
      <c r="K190" s="104" t="s">
        <v>3092</v>
      </c>
      <c r="L190" s="106"/>
      <c r="M190" s="104" t="s">
        <v>2878</v>
      </c>
      <c r="N190" s="104" t="s">
        <v>2879</v>
      </c>
      <c r="O190" s="104" t="s">
        <v>2878</v>
      </c>
      <c r="P190" s="107" t="s">
        <v>2880</v>
      </c>
    </row>
    <row r="191" spans="2:16" ht="45" x14ac:dyDescent="0.25">
      <c r="B191" s="108" t="str">
        <f t="shared" si="14"/>
        <v>1</v>
      </c>
      <c r="C191" s="108" t="str">
        <f t="shared" si="15"/>
        <v>1</v>
      </c>
      <c r="D191" s="108" t="str">
        <f t="shared" si="16"/>
        <v>2</v>
      </c>
      <c r="E191" s="108" t="str">
        <f t="shared" si="17"/>
        <v>2</v>
      </c>
      <c r="F191" s="108" t="str">
        <f t="shared" si="18"/>
        <v>01</v>
      </c>
      <c r="G191" s="108" t="str">
        <f t="shared" si="19"/>
        <v>0</v>
      </c>
      <c r="H191" s="108" t="str">
        <f t="shared" si="20"/>
        <v>0</v>
      </c>
      <c r="I191" s="109">
        <v>11220100</v>
      </c>
      <c r="J191" s="108" t="s">
        <v>222</v>
      </c>
      <c r="K191" s="108" t="s">
        <v>3092</v>
      </c>
      <c r="L191" s="110"/>
      <c r="M191" s="108" t="s">
        <v>2878</v>
      </c>
      <c r="N191" s="108" t="s">
        <v>2879</v>
      </c>
      <c r="O191" s="108" t="s">
        <v>2878</v>
      </c>
      <c r="P191" s="111" t="s">
        <v>2880</v>
      </c>
    </row>
    <row r="192" spans="2:16" ht="45" x14ac:dyDescent="0.25">
      <c r="B192" s="114" t="str">
        <f t="shared" si="14"/>
        <v>1</v>
      </c>
      <c r="C192" s="114" t="str">
        <f t="shared" si="15"/>
        <v>1</v>
      </c>
      <c r="D192" s="114" t="str">
        <f t="shared" si="16"/>
        <v>2</v>
      </c>
      <c r="E192" s="114" t="str">
        <f t="shared" si="17"/>
        <v>2</v>
      </c>
      <c r="F192" s="114" t="str">
        <f t="shared" si="18"/>
        <v>01</v>
      </c>
      <c r="G192" s="114" t="str">
        <f t="shared" si="19"/>
        <v>1</v>
      </c>
      <c r="H192" s="114" t="str">
        <f t="shared" si="20"/>
        <v>0</v>
      </c>
      <c r="I192" s="115">
        <v>11220110</v>
      </c>
      <c r="J192" s="114" t="s">
        <v>222</v>
      </c>
      <c r="K192" s="114" t="s">
        <v>3092</v>
      </c>
      <c r="L192" s="116"/>
      <c r="M192" s="114" t="s">
        <v>2878</v>
      </c>
      <c r="N192" s="114" t="s">
        <v>2879</v>
      </c>
      <c r="O192" s="114" t="s">
        <v>2878</v>
      </c>
      <c r="P192" s="117" t="s">
        <v>2880</v>
      </c>
    </row>
    <row r="193" spans="2:16" ht="60" x14ac:dyDescent="0.25">
      <c r="B193" s="85" t="str">
        <f t="shared" si="14"/>
        <v>1</v>
      </c>
      <c r="C193" s="85" t="str">
        <f t="shared" si="15"/>
        <v>1</v>
      </c>
      <c r="D193" s="85" t="str">
        <f t="shared" si="16"/>
        <v>2</v>
      </c>
      <c r="E193" s="85" t="str">
        <f t="shared" si="17"/>
        <v>2</v>
      </c>
      <c r="F193" s="85" t="str">
        <f t="shared" si="18"/>
        <v>01</v>
      </c>
      <c r="G193" s="85" t="str">
        <f t="shared" si="19"/>
        <v>1</v>
      </c>
      <c r="H193" s="85" t="str">
        <f t="shared" si="20"/>
        <v>1</v>
      </c>
      <c r="I193" s="87">
        <v>11220111</v>
      </c>
      <c r="J193" s="85" t="s">
        <v>3093</v>
      </c>
      <c r="K193" s="85" t="s">
        <v>3094</v>
      </c>
      <c r="L193" s="84"/>
      <c r="M193" s="85" t="s">
        <v>3044</v>
      </c>
      <c r="N193" s="85" t="s">
        <v>2879</v>
      </c>
      <c r="O193" s="85" t="s">
        <v>3095</v>
      </c>
      <c r="P193" s="86" t="s">
        <v>2890</v>
      </c>
    </row>
    <row r="194" spans="2:16" ht="15.75" x14ac:dyDescent="0.25">
      <c r="B194" s="85" t="str">
        <f t="shared" si="14"/>
        <v>1</v>
      </c>
      <c r="C194" s="85" t="str">
        <f t="shared" si="15"/>
        <v>1</v>
      </c>
      <c r="D194" s="85" t="str">
        <f t="shared" si="16"/>
        <v>2</v>
      </c>
      <c r="E194" s="85" t="str">
        <f t="shared" si="17"/>
        <v>2</v>
      </c>
      <c r="F194" s="85" t="str">
        <f t="shared" si="18"/>
        <v>01</v>
      </c>
      <c r="G194" s="85" t="str">
        <f t="shared" si="19"/>
        <v>1</v>
      </c>
      <c r="H194" s="85" t="str">
        <f t="shared" si="20"/>
        <v>2</v>
      </c>
      <c r="I194" s="87">
        <v>11220112</v>
      </c>
      <c r="J194" s="85" t="s">
        <v>3096</v>
      </c>
      <c r="K194" s="85" t="s">
        <v>2892</v>
      </c>
      <c r="L194" s="84"/>
      <c r="M194" s="85" t="s">
        <v>2892</v>
      </c>
      <c r="N194" s="85" t="s">
        <v>2879</v>
      </c>
      <c r="O194" s="85" t="s">
        <v>2892</v>
      </c>
      <c r="P194" s="86" t="s">
        <v>2890</v>
      </c>
    </row>
    <row r="195" spans="2:16" ht="15.75" x14ac:dyDescent="0.25">
      <c r="B195" s="85" t="str">
        <f t="shared" si="14"/>
        <v>1</v>
      </c>
      <c r="C195" s="85" t="str">
        <f t="shared" si="15"/>
        <v>1</v>
      </c>
      <c r="D195" s="85" t="str">
        <f t="shared" si="16"/>
        <v>2</v>
      </c>
      <c r="E195" s="85" t="str">
        <f t="shared" si="17"/>
        <v>2</v>
      </c>
      <c r="F195" s="85" t="str">
        <f t="shared" si="18"/>
        <v>01</v>
      </c>
      <c r="G195" s="85" t="str">
        <f t="shared" si="19"/>
        <v>1</v>
      </c>
      <c r="H195" s="85" t="str">
        <f t="shared" si="20"/>
        <v>3</v>
      </c>
      <c r="I195" s="87">
        <v>11220113</v>
      </c>
      <c r="J195" s="85" t="s">
        <v>3097</v>
      </c>
      <c r="K195" s="85" t="s">
        <v>2892</v>
      </c>
      <c r="L195" s="84"/>
      <c r="M195" s="85" t="s">
        <v>2892</v>
      </c>
      <c r="N195" s="85" t="s">
        <v>2879</v>
      </c>
      <c r="O195" s="85" t="s">
        <v>2892</v>
      </c>
      <c r="P195" s="86" t="s">
        <v>2890</v>
      </c>
    </row>
    <row r="196" spans="2:16" ht="15.75" x14ac:dyDescent="0.25">
      <c r="B196" s="85" t="str">
        <f t="shared" si="14"/>
        <v>1</v>
      </c>
      <c r="C196" s="85" t="str">
        <f t="shared" si="15"/>
        <v>1</v>
      </c>
      <c r="D196" s="85" t="str">
        <f t="shared" si="16"/>
        <v>2</v>
      </c>
      <c r="E196" s="85" t="str">
        <f t="shared" si="17"/>
        <v>2</v>
      </c>
      <c r="F196" s="85" t="str">
        <f t="shared" si="18"/>
        <v>01</v>
      </c>
      <c r="G196" s="85" t="str">
        <f t="shared" si="19"/>
        <v>1</v>
      </c>
      <c r="H196" s="85" t="str">
        <f t="shared" si="20"/>
        <v>4</v>
      </c>
      <c r="I196" s="87">
        <v>11220114</v>
      </c>
      <c r="J196" s="85" t="s">
        <v>3098</v>
      </c>
      <c r="K196" s="85" t="s">
        <v>2892</v>
      </c>
      <c r="L196" s="84"/>
      <c r="M196" s="85" t="s">
        <v>2892</v>
      </c>
      <c r="N196" s="85" t="s">
        <v>2879</v>
      </c>
      <c r="O196" s="85" t="s">
        <v>2892</v>
      </c>
      <c r="P196" s="86" t="s">
        <v>2890</v>
      </c>
    </row>
    <row r="197" spans="2:16" ht="90" x14ac:dyDescent="0.25">
      <c r="B197" s="108" t="str">
        <f t="shared" si="14"/>
        <v>1</v>
      </c>
      <c r="C197" s="108" t="str">
        <f t="shared" si="15"/>
        <v>1</v>
      </c>
      <c r="D197" s="108" t="str">
        <f t="shared" si="16"/>
        <v>2</v>
      </c>
      <c r="E197" s="108" t="str">
        <f t="shared" si="17"/>
        <v>2</v>
      </c>
      <c r="F197" s="108" t="str">
        <f t="shared" si="18"/>
        <v>02</v>
      </c>
      <c r="G197" s="108" t="str">
        <f t="shared" si="19"/>
        <v>0</v>
      </c>
      <c r="H197" s="108" t="str">
        <f t="shared" si="20"/>
        <v>0</v>
      </c>
      <c r="I197" s="109">
        <v>11220200</v>
      </c>
      <c r="J197" s="108" t="s">
        <v>236</v>
      </c>
      <c r="K197" s="145" t="s">
        <v>5570</v>
      </c>
      <c r="L197" s="110"/>
      <c r="M197" s="108"/>
      <c r="N197" s="108" t="s">
        <v>4980</v>
      </c>
      <c r="O197" s="108"/>
      <c r="P197" s="111" t="s">
        <v>2880</v>
      </c>
    </row>
    <row r="198" spans="2:16" ht="90" x14ac:dyDescent="0.25">
      <c r="B198" s="114" t="str">
        <f t="shared" si="14"/>
        <v>1</v>
      </c>
      <c r="C198" s="114" t="str">
        <f t="shared" si="15"/>
        <v>1</v>
      </c>
      <c r="D198" s="114" t="str">
        <f t="shared" si="16"/>
        <v>2</v>
      </c>
      <c r="E198" s="114" t="str">
        <f t="shared" si="17"/>
        <v>2</v>
      </c>
      <c r="F198" s="114" t="str">
        <f t="shared" si="18"/>
        <v>02</v>
      </c>
      <c r="G198" s="114" t="str">
        <f t="shared" si="19"/>
        <v>1</v>
      </c>
      <c r="H198" s="114" t="str">
        <f t="shared" si="20"/>
        <v>0</v>
      </c>
      <c r="I198" s="115">
        <v>11220210</v>
      </c>
      <c r="J198" s="114" t="s">
        <v>236</v>
      </c>
      <c r="K198" s="149" t="s">
        <v>5570</v>
      </c>
      <c r="L198" s="116"/>
      <c r="M198" s="114"/>
      <c r="N198" s="114" t="s">
        <v>4980</v>
      </c>
      <c r="O198" s="114"/>
      <c r="P198" s="117" t="s">
        <v>2880</v>
      </c>
    </row>
    <row r="199" spans="2:16" ht="105" x14ac:dyDescent="0.25">
      <c r="B199" s="85" t="str">
        <f t="shared" si="14"/>
        <v>1</v>
      </c>
      <c r="C199" s="85" t="str">
        <f t="shared" si="15"/>
        <v>1</v>
      </c>
      <c r="D199" s="85" t="str">
        <f t="shared" si="16"/>
        <v>2</v>
      </c>
      <c r="E199" s="85" t="str">
        <f t="shared" si="17"/>
        <v>2</v>
      </c>
      <c r="F199" s="85" t="str">
        <f t="shared" si="18"/>
        <v>02</v>
      </c>
      <c r="G199" s="85" t="str">
        <f t="shared" si="19"/>
        <v>1</v>
      </c>
      <c r="H199" s="85" t="str">
        <f t="shared" si="20"/>
        <v>1</v>
      </c>
      <c r="I199" s="87">
        <v>11220211</v>
      </c>
      <c r="J199" s="85" t="s">
        <v>4979</v>
      </c>
      <c r="K199" s="189" t="s">
        <v>5583</v>
      </c>
      <c r="L199" s="84"/>
      <c r="M199" s="85"/>
      <c r="N199" s="85"/>
      <c r="O199" s="85"/>
      <c r="P199" s="86" t="s">
        <v>2890</v>
      </c>
    </row>
    <row r="200" spans="2:16" ht="30" x14ac:dyDescent="0.25">
      <c r="B200" s="126" t="str">
        <f t="shared" si="14"/>
        <v>1</v>
      </c>
      <c r="C200" s="126" t="str">
        <f t="shared" si="15"/>
        <v>1</v>
      </c>
      <c r="D200" s="126" t="str">
        <f t="shared" si="16"/>
        <v>3</v>
      </c>
      <c r="E200" s="126" t="str">
        <f t="shared" si="17"/>
        <v>0</v>
      </c>
      <c r="F200" s="126" t="str">
        <f t="shared" si="18"/>
        <v>00</v>
      </c>
      <c r="G200" s="126" t="str">
        <f t="shared" si="19"/>
        <v>0</v>
      </c>
      <c r="H200" s="126" t="str">
        <f t="shared" si="20"/>
        <v>0</v>
      </c>
      <c r="I200" s="127">
        <v>11300000</v>
      </c>
      <c r="J200" s="126" t="s">
        <v>262</v>
      </c>
      <c r="K200" s="126" t="s">
        <v>3099</v>
      </c>
      <c r="L200" s="122"/>
      <c r="M200" s="126" t="s">
        <v>2878</v>
      </c>
      <c r="N200" s="126" t="s">
        <v>5016</v>
      </c>
      <c r="O200" s="126" t="s">
        <v>2878</v>
      </c>
      <c r="P200" s="128" t="s">
        <v>2880</v>
      </c>
    </row>
    <row r="201" spans="2:16" ht="30" x14ac:dyDescent="0.25">
      <c r="B201" s="114" t="str">
        <f t="shared" si="14"/>
        <v>1</v>
      </c>
      <c r="C201" s="114" t="str">
        <f t="shared" si="15"/>
        <v>1</v>
      </c>
      <c r="D201" s="114" t="str">
        <f t="shared" si="16"/>
        <v>3</v>
      </c>
      <c r="E201" s="114" t="str">
        <f t="shared" si="17"/>
        <v>0</v>
      </c>
      <c r="F201" s="114" t="str">
        <f t="shared" si="18"/>
        <v>00</v>
      </c>
      <c r="G201" s="114" t="str">
        <f t="shared" si="19"/>
        <v>1</v>
      </c>
      <c r="H201" s="114" t="str">
        <f t="shared" si="20"/>
        <v>0</v>
      </c>
      <c r="I201" s="115">
        <v>11300010</v>
      </c>
      <c r="J201" s="114" t="s">
        <v>262</v>
      </c>
      <c r="K201" s="114" t="s">
        <v>3099</v>
      </c>
      <c r="L201" s="116"/>
      <c r="M201" s="114" t="s">
        <v>2878</v>
      </c>
      <c r="N201" s="114" t="s">
        <v>2879</v>
      </c>
      <c r="O201" s="114" t="s">
        <v>2878</v>
      </c>
      <c r="P201" s="117" t="s">
        <v>2880</v>
      </c>
    </row>
    <row r="202" spans="2:16" ht="90" x14ac:dyDescent="0.25">
      <c r="B202" s="85" t="str">
        <f t="shared" si="14"/>
        <v>1</v>
      </c>
      <c r="C202" s="85" t="str">
        <f t="shared" si="15"/>
        <v>1</v>
      </c>
      <c r="D202" s="85" t="str">
        <f t="shared" si="16"/>
        <v>3</v>
      </c>
      <c r="E202" s="85" t="str">
        <f t="shared" si="17"/>
        <v>0</v>
      </c>
      <c r="F202" s="85" t="str">
        <f t="shared" si="18"/>
        <v>00</v>
      </c>
      <c r="G202" s="85" t="str">
        <f t="shared" si="19"/>
        <v>1</v>
      </c>
      <c r="H202" s="85" t="str">
        <f t="shared" si="20"/>
        <v>1</v>
      </c>
      <c r="I202" s="87">
        <v>11300011</v>
      </c>
      <c r="J202" s="85" t="s">
        <v>3100</v>
      </c>
      <c r="K202" s="85" t="s">
        <v>3101</v>
      </c>
      <c r="L202" s="84"/>
      <c r="M202" s="85" t="s">
        <v>3102</v>
      </c>
      <c r="N202" s="85" t="s">
        <v>2879</v>
      </c>
      <c r="O202" s="85" t="s">
        <v>3103</v>
      </c>
      <c r="P202" s="86" t="s">
        <v>2890</v>
      </c>
    </row>
    <row r="203" spans="2:16" ht="30" x14ac:dyDescent="0.25">
      <c r="B203" s="85" t="str">
        <f t="shared" si="14"/>
        <v>1</v>
      </c>
      <c r="C203" s="85" t="str">
        <f t="shared" si="15"/>
        <v>1</v>
      </c>
      <c r="D203" s="85" t="str">
        <f t="shared" si="16"/>
        <v>3</v>
      </c>
      <c r="E203" s="85" t="str">
        <f t="shared" si="17"/>
        <v>0</v>
      </c>
      <c r="F203" s="85" t="str">
        <f t="shared" si="18"/>
        <v>00</v>
      </c>
      <c r="G203" s="85" t="str">
        <f t="shared" si="19"/>
        <v>1</v>
      </c>
      <c r="H203" s="85" t="str">
        <f t="shared" si="20"/>
        <v>2</v>
      </c>
      <c r="I203" s="87">
        <v>11300012</v>
      </c>
      <c r="J203" s="85" t="s">
        <v>4770</v>
      </c>
      <c r="K203" s="85" t="s">
        <v>1465</v>
      </c>
      <c r="L203" s="84"/>
      <c r="M203" s="85"/>
      <c r="N203" s="85"/>
      <c r="O203" s="85"/>
      <c r="P203" s="86" t="s">
        <v>2890</v>
      </c>
    </row>
    <row r="204" spans="2:16" ht="30" x14ac:dyDescent="0.25">
      <c r="B204" s="85" t="str">
        <f t="shared" si="14"/>
        <v>1</v>
      </c>
      <c r="C204" s="85" t="str">
        <f t="shared" si="15"/>
        <v>1</v>
      </c>
      <c r="D204" s="85" t="str">
        <f t="shared" si="16"/>
        <v>3</v>
      </c>
      <c r="E204" s="85" t="str">
        <f t="shared" si="17"/>
        <v>0</v>
      </c>
      <c r="F204" s="85" t="str">
        <f t="shared" si="18"/>
        <v>00</v>
      </c>
      <c r="G204" s="85" t="str">
        <f t="shared" si="19"/>
        <v>1</v>
      </c>
      <c r="H204" s="85" t="str">
        <f t="shared" si="20"/>
        <v>3</v>
      </c>
      <c r="I204" s="87">
        <v>11300013</v>
      </c>
      <c r="J204" s="85" t="s">
        <v>4771</v>
      </c>
      <c r="K204" s="85" t="s">
        <v>2295</v>
      </c>
      <c r="L204" s="84"/>
      <c r="M204" s="85"/>
      <c r="N204" s="85"/>
      <c r="O204" s="85"/>
      <c r="P204" s="86" t="s">
        <v>2890</v>
      </c>
    </row>
    <row r="205" spans="2:16" ht="30" x14ac:dyDescent="0.25">
      <c r="B205" s="85" t="str">
        <f t="shared" si="14"/>
        <v>1</v>
      </c>
      <c r="C205" s="85" t="str">
        <f t="shared" si="15"/>
        <v>1</v>
      </c>
      <c r="D205" s="85" t="str">
        <f t="shared" si="16"/>
        <v>3</v>
      </c>
      <c r="E205" s="85" t="str">
        <f t="shared" si="17"/>
        <v>0</v>
      </c>
      <c r="F205" s="85" t="str">
        <f t="shared" si="18"/>
        <v>00</v>
      </c>
      <c r="G205" s="85" t="str">
        <f t="shared" si="19"/>
        <v>1</v>
      </c>
      <c r="H205" s="85" t="str">
        <f t="shared" si="20"/>
        <v>4</v>
      </c>
      <c r="I205" s="87">
        <v>11300014</v>
      </c>
      <c r="J205" s="85" t="s">
        <v>4772</v>
      </c>
      <c r="K205" s="85" t="s">
        <v>1714</v>
      </c>
      <c r="L205" s="84"/>
      <c r="M205" s="85"/>
      <c r="N205" s="85"/>
      <c r="O205" s="85"/>
      <c r="P205" s="86" t="s">
        <v>2890</v>
      </c>
    </row>
    <row r="206" spans="2:16" s="153" customFormat="1" ht="30" x14ac:dyDescent="0.25">
      <c r="B206" s="155" t="str">
        <f t="shared" si="14"/>
        <v>1</v>
      </c>
      <c r="C206" s="155" t="str">
        <f t="shared" si="15"/>
        <v>1</v>
      </c>
      <c r="D206" s="155" t="str">
        <f t="shared" si="16"/>
        <v>3</v>
      </c>
      <c r="E206" s="155" t="str">
        <f t="shared" si="17"/>
        <v>8</v>
      </c>
      <c r="F206" s="155" t="str">
        <f t="shared" si="18"/>
        <v>00</v>
      </c>
      <c r="G206" s="155" t="str">
        <f t="shared" si="19"/>
        <v>0</v>
      </c>
      <c r="H206" s="155" t="str">
        <f t="shared" si="20"/>
        <v>0</v>
      </c>
      <c r="I206" s="161">
        <v>11380000</v>
      </c>
      <c r="J206" s="155" t="s">
        <v>5019</v>
      </c>
      <c r="K206" s="155" t="s">
        <v>5031</v>
      </c>
      <c r="L206" s="106"/>
      <c r="M206" s="155" t="s">
        <v>2878</v>
      </c>
      <c r="N206" s="155" t="s">
        <v>2879</v>
      </c>
      <c r="O206" s="155" t="s">
        <v>5018</v>
      </c>
      <c r="P206" s="162" t="s">
        <v>2880</v>
      </c>
    </row>
    <row r="207" spans="2:16" s="153" customFormat="1" ht="45" x14ac:dyDescent="0.25">
      <c r="B207" s="113" t="str">
        <f t="shared" si="14"/>
        <v>1</v>
      </c>
      <c r="C207" s="113" t="str">
        <f t="shared" si="15"/>
        <v>1</v>
      </c>
      <c r="D207" s="113" t="str">
        <f t="shared" si="16"/>
        <v>3</v>
      </c>
      <c r="E207" s="113" t="str">
        <f t="shared" si="17"/>
        <v>8</v>
      </c>
      <c r="F207" s="113" t="str">
        <f t="shared" si="18"/>
        <v>01</v>
      </c>
      <c r="G207" s="113" t="str">
        <f t="shared" si="19"/>
        <v>0</v>
      </c>
      <c r="H207" s="113" t="str">
        <f t="shared" si="20"/>
        <v>0</v>
      </c>
      <c r="I207" s="112">
        <v>11380100</v>
      </c>
      <c r="J207" s="113" t="s">
        <v>264</v>
      </c>
      <c r="K207" s="113" t="s">
        <v>265</v>
      </c>
      <c r="L207" s="110"/>
      <c r="M207" s="113"/>
      <c r="N207" s="113"/>
      <c r="O207" s="113"/>
      <c r="P207" s="163" t="s">
        <v>2880</v>
      </c>
    </row>
    <row r="208" spans="2:16" s="153" customFormat="1" ht="45" x14ac:dyDescent="0.25">
      <c r="B208" s="130" t="str">
        <f t="shared" si="14"/>
        <v>1</v>
      </c>
      <c r="C208" s="130" t="str">
        <f t="shared" si="15"/>
        <v>1</v>
      </c>
      <c r="D208" s="130" t="str">
        <f t="shared" si="16"/>
        <v>3</v>
      </c>
      <c r="E208" s="130" t="str">
        <f t="shared" si="17"/>
        <v>8</v>
      </c>
      <c r="F208" s="130" t="str">
        <f t="shared" si="18"/>
        <v>01</v>
      </c>
      <c r="G208" s="130" t="str">
        <f t="shared" si="19"/>
        <v>1</v>
      </c>
      <c r="H208" s="130" t="str">
        <f t="shared" si="20"/>
        <v>0</v>
      </c>
      <c r="I208" s="129">
        <v>11380110</v>
      </c>
      <c r="J208" s="130" t="s">
        <v>264</v>
      </c>
      <c r="K208" s="130" t="s">
        <v>265</v>
      </c>
      <c r="L208" s="116"/>
      <c r="M208" s="130"/>
      <c r="N208" s="130"/>
      <c r="O208" s="130"/>
      <c r="P208" s="152" t="s">
        <v>2880</v>
      </c>
    </row>
    <row r="209" spans="2:16" s="153" customFormat="1" ht="45" x14ac:dyDescent="0.25">
      <c r="B209" s="93" t="str">
        <f t="shared" si="14"/>
        <v>1</v>
      </c>
      <c r="C209" s="93" t="str">
        <f t="shared" si="15"/>
        <v>1</v>
      </c>
      <c r="D209" s="93" t="str">
        <f t="shared" si="16"/>
        <v>3</v>
      </c>
      <c r="E209" s="93" t="str">
        <f t="shared" si="17"/>
        <v>8</v>
      </c>
      <c r="F209" s="93" t="str">
        <f t="shared" si="18"/>
        <v>01</v>
      </c>
      <c r="G209" s="93" t="str">
        <f t="shared" si="19"/>
        <v>1</v>
      </c>
      <c r="H209" s="93" t="str">
        <f t="shared" si="20"/>
        <v>1</v>
      </c>
      <c r="I209" s="135">
        <v>11380111</v>
      </c>
      <c r="J209" s="93" t="s">
        <v>4773</v>
      </c>
      <c r="K209" s="93" t="s">
        <v>265</v>
      </c>
      <c r="L209" s="84"/>
      <c r="M209" s="93"/>
      <c r="N209" s="93"/>
      <c r="O209" s="93"/>
      <c r="P209" s="154" t="s">
        <v>2890</v>
      </c>
    </row>
    <row r="210" spans="2:16" s="153" customFormat="1" ht="45" x14ac:dyDescent="0.25">
      <c r="B210" s="113" t="str">
        <f t="shared" si="14"/>
        <v>1</v>
      </c>
      <c r="C210" s="113" t="str">
        <f t="shared" si="15"/>
        <v>1</v>
      </c>
      <c r="D210" s="113" t="str">
        <f t="shared" si="16"/>
        <v>3</v>
      </c>
      <c r="E210" s="113" t="str">
        <f t="shared" si="17"/>
        <v>8</v>
      </c>
      <c r="F210" s="113" t="str">
        <f t="shared" si="18"/>
        <v>02</v>
      </c>
      <c r="G210" s="113" t="str">
        <f t="shared" si="19"/>
        <v>0</v>
      </c>
      <c r="H210" s="113" t="str">
        <f t="shared" si="20"/>
        <v>0</v>
      </c>
      <c r="I210" s="112">
        <v>11380200</v>
      </c>
      <c r="J210" s="113" t="s">
        <v>266</v>
      </c>
      <c r="K210" s="113" t="s">
        <v>267</v>
      </c>
      <c r="L210" s="110"/>
      <c r="M210" s="113"/>
      <c r="N210" s="113"/>
      <c r="O210" s="113"/>
      <c r="P210" s="163" t="s">
        <v>2880</v>
      </c>
    </row>
    <row r="211" spans="2:16" s="153" customFormat="1" ht="45" x14ac:dyDescent="0.25">
      <c r="B211" s="130" t="str">
        <f t="shared" si="14"/>
        <v>1</v>
      </c>
      <c r="C211" s="130" t="str">
        <f t="shared" si="15"/>
        <v>1</v>
      </c>
      <c r="D211" s="130" t="str">
        <f t="shared" si="16"/>
        <v>3</v>
      </c>
      <c r="E211" s="130" t="str">
        <f t="shared" si="17"/>
        <v>8</v>
      </c>
      <c r="F211" s="130" t="str">
        <f t="shared" si="18"/>
        <v>02</v>
      </c>
      <c r="G211" s="130" t="str">
        <f t="shared" si="19"/>
        <v>1</v>
      </c>
      <c r="H211" s="130" t="str">
        <f t="shared" si="20"/>
        <v>0</v>
      </c>
      <c r="I211" s="129">
        <v>11380210</v>
      </c>
      <c r="J211" s="130" t="s">
        <v>266</v>
      </c>
      <c r="K211" s="130" t="s">
        <v>267</v>
      </c>
      <c r="L211" s="116"/>
      <c r="M211" s="130"/>
      <c r="N211" s="130"/>
      <c r="O211" s="130"/>
      <c r="P211" s="152" t="s">
        <v>2880</v>
      </c>
    </row>
    <row r="212" spans="2:16" s="153" customFormat="1" ht="45" x14ac:dyDescent="0.25">
      <c r="B212" s="93" t="str">
        <f t="shared" si="14"/>
        <v>1</v>
      </c>
      <c r="C212" s="93" t="str">
        <f t="shared" si="15"/>
        <v>1</v>
      </c>
      <c r="D212" s="93" t="str">
        <f t="shared" si="16"/>
        <v>3</v>
      </c>
      <c r="E212" s="93" t="str">
        <f t="shared" si="17"/>
        <v>8</v>
      </c>
      <c r="F212" s="93" t="str">
        <f t="shared" si="18"/>
        <v>02</v>
      </c>
      <c r="G212" s="93" t="str">
        <f t="shared" si="19"/>
        <v>1</v>
      </c>
      <c r="H212" s="93" t="str">
        <f t="shared" si="20"/>
        <v>1</v>
      </c>
      <c r="I212" s="135">
        <v>11380211</v>
      </c>
      <c r="J212" s="93" t="s">
        <v>4774</v>
      </c>
      <c r="K212" s="93" t="s">
        <v>267</v>
      </c>
      <c r="L212" s="84"/>
      <c r="M212" s="93"/>
      <c r="N212" s="93"/>
      <c r="O212" s="93"/>
      <c r="P212" s="154" t="s">
        <v>2890</v>
      </c>
    </row>
    <row r="213" spans="2:16" s="153" customFormat="1" ht="45" x14ac:dyDescent="0.25">
      <c r="B213" s="113" t="str">
        <f t="shared" si="14"/>
        <v>1</v>
      </c>
      <c r="C213" s="113" t="str">
        <f t="shared" si="15"/>
        <v>1</v>
      </c>
      <c r="D213" s="113" t="str">
        <f t="shared" si="16"/>
        <v>3</v>
      </c>
      <c r="E213" s="113" t="str">
        <f t="shared" si="17"/>
        <v>8</v>
      </c>
      <c r="F213" s="113" t="str">
        <f t="shared" si="18"/>
        <v>03</v>
      </c>
      <c r="G213" s="113" t="str">
        <f t="shared" si="19"/>
        <v>0</v>
      </c>
      <c r="H213" s="113" t="str">
        <f t="shared" si="20"/>
        <v>0</v>
      </c>
      <c r="I213" s="112">
        <v>11380300</v>
      </c>
      <c r="J213" s="113" t="s">
        <v>268</v>
      </c>
      <c r="K213" s="113" t="s">
        <v>269</v>
      </c>
      <c r="L213" s="110"/>
      <c r="M213" s="113"/>
      <c r="N213" s="113"/>
      <c r="O213" s="113"/>
      <c r="P213" s="163" t="s">
        <v>2880</v>
      </c>
    </row>
    <row r="214" spans="2:16" s="153" customFormat="1" ht="45" x14ac:dyDescent="0.25">
      <c r="B214" s="130" t="str">
        <f t="shared" si="14"/>
        <v>1</v>
      </c>
      <c r="C214" s="130" t="str">
        <f t="shared" si="15"/>
        <v>1</v>
      </c>
      <c r="D214" s="130" t="str">
        <f t="shared" si="16"/>
        <v>3</v>
      </c>
      <c r="E214" s="130" t="str">
        <f t="shared" si="17"/>
        <v>8</v>
      </c>
      <c r="F214" s="130" t="str">
        <f t="shared" si="18"/>
        <v>03</v>
      </c>
      <c r="G214" s="130" t="str">
        <f t="shared" si="19"/>
        <v>1</v>
      </c>
      <c r="H214" s="130" t="str">
        <f t="shared" si="20"/>
        <v>0</v>
      </c>
      <c r="I214" s="129">
        <v>11380310</v>
      </c>
      <c r="J214" s="130" t="s">
        <v>268</v>
      </c>
      <c r="K214" s="130" t="s">
        <v>269</v>
      </c>
      <c r="L214" s="116"/>
      <c r="M214" s="130"/>
      <c r="N214" s="130"/>
      <c r="O214" s="130"/>
      <c r="P214" s="152" t="s">
        <v>2880</v>
      </c>
    </row>
    <row r="215" spans="2:16" s="153" customFormat="1" ht="45" x14ac:dyDescent="0.25">
      <c r="B215" s="93" t="str">
        <f t="shared" si="14"/>
        <v>1</v>
      </c>
      <c r="C215" s="93" t="str">
        <f t="shared" si="15"/>
        <v>1</v>
      </c>
      <c r="D215" s="93" t="str">
        <f t="shared" si="16"/>
        <v>3</v>
      </c>
      <c r="E215" s="93" t="str">
        <f t="shared" si="17"/>
        <v>8</v>
      </c>
      <c r="F215" s="93" t="str">
        <f t="shared" si="18"/>
        <v>03</v>
      </c>
      <c r="G215" s="93" t="str">
        <f t="shared" si="19"/>
        <v>1</v>
      </c>
      <c r="H215" s="93" t="str">
        <f t="shared" si="20"/>
        <v>1</v>
      </c>
      <c r="I215" s="135">
        <v>11380311</v>
      </c>
      <c r="J215" s="93" t="s">
        <v>4775</v>
      </c>
      <c r="K215" s="93" t="s">
        <v>269</v>
      </c>
      <c r="L215" s="84"/>
      <c r="M215" s="93"/>
      <c r="N215" s="93"/>
      <c r="O215" s="93"/>
      <c r="P215" s="154" t="s">
        <v>2890</v>
      </c>
    </row>
    <row r="216" spans="2:16" s="153" customFormat="1" ht="45" x14ac:dyDescent="0.25">
      <c r="B216" s="113" t="str">
        <f t="shared" si="14"/>
        <v>1</v>
      </c>
      <c r="C216" s="113" t="str">
        <f t="shared" si="15"/>
        <v>1</v>
      </c>
      <c r="D216" s="113" t="str">
        <f t="shared" si="16"/>
        <v>3</v>
      </c>
      <c r="E216" s="113" t="str">
        <f t="shared" si="17"/>
        <v>8</v>
      </c>
      <c r="F216" s="113" t="str">
        <f t="shared" si="18"/>
        <v>04</v>
      </c>
      <c r="G216" s="113" t="str">
        <f t="shared" si="19"/>
        <v>0</v>
      </c>
      <c r="H216" s="113" t="str">
        <f t="shared" si="20"/>
        <v>0</v>
      </c>
      <c r="I216" s="112">
        <v>11380400</v>
      </c>
      <c r="J216" s="113" t="s">
        <v>270</v>
      </c>
      <c r="K216" s="113" t="s">
        <v>271</v>
      </c>
      <c r="L216" s="110"/>
      <c r="M216" s="113"/>
      <c r="N216" s="113"/>
      <c r="O216" s="113"/>
      <c r="P216" s="163" t="s">
        <v>2880</v>
      </c>
    </row>
    <row r="217" spans="2:16" s="153" customFormat="1" ht="45" x14ac:dyDescent="0.25">
      <c r="B217" s="130" t="str">
        <f t="shared" si="14"/>
        <v>1</v>
      </c>
      <c r="C217" s="130" t="str">
        <f t="shared" si="15"/>
        <v>1</v>
      </c>
      <c r="D217" s="130" t="str">
        <f t="shared" si="16"/>
        <v>3</v>
      </c>
      <c r="E217" s="130" t="str">
        <f t="shared" si="17"/>
        <v>8</v>
      </c>
      <c r="F217" s="130" t="str">
        <f t="shared" si="18"/>
        <v>04</v>
      </c>
      <c r="G217" s="130" t="str">
        <f t="shared" si="19"/>
        <v>1</v>
      </c>
      <c r="H217" s="130" t="str">
        <f t="shared" si="20"/>
        <v>0</v>
      </c>
      <c r="I217" s="129">
        <v>11380410</v>
      </c>
      <c r="J217" s="130" t="s">
        <v>270</v>
      </c>
      <c r="K217" s="130" t="s">
        <v>271</v>
      </c>
      <c r="L217" s="116"/>
      <c r="M217" s="130"/>
      <c r="N217" s="130"/>
      <c r="O217" s="130"/>
      <c r="P217" s="152" t="s">
        <v>2880</v>
      </c>
    </row>
    <row r="218" spans="2:16" s="153" customFormat="1" ht="45" x14ac:dyDescent="0.25">
      <c r="B218" s="93" t="str">
        <f t="shared" si="14"/>
        <v>1</v>
      </c>
      <c r="C218" s="93" t="str">
        <f t="shared" si="15"/>
        <v>1</v>
      </c>
      <c r="D218" s="93" t="str">
        <f t="shared" si="16"/>
        <v>3</v>
      </c>
      <c r="E218" s="93" t="str">
        <f t="shared" si="17"/>
        <v>8</v>
      </c>
      <c r="F218" s="93" t="str">
        <f t="shared" si="18"/>
        <v>04</v>
      </c>
      <c r="G218" s="93" t="str">
        <f t="shared" si="19"/>
        <v>1</v>
      </c>
      <c r="H218" s="93" t="str">
        <f t="shared" si="20"/>
        <v>1</v>
      </c>
      <c r="I218" s="135">
        <v>11380411</v>
      </c>
      <c r="J218" s="93" t="s">
        <v>4776</v>
      </c>
      <c r="K218" s="93" t="s">
        <v>271</v>
      </c>
      <c r="L218" s="84"/>
      <c r="M218" s="93"/>
      <c r="N218" s="93"/>
      <c r="O218" s="93"/>
      <c r="P218" s="154" t="s">
        <v>2890</v>
      </c>
    </row>
    <row r="219" spans="2:16" s="153" customFormat="1" ht="30" x14ac:dyDescent="0.25">
      <c r="B219" s="113" t="str">
        <f t="shared" si="14"/>
        <v>1</v>
      </c>
      <c r="C219" s="113" t="str">
        <f t="shared" si="15"/>
        <v>1</v>
      </c>
      <c r="D219" s="113" t="str">
        <f t="shared" si="16"/>
        <v>3</v>
      </c>
      <c r="E219" s="113" t="str">
        <f t="shared" si="17"/>
        <v>8</v>
      </c>
      <c r="F219" s="113" t="str">
        <f t="shared" si="18"/>
        <v>99</v>
      </c>
      <c r="G219" s="113" t="str">
        <f t="shared" si="19"/>
        <v>0</v>
      </c>
      <c r="H219" s="113" t="str">
        <f t="shared" si="20"/>
        <v>0</v>
      </c>
      <c r="I219" s="112">
        <v>11389900</v>
      </c>
      <c r="J219" s="113" t="s">
        <v>272</v>
      </c>
      <c r="K219" s="113" t="s">
        <v>273</v>
      </c>
      <c r="L219" s="110"/>
      <c r="M219" s="113" t="s">
        <v>2878</v>
      </c>
      <c r="N219" s="113"/>
      <c r="O219" s="113"/>
      <c r="P219" s="163" t="s">
        <v>2880</v>
      </c>
    </row>
    <row r="220" spans="2:16" s="153" customFormat="1" ht="30" x14ac:dyDescent="0.25">
      <c r="B220" s="130" t="str">
        <f t="shared" si="14"/>
        <v>1</v>
      </c>
      <c r="C220" s="130" t="str">
        <f t="shared" si="15"/>
        <v>1</v>
      </c>
      <c r="D220" s="130" t="str">
        <f t="shared" si="16"/>
        <v>3</v>
      </c>
      <c r="E220" s="130" t="str">
        <f t="shared" si="17"/>
        <v>8</v>
      </c>
      <c r="F220" s="130" t="str">
        <f t="shared" si="18"/>
        <v>99</v>
      </c>
      <c r="G220" s="130" t="str">
        <f t="shared" si="19"/>
        <v>1</v>
      </c>
      <c r="H220" s="130" t="str">
        <f t="shared" si="20"/>
        <v>0</v>
      </c>
      <c r="I220" s="129">
        <v>11389910</v>
      </c>
      <c r="J220" s="130" t="s">
        <v>272</v>
      </c>
      <c r="K220" s="130" t="s">
        <v>273</v>
      </c>
      <c r="L220" s="116"/>
      <c r="M220" s="130"/>
      <c r="N220" s="130"/>
      <c r="O220" s="130"/>
      <c r="P220" s="152" t="s">
        <v>2880</v>
      </c>
    </row>
    <row r="221" spans="2:16" s="153" customFormat="1" ht="30" x14ac:dyDescent="0.25">
      <c r="B221" s="93" t="str">
        <f t="shared" si="14"/>
        <v>1</v>
      </c>
      <c r="C221" s="93" t="str">
        <f t="shared" si="15"/>
        <v>1</v>
      </c>
      <c r="D221" s="93" t="str">
        <f t="shared" si="16"/>
        <v>3</v>
      </c>
      <c r="E221" s="93" t="str">
        <f t="shared" si="17"/>
        <v>8</v>
      </c>
      <c r="F221" s="93" t="str">
        <f t="shared" si="18"/>
        <v>99</v>
      </c>
      <c r="G221" s="93" t="str">
        <f t="shared" si="19"/>
        <v>1</v>
      </c>
      <c r="H221" s="93" t="str">
        <f t="shared" si="20"/>
        <v>1</v>
      </c>
      <c r="I221" s="135">
        <v>11389911</v>
      </c>
      <c r="J221" s="93" t="s">
        <v>4777</v>
      </c>
      <c r="K221" s="93" t="s">
        <v>273</v>
      </c>
      <c r="L221" s="84"/>
      <c r="M221" s="93"/>
      <c r="N221" s="93"/>
      <c r="O221" s="93"/>
      <c r="P221" s="154" t="s">
        <v>2890</v>
      </c>
    </row>
    <row r="222" spans="2:16" ht="60" x14ac:dyDescent="0.25">
      <c r="B222" s="123" t="str">
        <f t="shared" si="14"/>
        <v>1</v>
      </c>
      <c r="C222" s="123" t="str">
        <f t="shared" si="15"/>
        <v>2</v>
      </c>
      <c r="D222" s="123" t="str">
        <f t="shared" si="16"/>
        <v>0</v>
      </c>
      <c r="E222" s="123" t="str">
        <f t="shared" si="17"/>
        <v>0</v>
      </c>
      <c r="F222" s="123" t="str">
        <f t="shared" si="18"/>
        <v>00</v>
      </c>
      <c r="G222" s="123" t="str">
        <f t="shared" si="19"/>
        <v>0</v>
      </c>
      <c r="H222" s="123" t="str">
        <f t="shared" si="20"/>
        <v>0</v>
      </c>
      <c r="I222" s="124">
        <v>12000000</v>
      </c>
      <c r="J222" s="123" t="s">
        <v>3104</v>
      </c>
      <c r="K222" s="123" t="s">
        <v>3105</v>
      </c>
      <c r="L222" s="103"/>
      <c r="M222" s="123" t="s">
        <v>2878</v>
      </c>
      <c r="N222" s="123" t="s">
        <v>5016</v>
      </c>
      <c r="O222" s="123" t="s">
        <v>2878</v>
      </c>
      <c r="P222" s="125" t="s">
        <v>2880</v>
      </c>
    </row>
    <row r="223" spans="2:16" ht="30" x14ac:dyDescent="0.25">
      <c r="B223" s="126" t="str">
        <f t="shared" si="14"/>
        <v>1</v>
      </c>
      <c r="C223" s="126" t="str">
        <f t="shared" si="15"/>
        <v>2</v>
      </c>
      <c r="D223" s="126" t="str">
        <f t="shared" si="16"/>
        <v>1</v>
      </c>
      <c r="E223" s="126" t="str">
        <f t="shared" si="17"/>
        <v>0</v>
      </c>
      <c r="F223" s="126" t="str">
        <f t="shared" si="18"/>
        <v>00</v>
      </c>
      <c r="G223" s="126" t="str">
        <f t="shared" si="19"/>
        <v>0</v>
      </c>
      <c r="H223" s="126" t="str">
        <f t="shared" si="20"/>
        <v>0</v>
      </c>
      <c r="I223" s="127">
        <v>12100000</v>
      </c>
      <c r="J223" s="126" t="s">
        <v>278</v>
      </c>
      <c r="K223" s="126" t="s">
        <v>3106</v>
      </c>
      <c r="L223" s="122"/>
      <c r="M223" s="126" t="s">
        <v>2878</v>
      </c>
      <c r="N223" s="126" t="s">
        <v>5016</v>
      </c>
      <c r="O223" s="126" t="s">
        <v>2878</v>
      </c>
      <c r="P223" s="128" t="s">
        <v>2880</v>
      </c>
    </row>
    <row r="224" spans="2:16" ht="30" x14ac:dyDescent="0.25">
      <c r="B224" s="108" t="str">
        <f t="shared" si="14"/>
        <v>1</v>
      </c>
      <c r="C224" s="108" t="str">
        <f t="shared" si="15"/>
        <v>2</v>
      </c>
      <c r="D224" s="108" t="str">
        <f t="shared" si="16"/>
        <v>1</v>
      </c>
      <c r="E224" s="108" t="str">
        <f t="shared" si="17"/>
        <v>0</v>
      </c>
      <c r="F224" s="108" t="str">
        <f t="shared" si="18"/>
        <v>01</v>
      </c>
      <c r="G224" s="108" t="str">
        <f t="shared" si="19"/>
        <v>0</v>
      </c>
      <c r="H224" s="108" t="str">
        <f t="shared" si="20"/>
        <v>0</v>
      </c>
      <c r="I224" s="109">
        <v>12100100</v>
      </c>
      <c r="J224" s="108" t="s">
        <v>3107</v>
      </c>
      <c r="K224" s="108" t="s">
        <v>3108</v>
      </c>
      <c r="L224" s="110"/>
      <c r="M224" s="108" t="s">
        <v>2878</v>
      </c>
      <c r="N224" s="108" t="s">
        <v>2879</v>
      </c>
      <c r="O224" s="108" t="s">
        <v>2878</v>
      </c>
      <c r="P224" s="111" t="s">
        <v>2880</v>
      </c>
    </row>
    <row r="225" spans="2:16" ht="30" x14ac:dyDescent="0.25">
      <c r="B225" s="114" t="str">
        <f t="shared" si="14"/>
        <v>1</v>
      </c>
      <c r="C225" s="114" t="str">
        <f t="shared" si="15"/>
        <v>2</v>
      </c>
      <c r="D225" s="114" t="str">
        <f t="shared" si="16"/>
        <v>1</v>
      </c>
      <c r="E225" s="114" t="str">
        <f t="shared" si="17"/>
        <v>0</v>
      </c>
      <c r="F225" s="114" t="str">
        <f t="shared" si="18"/>
        <v>01</v>
      </c>
      <c r="G225" s="114" t="str">
        <f t="shared" si="19"/>
        <v>1</v>
      </c>
      <c r="H225" s="114" t="str">
        <f t="shared" si="20"/>
        <v>0</v>
      </c>
      <c r="I225" s="115">
        <v>12100110</v>
      </c>
      <c r="J225" s="114" t="s">
        <v>3107</v>
      </c>
      <c r="K225" s="114" t="s">
        <v>3108</v>
      </c>
      <c r="L225" s="116"/>
      <c r="M225" s="114" t="s">
        <v>2878</v>
      </c>
      <c r="N225" s="114" t="s">
        <v>2879</v>
      </c>
      <c r="O225" s="114" t="s">
        <v>2878</v>
      </c>
      <c r="P225" s="117" t="s">
        <v>2880</v>
      </c>
    </row>
    <row r="226" spans="2:16" ht="120" x14ac:dyDescent="0.25">
      <c r="B226" s="85" t="str">
        <f t="shared" si="14"/>
        <v>1</v>
      </c>
      <c r="C226" s="85" t="str">
        <f t="shared" si="15"/>
        <v>2</v>
      </c>
      <c r="D226" s="85" t="str">
        <f t="shared" si="16"/>
        <v>1</v>
      </c>
      <c r="E226" s="85" t="str">
        <f t="shared" si="17"/>
        <v>0</v>
      </c>
      <c r="F226" s="85" t="str">
        <f t="shared" si="18"/>
        <v>01</v>
      </c>
      <c r="G226" s="85" t="str">
        <f t="shared" si="19"/>
        <v>1</v>
      </c>
      <c r="H226" s="85" t="str">
        <f t="shared" si="20"/>
        <v>1</v>
      </c>
      <c r="I226" s="87">
        <v>12100111</v>
      </c>
      <c r="J226" s="85" t="s">
        <v>3109</v>
      </c>
      <c r="K226" s="85" t="s">
        <v>3110</v>
      </c>
      <c r="L226" s="84"/>
      <c r="M226" s="85" t="s">
        <v>3111</v>
      </c>
      <c r="N226" s="85" t="s">
        <v>2879</v>
      </c>
      <c r="O226" s="85" t="s">
        <v>3112</v>
      </c>
      <c r="P226" s="86" t="s">
        <v>2890</v>
      </c>
    </row>
    <row r="227" spans="2:16" ht="30" x14ac:dyDescent="0.25">
      <c r="B227" s="85" t="str">
        <f t="shared" si="14"/>
        <v>1</v>
      </c>
      <c r="C227" s="85" t="str">
        <f t="shared" si="15"/>
        <v>2</v>
      </c>
      <c r="D227" s="85" t="str">
        <f t="shared" si="16"/>
        <v>1</v>
      </c>
      <c r="E227" s="85" t="str">
        <f t="shared" si="17"/>
        <v>0</v>
      </c>
      <c r="F227" s="85" t="str">
        <f t="shared" si="18"/>
        <v>01</v>
      </c>
      <c r="G227" s="85" t="str">
        <f t="shared" si="19"/>
        <v>1</v>
      </c>
      <c r="H227" s="85" t="str">
        <f t="shared" si="20"/>
        <v>2</v>
      </c>
      <c r="I227" s="87">
        <v>12100112</v>
      </c>
      <c r="J227" s="85" t="s">
        <v>3113</v>
      </c>
      <c r="K227" s="85" t="s">
        <v>2892</v>
      </c>
      <c r="L227" s="84"/>
      <c r="M227" s="85" t="s">
        <v>2892</v>
      </c>
      <c r="N227" s="85" t="s">
        <v>2879</v>
      </c>
      <c r="O227" s="85" t="s">
        <v>2892</v>
      </c>
      <c r="P227" s="86" t="s">
        <v>2890</v>
      </c>
    </row>
    <row r="228" spans="2:16" ht="30" x14ac:dyDescent="0.25">
      <c r="B228" s="85" t="str">
        <f t="shared" si="14"/>
        <v>1</v>
      </c>
      <c r="C228" s="85" t="str">
        <f t="shared" si="15"/>
        <v>2</v>
      </c>
      <c r="D228" s="85" t="str">
        <f t="shared" si="16"/>
        <v>1</v>
      </c>
      <c r="E228" s="85" t="str">
        <f t="shared" si="17"/>
        <v>0</v>
      </c>
      <c r="F228" s="85" t="str">
        <f t="shared" si="18"/>
        <v>01</v>
      </c>
      <c r="G228" s="85" t="str">
        <f t="shared" si="19"/>
        <v>1</v>
      </c>
      <c r="H228" s="85" t="str">
        <f t="shared" si="20"/>
        <v>3</v>
      </c>
      <c r="I228" s="87">
        <v>12100113</v>
      </c>
      <c r="J228" s="85" t="s">
        <v>3114</v>
      </c>
      <c r="K228" s="85" t="s">
        <v>2892</v>
      </c>
      <c r="L228" s="84"/>
      <c r="M228" s="85" t="s">
        <v>2892</v>
      </c>
      <c r="N228" s="85" t="s">
        <v>2879</v>
      </c>
      <c r="O228" s="85" t="s">
        <v>2892</v>
      </c>
      <c r="P228" s="86" t="s">
        <v>2890</v>
      </c>
    </row>
    <row r="229" spans="2:16" ht="30" x14ac:dyDescent="0.25">
      <c r="B229" s="85" t="str">
        <f t="shared" ref="B229:B292" si="21">MID($I229,1,1)</f>
        <v>1</v>
      </c>
      <c r="C229" s="85" t="str">
        <f t="shared" ref="C229:C292" si="22">MID($I229,2,1)</f>
        <v>2</v>
      </c>
      <c r="D229" s="85" t="str">
        <f t="shared" ref="D229:D292" si="23">MID($I229,3,1)</f>
        <v>1</v>
      </c>
      <c r="E229" s="85" t="str">
        <f t="shared" ref="E229:E292" si="24">MID($I229,4,1)</f>
        <v>0</v>
      </c>
      <c r="F229" s="85" t="str">
        <f t="shared" ref="F229:F292" si="25">MID($I229,5,2)</f>
        <v>01</v>
      </c>
      <c r="G229" s="85" t="str">
        <f t="shared" ref="G229:G292" si="26">MID($I229,7,1)</f>
        <v>1</v>
      </c>
      <c r="H229" s="85" t="str">
        <f t="shared" ref="H229:H292" si="27">MID($I229,8,1)</f>
        <v>4</v>
      </c>
      <c r="I229" s="87">
        <v>12100114</v>
      </c>
      <c r="J229" s="85" t="s">
        <v>3115</v>
      </c>
      <c r="K229" s="85" t="s">
        <v>2892</v>
      </c>
      <c r="L229" s="84"/>
      <c r="M229" s="85" t="s">
        <v>2892</v>
      </c>
      <c r="N229" s="85" t="s">
        <v>2879</v>
      </c>
      <c r="O229" s="85" t="s">
        <v>2892</v>
      </c>
      <c r="P229" s="86" t="s">
        <v>2890</v>
      </c>
    </row>
    <row r="230" spans="2:16" ht="30" x14ac:dyDescent="0.25">
      <c r="B230" s="108" t="str">
        <f t="shared" si="21"/>
        <v>1</v>
      </c>
      <c r="C230" s="108" t="str">
        <f t="shared" si="22"/>
        <v>2</v>
      </c>
      <c r="D230" s="108" t="str">
        <f t="shared" si="23"/>
        <v>1</v>
      </c>
      <c r="E230" s="108" t="str">
        <f t="shared" si="24"/>
        <v>0</v>
      </c>
      <c r="F230" s="108" t="str">
        <f t="shared" si="25"/>
        <v>02</v>
      </c>
      <c r="G230" s="108" t="str">
        <f t="shared" si="26"/>
        <v>0</v>
      </c>
      <c r="H230" s="108" t="str">
        <f t="shared" si="27"/>
        <v>0</v>
      </c>
      <c r="I230" s="109">
        <v>12100200</v>
      </c>
      <c r="J230" s="108" t="s">
        <v>3116</v>
      </c>
      <c r="K230" s="108" t="s">
        <v>3117</v>
      </c>
      <c r="L230" s="110"/>
      <c r="M230" s="108" t="s">
        <v>2878</v>
      </c>
      <c r="N230" s="108" t="s">
        <v>2879</v>
      </c>
      <c r="O230" s="108" t="s">
        <v>2878</v>
      </c>
      <c r="P230" s="111" t="s">
        <v>2880</v>
      </c>
    </row>
    <row r="231" spans="2:16" ht="30" x14ac:dyDescent="0.25">
      <c r="B231" s="114" t="str">
        <f t="shared" si="21"/>
        <v>1</v>
      </c>
      <c r="C231" s="114" t="str">
        <f t="shared" si="22"/>
        <v>2</v>
      </c>
      <c r="D231" s="114" t="str">
        <f t="shared" si="23"/>
        <v>1</v>
      </c>
      <c r="E231" s="114" t="str">
        <f t="shared" si="24"/>
        <v>0</v>
      </c>
      <c r="F231" s="114" t="str">
        <f t="shared" si="25"/>
        <v>02</v>
      </c>
      <c r="G231" s="114" t="str">
        <f t="shared" si="26"/>
        <v>1</v>
      </c>
      <c r="H231" s="114" t="str">
        <f t="shared" si="27"/>
        <v>0</v>
      </c>
      <c r="I231" s="115">
        <v>12100210</v>
      </c>
      <c r="J231" s="114" t="s">
        <v>3116</v>
      </c>
      <c r="K231" s="114" t="s">
        <v>3117</v>
      </c>
      <c r="L231" s="116"/>
      <c r="M231" s="114" t="s">
        <v>2878</v>
      </c>
      <c r="N231" s="114" t="s">
        <v>2879</v>
      </c>
      <c r="O231" s="114" t="s">
        <v>2878</v>
      </c>
      <c r="P231" s="117" t="s">
        <v>2880</v>
      </c>
    </row>
    <row r="232" spans="2:16" ht="105" x14ac:dyDescent="0.25">
      <c r="B232" s="85" t="str">
        <f t="shared" si="21"/>
        <v>1</v>
      </c>
      <c r="C232" s="85" t="str">
        <f t="shared" si="22"/>
        <v>2</v>
      </c>
      <c r="D232" s="85" t="str">
        <f t="shared" si="23"/>
        <v>1</v>
      </c>
      <c r="E232" s="85" t="str">
        <f t="shared" si="24"/>
        <v>0</v>
      </c>
      <c r="F232" s="85" t="str">
        <f t="shared" si="25"/>
        <v>02</v>
      </c>
      <c r="G232" s="85" t="str">
        <f t="shared" si="26"/>
        <v>1</v>
      </c>
      <c r="H232" s="85" t="str">
        <f t="shared" si="27"/>
        <v>1</v>
      </c>
      <c r="I232" s="87">
        <v>12100211</v>
      </c>
      <c r="J232" s="85" t="s">
        <v>3118</v>
      </c>
      <c r="K232" s="85" t="s">
        <v>3119</v>
      </c>
      <c r="L232" s="84"/>
      <c r="M232" s="85" t="s">
        <v>3120</v>
      </c>
      <c r="N232" s="85" t="s">
        <v>2879</v>
      </c>
      <c r="O232" s="85" t="s">
        <v>3121</v>
      </c>
      <c r="P232" s="86" t="s">
        <v>2890</v>
      </c>
    </row>
    <row r="233" spans="2:16" ht="15.75" x14ac:dyDescent="0.25">
      <c r="B233" s="85" t="str">
        <f t="shared" si="21"/>
        <v>1</v>
      </c>
      <c r="C233" s="85" t="str">
        <f t="shared" si="22"/>
        <v>2</v>
      </c>
      <c r="D233" s="85" t="str">
        <f t="shared" si="23"/>
        <v>1</v>
      </c>
      <c r="E233" s="85" t="str">
        <f t="shared" si="24"/>
        <v>0</v>
      </c>
      <c r="F233" s="85" t="str">
        <f t="shared" si="25"/>
        <v>02</v>
      </c>
      <c r="G233" s="85" t="str">
        <f t="shared" si="26"/>
        <v>1</v>
      </c>
      <c r="H233" s="85" t="str">
        <f t="shared" si="27"/>
        <v>2</v>
      </c>
      <c r="I233" s="87">
        <v>12100212</v>
      </c>
      <c r="J233" s="85" t="s">
        <v>3122</v>
      </c>
      <c r="K233" s="85" t="s">
        <v>2892</v>
      </c>
      <c r="L233" s="84"/>
      <c r="M233" s="85" t="s">
        <v>2892</v>
      </c>
      <c r="N233" s="85" t="s">
        <v>2879</v>
      </c>
      <c r="O233" s="85" t="s">
        <v>2892</v>
      </c>
      <c r="P233" s="86" t="s">
        <v>2890</v>
      </c>
    </row>
    <row r="234" spans="2:16" ht="15.75" x14ac:dyDescent="0.25">
      <c r="B234" s="85" t="str">
        <f t="shared" si="21"/>
        <v>1</v>
      </c>
      <c r="C234" s="85" t="str">
        <f t="shared" si="22"/>
        <v>2</v>
      </c>
      <c r="D234" s="85" t="str">
        <f t="shared" si="23"/>
        <v>1</v>
      </c>
      <c r="E234" s="85" t="str">
        <f t="shared" si="24"/>
        <v>0</v>
      </c>
      <c r="F234" s="85" t="str">
        <f t="shared" si="25"/>
        <v>02</v>
      </c>
      <c r="G234" s="85" t="str">
        <f t="shared" si="26"/>
        <v>1</v>
      </c>
      <c r="H234" s="85" t="str">
        <f t="shared" si="27"/>
        <v>3</v>
      </c>
      <c r="I234" s="87">
        <v>12100213</v>
      </c>
      <c r="J234" s="85" t="s">
        <v>3123</v>
      </c>
      <c r="K234" s="85" t="s">
        <v>2892</v>
      </c>
      <c r="L234" s="84"/>
      <c r="M234" s="85" t="s">
        <v>2892</v>
      </c>
      <c r="N234" s="85" t="s">
        <v>2879</v>
      </c>
      <c r="O234" s="85" t="s">
        <v>2892</v>
      </c>
      <c r="P234" s="86" t="s">
        <v>2890</v>
      </c>
    </row>
    <row r="235" spans="2:16" ht="15.75" x14ac:dyDescent="0.25">
      <c r="B235" s="85" t="str">
        <f t="shared" si="21"/>
        <v>1</v>
      </c>
      <c r="C235" s="85" t="str">
        <f t="shared" si="22"/>
        <v>2</v>
      </c>
      <c r="D235" s="85" t="str">
        <f t="shared" si="23"/>
        <v>1</v>
      </c>
      <c r="E235" s="85" t="str">
        <f t="shared" si="24"/>
        <v>0</v>
      </c>
      <c r="F235" s="85" t="str">
        <f t="shared" si="25"/>
        <v>02</v>
      </c>
      <c r="G235" s="85" t="str">
        <f t="shared" si="26"/>
        <v>1</v>
      </c>
      <c r="H235" s="85" t="str">
        <f t="shared" si="27"/>
        <v>4</v>
      </c>
      <c r="I235" s="87">
        <v>12100214</v>
      </c>
      <c r="J235" s="85" t="s">
        <v>3124</v>
      </c>
      <c r="K235" s="85" t="s">
        <v>2892</v>
      </c>
      <c r="L235" s="84"/>
      <c r="M235" s="85" t="s">
        <v>2892</v>
      </c>
      <c r="N235" s="85" t="s">
        <v>2879</v>
      </c>
      <c r="O235" s="85" t="s">
        <v>2892</v>
      </c>
      <c r="P235" s="86" t="s">
        <v>2890</v>
      </c>
    </row>
    <row r="236" spans="2:16" ht="30" x14ac:dyDescent="0.25">
      <c r="B236" s="108" t="str">
        <f t="shared" si="21"/>
        <v>1</v>
      </c>
      <c r="C236" s="108" t="str">
        <f t="shared" si="22"/>
        <v>2</v>
      </c>
      <c r="D236" s="108" t="str">
        <f t="shared" si="23"/>
        <v>1</v>
      </c>
      <c r="E236" s="108" t="str">
        <f t="shared" si="24"/>
        <v>0</v>
      </c>
      <c r="F236" s="108" t="str">
        <f t="shared" si="25"/>
        <v>03</v>
      </c>
      <c r="G236" s="108" t="str">
        <f t="shared" si="26"/>
        <v>0</v>
      </c>
      <c r="H236" s="108" t="str">
        <f t="shared" si="27"/>
        <v>0</v>
      </c>
      <c r="I236" s="109">
        <v>12100300</v>
      </c>
      <c r="J236" s="108" t="s">
        <v>3125</v>
      </c>
      <c r="K236" s="108" t="s">
        <v>3126</v>
      </c>
      <c r="L236" s="110"/>
      <c r="M236" s="108" t="s">
        <v>2878</v>
      </c>
      <c r="N236" s="108" t="s">
        <v>2879</v>
      </c>
      <c r="O236" s="108" t="s">
        <v>2878</v>
      </c>
      <c r="P236" s="111" t="s">
        <v>2880</v>
      </c>
    </row>
    <row r="237" spans="2:16" ht="60" x14ac:dyDescent="0.25">
      <c r="B237" s="114" t="str">
        <f t="shared" si="21"/>
        <v>1</v>
      </c>
      <c r="C237" s="114" t="str">
        <f t="shared" si="22"/>
        <v>2</v>
      </c>
      <c r="D237" s="114" t="str">
        <f t="shared" si="23"/>
        <v>1</v>
      </c>
      <c r="E237" s="114" t="str">
        <f t="shared" si="24"/>
        <v>0</v>
      </c>
      <c r="F237" s="114" t="str">
        <f t="shared" si="25"/>
        <v>03</v>
      </c>
      <c r="G237" s="114" t="str">
        <f t="shared" si="26"/>
        <v>1</v>
      </c>
      <c r="H237" s="114" t="str">
        <f t="shared" si="27"/>
        <v>0</v>
      </c>
      <c r="I237" s="115">
        <v>12100310</v>
      </c>
      <c r="J237" s="114" t="s">
        <v>3125</v>
      </c>
      <c r="K237" s="114" t="s">
        <v>3127</v>
      </c>
      <c r="L237" s="116"/>
      <c r="M237" s="114" t="s">
        <v>2878</v>
      </c>
      <c r="N237" s="114" t="s">
        <v>2879</v>
      </c>
      <c r="O237" s="114" t="s">
        <v>2878</v>
      </c>
      <c r="P237" s="117" t="s">
        <v>2880</v>
      </c>
    </row>
    <row r="238" spans="2:16" ht="60" x14ac:dyDescent="0.25">
      <c r="B238" s="85" t="str">
        <f t="shared" si="21"/>
        <v>1</v>
      </c>
      <c r="C238" s="85" t="str">
        <f t="shared" si="22"/>
        <v>2</v>
      </c>
      <c r="D238" s="85" t="str">
        <f t="shared" si="23"/>
        <v>1</v>
      </c>
      <c r="E238" s="85" t="str">
        <f t="shared" si="24"/>
        <v>0</v>
      </c>
      <c r="F238" s="85" t="str">
        <f t="shared" si="25"/>
        <v>03</v>
      </c>
      <c r="G238" s="85" t="str">
        <f t="shared" si="26"/>
        <v>1</v>
      </c>
      <c r="H238" s="85" t="str">
        <f t="shared" si="27"/>
        <v>1</v>
      </c>
      <c r="I238" s="87">
        <v>12100311</v>
      </c>
      <c r="J238" s="85" t="s">
        <v>3128</v>
      </c>
      <c r="K238" s="85" t="s">
        <v>3129</v>
      </c>
      <c r="L238" s="84"/>
      <c r="M238" s="85" t="s">
        <v>3130</v>
      </c>
      <c r="N238" s="85" t="s">
        <v>2879</v>
      </c>
      <c r="O238" s="85" t="s">
        <v>3131</v>
      </c>
      <c r="P238" s="86" t="s">
        <v>2890</v>
      </c>
    </row>
    <row r="239" spans="2:16" ht="30" x14ac:dyDescent="0.25">
      <c r="B239" s="85" t="str">
        <f t="shared" si="21"/>
        <v>1</v>
      </c>
      <c r="C239" s="85" t="str">
        <f t="shared" si="22"/>
        <v>2</v>
      </c>
      <c r="D239" s="85" t="str">
        <f t="shared" si="23"/>
        <v>1</v>
      </c>
      <c r="E239" s="85" t="str">
        <f t="shared" si="24"/>
        <v>0</v>
      </c>
      <c r="F239" s="85" t="str">
        <f t="shared" si="25"/>
        <v>03</v>
      </c>
      <c r="G239" s="85" t="str">
        <f t="shared" si="26"/>
        <v>1</v>
      </c>
      <c r="H239" s="85" t="str">
        <f t="shared" si="27"/>
        <v>2</v>
      </c>
      <c r="I239" s="87">
        <v>12100312</v>
      </c>
      <c r="J239" s="85" t="s">
        <v>3132</v>
      </c>
      <c r="K239" s="85" t="s">
        <v>2892</v>
      </c>
      <c r="L239" s="84"/>
      <c r="M239" s="85" t="s">
        <v>2892</v>
      </c>
      <c r="N239" s="85" t="s">
        <v>2879</v>
      </c>
      <c r="O239" s="85" t="s">
        <v>2892</v>
      </c>
      <c r="P239" s="86" t="s">
        <v>2890</v>
      </c>
    </row>
    <row r="240" spans="2:16" ht="15.75" x14ac:dyDescent="0.25">
      <c r="B240" s="85" t="str">
        <f t="shared" si="21"/>
        <v>1</v>
      </c>
      <c r="C240" s="85" t="str">
        <f t="shared" si="22"/>
        <v>2</v>
      </c>
      <c r="D240" s="85" t="str">
        <f t="shared" si="23"/>
        <v>1</v>
      </c>
      <c r="E240" s="85" t="str">
        <f t="shared" si="24"/>
        <v>0</v>
      </c>
      <c r="F240" s="85" t="str">
        <f t="shared" si="25"/>
        <v>03</v>
      </c>
      <c r="G240" s="85" t="str">
        <f t="shared" si="26"/>
        <v>1</v>
      </c>
      <c r="H240" s="85" t="str">
        <f t="shared" si="27"/>
        <v>3</v>
      </c>
      <c r="I240" s="87">
        <v>12100313</v>
      </c>
      <c r="J240" s="85" t="s">
        <v>3133</v>
      </c>
      <c r="K240" s="85" t="s">
        <v>2892</v>
      </c>
      <c r="L240" s="84"/>
      <c r="M240" s="85" t="s">
        <v>2892</v>
      </c>
      <c r="N240" s="85" t="s">
        <v>2879</v>
      </c>
      <c r="O240" s="85" t="s">
        <v>2892</v>
      </c>
      <c r="P240" s="86" t="s">
        <v>2890</v>
      </c>
    </row>
    <row r="241" spans="2:16" ht="30" x14ac:dyDescent="0.25">
      <c r="B241" s="85" t="str">
        <f t="shared" si="21"/>
        <v>1</v>
      </c>
      <c r="C241" s="85" t="str">
        <f t="shared" si="22"/>
        <v>2</v>
      </c>
      <c r="D241" s="85" t="str">
        <f t="shared" si="23"/>
        <v>1</v>
      </c>
      <c r="E241" s="85" t="str">
        <f t="shared" si="24"/>
        <v>0</v>
      </c>
      <c r="F241" s="85" t="str">
        <f t="shared" si="25"/>
        <v>03</v>
      </c>
      <c r="G241" s="85" t="str">
        <f t="shared" si="26"/>
        <v>1</v>
      </c>
      <c r="H241" s="85" t="str">
        <f t="shared" si="27"/>
        <v>4</v>
      </c>
      <c r="I241" s="87">
        <v>12100314</v>
      </c>
      <c r="J241" s="85" t="s">
        <v>3134</v>
      </c>
      <c r="K241" s="85" t="s">
        <v>2892</v>
      </c>
      <c r="L241" s="84"/>
      <c r="M241" s="85" t="s">
        <v>2892</v>
      </c>
      <c r="N241" s="85" t="s">
        <v>2879</v>
      </c>
      <c r="O241" s="85" t="s">
        <v>2892</v>
      </c>
      <c r="P241" s="86" t="s">
        <v>2890</v>
      </c>
    </row>
    <row r="242" spans="2:16" ht="30" x14ac:dyDescent="0.25">
      <c r="B242" s="108" t="str">
        <f t="shared" si="21"/>
        <v>1</v>
      </c>
      <c r="C242" s="108" t="str">
        <f t="shared" si="22"/>
        <v>2</v>
      </c>
      <c r="D242" s="108" t="str">
        <f t="shared" si="23"/>
        <v>1</v>
      </c>
      <c r="E242" s="108" t="str">
        <f t="shared" si="24"/>
        <v>0</v>
      </c>
      <c r="F242" s="108" t="str">
        <f t="shared" si="25"/>
        <v>04</v>
      </c>
      <c r="G242" s="108" t="str">
        <f t="shared" si="26"/>
        <v>0</v>
      </c>
      <c r="H242" s="108" t="str">
        <f t="shared" si="27"/>
        <v>0</v>
      </c>
      <c r="I242" s="109">
        <v>12100400</v>
      </c>
      <c r="J242" s="108" t="s">
        <v>4898</v>
      </c>
      <c r="K242" s="108" t="s">
        <v>3136</v>
      </c>
      <c r="L242" s="110"/>
      <c r="M242" s="108" t="s">
        <v>2878</v>
      </c>
      <c r="N242" s="108" t="s">
        <v>4980</v>
      </c>
      <c r="O242" s="108" t="s">
        <v>2878</v>
      </c>
      <c r="P242" s="111" t="s">
        <v>2880</v>
      </c>
    </row>
    <row r="243" spans="2:16" ht="30" x14ac:dyDescent="0.25">
      <c r="B243" s="114" t="str">
        <f t="shared" si="21"/>
        <v>1</v>
      </c>
      <c r="C243" s="114" t="str">
        <f t="shared" si="22"/>
        <v>2</v>
      </c>
      <c r="D243" s="114" t="str">
        <f t="shared" si="23"/>
        <v>1</v>
      </c>
      <c r="E243" s="114" t="str">
        <f t="shared" si="24"/>
        <v>0</v>
      </c>
      <c r="F243" s="114" t="str">
        <f t="shared" si="25"/>
        <v>04</v>
      </c>
      <c r="G243" s="114" t="str">
        <f t="shared" si="26"/>
        <v>1</v>
      </c>
      <c r="H243" s="114" t="str">
        <f t="shared" si="27"/>
        <v>0</v>
      </c>
      <c r="I243" s="115">
        <v>12100410</v>
      </c>
      <c r="J243" s="114" t="s">
        <v>3137</v>
      </c>
      <c r="K243" s="114" t="s">
        <v>3136</v>
      </c>
      <c r="L243" s="116"/>
      <c r="M243" s="114" t="s">
        <v>2878</v>
      </c>
      <c r="N243" s="114" t="s">
        <v>2879</v>
      </c>
      <c r="O243" s="114" t="s">
        <v>2878</v>
      </c>
      <c r="P243" s="117" t="s">
        <v>2880</v>
      </c>
    </row>
    <row r="244" spans="2:16" ht="45" x14ac:dyDescent="0.25">
      <c r="B244" s="85" t="str">
        <f t="shared" si="21"/>
        <v>1</v>
      </c>
      <c r="C244" s="85" t="str">
        <f t="shared" si="22"/>
        <v>2</v>
      </c>
      <c r="D244" s="85" t="str">
        <f t="shared" si="23"/>
        <v>1</v>
      </c>
      <c r="E244" s="85" t="str">
        <f t="shared" si="24"/>
        <v>0</v>
      </c>
      <c r="F244" s="85" t="str">
        <f t="shared" si="25"/>
        <v>04</v>
      </c>
      <c r="G244" s="85" t="str">
        <f t="shared" si="26"/>
        <v>1</v>
      </c>
      <c r="H244" s="85" t="str">
        <f t="shared" si="27"/>
        <v>1</v>
      </c>
      <c r="I244" s="87">
        <v>12100411</v>
      </c>
      <c r="J244" s="85" t="s">
        <v>3138</v>
      </c>
      <c r="K244" s="85" t="s">
        <v>3139</v>
      </c>
      <c r="L244" s="84"/>
      <c r="M244" s="85" t="s">
        <v>3140</v>
      </c>
      <c r="N244" s="85" t="s">
        <v>2879</v>
      </c>
      <c r="O244" s="85" t="s">
        <v>3141</v>
      </c>
      <c r="P244" s="86" t="s">
        <v>2890</v>
      </c>
    </row>
    <row r="245" spans="2:16" ht="15.75" x14ac:dyDescent="0.25">
      <c r="B245" s="85" t="str">
        <f t="shared" si="21"/>
        <v>1</v>
      </c>
      <c r="C245" s="85" t="str">
        <f t="shared" si="22"/>
        <v>2</v>
      </c>
      <c r="D245" s="85" t="str">
        <f t="shared" si="23"/>
        <v>1</v>
      </c>
      <c r="E245" s="85" t="str">
        <f t="shared" si="24"/>
        <v>0</v>
      </c>
      <c r="F245" s="85" t="str">
        <f t="shared" si="25"/>
        <v>04</v>
      </c>
      <c r="G245" s="85" t="str">
        <f t="shared" si="26"/>
        <v>1</v>
      </c>
      <c r="H245" s="85" t="str">
        <f t="shared" si="27"/>
        <v>2</v>
      </c>
      <c r="I245" s="87">
        <v>12100412</v>
      </c>
      <c r="J245" s="85" t="s">
        <v>3142</v>
      </c>
      <c r="K245" s="85" t="s">
        <v>2892</v>
      </c>
      <c r="L245" s="84"/>
      <c r="M245" s="85" t="s">
        <v>2892</v>
      </c>
      <c r="N245" s="85" t="s">
        <v>2879</v>
      </c>
      <c r="O245" s="85" t="s">
        <v>2892</v>
      </c>
      <c r="P245" s="86" t="s">
        <v>2890</v>
      </c>
    </row>
    <row r="246" spans="2:16" ht="15.75" x14ac:dyDescent="0.25">
      <c r="B246" s="85" t="str">
        <f t="shared" si="21"/>
        <v>1</v>
      </c>
      <c r="C246" s="85" t="str">
        <f t="shared" si="22"/>
        <v>2</v>
      </c>
      <c r="D246" s="85" t="str">
        <f t="shared" si="23"/>
        <v>1</v>
      </c>
      <c r="E246" s="85" t="str">
        <f t="shared" si="24"/>
        <v>0</v>
      </c>
      <c r="F246" s="85" t="str">
        <f t="shared" si="25"/>
        <v>04</v>
      </c>
      <c r="G246" s="85" t="str">
        <f t="shared" si="26"/>
        <v>1</v>
      </c>
      <c r="H246" s="85" t="str">
        <f t="shared" si="27"/>
        <v>3</v>
      </c>
      <c r="I246" s="87">
        <v>12100413</v>
      </c>
      <c r="J246" s="85" t="s">
        <v>3143</v>
      </c>
      <c r="K246" s="85" t="s">
        <v>2892</v>
      </c>
      <c r="L246" s="84"/>
      <c r="M246" s="85" t="s">
        <v>2892</v>
      </c>
      <c r="N246" s="85" t="s">
        <v>2879</v>
      </c>
      <c r="O246" s="85" t="s">
        <v>2892</v>
      </c>
      <c r="P246" s="86" t="s">
        <v>2890</v>
      </c>
    </row>
    <row r="247" spans="2:16" ht="30" x14ac:dyDescent="0.25">
      <c r="B247" s="85" t="str">
        <f t="shared" si="21"/>
        <v>1</v>
      </c>
      <c r="C247" s="85" t="str">
        <f t="shared" si="22"/>
        <v>2</v>
      </c>
      <c r="D247" s="85" t="str">
        <f t="shared" si="23"/>
        <v>1</v>
      </c>
      <c r="E247" s="85" t="str">
        <f t="shared" si="24"/>
        <v>0</v>
      </c>
      <c r="F247" s="85" t="str">
        <f t="shared" si="25"/>
        <v>04</v>
      </c>
      <c r="G247" s="85" t="str">
        <f t="shared" si="26"/>
        <v>1</v>
      </c>
      <c r="H247" s="85" t="str">
        <f t="shared" si="27"/>
        <v>4</v>
      </c>
      <c r="I247" s="87">
        <v>12100414</v>
      </c>
      <c r="J247" s="85" t="s">
        <v>3144</v>
      </c>
      <c r="K247" s="85" t="s">
        <v>2892</v>
      </c>
      <c r="L247" s="84"/>
      <c r="M247" s="85" t="s">
        <v>2892</v>
      </c>
      <c r="N247" s="85" t="s">
        <v>2879</v>
      </c>
      <c r="O247" s="85" t="s">
        <v>2892</v>
      </c>
      <c r="P247" s="86" t="s">
        <v>2890</v>
      </c>
    </row>
    <row r="248" spans="2:16" ht="60" x14ac:dyDescent="0.25">
      <c r="B248" s="114" t="str">
        <f t="shared" si="21"/>
        <v>1</v>
      </c>
      <c r="C248" s="114" t="str">
        <f t="shared" si="22"/>
        <v>2</v>
      </c>
      <c r="D248" s="114" t="str">
        <f t="shared" si="23"/>
        <v>1</v>
      </c>
      <c r="E248" s="114" t="str">
        <f t="shared" si="24"/>
        <v>0</v>
      </c>
      <c r="F248" s="114" t="str">
        <f t="shared" si="25"/>
        <v>04</v>
      </c>
      <c r="G248" s="114" t="str">
        <f t="shared" si="26"/>
        <v>2</v>
      </c>
      <c r="H248" s="114" t="str">
        <f t="shared" si="27"/>
        <v>0</v>
      </c>
      <c r="I248" s="115">
        <v>12100420</v>
      </c>
      <c r="J248" s="114" t="s">
        <v>3145</v>
      </c>
      <c r="K248" s="114" t="s">
        <v>3146</v>
      </c>
      <c r="L248" s="116"/>
      <c r="M248" s="114" t="s">
        <v>2878</v>
      </c>
      <c r="N248" s="114" t="s">
        <v>2879</v>
      </c>
      <c r="O248" s="114" t="s">
        <v>2878</v>
      </c>
      <c r="P248" s="117" t="s">
        <v>2880</v>
      </c>
    </row>
    <row r="249" spans="2:16" ht="45" x14ac:dyDescent="0.25">
      <c r="B249" s="85" t="str">
        <f t="shared" si="21"/>
        <v>1</v>
      </c>
      <c r="C249" s="85" t="str">
        <f t="shared" si="22"/>
        <v>2</v>
      </c>
      <c r="D249" s="85" t="str">
        <f t="shared" si="23"/>
        <v>1</v>
      </c>
      <c r="E249" s="85" t="str">
        <f t="shared" si="24"/>
        <v>0</v>
      </c>
      <c r="F249" s="85" t="str">
        <f t="shared" si="25"/>
        <v>04</v>
      </c>
      <c r="G249" s="85" t="str">
        <f t="shared" si="26"/>
        <v>2</v>
      </c>
      <c r="H249" s="85" t="str">
        <f t="shared" si="27"/>
        <v>1</v>
      </c>
      <c r="I249" s="87">
        <v>12100421</v>
      </c>
      <c r="J249" s="85" t="s">
        <v>3147</v>
      </c>
      <c r="K249" s="85" t="s">
        <v>3148</v>
      </c>
      <c r="L249" s="84"/>
      <c r="M249" s="85" t="s">
        <v>3149</v>
      </c>
      <c r="N249" s="85" t="s">
        <v>2879</v>
      </c>
      <c r="O249" s="85" t="s">
        <v>3150</v>
      </c>
      <c r="P249" s="86" t="s">
        <v>2890</v>
      </c>
    </row>
    <row r="250" spans="2:16" ht="15.75" x14ac:dyDescent="0.25">
      <c r="B250" s="85" t="str">
        <f t="shared" si="21"/>
        <v>1</v>
      </c>
      <c r="C250" s="85" t="str">
        <f t="shared" si="22"/>
        <v>2</v>
      </c>
      <c r="D250" s="85" t="str">
        <f t="shared" si="23"/>
        <v>1</v>
      </c>
      <c r="E250" s="85" t="str">
        <f t="shared" si="24"/>
        <v>0</v>
      </c>
      <c r="F250" s="85" t="str">
        <f t="shared" si="25"/>
        <v>04</v>
      </c>
      <c r="G250" s="85" t="str">
        <f t="shared" si="26"/>
        <v>2</v>
      </c>
      <c r="H250" s="85" t="str">
        <f t="shared" si="27"/>
        <v>2</v>
      </c>
      <c r="I250" s="87">
        <v>12100422</v>
      </c>
      <c r="J250" s="85" t="s">
        <v>3151</v>
      </c>
      <c r="K250" s="85" t="s">
        <v>2892</v>
      </c>
      <c r="L250" s="84"/>
      <c r="M250" s="85" t="s">
        <v>2892</v>
      </c>
      <c r="N250" s="85" t="s">
        <v>2879</v>
      </c>
      <c r="O250" s="85" t="s">
        <v>2892</v>
      </c>
      <c r="P250" s="86" t="s">
        <v>2890</v>
      </c>
    </row>
    <row r="251" spans="2:16" ht="15.75" x14ac:dyDescent="0.25">
      <c r="B251" s="85" t="str">
        <f t="shared" si="21"/>
        <v>1</v>
      </c>
      <c r="C251" s="85" t="str">
        <f t="shared" si="22"/>
        <v>2</v>
      </c>
      <c r="D251" s="85" t="str">
        <f t="shared" si="23"/>
        <v>1</v>
      </c>
      <c r="E251" s="85" t="str">
        <f t="shared" si="24"/>
        <v>0</v>
      </c>
      <c r="F251" s="85" t="str">
        <f t="shared" si="25"/>
        <v>04</v>
      </c>
      <c r="G251" s="85" t="str">
        <f t="shared" si="26"/>
        <v>2</v>
      </c>
      <c r="H251" s="85" t="str">
        <f t="shared" si="27"/>
        <v>3</v>
      </c>
      <c r="I251" s="87">
        <v>12100423</v>
      </c>
      <c r="J251" s="85" t="s">
        <v>3152</v>
      </c>
      <c r="K251" s="85" t="s">
        <v>2892</v>
      </c>
      <c r="L251" s="84"/>
      <c r="M251" s="85" t="s">
        <v>2892</v>
      </c>
      <c r="N251" s="85" t="s">
        <v>2879</v>
      </c>
      <c r="O251" s="85" t="s">
        <v>2892</v>
      </c>
      <c r="P251" s="86" t="s">
        <v>2890</v>
      </c>
    </row>
    <row r="252" spans="2:16" ht="30" x14ac:dyDescent="0.25">
      <c r="B252" s="85" t="str">
        <f t="shared" si="21"/>
        <v>1</v>
      </c>
      <c r="C252" s="85" t="str">
        <f t="shared" si="22"/>
        <v>2</v>
      </c>
      <c r="D252" s="85" t="str">
        <f t="shared" si="23"/>
        <v>1</v>
      </c>
      <c r="E252" s="85" t="str">
        <f t="shared" si="24"/>
        <v>0</v>
      </c>
      <c r="F252" s="85" t="str">
        <f t="shared" si="25"/>
        <v>04</v>
      </c>
      <c r="G252" s="85" t="str">
        <f t="shared" si="26"/>
        <v>2</v>
      </c>
      <c r="H252" s="85" t="str">
        <f t="shared" si="27"/>
        <v>4</v>
      </c>
      <c r="I252" s="87">
        <v>12100424</v>
      </c>
      <c r="J252" s="85" t="s">
        <v>3153</v>
      </c>
      <c r="K252" s="85" t="s">
        <v>2892</v>
      </c>
      <c r="L252" s="84"/>
      <c r="M252" s="85" t="s">
        <v>2892</v>
      </c>
      <c r="N252" s="85" t="s">
        <v>2879</v>
      </c>
      <c r="O252" s="85" t="s">
        <v>2892</v>
      </c>
      <c r="P252" s="86" t="s">
        <v>2890</v>
      </c>
    </row>
    <row r="253" spans="2:16" ht="45" x14ac:dyDescent="0.25">
      <c r="B253" s="114" t="str">
        <f t="shared" si="21"/>
        <v>1</v>
      </c>
      <c r="C253" s="114" t="str">
        <f t="shared" si="22"/>
        <v>2</v>
      </c>
      <c r="D253" s="114" t="str">
        <f t="shared" si="23"/>
        <v>1</v>
      </c>
      <c r="E253" s="114" t="str">
        <f t="shared" si="24"/>
        <v>0</v>
      </c>
      <c r="F253" s="114" t="str">
        <f t="shared" si="25"/>
        <v>04</v>
      </c>
      <c r="G253" s="114" t="str">
        <f t="shared" si="26"/>
        <v>3</v>
      </c>
      <c r="H253" s="114" t="str">
        <f t="shared" si="27"/>
        <v>0</v>
      </c>
      <c r="I253" s="115">
        <v>12100430</v>
      </c>
      <c r="J253" s="114" t="s">
        <v>4990</v>
      </c>
      <c r="K253" s="114" t="s">
        <v>4899</v>
      </c>
      <c r="L253" s="116"/>
      <c r="M253" s="114" t="s">
        <v>2878</v>
      </c>
      <c r="N253" s="114" t="s">
        <v>4980</v>
      </c>
      <c r="O253" s="114" t="s">
        <v>2878</v>
      </c>
      <c r="P253" s="117" t="s">
        <v>2880</v>
      </c>
    </row>
    <row r="254" spans="2:16" ht="45" x14ac:dyDescent="0.25">
      <c r="B254" s="85" t="str">
        <f t="shared" si="21"/>
        <v>1</v>
      </c>
      <c r="C254" s="85" t="str">
        <f t="shared" si="22"/>
        <v>2</v>
      </c>
      <c r="D254" s="85" t="str">
        <f t="shared" si="23"/>
        <v>1</v>
      </c>
      <c r="E254" s="85" t="str">
        <f t="shared" si="24"/>
        <v>0</v>
      </c>
      <c r="F254" s="85" t="str">
        <f t="shared" si="25"/>
        <v>04</v>
      </c>
      <c r="G254" s="85" t="str">
        <f t="shared" si="26"/>
        <v>3</v>
      </c>
      <c r="H254" s="85" t="str">
        <f t="shared" si="27"/>
        <v>1</v>
      </c>
      <c r="I254" s="87">
        <v>12100431</v>
      </c>
      <c r="J254" s="85" t="s">
        <v>4991</v>
      </c>
      <c r="K254" s="85" t="s">
        <v>4900</v>
      </c>
      <c r="L254" s="84"/>
      <c r="M254" s="85" t="s">
        <v>3149</v>
      </c>
      <c r="N254" s="85" t="s">
        <v>2879</v>
      </c>
      <c r="O254" s="85" t="s">
        <v>3154</v>
      </c>
      <c r="P254" s="86" t="s">
        <v>2890</v>
      </c>
    </row>
    <row r="255" spans="2:16" ht="15.75" x14ac:dyDescent="0.25">
      <c r="B255" s="85" t="str">
        <f t="shared" si="21"/>
        <v>1</v>
      </c>
      <c r="C255" s="85" t="str">
        <f t="shared" si="22"/>
        <v>2</v>
      </c>
      <c r="D255" s="85" t="str">
        <f t="shared" si="23"/>
        <v>1</v>
      </c>
      <c r="E255" s="85" t="str">
        <f t="shared" si="24"/>
        <v>0</v>
      </c>
      <c r="F255" s="85" t="str">
        <f t="shared" si="25"/>
        <v>04</v>
      </c>
      <c r="G255" s="85" t="str">
        <f t="shared" si="26"/>
        <v>3</v>
      </c>
      <c r="H255" s="85" t="str">
        <f t="shared" si="27"/>
        <v>2</v>
      </c>
      <c r="I255" s="87">
        <v>12100432</v>
      </c>
      <c r="J255" s="85" t="s">
        <v>4992</v>
      </c>
      <c r="K255" s="85" t="s">
        <v>2892</v>
      </c>
      <c r="L255" s="84"/>
      <c r="M255" s="85" t="s">
        <v>2892</v>
      </c>
      <c r="N255" s="85" t="s">
        <v>2879</v>
      </c>
      <c r="O255" s="85" t="s">
        <v>2892</v>
      </c>
      <c r="P255" s="86" t="s">
        <v>2890</v>
      </c>
    </row>
    <row r="256" spans="2:16" ht="15.75" x14ac:dyDescent="0.25">
      <c r="B256" s="85" t="str">
        <f t="shared" si="21"/>
        <v>1</v>
      </c>
      <c r="C256" s="85" t="str">
        <f t="shared" si="22"/>
        <v>2</v>
      </c>
      <c r="D256" s="85" t="str">
        <f t="shared" si="23"/>
        <v>1</v>
      </c>
      <c r="E256" s="85" t="str">
        <f t="shared" si="24"/>
        <v>0</v>
      </c>
      <c r="F256" s="85" t="str">
        <f t="shared" si="25"/>
        <v>04</v>
      </c>
      <c r="G256" s="85" t="str">
        <f t="shared" si="26"/>
        <v>3</v>
      </c>
      <c r="H256" s="85" t="str">
        <f t="shared" si="27"/>
        <v>3</v>
      </c>
      <c r="I256" s="87">
        <v>12100433</v>
      </c>
      <c r="J256" s="85" t="s">
        <v>4993</v>
      </c>
      <c r="K256" s="85" t="s">
        <v>2892</v>
      </c>
      <c r="L256" s="84"/>
      <c r="M256" s="85" t="s">
        <v>2892</v>
      </c>
      <c r="N256" s="85" t="s">
        <v>2879</v>
      </c>
      <c r="O256" s="85" t="s">
        <v>2892</v>
      </c>
      <c r="P256" s="86" t="s">
        <v>2890</v>
      </c>
    </row>
    <row r="257" spans="2:16" ht="15.75" x14ac:dyDescent="0.25">
      <c r="B257" s="85" t="str">
        <f t="shared" si="21"/>
        <v>1</v>
      </c>
      <c r="C257" s="85" t="str">
        <f t="shared" si="22"/>
        <v>2</v>
      </c>
      <c r="D257" s="85" t="str">
        <f t="shared" si="23"/>
        <v>1</v>
      </c>
      <c r="E257" s="85" t="str">
        <f t="shared" si="24"/>
        <v>0</v>
      </c>
      <c r="F257" s="85" t="str">
        <f t="shared" si="25"/>
        <v>04</v>
      </c>
      <c r="G257" s="85" t="str">
        <f t="shared" si="26"/>
        <v>3</v>
      </c>
      <c r="H257" s="85" t="str">
        <f t="shared" si="27"/>
        <v>4</v>
      </c>
      <c r="I257" s="87">
        <v>12100434</v>
      </c>
      <c r="J257" s="85" t="s">
        <v>4994</v>
      </c>
      <c r="K257" s="85" t="s">
        <v>2892</v>
      </c>
      <c r="L257" s="84"/>
      <c r="M257" s="85" t="s">
        <v>2892</v>
      </c>
      <c r="N257" s="85" t="s">
        <v>2879</v>
      </c>
      <c r="O257" s="85" t="s">
        <v>2892</v>
      </c>
      <c r="P257" s="86" t="s">
        <v>2890</v>
      </c>
    </row>
    <row r="258" spans="2:16" ht="45" x14ac:dyDescent="0.25">
      <c r="B258" s="114" t="str">
        <f t="shared" si="21"/>
        <v>1</v>
      </c>
      <c r="C258" s="114" t="str">
        <f t="shared" si="22"/>
        <v>2</v>
      </c>
      <c r="D258" s="114" t="str">
        <f t="shared" si="23"/>
        <v>1</v>
      </c>
      <c r="E258" s="114" t="str">
        <f t="shared" si="24"/>
        <v>0</v>
      </c>
      <c r="F258" s="114" t="str">
        <f t="shared" si="25"/>
        <v>04</v>
      </c>
      <c r="G258" s="114" t="str">
        <f t="shared" si="26"/>
        <v>4</v>
      </c>
      <c r="H258" s="114" t="str">
        <f t="shared" si="27"/>
        <v>0</v>
      </c>
      <c r="I258" s="115">
        <v>12100440</v>
      </c>
      <c r="J258" s="114" t="s">
        <v>4995</v>
      </c>
      <c r="K258" s="114" t="s">
        <v>4901</v>
      </c>
      <c r="L258" s="116"/>
      <c r="M258" s="114"/>
      <c r="N258" s="114" t="s">
        <v>4980</v>
      </c>
      <c r="O258" s="114"/>
      <c r="P258" s="117" t="s">
        <v>2880</v>
      </c>
    </row>
    <row r="259" spans="2:16" ht="45" x14ac:dyDescent="0.25">
      <c r="B259" s="85" t="str">
        <f t="shared" si="21"/>
        <v>1</v>
      </c>
      <c r="C259" s="85" t="str">
        <f t="shared" si="22"/>
        <v>2</v>
      </c>
      <c r="D259" s="85" t="str">
        <f t="shared" si="23"/>
        <v>1</v>
      </c>
      <c r="E259" s="85" t="str">
        <f t="shared" si="24"/>
        <v>0</v>
      </c>
      <c r="F259" s="85" t="str">
        <f t="shared" si="25"/>
        <v>04</v>
      </c>
      <c r="G259" s="85" t="str">
        <f t="shared" si="26"/>
        <v>4</v>
      </c>
      <c r="H259" s="85" t="str">
        <f t="shared" si="27"/>
        <v>1</v>
      </c>
      <c r="I259" s="87">
        <v>12100441</v>
      </c>
      <c r="J259" s="85" t="s">
        <v>4996</v>
      </c>
      <c r="K259" s="85" t="s">
        <v>4902</v>
      </c>
      <c r="L259" s="84"/>
      <c r="M259" s="85"/>
      <c r="N259" s="85"/>
      <c r="O259" s="85"/>
      <c r="P259" s="86" t="s">
        <v>2890</v>
      </c>
    </row>
    <row r="260" spans="2:16" ht="15.75" x14ac:dyDescent="0.25">
      <c r="B260" s="85" t="str">
        <f t="shared" si="21"/>
        <v>1</v>
      </c>
      <c r="C260" s="85" t="str">
        <f t="shared" si="22"/>
        <v>2</v>
      </c>
      <c r="D260" s="85" t="str">
        <f t="shared" si="23"/>
        <v>1</v>
      </c>
      <c r="E260" s="85" t="str">
        <f t="shared" si="24"/>
        <v>0</v>
      </c>
      <c r="F260" s="85" t="str">
        <f t="shared" si="25"/>
        <v>04</v>
      </c>
      <c r="G260" s="85" t="str">
        <f t="shared" si="26"/>
        <v>4</v>
      </c>
      <c r="H260" s="85" t="str">
        <f t="shared" si="27"/>
        <v>2</v>
      </c>
      <c r="I260" s="87">
        <v>12100442</v>
      </c>
      <c r="J260" s="85" t="s">
        <v>4997</v>
      </c>
      <c r="K260" s="85" t="s">
        <v>2892</v>
      </c>
      <c r="L260" s="84"/>
      <c r="M260" s="85"/>
      <c r="N260" s="85"/>
      <c r="O260" s="85"/>
      <c r="P260" s="86" t="s">
        <v>2890</v>
      </c>
    </row>
    <row r="261" spans="2:16" ht="15.75" x14ac:dyDescent="0.25">
      <c r="B261" s="85" t="str">
        <f t="shared" si="21"/>
        <v>1</v>
      </c>
      <c r="C261" s="85" t="str">
        <f t="shared" si="22"/>
        <v>2</v>
      </c>
      <c r="D261" s="85" t="str">
        <f t="shared" si="23"/>
        <v>1</v>
      </c>
      <c r="E261" s="85" t="str">
        <f t="shared" si="24"/>
        <v>0</v>
      </c>
      <c r="F261" s="85" t="str">
        <f t="shared" si="25"/>
        <v>04</v>
      </c>
      <c r="G261" s="85" t="str">
        <f t="shared" si="26"/>
        <v>4</v>
      </c>
      <c r="H261" s="85" t="str">
        <f t="shared" si="27"/>
        <v>3</v>
      </c>
      <c r="I261" s="87">
        <v>12100443</v>
      </c>
      <c r="J261" s="85" t="s">
        <v>4998</v>
      </c>
      <c r="K261" s="85" t="s">
        <v>2892</v>
      </c>
      <c r="L261" s="84"/>
      <c r="M261" s="85"/>
      <c r="N261" s="85"/>
      <c r="O261" s="85"/>
      <c r="P261" s="86" t="s">
        <v>2890</v>
      </c>
    </row>
    <row r="262" spans="2:16" ht="15.75" x14ac:dyDescent="0.25">
      <c r="B262" s="85" t="str">
        <f t="shared" si="21"/>
        <v>1</v>
      </c>
      <c r="C262" s="85" t="str">
        <f t="shared" si="22"/>
        <v>2</v>
      </c>
      <c r="D262" s="85" t="str">
        <f t="shared" si="23"/>
        <v>1</v>
      </c>
      <c r="E262" s="85" t="str">
        <f t="shared" si="24"/>
        <v>0</v>
      </c>
      <c r="F262" s="85" t="str">
        <f t="shared" si="25"/>
        <v>04</v>
      </c>
      <c r="G262" s="85" t="str">
        <f t="shared" si="26"/>
        <v>4</v>
      </c>
      <c r="H262" s="85" t="str">
        <f t="shared" si="27"/>
        <v>4</v>
      </c>
      <c r="I262" s="87">
        <v>12100444</v>
      </c>
      <c r="J262" s="85" t="s">
        <v>4999</v>
      </c>
      <c r="K262" s="85" t="s">
        <v>2892</v>
      </c>
      <c r="L262" s="84"/>
      <c r="M262" s="85"/>
      <c r="N262" s="85"/>
      <c r="O262" s="85"/>
      <c r="P262" s="86" t="s">
        <v>2890</v>
      </c>
    </row>
    <row r="263" spans="2:16" ht="30" x14ac:dyDescent="0.25">
      <c r="B263" s="114" t="str">
        <f t="shared" si="21"/>
        <v>1</v>
      </c>
      <c r="C263" s="114" t="str">
        <f t="shared" si="22"/>
        <v>2</v>
      </c>
      <c r="D263" s="114" t="str">
        <f t="shared" si="23"/>
        <v>1</v>
      </c>
      <c r="E263" s="114" t="str">
        <f t="shared" si="24"/>
        <v>0</v>
      </c>
      <c r="F263" s="114" t="str">
        <f t="shared" si="25"/>
        <v>04</v>
      </c>
      <c r="G263" s="114" t="str">
        <f t="shared" si="26"/>
        <v>5</v>
      </c>
      <c r="H263" s="114" t="str">
        <f t="shared" si="27"/>
        <v>0</v>
      </c>
      <c r="I263" s="115">
        <v>12100450</v>
      </c>
      <c r="J263" s="114" t="s">
        <v>3155</v>
      </c>
      <c r="K263" s="114" t="s">
        <v>3156</v>
      </c>
      <c r="L263" s="116"/>
      <c r="M263" s="114" t="s">
        <v>2878</v>
      </c>
      <c r="N263" s="114" t="s">
        <v>4980</v>
      </c>
      <c r="O263" s="114" t="s">
        <v>2878</v>
      </c>
      <c r="P263" s="117" t="s">
        <v>2880</v>
      </c>
    </row>
    <row r="264" spans="2:16" ht="45" x14ac:dyDescent="0.25">
      <c r="B264" s="85" t="str">
        <f t="shared" si="21"/>
        <v>1</v>
      </c>
      <c r="C264" s="85" t="str">
        <f t="shared" si="22"/>
        <v>2</v>
      </c>
      <c r="D264" s="85" t="str">
        <f t="shared" si="23"/>
        <v>1</v>
      </c>
      <c r="E264" s="85" t="str">
        <f t="shared" si="24"/>
        <v>0</v>
      </c>
      <c r="F264" s="85" t="str">
        <f t="shared" si="25"/>
        <v>04</v>
      </c>
      <c r="G264" s="85" t="str">
        <f t="shared" si="26"/>
        <v>5</v>
      </c>
      <c r="H264" s="85" t="str">
        <f t="shared" si="27"/>
        <v>1</v>
      </c>
      <c r="I264" s="87">
        <v>12100451</v>
      </c>
      <c r="J264" s="85" t="s">
        <v>3157</v>
      </c>
      <c r="K264" s="85" t="s">
        <v>3158</v>
      </c>
      <c r="L264" s="84"/>
      <c r="M264" s="85" t="s">
        <v>3149</v>
      </c>
      <c r="N264" s="85" t="s">
        <v>360</v>
      </c>
      <c r="O264" s="85" t="s">
        <v>3159</v>
      </c>
      <c r="P264" s="86" t="s">
        <v>2890</v>
      </c>
    </row>
    <row r="265" spans="2:16" ht="30" x14ac:dyDescent="0.25">
      <c r="B265" s="85" t="str">
        <f t="shared" si="21"/>
        <v>1</v>
      </c>
      <c r="C265" s="85" t="str">
        <f t="shared" si="22"/>
        <v>2</v>
      </c>
      <c r="D265" s="85" t="str">
        <f t="shared" si="23"/>
        <v>1</v>
      </c>
      <c r="E265" s="85" t="str">
        <f t="shared" si="24"/>
        <v>0</v>
      </c>
      <c r="F265" s="85" t="str">
        <f t="shared" si="25"/>
        <v>04</v>
      </c>
      <c r="G265" s="85" t="str">
        <f t="shared" si="26"/>
        <v>5</v>
      </c>
      <c r="H265" s="85" t="str">
        <f t="shared" si="27"/>
        <v>2</v>
      </c>
      <c r="I265" s="87">
        <v>12100452</v>
      </c>
      <c r="J265" s="85" t="s">
        <v>3160</v>
      </c>
      <c r="K265" s="85" t="s">
        <v>2892</v>
      </c>
      <c r="L265" s="84"/>
      <c r="M265" s="85" t="s">
        <v>2892</v>
      </c>
      <c r="N265" s="85" t="s">
        <v>2879</v>
      </c>
      <c r="O265" s="85" t="s">
        <v>2892</v>
      </c>
      <c r="P265" s="86" t="s">
        <v>2890</v>
      </c>
    </row>
    <row r="266" spans="2:16" ht="30" x14ac:dyDescent="0.25">
      <c r="B266" s="85" t="str">
        <f t="shared" si="21"/>
        <v>1</v>
      </c>
      <c r="C266" s="85" t="str">
        <f t="shared" si="22"/>
        <v>2</v>
      </c>
      <c r="D266" s="85" t="str">
        <f t="shared" si="23"/>
        <v>1</v>
      </c>
      <c r="E266" s="85" t="str">
        <f t="shared" si="24"/>
        <v>0</v>
      </c>
      <c r="F266" s="85" t="str">
        <f t="shared" si="25"/>
        <v>04</v>
      </c>
      <c r="G266" s="85" t="str">
        <f t="shared" si="26"/>
        <v>5</v>
      </c>
      <c r="H266" s="85" t="str">
        <f t="shared" si="27"/>
        <v>3</v>
      </c>
      <c r="I266" s="87">
        <v>12100453</v>
      </c>
      <c r="J266" s="85" t="s">
        <v>3161</v>
      </c>
      <c r="K266" s="85" t="s">
        <v>2892</v>
      </c>
      <c r="L266" s="84"/>
      <c r="M266" s="85" t="s">
        <v>2892</v>
      </c>
      <c r="N266" s="85" t="s">
        <v>2879</v>
      </c>
      <c r="O266" s="85" t="s">
        <v>2892</v>
      </c>
      <c r="P266" s="86" t="s">
        <v>2890</v>
      </c>
    </row>
    <row r="267" spans="2:16" ht="30" x14ac:dyDescent="0.25">
      <c r="B267" s="85" t="str">
        <f t="shared" si="21"/>
        <v>1</v>
      </c>
      <c r="C267" s="85" t="str">
        <f t="shared" si="22"/>
        <v>2</v>
      </c>
      <c r="D267" s="85" t="str">
        <f t="shared" si="23"/>
        <v>1</v>
      </c>
      <c r="E267" s="85" t="str">
        <f t="shared" si="24"/>
        <v>0</v>
      </c>
      <c r="F267" s="85" t="str">
        <f t="shared" si="25"/>
        <v>04</v>
      </c>
      <c r="G267" s="85" t="str">
        <f t="shared" si="26"/>
        <v>5</v>
      </c>
      <c r="H267" s="85" t="str">
        <f t="shared" si="27"/>
        <v>4</v>
      </c>
      <c r="I267" s="87">
        <v>12100454</v>
      </c>
      <c r="J267" s="85" t="s">
        <v>3162</v>
      </c>
      <c r="K267" s="85" t="s">
        <v>2892</v>
      </c>
      <c r="L267" s="84"/>
      <c r="M267" s="85" t="s">
        <v>2892</v>
      </c>
      <c r="N267" s="85" t="s">
        <v>2879</v>
      </c>
      <c r="O267" s="85" t="s">
        <v>2892</v>
      </c>
      <c r="P267" s="86" t="s">
        <v>2890</v>
      </c>
    </row>
    <row r="268" spans="2:16" ht="30" x14ac:dyDescent="0.25">
      <c r="B268" s="114" t="str">
        <f t="shared" si="21"/>
        <v>1</v>
      </c>
      <c r="C268" s="114" t="str">
        <f t="shared" si="22"/>
        <v>2</v>
      </c>
      <c r="D268" s="114" t="str">
        <f t="shared" si="23"/>
        <v>1</v>
      </c>
      <c r="E268" s="114" t="str">
        <f t="shared" si="24"/>
        <v>0</v>
      </c>
      <c r="F268" s="114" t="str">
        <f t="shared" si="25"/>
        <v>04</v>
      </c>
      <c r="G268" s="114" t="str">
        <f t="shared" si="26"/>
        <v>6</v>
      </c>
      <c r="H268" s="114" t="str">
        <f t="shared" si="27"/>
        <v>0</v>
      </c>
      <c r="I268" s="115">
        <v>12100460</v>
      </c>
      <c r="J268" s="114" t="s">
        <v>5000</v>
      </c>
      <c r="K268" s="114" t="s">
        <v>3163</v>
      </c>
      <c r="L268" s="116"/>
      <c r="M268" s="114" t="s">
        <v>2878</v>
      </c>
      <c r="N268" s="114" t="s">
        <v>4980</v>
      </c>
      <c r="O268" s="114" t="s">
        <v>2878</v>
      </c>
      <c r="P268" s="117" t="s">
        <v>2880</v>
      </c>
    </row>
    <row r="269" spans="2:16" ht="45" x14ac:dyDescent="0.25">
      <c r="B269" s="85" t="str">
        <f t="shared" si="21"/>
        <v>1</v>
      </c>
      <c r="C269" s="85" t="str">
        <f t="shared" si="22"/>
        <v>2</v>
      </c>
      <c r="D269" s="85" t="str">
        <f t="shared" si="23"/>
        <v>1</v>
      </c>
      <c r="E269" s="85" t="str">
        <f t="shared" si="24"/>
        <v>0</v>
      </c>
      <c r="F269" s="85" t="str">
        <f t="shared" si="25"/>
        <v>04</v>
      </c>
      <c r="G269" s="85" t="str">
        <f t="shared" si="26"/>
        <v>6</v>
      </c>
      <c r="H269" s="85" t="str">
        <f t="shared" si="27"/>
        <v>1</v>
      </c>
      <c r="I269" s="87">
        <v>12100461</v>
      </c>
      <c r="J269" s="85" t="s">
        <v>5001</v>
      </c>
      <c r="K269" s="85" t="s">
        <v>3165</v>
      </c>
      <c r="L269" s="84"/>
      <c r="M269" s="85" t="s">
        <v>3149</v>
      </c>
      <c r="N269" s="85" t="s">
        <v>2879</v>
      </c>
      <c r="O269" s="85" t="s">
        <v>3159</v>
      </c>
      <c r="P269" s="86" t="s">
        <v>2890</v>
      </c>
    </row>
    <row r="270" spans="2:16" ht="30" x14ac:dyDescent="0.25">
      <c r="B270" s="85" t="str">
        <f t="shared" si="21"/>
        <v>1</v>
      </c>
      <c r="C270" s="85" t="str">
        <f t="shared" si="22"/>
        <v>2</v>
      </c>
      <c r="D270" s="85" t="str">
        <f t="shared" si="23"/>
        <v>1</v>
      </c>
      <c r="E270" s="85" t="str">
        <f t="shared" si="24"/>
        <v>0</v>
      </c>
      <c r="F270" s="85" t="str">
        <f t="shared" si="25"/>
        <v>04</v>
      </c>
      <c r="G270" s="85" t="str">
        <f t="shared" si="26"/>
        <v>6</v>
      </c>
      <c r="H270" s="85" t="str">
        <f t="shared" si="27"/>
        <v>2</v>
      </c>
      <c r="I270" s="87">
        <v>12100462</v>
      </c>
      <c r="J270" s="85" t="s">
        <v>5002</v>
      </c>
      <c r="K270" s="85" t="s">
        <v>2892</v>
      </c>
      <c r="L270" s="84"/>
      <c r="M270" s="85" t="s">
        <v>2892</v>
      </c>
      <c r="N270" s="85" t="s">
        <v>2879</v>
      </c>
      <c r="O270" s="85" t="s">
        <v>2892</v>
      </c>
      <c r="P270" s="86" t="s">
        <v>2890</v>
      </c>
    </row>
    <row r="271" spans="2:16" ht="30" x14ac:dyDescent="0.25">
      <c r="B271" s="85" t="str">
        <f t="shared" si="21"/>
        <v>1</v>
      </c>
      <c r="C271" s="85" t="str">
        <f t="shared" si="22"/>
        <v>2</v>
      </c>
      <c r="D271" s="85" t="str">
        <f t="shared" si="23"/>
        <v>1</v>
      </c>
      <c r="E271" s="85" t="str">
        <f t="shared" si="24"/>
        <v>0</v>
      </c>
      <c r="F271" s="85" t="str">
        <f t="shared" si="25"/>
        <v>04</v>
      </c>
      <c r="G271" s="85" t="str">
        <f t="shared" si="26"/>
        <v>6</v>
      </c>
      <c r="H271" s="85" t="str">
        <f t="shared" si="27"/>
        <v>3</v>
      </c>
      <c r="I271" s="87">
        <v>12100463</v>
      </c>
      <c r="J271" s="85" t="s">
        <v>5003</v>
      </c>
      <c r="K271" s="85" t="s">
        <v>2892</v>
      </c>
      <c r="L271" s="84"/>
      <c r="M271" s="85" t="s">
        <v>2892</v>
      </c>
      <c r="N271" s="85" t="s">
        <v>2879</v>
      </c>
      <c r="O271" s="85" t="s">
        <v>2892</v>
      </c>
      <c r="P271" s="86" t="s">
        <v>2890</v>
      </c>
    </row>
    <row r="272" spans="2:16" ht="30" x14ac:dyDescent="0.25">
      <c r="B272" s="85" t="str">
        <f t="shared" si="21"/>
        <v>1</v>
      </c>
      <c r="C272" s="85" t="str">
        <f t="shared" si="22"/>
        <v>2</v>
      </c>
      <c r="D272" s="85" t="str">
        <f t="shared" si="23"/>
        <v>1</v>
      </c>
      <c r="E272" s="85" t="str">
        <f t="shared" si="24"/>
        <v>0</v>
      </c>
      <c r="F272" s="85" t="str">
        <f t="shared" si="25"/>
        <v>04</v>
      </c>
      <c r="G272" s="85" t="str">
        <f t="shared" si="26"/>
        <v>6</v>
      </c>
      <c r="H272" s="85" t="str">
        <f t="shared" si="27"/>
        <v>4</v>
      </c>
      <c r="I272" s="87">
        <v>12100464</v>
      </c>
      <c r="J272" s="85" t="s">
        <v>5004</v>
      </c>
      <c r="K272" s="85" t="s">
        <v>2892</v>
      </c>
      <c r="L272" s="84"/>
      <c r="M272" s="85" t="s">
        <v>2892</v>
      </c>
      <c r="N272" s="85" t="s">
        <v>2879</v>
      </c>
      <c r="O272" s="85" t="s">
        <v>2892</v>
      </c>
      <c r="P272" s="86" t="s">
        <v>2890</v>
      </c>
    </row>
    <row r="273" spans="2:16" ht="45" x14ac:dyDescent="0.25">
      <c r="B273" s="114" t="str">
        <f t="shared" si="21"/>
        <v>1</v>
      </c>
      <c r="C273" s="114" t="str">
        <f t="shared" si="22"/>
        <v>2</v>
      </c>
      <c r="D273" s="114" t="str">
        <f t="shared" si="23"/>
        <v>1</v>
      </c>
      <c r="E273" s="114" t="str">
        <f t="shared" si="24"/>
        <v>0</v>
      </c>
      <c r="F273" s="114" t="str">
        <f t="shared" si="25"/>
        <v>04</v>
      </c>
      <c r="G273" s="114" t="str">
        <f t="shared" si="26"/>
        <v>7</v>
      </c>
      <c r="H273" s="114" t="str">
        <f t="shared" si="27"/>
        <v>0</v>
      </c>
      <c r="I273" s="115">
        <v>12100470</v>
      </c>
      <c r="J273" s="114" t="s">
        <v>5005</v>
      </c>
      <c r="K273" s="114" t="s">
        <v>3166</v>
      </c>
      <c r="L273" s="116"/>
      <c r="M273" s="114" t="s">
        <v>2878</v>
      </c>
      <c r="N273" s="114" t="s">
        <v>4980</v>
      </c>
      <c r="O273" s="114" t="s">
        <v>2878</v>
      </c>
      <c r="P273" s="117" t="s">
        <v>2880</v>
      </c>
    </row>
    <row r="274" spans="2:16" ht="45" x14ac:dyDescent="0.25">
      <c r="B274" s="85" t="str">
        <f t="shared" si="21"/>
        <v>1</v>
      </c>
      <c r="C274" s="85" t="str">
        <f t="shared" si="22"/>
        <v>2</v>
      </c>
      <c r="D274" s="85" t="str">
        <f t="shared" si="23"/>
        <v>1</v>
      </c>
      <c r="E274" s="85" t="str">
        <f t="shared" si="24"/>
        <v>0</v>
      </c>
      <c r="F274" s="85" t="str">
        <f t="shared" si="25"/>
        <v>04</v>
      </c>
      <c r="G274" s="85" t="str">
        <f t="shared" si="26"/>
        <v>7</v>
      </c>
      <c r="H274" s="85" t="str">
        <f t="shared" si="27"/>
        <v>1</v>
      </c>
      <c r="I274" s="87">
        <v>12100471</v>
      </c>
      <c r="J274" s="85" t="s">
        <v>5006</v>
      </c>
      <c r="K274" s="85" t="s">
        <v>3167</v>
      </c>
      <c r="L274" s="84"/>
      <c r="M274" s="85" t="s">
        <v>3149</v>
      </c>
      <c r="N274" s="85" t="s">
        <v>2879</v>
      </c>
      <c r="O274" s="85" t="s">
        <v>3159</v>
      </c>
      <c r="P274" s="86" t="s">
        <v>2890</v>
      </c>
    </row>
    <row r="275" spans="2:16" ht="30" x14ac:dyDescent="0.25">
      <c r="B275" s="85" t="str">
        <f t="shared" si="21"/>
        <v>1</v>
      </c>
      <c r="C275" s="85" t="str">
        <f t="shared" si="22"/>
        <v>2</v>
      </c>
      <c r="D275" s="85" t="str">
        <f t="shared" si="23"/>
        <v>1</v>
      </c>
      <c r="E275" s="85" t="str">
        <f t="shared" si="24"/>
        <v>0</v>
      </c>
      <c r="F275" s="85" t="str">
        <f t="shared" si="25"/>
        <v>04</v>
      </c>
      <c r="G275" s="85" t="str">
        <f t="shared" si="26"/>
        <v>7</v>
      </c>
      <c r="H275" s="85" t="str">
        <f t="shared" si="27"/>
        <v>2</v>
      </c>
      <c r="I275" s="87">
        <v>12100472</v>
      </c>
      <c r="J275" s="85" t="s">
        <v>5007</v>
      </c>
      <c r="K275" s="85" t="s">
        <v>2892</v>
      </c>
      <c r="L275" s="84"/>
      <c r="M275" s="85" t="s">
        <v>2892</v>
      </c>
      <c r="N275" s="85" t="s">
        <v>2879</v>
      </c>
      <c r="O275" s="85" t="s">
        <v>2892</v>
      </c>
      <c r="P275" s="86" t="s">
        <v>2890</v>
      </c>
    </row>
    <row r="276" spans="2:16" ht="30" x14ac:dyDescent="0.25">
      <c r="B276" s="85" t="str">
        <f t="shared" si="21"/>
        <v>1</v>
      </c>
      <c r="C276" s="85" t="str">
        <f t="shared" si="22"/>
        <v>2</v>
      </c>
      <c r="D276" s="85" t="str">
        <f t="shared" si="23"/>
        <v>1</v>
      </c>
      <c r="E276" s="85" t="str">
        <f t="shared" si="24"/>
        <v>0</v>
      </c>
      <c r="F276" s="85" t="str">
        <f t="shared" si="25"/>
        <v>04</v>
      </c>
      <c r="G276" s="85" t="str">
        <f t="shared" si="26"/>
        <v>7</v>
      </c>
      <c r="H276" s="85" t="str">
        <f t="shared" si="27"/>
        <v>3</v>
      </c>
      <c r="I276" s="87">
        <v>12100473</v>
      </c>
      <c r="J276" s="85" t="s">
        <v>5008</v>
      </c>
      <c r="K276" s="85" t="s">
        <v>2892</v>
      </c>
      <c r="L276" s="84"/>
      <c r="M276" s="85" t="s">
        <v>2892</v>
      </c>
      <c r="N276" s="85" t="s">
        <v>2879</v>
      </c>
      <c r="O276" s="85" t="s">
        <v>2892</v>
      </c>
      <c r="P276" s="86" t="s">
        <v>2890</v>
      </c>
    </row>
    <row r="277" spans="2:16" ht="30" x14ac:dyDescent="0.25">
      <c r="B277" s="85" t="str">
        <f t="shared" si="21"/>
        <v>1</v>
      </c>
      <c r="C277" s="85" t="str">
        <f t="shared" si="22"/>
        <v>2</v>
      </c>
      <c r="D277" s="85" t="str">
        <f t="shared" si="23"/>
        <v>1</v>
      </c>
      <c r="E277" s="85" t="str">
        <f t="shared" si="24"/>
        <v>0</v>
      </c>
      <c r="F277" s="85" t="str">
        <f t="shared" si="25"/>
        <v>04</v>
      </c>
      <c r="G277" s="85" t="str">
        <f t="shared" si="26"/>
        <v>7</v>
      </c>
      <c r="H277" s="85" t="str">
        <f t="shared" si="27"/>
        <v>4</v>
      </c>
      <c r="I277" s="87">
        <v>12100474</v>
      </c>
      <c r="J277" s="85" t="s">
        <v>5009</v>
      </c>
      <c r="K277" s="85" t="s">
        <v>2892</v>
      </c>
      <c r="L277" s="84"/>
      <c r="M277" s="85" t="s">
        <v>2892</v>
      </c>
      <c r="N277" s="85" t="s">
        <v>2879</v>
      </c>
      <c r="O277" s="85" t="s">
        <v>2892</v>
      </c>
      <c r="P277" s="86" t="s">
        <v>2890</v>
      </c>
    </row>
    <row r="278" spans="2:16" ht="45" x14ac:dyDescent="0.25">
      <c r="B278" s="114" t="str">
        <f t="shared" si="21"/>
        <v>1</v>
      </c>
      <c r="C278" s="114" t="str">
        <f t="shared" si="22"/>
        <v>2</v>
      </c>
      <c r="D278" s="114" t="str">
        <f t="shared" si="23"/>
        <v>1</v>
      </c>
      <c r="E278" s="114" t="str">
        <f t="shared" si="24"/>
        <v>0</v>
      </c>
      <c r="F278" s="114" t="str">
        <f t="shared" si="25"/>
        <v>04</v>
      </c>
      <c r="G278" s="114" t="str">
        <f t="shared" si="26"/>
        <v>8</v>
      </c>
      <c r="H278" s="114" t="str">
        <f t="shared" si="27"/>
        <v>0</v>
      </c>
      <c r="I278" s="115">
        <v>12100480</v>
      </c>
      <c r="J278" s="114" t="s">
        <v>5010</v>
      </c>
      <c r="K278" s="114" t="s">
        <v>4905</v>
      </c>
      <c r="L278" s="116"/>
      <c r="M278" s="114"/>
      <c r="N278" s="114" t="s">
        <v>4980</v>
      </c>
      <c r="O278" s="114"/>
      <c r="P278" s="117" t="s">
        <v>2880</v>
      </c>
    </row>
    <row r="279" spans="2:16" ht="45" x14ac:dyDescent="0.25">
      <c r="B279" s="85" t="str">
        <f t="shared" si="21"/>
        <v>1</v>
      </c>
      <c r="C279" s="85" t="str">
        <f t="shared" si="22"/>
        <v>2</v>
      </c>
      <c r="D279" s="85" t="str">
        <f t="shared" si="23"/>
        <v>1</v>
      </c>
      <c r="E279" s="85" t="str">
        <f t="shared" si="24"/>
        <v>0</v>
      </c>
      <c r="F279" s="85" t="str">
        <f t="shared" si="25"/>
        <v>04</v>
      </c>
      <c r="G279" s="85" t="str">
        <f t="shared" si="26"/>
        <v>8</v>
      </c>
      <c r="H279" s="85" t="str">
        <f t="shared" si="27"/>
        <v>1</v>
      </c>
      <c r="I279" s="87">
        <v>12100481</v>
      </c>
      <c r="J279" s="85" t="s">
        <v>5011</v>
      </c>
      <c r="K279" s="85" t="s">
        <v>4905</v>
      </c>
      <c r="L279" s="84"/>
      <c r="M279" s="85"/>
      <c r="N279" s="85"/>
      <c r="O279" s="85"/>
      <c r="P279" s="86" t="s">
        <v>2890</v>
      </c>
    </row>
    <row r="280" spans="2:16" ht="30" x14ac:dyDescent="0.25">
      <c r="B280" s="85" t="str">
        <f t="shared" si="21"/>
        <v>1</v>
      </c>
      <c r="C280" s="85" t="str">
        <f t="shared" si="22"/>
        <v>2</v>
      </c>
      <c r="D280" s="85" t="str">
        <f t="shared" si="23"/>
        <v>1</v>
      </c>
      <c r="E280" s="85" t="str">
        <f t="shared" si="24"/>
        <v>0</v>
      </c>
      <c r="F280" s="85" t="str">
        <f t="shared" si="25"/>
        <v>04</v>
      </c>
      <c r="G280" s="85" t="str">
        <f t="shared" si="26"/>
        <v>8</v>
      </c>
      <c r="H280" s="85" t="str">
        <f t="shared" si="27"/>
        <v>2</v>
      </c>
      <c r="I280" s="87">
        <v>12100482</v>
      </c>
      <c r="J280" s="85" t="s">
        <v>5012</v>
      </c>
      <c r="K280" s="85" t="s">
        <v>2892</v>
      </c>
      <c r="L280" s="84"/>
      <c r="M280" s="85"/>
      <c r="N280" s="85"/>
      <c r="O280" s="85"/>
      <c r="P280" s="86" t="s">
        <v>2890</v>
      </c>
    </row>
    <row r="281" spans="2:16" ht="30" x14ac:dyDescent="0.25">
      <c r="B281" s="85" t="str">
        <f t="shared" si="21"/>
        <v>1</v>
      </c>
      <c r="C281" s="85" t="str">
        <f t="shared" si="22"/>
        <v>2</v>
      </c>
      <c r="D281" s="85" t="str">
        <f t="shared" si="23"/>
        <v>1</v>
      </c>
      <c r="E281" s="85" t="str">
        <f t="shared" si="24"/>
        <v>0</v>
      </c>
      <c r="F281" s="85" t="str">
        <f t="shared" si="25"/>
        <v>04</v>
      </c>
      <c r="G281" s="85" t="str">
        <f t="shared" si="26"/>
        <v>8</v>
      </c>
      <c r="H281" s="85" t="str">
        <f t="shared" si="27"/>
        <v>3</v>
      </c>
      <c r="I281" s="87">
        <v>12100483</v>
      </c>
      <c r="J281" s="85" t="s">
        <v>5013</v>
      </c>
      <c r="K281" s="85" t="s">
        <v>2892</v>
      </c>
      <c r="L281" s="84"/>
      <c r="M281" s="85"/>
      <c r="N281" s="85"/>
      <c r="O281" s="85"/>
      <c r="P281" s="86" t="s">
        <v>2890</v>
      </c>
    </row>
    <row r="282" spans="2:16" ht="30" x14ac:dyDescent="0.25">
      <c r="B282" s="85" t="str">
        <f t="shared" si="21"/>
        <v>1</v>
      </c>
      <c r="C282" s="85" t="str">
        <f t="shared" si="22"/>
        <v>2</v>
      </c>
      <c r="D282" s="85" t="str">
        <f t="shared" si="23"/>
        <v>1</v>
      </c>
      <c r="E282" s="85" t="str">
        <f t="shared" si="24"/>
        <v>0</v>
      </c>
      <c r="F282" s="85" t="str">
        <f t="shared" si="25"/>
        <v>04</v>
      </c>
      <c r="G282" s="85" t="str">
        <f t="shared" si="26"/>
        <v>8</v>
      </c>
      <c r="H282" s="85" t="str">
        <f t="shared" si="27"/>
        <v>4</v>
      </c>
      <c r="I282" s="87">
        <v>12100484</v>
      </c>
      <c r="J282" s="85" t="s">
        <v>5014</v>
      </c>
      <c r="K282" s="85" t="s">
        <v>2892</v>
      </c>
      <c r="L282" s="84"/>
      <c r="M282" s="85"/>
      <c r="N282" s="85"/>
      <c r="O282" s="85"/>
      <c r="P282" s="86" t="s">
        <v>2890</v>
      </c>
    </row>
    <row r="283" spans="2:16" ht="30" x14ac:dyDescent="0.25">
      <c r="B283" s="108" t="str">
        <f t="shared" si="21"/>
        <v>1</v>
      </c>
      <c r="C283" s="108" t="str">
        <f t="shared" si="22"/>
        <v>2</v>
      </c>
      <c r="D283" s="108" t="str">
        <f t="shared" si="23"/>
        <v>1</v>
      </c>
      <c r="E283" s="108" t="str">
        <f t="shared" si="24"/>
        <v>0</v>
      </c>
      <c r="F283" s="108" t="str">
        <f t="shared" si="25"/>
        <v>05</v>
      </c>
      <c r="G283" s="108" t="str">
        <f t="shared" si="26"/>
        <v>0</v>
      </c>
      <c r="H283" s="108" t="str">
        <f t="shared" si="27"/>
        <v>0</v>
      </c>
      <c r="I283" s="109">
        <v>12100500</v>
      </c>
      <c r="J283" s="108" t="s">
        <v>3168</v>
      </c>
      <c r="K283" s="108" t="s">
        <v>3169</v>
      </c>
      <c r="L283" s="110"/>
      <c r="M283" s="108" t="s">
        <v>2878</v>
      </c>
      <c r="N283" s="108" t="s">
        <v>2879</v>
      </c>
      <c r="O283" s="108" t="s">
        <v>2878</v>
      </c>
      <c r="P283" s="111" t="s">
        <v>2880</v>
      </c>
    </row>
    <row r="284" spans="2:16" ht="30" x14ac:dyDescent="0.25">
      <c r="B284" s="114" t="str">
        <f t="shared" si="21"/>
        <v>1</v>
      </c>
      <c r="C284" s="114" t="str">
        <f t="shared" si="22"/>
        <v>2</v>
      </c>
      <c r="D284" s="114" t="str">
        <f t="shared" si="23"/>
        <v>1</v>
      </c>
      <c r="E284" s="114" t="str">
        <f t="shared" si="24"/>
        <v>0</v>
      </c>
      <c r="F284" s="114" t="str">
        <f t="shared" si="25"/>
        <v>05</v>
      </c>
      <c r="G284" s="114" t="str">
        <f t="shared" si="26"/>
        <v>1</v>
      </c>
      <c r="H284" s="114" t="str">
        <f t="shared" si="27"/>
        <v>0</v>
      </c>
      <c r="I284" s="115">
        <v>12100510</v>
      </c>
      <c r="J284" s="114" t="s">
        <v>3168</v>
      </c>
      <c r="K284" s="114" t="s">
        <v>3169</v>
      </c>
      <c r="L284" s="116"/>
      <c r="M284" s="114" t="s">
        <v>2878</v>
      </c>
      <c r="N284" s="114" t="s">
        <v>2879</v>
      </c>
      <c r="O284" s="114" t="s">
        <v>2878</v>
      </c>
      <c r="P284" s="117" t="s">
        <v>2880</v>
      </c>
    </row>
    <row r="285" spans="2:16" ht="60" x14ac:dyDescent="0.25">
      <c r="B285" s="85" t="str">
        <f t="shared" si="21"/>
        <v>1</v>
      </c>
      <c r="C285" s="85" t="str">
        <f t="shared" si="22"/>
        <v>2</v>
      </c>
      <c r="D285" s="85" t="str">
        <f t="shared" si="23"/>
        <v>1</v>
      </c>
      <c r="E285" s="85" t="str">
        <f t="shared" si="24"/>
        <v>0</v>
      </c>
      <c r="F285" s="85" t="str">
        <f t="shared" si="25"/>
        <v>05</v>
      </c>
      <c r="G285" s="85" t="str">
        <f t="shared" si="26"/>
        <v>1</v>
      </c>
      <c r="H285" s="85" t="str">
        <f t="shared" si="27"/>
        <v>1</v>
      </c>
      <c r="I285" s="87">
        <v>12100511</v>
      </c>
      <c r="J285" s="85" t="s">
        <v>3170</v>
      </c>
      <c r="K285" s="85" t="s">
        <v>3171</v>
      </c>
      <c r="L285" s="84"/>
      <c r="M285" s="85" t="s">
        <v>3172</v>
      </c>
      <c r="N285" s="85" t="s">
        <v>2879</v>
      </c>
      <c r="O285" s="85" t="s">
        <v>3173</v>
      </c>
      <c r="P285" s="86" t="s">
        <v>2890</v>
      </c>
    </row>
    <row r="286" spans="2:16" ht="15.75" x14ac:dyDescent="0.25">
      <c r="B286" s="85" t="str">
        <f t="shared" si="21"/>
        <v>1</v>
      </c>
      <c r="C286" s="85" t="str">
        <f t="shared" si="22"/>
        <v>2</v>
      </c>
      <c r="D286" s="85" t="str">
        <f t="shared" si="23"/>
        <v>1</v>
      </c>
      <c r="E286" s="85" t="str">
        <f t="shared" si="24"/>
        <v>0</v>
      </c>
      <c r="F286" s="85" t="str">
        <f t="shared" si="25"/>
        <v>05</v>
      </c>
      <c r="G286" s="85" t="str">
        <f t="shared" si="26"/>
        <v>1</v>
      </c>
      <c r="H286" s="85" t="str">
        <f t="shared" si="27"/>
        <v>2</v>
      </c>
      <c r="I286" s="87">
        <v>12100512</v>
      </c>
      <c r="J286" s="85" t="s">
        <v>3174</v>
      </c>
      <c r="K286" s="85" t="s">
        <v>2892</v>
      </c>
      <c r="L286" s="84"/>
      <c r="M286" s="85" t="s">
        <v>2892</v>
      </c>
      <c r="N286" s="85" t="s">
        <v>2879</v>
      </c>
      <c r="O286" s="85" t="s">
        <v>2892</v>
      </c>
      <c r="P286" s="86" t="s">
        <v>2890</v>
      </c>
    </row>
    <row r="287" spans="2:16" ht="15.75" x14ac:dyDescent="0.25">
      <c r="B287" s="85" t="str">
        <f t="shared" si="21"/>
        <v>1</v>
      </c>
      <c r="C287" s="85" t="str">
        <f t="shared" si="22"/>
        <v>2</v>
      </c>
      <c r="D287" s="85" t="str">
        <f t="shared" si="23"/>
        <v>1</v>
      </c>
      <c r="E287" s="85" t="str">
        <f t="shared" si="24"/>
        <v>0</v>
      </c>
      <c r="F287" s="85" t="str">
        <f t="shared" si="25"/>
        <v>05</v>
      </c>
      <c r="G287" s="85" t="str">
        <f t="shared" si="26"/>
        <v>1</v>
      </c>
      <c r="H287" s="85" t="str">
        <f t="shared" si="27"/>
        <v>3</v>
      </c>
      <c r="I287" s="87">
        <v>12100513</v>
      </c>
      <c r="J287" s="85" t="s">
        <v>3175</v>
      </c>
      <c r="K287" s="85" t="s">
        <v>2892</v>
      </c>
      <c r="L287" s="84"/>
      <c r="M287" s="85" t="s">
        <v>2892</v>
      </c>
      <c r="N287" s="85" t="s">
        <v>2879</v>
      </c>
      <c r="O287" s="85" t="s">
        <v>2892</v>
      </c>
      <c r="P287" s="86" t="s">
        <v>2890</v>
      </c>
    </row>
    <row r="288" spans="2:16" ht="30" x14ac:dyDescent="0.25">
      <c r="B288" s="85" t="str">
        <f t="shared" si="21"/>
        <v>1</v>
      </c>
      <c r="C288" s="85" t="str">
        <f t="shared" si="22"/>
        <v>2</v>
      </c>
      <c r="D288" s="85" t="str">
        <f t="shared" si="23"/>
        <v>1</v>
      </c>
      <c r="E288" s="85" t="str">
        <f t="shared" si="24"/>
        <v>0</v>
      </c>
      <c r="F288" s="85" t="str">
        <f t="shared" si="25"/>
        <v>05</v>
      </c>
      <c r="G288" s="85" t="str">
        <f t="shared" si="26"/>
        <v>1</v>
      </c>
      <c r="H288" s="85" t="str">
        <f t="shared" si="27"/>
        <v>4</v>
      </c>
      <c r="I288" s="87">
        <v>12100514</v>
      </c>
      <c r="J288" s="85" t="s">
        <v>3176</v>
      </c>
      <c r="K288" s="85" t="s">
        <v>2892</v>
      </c>
      <c r="L288" s="84"/>
      <c r="M288" s="85" t="s">
        <v>2892</v>
      </c>
      <c r="N288" s="85" t="s">
        <v>2879</v>
      </c>
      <c r="O288" s="85" t="s">
        <v>2892</v>
      </c>
      <c r="P288" s="86" t="s">
        <v>2890</v>
      </c>
    </row>
    <row r="289" spans="2:16" ht="30" x14ac:dyDescent="0.25">
      <c r="B289" s="108" t="str">
        <f t="shared" si="21"/>
        <v>1</v>
      </c>
      <c r="C289" s="108" t="str">
        <f t="shared" si="22"/>
        <v>2</v>
      </c>
      <c r="D289" s="108" t="str">
        <f t="shared" si="23"/>
        <v>1</v>
      </c>
      <c r="E289" s="108" t="str">
        <f t="shared" si="24"/>
        <v>0</v>
      </c>
      <c r="F289" s="108" t="str">
        <f t="shared" si="25"/>
        <v>06</v>
      </c>
      <c r="G289" s="108" t="str">
        <f t="shared" si="26"/>
        <v>0</v>
      </c>
      <c r="H289" s="108" t="str">
        <f t="shared" si="27"/>
        <v>0</v>
      </c>
      <c r="I289" s="109">
        <v>12100600</v>
      </c>
      <c r="J289" s="108" t="s">
        <v>4915</v>
      </c>
      <c r="K289" s="108" t="s">
        <v>4916</v>
      </c>
      <c r="L289" s="110"/>
      <c r="M289" s="108" t="s">
        <v>2878</v>
      </c>
      <c r="N289" s="108" t="s">
        <v>4980</v>
      </c>
      <c r="O289" s="108" t="s">
        <v>2878</v>
      </c>
      <c r="P289" s="111" t="s">
        <v>2880</v>
      </c>
    </row>
    <row r="290" spans="2:16" ht="45" x14ac:dyDescent="0.25">
      <c r="B290" s="114" t="str">
        <f t="shared" si="21"/>
        <v>1</v>
      </c>
      <c r="C290" s="114" t="str">
        <f t="shared" si="22"/>
        <v>2</v>
      </c>
      <c r="D290" s="114" t="str">
        <f t="shared" si="23"/>
        <v>1</v>
      </c>
      <c r="E290" s="114" t="str">
        <f t="shared" si="24"/>
        <v>0</v>
      </c>
      <c r="F290" s="114" t="str">
        <f t="shared" si="25"/>
        <v>06</v>
      </c>
      <c r="G290" s="114" t="str">
        <f t="shared" si="26"/>
        <v>1</v>
      </c>
      <c r="H290" s="114" t="str">
        <f t="shared" si="27"/>
        <v>0</v>
      </c>
      <c r="I290" s="115">
        <v>12100610</v>
      </c>
      <c r="J290" s="114" t="s">
        <v>4917</v>
      </c>
      <c r="K290" s="114" t="s">
        <v>4918</v>
      </c>
      <c r="L290" s="116"/>
      <c r="M290" s="114" t="s">
        <v>2878</v>
      </c>
      <c r="N290" s="114" t="s">
        <v>4980</v>
      </c>
      <c r="O290" s="114" t="s">
        <v>2878</v>
      </c>
      <c r="P290" s="117" t="s">
        <v>2880</v>
      </c>
    </row>
    <row r="291" spans="2:16" ht="60" x14ac:dyDescent="0.25">
      <c r="B291" s="85" t="str">
        <f t="shared" si="21"/>
        <v>1</v>
      </c>
      <c r="C291" s="85" t="str">
        <f t="shared" si="22"/>
        <v>2</v>
      </c>
      <c r="D291" s="85" t="str">
        <f t="shared" si="23"/>
        <v>1</v>
      </c>
      <c r="E291" s="85" t="str">
        <f t="shared" si="24"/>
        <v>0</v>
      </c>
      <c r="F291" s="85" t="str">
        <f t="shared" si="25"/>
        <v>06</v>
      </c>
      <c r="G291" s="85" t="str">
        <f t="shared" si="26"/>
        <v>1</v>
      </c>
      <c r="H291" s="85" t="str">
        <f t="shared" si="27"/>
        <v>1</v>
      </c>
      <c r="I291" s="87">
        <v>12100611</v>
      </c>
      <c r="J291" s="85" t="s">
        <v>4919</v>
      </c>
      <c r="K291" s="85" t="s">
        <v>4925</v>
      </c>
      <c r="L291" s="84"/>
      <c r="M291" s="85" t="s">
        <v>3177</v>
      </c>
      <c r="N291" s="85" t="s">
        <v>423</v>
      </c>
      <c r="O291" s="85" t="s">
        <v>3178</v>
      </c>
      <c r="P291" s="86" t="s">
        <v>2890</v>
      </c>
    </row>
    <row r="292" spans="2:16" ht="30" x14ac:dyDescent="0.25">
      <c r="B292" s="85" t="str">
        <f t="shared" si="21"/>
        <v>1</v>
      </c>
      <c r="C292" s="85" t="str">
        <f t="shared" si="22"/>
        <v>2</v>
      </c>
      <c r="D292" s="85" t="str">
        <f t="shared" si="23"/>
        <v>1</v>
      </c>
      <c r="E292" s="85" t="str">
        <f t="shared" si="24"/>
        <v>0</v>
      </c>
      <c r="F292" s="85" t="str">
        <f t="shared" si="25"/>
        <v>06</v>
      </c>
      <c r="G292" s="85" t="str">
        <f t="shared" si="26"/>
        <v>1</v>
      </c>
      <c r="H292" s="85" t="str">
        <f t="shared" si="27"/>
        <v>2</v>
      </c>
      <c r="I292" s="87">
        <v>12100612</v>
      </c>
      <c r="J292" s="85" t="s">
        <v>4920</v>
      </c>
      <c r="K292" s="85" t="s">
        <v>2892</v>
      </c>
      <c r="L292" s="84"/>
      <c r="M292" s="85" t="s">
        <v>2892</v>
      </c>
      <c r="N292" s="85" t="s">
        <v>2879</v>
      </c>
      <c r="O292" s="85" t="s">
        <v>2892</v>
      </c>
      <c r="P292" s="86" t="s">
        <v>2890</v>
      </c>
    </row>
    <row r="293" spans="2:16" ht="30" x14ac:dyDescent="0.25">
      <c r="B293" s="85" t="str">
        <f t="shared" ref="B293:B364" si="28">MID($I293,1,1)</f>
        <v>1</v>
      </c>
      <c r="C293" s="85" t="str">
        <f t="shared" ref="C293:C364" si="29">MID($I293,2,1)</f>
        <v>2</v>
      </c>
      <c r="D293" s="85" t="str">
        <f t="shared" ref="D293:D364" si="30">MID($I293,3,1)</f>
        <v>1</v>
      </c>
      <c r="E293" s="85" t="str">
        <f t="shared" ref="E293:E364" si="31">MID($I293,4,1)</f>
        <v>0</v>
      </c>
      <c r="F293" s="85" t="str">
        <f t="shared" ref="F293:F364" si="32">MID($I293,5,2)</f>
        <v>06</v>
      </c>
      <c r="G293" s="85" t="str">
        <f t="shared" ref="G293:G364" si="33">MID($I293,7,1)</f>
        <v>1</v>
      </c>
      <c r="H293" s="85" t="str">
        <f t="shared" ref="H293:H364" si="34">MID($I293,8,1)</f>
        <v>3</v>
      </c>
      <c r="I293" s="87">
        <v>12100613</v>
      </c>
      <c r="J293" s="85" t="s">
        <v>4921</v>
      </c>
      <c r="K293" s="85" t="s">
        <v>2892</v>
      </c>
      <c r="L293" s="84"/>
      <c r="M293" s="85" t="s">
        <v>2892</v>
      </c>
      <c r="N293" s="85" t="s">
        <v>2879</v>
      </c>
      <c r="O293" s="85" t="s">
        <v>2892</v>
      </c>
      <c r="P293" s="86" t="s">
        <v>2890</v>
      </c>
    </row>
    <row r="294" spans="2:16" ht="30" x14ac:dyDescent="0.25">
      <c r="B294" s="85" t="str">
        <f t="shared" si="28"/>
        <v>1</v>
      </c>
      <c r="C294" s="85" t="str">
        <f t="shared" si="29"/>
        <v>2</v>
      </c>
      <c r="D294" s="85" t="str">
        <f t="shared" si="30"/>
        <v>1</v>
      </c>
      <c r="E294" s="85" t="str">
        <f t="shared" si="31"/>
        <v>0</v>
      </c>
      <c r="F294" s="85" t="str">
        <f t="shared" si="32"/>
        <v>06</v>
      </c>
      <c r="G294" s="85" t="str">
        <f t="shared" si="33"/>
        <v>1</v>
      </c>
      <c r="H294" s="85" t="str">
        <f t="shared" si="34"/>
        <v>4</v>
      </c>
      <c r="I294" s="87">
        <v>12100614</v>
      </c>
      <c r="J294" s="85" t="s">
        <v>4922</v>
      </c>
      <c r="K294" s="85" t="s">
        <v>2892</v>
      </c>
      <c r="L294" s="84"/>
      <c r="M294" s="85" t="s">
        <v>2892</v>
      </c>
      <c r="N294" s="85" t="s">
        <v>2879</v>
      </c>
      <c r="O294" s="85" t="s">
        <v>2892</v>
      </c>
      <c r="P294" s="86" t="s">
        <v>2890</v>
      </c>
    </row>
    <row r="295" spans="2:16" ht="30" x14ac:dyDescent="0.25">
      <c r="B295" s="114" t="str">
        <f t="shared" si="28"/>
        <v>1</v>
      </c>
      <c r="C295" s="114" t="str">
        <f t="shared" si="29"/>
        <v>2</v>
      </c>
      <c r="D295" s="114" t="str">
        <f t="shared" si="30"/>
        <v>1</v>
      </c>
      <c r="E295" s="114" t="str">
        <f t="shared" si="31"/>
        <v>0</v>
      </c>
      <c r="F295" s="114" t="str">
        <f t="shared" si="32"/>
        <v>06</v>
      </c>
      <c r="G295" s="114" t="str">
        <f t="shared" si="33"/>
        <v>2</v>
      </c>
      <c r="H295" s="114" t="str">
        <f t="shared" si="34"/>
        <v>0</v>
      </c>
      <c r="I295" s="115">
        <v>12100620</v>
      </c>
      <c r="J295" s="114" t="s">
        <v>4926</v>
      </c>
      <c r="K295" s="114" t="s">
        <v>4924</v>
      </c>
      <c r="L295" s="116"/>
      <c r="M295" s="114" t="s">
        <v>2878</v>
      </c>
      <c r="N295" s="114" t="s">
        <v>4980</v>
      </c>
      <c r="O295" s="114" t="s">
        <v>2878</v>
      </c>
      <c r="P295" s="117" t="s">
        <v>2880</v>
      </c>
    </row>
    <row r="296" spans="2:16" ht="60" x14ac:dyDescent="0.25">
      <c r="B296" s="85" t="str">
        <f t="shared" si="28"/>
        <v>1</v>
      </c>
      <c r="C296" s="85" t="str">
        <f t="shared" si="29"/>
        <v>2</v>
      </c>
      <c r="D296" s="85" t="str">
        <f t="shared" si="30"/>
        <v>1</v>
      </c>
      <c r="E296" s="85" t="str">
        <f t="shared" si="31"/>
        <v>0</v>
      </c>
      <c r="F296" s="85" t="str">
        <f t="shared" si="32"/>
        <v>06</v>
      </c>
      <c r="G296" s="85" t="str">
        <f t="shared" si="33"/>
        <v>2</v>
      </c>
      <c r="H296" s="85" t="str">
        <f t="shared" si="34"/>
        <v>1</v>
      </c>
      <c r="I296" s="87">
        <v>12100621</v>
      </c>
      <c r="J296" s="85" t="s">
        <v>4927</v>
      </c>
      <c r="K296" s="85" t="s">
        <v>4923</v>
      </c>
      <c r="L296" s="84"/>
      <c r="M296" s="85" t="s">
        <v>3177</v>
      </c>
      <c r="N296" s="85" t="s">
        <v>423</v>
      </c>
      <c r="O296" s="85" t="s">
        <v>3178</v>
      </c>
      <c r="P296" s="86" t="s">
        <v>2890</v>
      </c>
    </row>
    <row r="297" spans="2:16" ht="30" x14ac:dyDescent="0.25">
      <c r="B297" s="85" t="str">
        <f t="shared" si="28"/>
        <v>1</v>
      </c>
      <c r="C297" s="85" t="str">
        <f t="shared" si="29"/>
        <v>2</v>
      </c>
      <c r="D297" s="85" t="str">
        <f t="shared" si="30"/>
        <v>1</v>
      </c>
      <c r="E297" s="85" t="str">
        <f t="shared" si="31"/>
        <v>0</v>
      </c>
      <c r="F297" s="85" t="str">
        <f t="shared" si="32"/>
        <v>06</v>
      </c>
      <c r="G297" s="85" t="str">
        <f t="shared" si="33"/>
        <v>2</v>
      </c>
      <c r="H297" s="85" t="str">
        <f t="shared" si="34"/>
        <v>2</v>
      </c>
      <c r="I297" s="87">
        <v>12100622</v>
      </c>
      <c r="J297" s="85" t="s">
        <v>4928</v>
      </c>
      <c r="K297" s="85" t="s">
        <v>2892</v>
      </c>
      <c r="L297" s="84"/>
      <c r="M297" s="85" t="s">
        <v>2892</v>
      </c>
      <c r="N297" s="85" t="s">
        <v>2879</v>
      </c>
      <c r="O297" s="85" t="s">
        <v>2892</v>
      </c>
      <c r="P297" s="86" t="s">
        <v>2890</v>
      </c>
    </row>
    <row r="298" spans="2:16" ht="30" x14ac:dyDescent="0.25">
      <c r="B298" s="85" t="str">
        <f t="shared" si="28"/>
        <v>1</v>
      </c>
      <c r="C298" s="85" t="str">
        <f t="shared" si="29"/>
        <v>2</v>
      </c>
      <c r="D298" s="85" t="str">
        <f t="shared" si="30"/>
        <v>1</v>
      </c>
      <c r="E298" s="85" t="str">
        <f t="shared" si="31"/>
        <v>0</v>
      </c>
      <c r="F298" s="85" t="str">
        <f t="shared" si="32"/>
        <v>06</v>
      </c>
      <c r="G298" s="85" t="str">
        <f t="shared" si="33"/>
        <v>2</v>
      </c>
      <c r="H298" s="85" t="str">
        <f t="shared" si="34"/>
        <v>3</v>
      </c>
      <c r="I298" s="87">
        <v>12100623</v>
      </c>
      <c r="J298" s="85" t="s">
        <v>4929</v>
      </c>
      <c r="K298" s="85" t="s">
        <v>2892</v>
      </c>
      <c r="L298" s="84"/>
      <c r="M298" s="85" t="s">
        <v>2892</v>
      </c>
      <c r="N298" s="85" t="s">
        <v>2879</v>
      </c>
      <c r="O298" s="85" t="s">
        <v>2892</v>
      </c>
      <c r="P298" s="86" t="s">
        <v>2890</v>
      </c>
    </row>
    <row r="299" spans="2:16" ht="30" x14ac:dyDescent="0.25">
      <c r="B299" s="85" t="str">
        <f t="shared" si="28"/>
        <v>1</v>
      </c>
      <c r="C299" s="85" t="str">
        <f t="shared" si="29"/>
        <v>2</v>
      </c>
      <c r="D299" s="85" t="str">
        <f t="shared" si="30"/>
        <v>1</v>
      </c>
      <c r="E299" s="85" t="str">
        <f t="shared" si="31"/>
        <v>0</v>
      </c>
      <c r="F299" s="85" t="str">
        <f t="shared" si="32"/>
        <v>06</v>
      </c>
      <c r="G299" s="85" t="str">
        <f t="shared" si="33"/>
        <v>2</v>
      </c>
      <c r="H299" s="85" t="str">
        <f t="shared" si="34"/>
        <v>4</v>
      </c>
      <c r="I299" s="87">
        <v>12100624</v>
      </c>
      <c r="J299" s="85" t="s">
        <v>4930</v>
      </c>
      <c r="K299" s="85" t="s">
        <v>2892</v>
      </c>
      <c r="L299" s="84"/>
      <c r="M299" s="85" t="s">
        <v>2892</v>
      </c>
      <c r="N299" s="85" t="s">
        <v>2879</v>
      </c>
      <c r="O299" s="85" t="s">
        <v>2892</v>
      </c>
      <c r="P299" s="86" t="s">
        <v>2890</v>
      </c>
    </row>
    <row r="300" spans="2:16" ht="30" x14ac:dyDescent="0.25">
      <c r="B300" s="114" t="str">
        <f t="shared" si="28"/>
        <v>1</v>
      </c>
      <c r="C300" s="114" t="str">
        <f t="shared" si="29"/>
        <v>2</v>
      </c>
      <c r="D300" s="114" t="str">
        <f t="shared" si="30"/>
        <v>1</v>
      </c>
      <c r="E300" s="114" t="str">
        <f t="shared" si="31"/>
        <v>0</v>
      </c>
      <c r="F300" s="114" t="str">
        <f t="shared" si="32"/>
        <v>06</v>
      </c>
      <c r="G300" s="114" t="str">
        <f t="shared" si="33"/>
        <v>3</v>
      </c>
      <c r="H300" s="114" t="str">
        <f t="shared" si="34"/>
        <v>0</v>
      </c>
      <c r="I300" s="115">
        <v>12100630</v>
      </c>
      <c r="J300" s="114" t="s">
        <v>4931</v>
      </c>
      <c r="K300" s="114" t="s">
        <v>4937</v>
      </c>
      <c r="L300" s="116"/>
      <c r="M300" s="114"/>
      <c r="N300" s="114" t="s">
        <v>4980</v>
      </c>
      <c r="O300" s="114"/>
      <c r="P300" s="117" t="s">
        <v>2880</v>
      </c>
    </row>
    <row r="301" spans="2:16" ht="30" x14ac:dyDescent="0.25">
      <c r="B301" s="85" t="str">
        <f t="shared" si="28"/>
        <v>1</v>
      </c>
      <c r="C301" s="85" t="str">
        <f t="shared" si="29"/>
        <v>2</v>
      </c>
      <c r="D301" s="85" t="str">
        <f t="shared" si="30"/>
        <v>1</v>
      </c>
      <c r="E301" s="85" t="str">
        <f t="shared" si="31"/>
        <v>0</v>
      </c>
      <c r="F301" s="85" t="str">
        <f t="shared" si="32"/>
        <v>06</v>
      </c>
      <c r="G301" s="85" t="str">
        <f t="shared" si="33"/>
        <v>3</v>
      </c>
      <c r="H301" s="85" t="str">
        <f t="shared" si="34"/>
        <v>1</v>
      </c>
      <c r="I301" s="87">
        <v>12100631</v>
      </c>
      <c r="J301" s="85" t="s">
        <v>4932</v>
      </c>
      <c r="K301" s="85" t="s">
        <v>4936</v>
      </c>
      <c r="L301" s="84"/>
      <c r="M301" s="85"/>
      <c r="N301" s="85"/>
      <c r="O301" s="85"/>
      <c r="P301" s="86" t="s">
        <v>2890</v>
      </c>
    </row>
    <row r="302" spans="2:16" ht="30" x14ac:dyDescent="0.25">
      <c r="B302" s="85" t="str">
        <f t="shared" si="28"/>
        <v>1</v>
      </c>
      <c r="C302" s="85" t="str">
        <f t="shared" si="29"/>
        <v>2</v>
      </c>
      <c r="D302" s="85" t="str">
        <f t="shared" si="30"/>
        <v>1</v>
      </c>
      <c r="E302" s="85" t="str">
        <f t="shared" si="31"/>
        <v>0</v>
      </c>
      <c r="F302" s="85" t="str">
        <f t="shared" si="32"/>
        <v>06</v>
      </c>
      <c r="G302" s="85" t="str">
        <f t="shared" si="33"/>
        <v>3</v>
      </c>
      <c r="H302" s="85" t="str">
        <f t="shared" si="34"/>
        <v>2</v>
      </c>
      <c r="I302" s="87">
        <v>12100632</v>
      </c>
      <c r="J302" s="85" t="s">
        <v>4933</v>
      </c>
      <c r="K302" s="85" t="s">
        <v>2892</v>
      </c>
      <c r="L302" s="84"/>
      <c r="M302" s="85"/>
      <c r="N302" s="85"/>
      <c r="O302" s="85"/>
      <c r="P302" s="86" t="s">
        <v>2890</v>
      </c>
    </row>
    <row r="303" spans="2:16" ht="30" x14ac:dyDescent="0.25">
      <c r="B303" s="85" t="str">
        <f t="shared" si="28"/>
        <v>1</v>
      </c>
      <c r="C303" s="85" t="str">
        <f t="shared" si="29"/>
        <v>2</v>
      </c>
      <c r="D303" s="85" t="str">
        <f t="shared" si="30"/>
        <v>1</v>
      </c>
      <c r="E303" s="85" t="str">
        <f t="shared" si="31"/>
        <v>0</v>
      </c>
      <c r="F303" s="85" t="str">
        <f t="shared" si="32"/>
        <v>06</v>
      </c>
      <c r="G303" s="85" t="str">
        <f t="shared" si="33"/>
        <v>3</v>
      </c>
      <c r="H303" s="85" t="str">
        <f t="shared" si="34"/>
        <v>3</v>
      </c>
      <c r="I303" s="87">
        <v>12100633</v>
      </c>
      <c r="J303" s="85" t="s">
        <v>4934</v>
      </c>
      <c r="K303" s="85" t="s">
        <v>2892</v>
      </c>
      <c r="L303" s="84"/>
      <c r="M303" s="85"/>
      <c r="N303" s="85"/>
      <c r="O303" s="85"/>
      <c r="P303" s="86" t="s">
        <v>2890</v>
      </c>
    </row>
    <row r="304" spans="2:16" ht="30" x14ac:dyDescent="0.25">
      <c r="B304" s="85" t="str">
        <f t="shared" si="28"/>
        <v>1</v>
      </c>
      <c r="C304" s="85" t="str">
        <f t="shared" si="29"/>
        <v>2</v>
      </c>
      <c r="D304" s="85" t="str">
        <f t="shared" si="30"/>
        <v>1</v>
      </c>
      <c r="E304" s="85" t="str">
        <f t="shared" si="31"/>
        <v>0</v>
      </c>
      <c r="F304" s="85" t="str">
        <f t="shared" si="32"/>
        <v>06</v>
      </c>
      <c r="G304" s="85" t="str">
        <f t="shared" si="33"/>
        <v>3</v>
      </c>
      <c r="H304" s="85" t="str">
        <f t="shared" si="34"/>
        <v>4</v>
      </c>
      <c r="I304" s="87">
        <v>12100634</v>
      </c>
      <c r="J304" s="85" t="s">
        <v>4935</v>
      </c>
      <c r="K304" s="85" t="s">
        <v>2892</v>
      </c>
      <c r="L304" s="84"/>
      <c r="M304" s="85"/>
      <c r="N304" s="85"/>
      <c r="O304" s="85"/>
      <c r="P304" s="86" t="s">
        <v>2890</v>
      </c>
    </row>
    <row r="305" spans="2:16" ht="30" x14ac:dyDescent="0.25">
      <c r="B305" s="114" t="str">
        <f t="shared" si="28"/>
        <v>1</v>
      </c>
      <c r="C305" s="114" t="str">
        <f t="shared" si="29"/>
        <v>2</v>
      </c>
      <c r="D305" s="114" t="str">
        <f t="shared" si="30"/>
        <v>1</v>
      </c>
      <c r="E305" s="114" t="str">
        <f t="shared" si="31"/>
        <v>0</v>
      </c>
      <c r="F305" s="114" t="str">
        <f t="shared" si="32"/>
        <v>06</v>
      </c>
      <c r="G305" s="114" t="str">
        <f t="shared" si="33"/>
        <v>9</v>
      </c>
      <c r="H305" s="114" t="str">
        <f t="shared" si="34"/>
        <v>0</v>
      </c>
      <c r="I305" s="115">
        <v>12100690</v>
      </c>
      <c r="J305" s="114" t="s">
        <v>4938</v>
      </c>
      <c r="K305" s="114" t="s">
        <v>4943</v>
      </c>
      <c r="L305" s="116"/>
      <c r="M305" s="114"/>
      <c r="N305" s="114" t="s">
        <v>4980</v>
      </c>
      <c r="O305" s="114"/>
      <c r="P305" s="117" t="s">
        <v>2880</v>
      </c>
    </row>
    <row r="306" spans="2:16" ht="30" x14ac:dyDescent="0.25">
      <c r="B306" s="85" t="str">
        <f t="shared" si="28"/>
        <v>1</v>
      </c>
      <c r="C306" s="85" t="str">
        <f t="shared" si="29"/>
        <v>2</v>
      </c>
      <c r="D306" s="85" t="str">
        <f t="shared" si="30"/>
        <v>1</v>
      </c>
      <c r="E306" s="85" t="str">
        <f t="shared" si="31"/>
        <v>0</v>
      </c>
      <c r="F306" s="85" t="str">
        <f t="shared" si="32"/>
        <v>06</v>
      </c>
      <c r="G306" s="85" t="str">
        <f t="shared" si="33"/>
        <v>9</v>
      </c>
      <c r="H306" s="85" t="str">
        <f t="shared" si="34"/>
        <v>1</v>
      </c>
      <c r="I306" s="87">
        <v>12100691</v>
      </c>
      <c r="J306" s="85" t="s">
        <v>4939</v>
      </c>
      <c r="K306" s="85" t="s">
        <v>4944</v>
      </c>
      <c r="L306" s="84"/>
      <c r="M306" s="85"/>
      <c r="N306" s="85"/>
      <c r="O306" s="85"/>
      <c r="P306" s="86" t="s">
        <v>2890</v>
      </c>
    </row>
    <row r="307" spans="2:16" ht="30" x14ac:dyDescent="0.25">
      <c r="B307" s="85" t="str">
        <f t="shared" si="28"/>
        <v>1</v>
      </c>
      <c r="C307" s="85" t="str">
        <f t="shared" si="29"/>
        <v>2</v>
      </c>
      <c r="D307" s="85" t="str">
        <f t="shared" si="30"/>
        <v>1</v>
      </c>
      <c r="E307" s="85" t="str">
        <f t="shared" si="31"/>
        <v>0</v>
      </c>
      <c r="F307" s="85" t="str">
        <f t="shared" si="32"/>
        <v>06</v>
      </c>
      <c r="G307" s="85" t="str">
        <f t="shared" si="33"/>
        <v>9</v>
      </c>
      <c r="H307" s="85" t="str">
        <f t="shared" si="34"/>
        <v>2</v>
      </c>
      <c r="I307" s="87">
        <v>12100692</v>
      </c>
      <c r="J307" s="85" t="s">
        <v>4940</v>
      </c>
      <c r="K307" s="85" t="s">
        <v>2892</v>
      </c>
      <c r="L307" s="84"/>
      <c r="M307" s="85"/>
      <c r="N307" s="85"/>
      <c r="O307" s="85"/>
      <c r="P307" s="86" t="s">
        <v>2890</v>
      </c>
    </row>
    <row r="308" spans="2:16" ht="30" x14ac:dyDescent="0.25">
      <c r="B308" s="85" t="str">
        <f t="shared" si="28"/>
        <v>1</v>
      </c>
      <c r="C308" s="85" t="str">
        <f t="shared" si="29"/>
        <v>2</v>
      </c>
      <c r="D308" s="85" t="str">
        <f t="shared" si="30"/>
        <v>1</v>
      </c>
      <c r="E308" s="85" t="str">
        <f t="shared" si="31"/>
        <v>0</v>
      </c>
      <c r="F308" s="85" t="str">
        <f t="shared" si="32"/>
        <v>06</v>
      </c>
      <c r="G308" s="85" t="str">
        <f t="shared" si="33"/>
        <v>9</v>
      </c>
      <c r="H308" s="85" t="str">
        <f t="shared" si="34"/>
        <v>3</v>
      </c>
      <c r="I308" s="87">
        <v>12100693</v>
      </c>
      <c r="J308" s="85" t="s">
        <v>4941</v>
      </c>
      <c r="K308" s="85" t="s">
        <v>2892</v>
      </c>
      <c r="L308" s="84"/>
      <c r="M308" s="85"/>
      <c r="N308" s="85"/>
      <c r="O308" s="85"/>
      <c r="P308" s="86" t="s">
        <v>2890</v>
      </c>
    </row>
    <row r="309" spans="2:16" ht="30" x14ac:dyDescent="0.25">
      <c r="B309" s="85" t="str">
        <f t="shared" si="28"/>
        <v>1</v>
      </c>
      <c r="C309" s="85" t="str">
        <f t="shared" si="29"/>
        <v>2</v>
      </c>
      <c r="D309" s="85" t="str">
        <f t="shared" si="30"/>
        <v>1</v>
      </c>
      <c r="E309" s="85" t="str">
        <f t="shared" si="31"/>
        <v>0</v>
      </c>
      <c r="F309" s="85" t="str">
        <f t="shared" si="32"/>
        <v>06</v>
      </c>
      <c r="G309" s="85" t="str">
        <f t="shared" si="33"/>
        <v>9</v>
      </c>
      <c r="H309" s="85" t="str">
        <f t="shared" si="34"/>
        <v>4</v>
      </c>
      <c r="I309" s="87">
        <v>12100694</v>
      </c>
      <c r="J309" s="85" t="s">
        <v>4942</v>
      </c>
      <c r="K309" s="85" t="s">
        <v>2892</v>
      </c>
      <c r="L309" s="84"/>
      <c r="M309" s="85"/>
      <c r="N309" s="85"/>
      <c r="O309" s="85"/>
      <c r="P309" s="86" t="s">
        <v>2890</v>
      </c>
    </row>
    <row r="310" spans="2:16" ht="45" x14ac:dyDescent="0.25">
      <c r="B310" s="108" t="str">
        <f t="shared" si="28"/>
        <v>1</v>
      </c>
      <c r="C310" s="108" t="str">
        <f t="shared" si="29"/>
        <v>2</v>
      </c>
      <c r="D310" s="108" t="str">
        <f t="shared" si="30"/>
        <v>1</v>
      </c>
      <c r="E310" s="108" t="str">
        <f t="shared" si="31"/>
        <v>0</v>
      </c>
      <c r="F310" s="108" t="str">
        <f t="shared" si="32"/>
        <v>07</v>
      </c>
      <c r="G310" s="108" t="str">
        <f t="shared" si="33"/>
        <v>0</v>
      </c>
      <c r="H310" s="108" t="str">
        <f t="shared" si="34"/>
        <v>0</v>
      </c>
      <c r="I310" s="109">
        <v>12100700</v>
      </c>
      <c r="J310" s="108" t="s">
        <v>3179</v>
      </c>
      <c r="K310" s="108" t="s">
        <v>3180</v>
      </c>
      <c r="L310" s="110"/>
      <c r="M310" s="108" t="s">
        <v>2878</v>
      </c>
      <c r="N310" s="108" t="s">
        <v>2879</v>
      </c>
      <c r="O310" s="108" t="s">
        <v>2878</v>
      </c>
      <c r="P310" s="111" t="s">
        <v>2880</v>
      </c>
    </row>
    <row r="311" spans="2:16" ht="30" x14ac:dyDescent="0.25">
      <c r="B311" s="114" t="str">
        <f t="shared" si="28"/>
        <v>1</v>
      </c>
      <c r="C311" s="114" t="str">
        <f t="shared" si="29"/>
        <v>2</v>
      </c>
      <c r="D311" s="114" t="str">
        <f t="shared" si="30"/>
        <v>1</v>
      </c>
      <c r="E311" s="114" t="str">
        <f t="shared" si="31"/>
        <v>0</v>
      </c>
      <c r="F311" s="114" t="str">
        <f t="shared" si="32"/>
        <v>07</v>
      </c>
      <c r="G311" s="114" t="str">
        <f t="shared" si="33"/>
        <v>1</v>
      </c>
      <c r="H311" s="114" t="str">
        <f t="shared" si="34"/>
        <v>0</v>
      </c>
      <c r="I311" s="115">
        <v>12100710</v>
      </c>
      <c r="J311" s="114" t="s">
        <v>3181</v>
      </c>
      <c r="K311" s="114" t="s">
        <v>3182</v>
      </c>
      <c r="L311" s="116"/>
      <c r="M311" s="114" t="s">
        <v>2878</v>
      </c>
      <c r="N311" s="114" t="s">
        <v>2879</v>
      </c>
      <c r="O311" s="114" t="s">
        <v>2878</v>
      </c>
      <c r="P311" s="117" t="s">
        <v>2880</v>
      </c>
    </row>
    <row r="312" spans="2:16" ht="30.75" customHeight="1" x14ac:dyDescent="0.25">
      <c r="B312" s="85" t="str">
        <f t="shared" si="28"/>
        <v>1</v>
      </c>
      <c r="C312" s="85" t="str">
        <f t="shared" si="29"/>
        <v>2</v>
      </c>
      <c r="D312" s="85" t="str">
        <f t="shared" si="30"/>
        <v>1</v>
      </c>
      <c r="E312" s="85" t="str">
        <f t="shared" si="31"/>
        <v>0</v>
      </c>
      <c r="F312" s="85" t="str">
        <f t="shared" si="32"/>
        <v>07</v>
      </c>
      <c r="G312" s="85" t="str">
        <f t="shared" si="33"/>
        <v>1</v>
      </c>
      <c r="H312" s="85" t="str">
        <f t="shared" si="34"/>
        <v>1</v>
      </c>
      <c r="I312" s="87">
        <v>12100711</v>
      </c>
      <c r="J312" s="85" t="s">
        <v>3183</v>
      </c>
      <c r="K312" s="85" t="s">
        <v>3184</v>
      </c>
      <c r="L312" s="84"/>
      <c r="M312" s="85" t="s">
        <v>3185</v>
      </c>
      <c r="N312" s="85" t="s">
        <v>2879</v>
      </c>
      <c r="O312" s="85" t="s">
        <v>3186</v>
      </c>
      <c r="P312" s="86" t="s">
        <v>2890</v>
      </c>
    </row>
    <row r="313" spans="2:16" ht="15.75" x14ac:dyDescent="0.25">
      <c r="B313" s="85" t="str">
        <f t="shared" si="28"/>
        <v>1</v>
      </c>
      <c r="C313" s="85" t="str">
        <f t="shared" si="29"/>
        <v>2</v>
      </c>
      <c r="D313" s="85" t="str">
        <f t="shared" si="30"/>
        <v>1</v>
      </c>
      <c r="E313" s="85" t="str">
        <f t="shared" si="31"/>
        <v>0</v>
      </c>
      <c r="F313" s="85" t="str">
        <f t="shared" si="32"/>
        <v>07</v>
      </c>
      <c r="G313" s="85" t="str">
        <f t="shared" si="33"/>
        <v>1</v>
      </c>
      <c r="H313" s="85" t="str">
        <f t="shared" si="34"/>
        <v>2</v>
      </c>
      <c r="I313" s="87">
        <v>12100712</v>
      </c>
      <c r="J313" s="85" t="s">
        <v>3187</v>
      </c>
      <c r="K313" s="85" t="s">
        <v>2892</v>
      </c>
      <c r="L313" s="84"/>
      <c r="M313" s="85" t="s">
        <v>2892</v>
      </c>
      <c r="N313" s="85" t="s">
        <v>2879</v>
      </c>
      <c r="O313" s="85" t="s">
        <v>2892</v>
      </c>
      <c r="P313" s="86" t="s">
        <v>2890</v>
      </c>
    </row>
    <row r="314" spans="2:16" ht="15.75" x14ac:dyDescent="0.25">
      <c r="B314" s="85" t="str">
        <f t="shared" si="28"/>
        <v>1</v>
      </c>
      <c r="C314" s="85" t="str">
        <f t="shared" si="29"/>
        <v>2</v>
      </c>
      <c r="D314" s="85" t="str">
        <f t="shared" si="30"/>
        <v>1</v>
      </c>
      <c r="E314" s="85" t="str">
        <f t="shared" si="31"/>
        <v>0</v>
      </c>
      <c r="F314" s="85" t="str">
        <f t="shared" si="32"/>
        <v>07</v>
      </c>
      <c r="G314" s="85" t="str">
        <f t="shared" si="33"/>
        <v>1</v>
      </c>
      <c r="H314" s="85" t="str">
        <f t="shared" si="34"/>
        <v>3</v>
      </c>
      <c r="I314" s="87">
        <v>12100713</v>
      </c>
      <c r="J314" s="85" t="s">
        <v>3188</v>
      </c>
      <c r="K314" s="85" t="s">
        <v>2892</v>
      </c>
      <c r="L314" s="84"/>
      <c r="M314" s="85" t="s">
        <v>2892</v>
      </c>
      <c r="N314" s="85" t="s">
        <v>423</v>
      </c>
      <c r="O314" s="85" t="s">
        <v>2892</v>
      </c>
      <c r="P314" s="86" t="s">
        <v>2890</v>
      </c>
    </row>
    <row r="315" spans="2:16" ht="15.75" x14ac:dyDescent="0.25">
      <c r="B315" s="85" t="str">
        <f t="shared" si="28"/>
        <v>1</v>
      </c>
      <c r="C315" s="85" t="str">
        <f t="shared" si="29"/>
        <v>2</v>
      </c>
      <c r="D315" s="85" t="str">
        <f t="shared" si="30"/>
        <v>1</v>
      </c>
      <c r="E315" s="85" t="str">
        <f t="shared" si="31"/>
        <v>0</v>
      </c>
      <c r="F315" s="85" t="str">
        <f t="shared" si="32"/>
        <v>07</v>
      </c>
      <c r="G315" s="85" t="str">
        <f t="shared" si="33"/>
        <v>1</v>
      </c>
      <c r="H315" s="85" t="str">
        <f t="shared" si="34"/>
        <v>4</v>
      </c>
      <c r="I315" s="87">
        <v>12100714</v>
      </c>
      <c r="J315" s="85" t="s">
        <v>3189</v>
      </c>
      <c r="K315" s="85" t="s">
        <v>2892</v>
      </c>
      <c r="L315" s="84"/>
      <c r="M315" s="85" t="s">
        <v>2892</v>
      </c>
      <c r="N315" s="85" t="s">
        <v>423</v>
      </c>
      <c r="O315" s="85" t="s">
        <v>2892</v>
      </c>
      <c r="P315" s="86" t="s">
        <v>2890</v>
      </c>
    </row>
    <row r="316" spans="2:16" ht="30" x14ac:dyDescent="0.25">
      <c r="B316" s="114" t="str">
        <f t="shared" si="28"/>
        <v>1</v>
      </c>
      <c r="C316" s="114" t="str">
        <f t="shared" si="29"/>
        <v>2</v>
      </c>
      <c r="D316" s="114" t="str">
        <f t="shared" si="30"/>
        <v>1</v>
      </c>
      <c r="E316" s="114" t="str">
        <f t="shared" si="31"/>
        <v>0</v>
      </c>
      <c r="F316" s="114" t="str">
        <f t="shared" si="32"/>
        <v>07</v>
      </c>
      <c r="G316" s="114" t="str">
        <f t="shared" si="33"/>
        <v>2</v>
      </c>
      <c r="H316" s="114" t="str">
        <f t="shared" si="34"/>
        <v>0</v>
      </c>
      <c r="I316" s="115">
        <v>12100720</v>
      </c>
      <c r="J316" s="114" t="s">
        <v>3190</v>
      </c>
      <c r="K316" s="114" t="s">
        <v>3191</v>
      </c>
      <c r="L316" s="116"/>
      <c r="M316" s="114" t="s">
        <v>2878</v>
      </c>
      <c r="N316" s="114" t="s">
        <v>2879</v>
      </c>
      <c r="O316" s="114" t="s">
        <v>2878</v>
      </c>
      <c r="P316" s="117" t="s">
        <v>2880</v>
      </c>
    </row>
    <row r="317" spans="2:16" ht="19.5" customHeight="1" x14ac:dyDescent="0.25">
      <c r="B317" s="85" t="str">
        <f t="shared" si="28"/>
        <v>1</v>
      </c>
      <c r="C317" s="85" t="str">
        <f t="shared" si="29"/>
        <v>2</v>
      </c>
      <c r="D317" s="85" t="str">
        <f t="shared" si="30"/>
        <v>1</v>
      </c>
      <c r="E317" s="85" t="str">
        <f t="shared" si="31"/>
        <v>0</v>
      </c>
      <c r="F317" s="85" t="str">
        <f t="shared" si="32"/>
        <v>07</v>
      </c>
      <c r="G317" s="85" t="str">
        <f t="shared" si="33"/>
        <v>2</v>
      </c>
      <c r="H317" s="85" t="str">
        <f t="shared" si="34"/>
        <v>1</v>
      </c>
      <c r="I317" s="87">
        <v>12100721</v>
      </c>
      <c r="J317" s="85" t="s">
        <v>3192</v>
      </c>
      <c r="K317" s="85" t="s">
        <v>3193</v>
      </c>
      <c r="L317" s="84"/>
      <c r="M317" s="85" t="s">
        <v>3194</v>
      </c>
      <c r="N317" s="85" t="s">
        <v>2879</v>
      </c>
      <c r="O317" s="85" t="s">
        <v>3195</v>
      </c>
      <c r="P317" s="86" t="s">
        <v>2890</v>
      </c>
    </row>
    <row r="318" spans="2:16" ht="15.75" x14ac:dyDescent="0.25">
      <c r="B318" s="85" t="str">
        <f t="shared" si="28"/>
        <v>1</v>
      </c>
      <c r="C318" s="85" t="str">
        <f t="shared" si="29"/>
        <v>2</v>
      </c>
      <c r="D318" s="85" t="str">
        <f t="shared" si="30"/>
        <v>1</v>
      </c>
      <c r="E318" s="85" t="str">
        <f t="shared" si="31"/>
        <v>0</v>
      </c>
      <c r="F318" s="85" t="str">
        <f t="shared" si="32"/>
        <v>07</v>
      </c>
      <c r="G318" s="85" t="str">
        <f t="shared" si="33"/>
        <v>2</v>
      </c>
      <c r="H318" s="85" t="str">
        <f t="shared" si="34"/>
        <v>2</v>
      </c>
      <c r="I318" s="87">
        <v>12100722</v>
      </c>
      <c r="J318" s="85" t="s">
        <v>3196</v>
      </c>
      <c r="K318" s="85" t="s">
        <v>2892</v>
      </c>
      <c r="L318" s="84"/>
      <c r="M318" s="85" t="s">
        <v>2892</v>
      </c>
      <c r="N318" s="85" t="s">
        <v>2879</v>
      </c>
      <c r="O318" s="85" t="s">
        <v>2892</v>
      </c>
      <c r="P318" s="86" t="s">
        <v>2890</v>
      </c>
    </row>
    <row r="319" spans="2:16" ht="15.75" x14ac:dyDescent="0.25">
      <c r="B319" s="85" t="str">
        <f t="shared" si="28"/>
        <v>1</v>
      </c>
      <c r="C319" s="85" t="str">
        <f t="shared" si="29"/>
        <v>2</v>
      </c>
      <c r="D319" s="85" t="str">
        <f t="shared" si="30"/>
        <v>1</v>
      </c>
      <c r="E319" s="85" t="str">
        <f t="shared" si="31"/>
        <v>0</v>
      </c>
      <c r="F319" s="85" t="str">
        <f t="shared" si="32"/>
        <v>07</v>
      </c>
      <c r="G319" s="85" t="str">
        <f t="shared" si="33"/>
        <v>2</v>
      </c>
      <c r="H319" s="85" t="str">
        <f t="shared" si="34"/>
        <v>3</v>
      </c>
      <c r="I319" s="87">
        <v>12100723</v>
      </c>
      <c r="J319" s="85" t="s">
        <v>3197</v>
      </c>
      <c r="K319" s="85" t="s">
        <v>2892</v>
      </c>
      <c r="L319" s="84"/>
      <c r="M319" s="85" t="s">
        <v>2892</v>
      </c>
      <c r="N319" s="85" t="s">
        <v>423</v>
      </c>
      <c r="O319" s="85" t="s">
        <v>2892</v>
      </c>
      <c r="P319" s="86" t="s">
        <v>2890</v>
      </c>
    </row>
    <row r="320" spans="2:16" ht="15.75" x14ac:dyDescent="0.25">
      <c r="B320" s="85" t="str">
        <f t="shared" si="28"/>
        <v>1</v>
      </c>
      <c r="C320" s="85" t="str">
        <f t="shared" si="29"/>
        <v>2</v>
      </c>
      <c r="D320" s="85" t="str">
        <f t="shared" si="30"/>
        <v>1</v>
      </c>
      <c r="E320" s="85" t="str">
        <f t="shared" si="31"/>
        <v>0</v>
      </c>
      <c r="F320" s="85" t="str">
        <f t="shared" si="32"/>
        <v>07</v>
      </c>
      <c r="G320" s="85" t="str">
        <f t="shared" si="33"/>
        <v>2</v>
      </c>
      <c r="H320" s="85" t="str">
        <f t="shared" si="34"/>
        <v>4</v>
      </c>
      <c r="I320" s="87">
        <v>12100724</v>
      </c>
      <c r="J320" s="85" t="s">
        <v>3198</v>
      </c>
      <c r="K320" s="85" t="s">
        <v>2892</v>
      </c>
      <c r="L320" s="84"/>
      <c r="M320" s="85" t="s">
        <v>2892</v>
      </c>
      <c r="N320" s="85" t="s">
        <v>423</v>
      </c>
      <c r="O320" s="85" t="s">
        <v>2892</v>
      </c>
      <c r="P320" s="86" t="s">
        <v>2890</v>
      </c>
    </row>
    <row r="321" spans="2:16" ht="60" x14ac:dyDescent="0.25">
      <c r="B321" s="114" t="str">
        <f t="shared" si="28"/>
        <v>1</v>
      </c>
      <c r="C321" s="114" t="str">
        <f t="shared" si="29"/>
        <v>2</v>
      </c>
      <c r="D321" s="114" t="str">
        <f t="shared" si="30"/>
        <v>1</v>
      </c>
      <c r="E321" s="114" t="str">
        <f t="shared" si="31"/>
        <v>0</v>
      </c>
      <c r="F321" s="114" t="str">
        <f t="shared" si="32"/>
        <v>07</v>
      </c>
      <c r="G321" s="114" t="str">
        <f t="shared" si="33"/>
        <v>3</v>
      </c>
      <c r="H321" s="114" t="str">
        <f t="shared" si="34"/>
        <v>0</v>
      </c>
      <c r="I321" s="115">
        <v>12100730</v>
      </c>
      <c r="J321" s="114" t="s">
        <v>3199</v>
      </c>
      <c r="K321" s="114" t="s">
        <v>3200</v>
      </c>
      <c r="L321" s="116"/>
      <c r="M321" s="114" t="s">
        <v>2878</v>
      </c>
      <c r="N321" s="114" t="s">
        <v>2879</v>
      </c>
      <c r="O321" s="114" t="s">
        <v>2878</v>
      </c>
      <c r="P321" s="117" t="s">
        <v>2880</v>
      </c>
    </row>
    <row r="322" spans="2:16" ht="165" x14ac:dyDescent="0.25">
      <c r="B322" s="85" t="str">
        <f t="shared" si="28"/>
        <v>1</v>
      </c>
      <c r="C322" s="85" t="str">
        <f t="shared" si="29"/>
        <v>2</v>
      </c>
      <c r="D322" s="85" t="str">
        <f t="shared" si="30"/>
        <v>1</v>
      </c>
      <c r="E322" s="85" t="str">
        <f t="shared" si="31"/>
        <v>0</v>
      </c>
      <c r="F322" s="85" t="str">
        <f t="shared" si="32"/>
        <v>07</v>
      </c>
      <c r="G322" s="85" t="str">
        <f t="shared" si="33"/>
        <v>3</v>
      </c>
      <c r="H322" s="85" t="str">
        <f t="shared" si="34"/>
        <v>1</v>
      </c>
      <c r="I322" s="87">
        <v>12100731</v>
      </c>
      <c r="J322" s="85" t="s">
        <v>3201</v>
      </c>
      <c r="K322" s="85" t="s">
        <v>3202</v>
      </c>
      <c r="L322" s="84"/>
      <c r="M322" s="85" t="s">
        <v>3194</v>
      </c>
      <c r="N322" s="85" t="s">
        <v>2879</v>
      </c>
      <c r="O322" s="85" t="s">
        <v>3203</v>
      </c>
      <c r="P322" s="86" t="s">
        <v>2890</v>
      </c>
    </row>
    <row r="323" spans="2:16" ht="30" x14ac:dyDescent="0.25">
      <c r="B323" s="85" t="str">
        <f t="shared" si="28"/>
        <v>1</v>
      </c>
      <c r="C323" s="85" t="str">
        <f t="shared" si="29"/>
        <v>2</v>
      </c>
      <c r="D323" s="85" t="str">
        <f t="shared" si="30"/>
        <v>1</v>
      </c>
      <c r="E323" s="85" t="str">
        <f t="shared" si="31"/>
        <v>0</v>
      </c>
      <c r="F323" s="85" t="str">
        <f t="shared" si="32"/>
        <v>07</v>
      </c>
      <c r="G323" s="85" t="str">
        <f t="shared" si="33"/>
        <v>3</v>
      </c>
      <c r="H323" s="85" t="str">
        <f t="shared" si="34"/>
        <v>2</v>
      </c>
      <c r="I323" s="87">
        <v>12100732</v>
      </c>
      <c r="J323" s="85" t="s">
        <v>3204</v>
      </c>
      <c r="K323" s="85" t="s">
        <v>2892</v>
      </c>
      <c r="L323" s="84"/>
      <c r="M323" s="85" t="s">
        <v>2892</v>
      </c>
      <c r="N323" s="85" t="s">
        <v>2879</v>
      </c>
      <c r="O323" s="85" t="s">
        <v>2892</v>
      </c>
      <c r="P323" s="86" t="s">
        <v>2890</v>
      </c>
    </row>
    <row r="324" spans="2:16" ht="15.75" x14ac:dyDescent="0.25">
      <c r="B324" s="85" t="str">
        <f t="shared" si="28"/>
        <v>1</v>
      </c>
      <c r="C324" s="85" t="str">
        <f t="shared" si="29"/>
        <v>2</v>
      </c>
      <c r="D324" s="85" t="str">
        <f t="shared" si="30"/>
        <v>1</v>
      </c>
      <c r="E324" s="85" t="str">
        <f t="shared" si="31"/>
        <v>0</v>
      </c>
      <c r="F324" s="85" t="str">
        <f t="shared" si="32"/>
        <v>07</v>
      </c>
      <c r="G324" s="85" t="str">
        <f t="shared" si="33"/>
        <v>3</v>
      </c>
      <c r="H324" s="85" t="str">
        <f t="shared" si="34"/>
        <v>3</v>
      </c>
      <c r="I324" s="87">
        <v>12100733</v>
      </c>
      <c r="J324" s="85" t="s">
        <v>3205</v>
      </c>
      <c r="K324" s="85" t="s">
        <v>2892</v>
      </c>
      <c r="L324" s="84"/>
      <c r="M324" s="85" t="s">
        <v>2892</v>
      </c>
      <c r="N324" s="85" t="s">
        <v>423</v>
      </c>
      <c r="O324" s="85" t="s">
        <v>2892</v>
      </c>
      <c r="P324" s="86" t="s">
        <v>2890</v>
      </c>
    </row>
    <row r="325" spans="2:16" ht="30" x14ac:dyDescent="0.25">
      <c r="B325" s="85" t="str">
        <f t="shared" si="28"/>
        <v>1</v>
      </c>
      <c r="C325" s="85" t="str">
        <f t="shared" si="29"/>
        <v>2</v>
      </c>
      <c r="D325" s="85" t="str">
        <f t="shared" si="30"/>
        <v>1</v>
      </c>
      <c r="E325" s="85" t="str">
        <f t="shared" si="31"/>
        <v>0</v>
      </c>
      <c r="F325" s="85" t="str">
        <f t="shared" si="32"/>
        <v>07</v>
      </c>
      <c r="G325" s="85" t="str">
        <f t="shared" si="33"/>
        <v>3</v>
      </c>
      <c r="H325" s="85" t="str">
        <f t="shared" si="34"/>
        <v>4</v>
      </c>
      <c r="I325" s="87">
        <v>12100734</v>
      </c>
      <c r="J325" s="85" t="s">
        <v>3206</v>
      </c>
      <c r="K325" s="85" t="s">
        <v>2892</v>
      </c>
      <c r="L325" s="84"/>
      <c r="M325" s="85" t="s">
        <v>2892</v>
      </c>
      <c r="N325" s="85" t="s">
        <v>423</v>
      </c>
      <c r="O325" s="85" t="s">
        <v>2892</v>
      </c>
      <c r="P325" s="86" t="s">
        <v>2890</v>
      </c>
    </row>
    <row r="326" spans="2:16" ht="30" x14ac:dyDescent="0.25">
      <c r="B326" s="114" t="str">
        <f t="shared" si="28"/>
        <v>1</v>
      </c>
      <c r="C326" s="114" t="str">
        <f t="shared" si="29"/>
        <v>2</v>
      </c>
      <c r="D326" s="114" t="str">
        <f t="shared" si="30"/>
        <v>1</v>
      </c>
      <c r="E326" s="114" t="str">
        <f t="shared" si="31"/>
        <v>0</v>
      </c>
      <c r="F326" s="114" t="str">
        <f t="shared" si="32"/>
        <v>07</v>
      </c>
      <c r="G326" s="114" t="str">
        <f t="shared" si="33"/>
        <v>4</v>
      </c>
      <c r="H326" s="114" t="str">
        <f t="shared" si="34"/>
        <v>0</v>
      </c>
      <c r="I326" s="115">
        <v>12100740</v>
      </c>
      <c r="J326" s="114" t="s">
        <v>3207</v>
      </c>
      <c r="K326" s="114" t="s">
        <v>3208</v>
      </c>
      <c r="L326" s="116"/>
      <c r="M326" s="114" t="s">
        <v>2878</v>
      </c>
      <c r="N326" s="114" t="s">
        <v>2879</v>
      </c>
      <c r="O326" s="114" t="s">
        <v>2878</v>
      </c>
      <c r="P326" s="117" t="s">
        <v>2880</v>
      </c>
    </row>
    <row r="327" spans="2:16" ht="135" x14ac:dyDescent="0.25">
      <c r="B327" s="85" t="str">
        <f t="shared" si="28"/>
        <v>1</v>
      </c>
      <c r="C327" s="85" t="str">
        <f t="shared" si="29"/>
        <v>2</v>
      </c>
      <c r="D327" s="85" t="str">
        <f t="shared" si="30"/>
        <v>1</v>
      </c>
      <c r="E327" s="85" t="str">
        <f t="shared" si="31"/>
        <v>0</v>
      </c>
      <c r="F327" s="85" t="str">
        <f t="shared" si="32"/>
        <v>07</v>
      </c>
      <c r="G327" s="85" t="str">
        <f t="shared" si="33"/>
        <v>4</v>
      </c>
      <c r="H327" s="85" t="str">
        <f t="shared" si="34"/>
        <v>1</v>
      </c>
      <c r="I327" s="87">
        <v>12100741</v>
      </c>
      <c r="J327" s="85" t="s">
        <v>3209</v>
      </c>
      <c r="K327" s="85" t="s">
        <v>3210</v>
      </c>
      <c r="L327" s="84"/>
      <c r="M327" s="85" t="s">
        <v>3194</v>
      </c>
      <c r="N327" s="85" t="s">
        <v>2879</v>
      </c>
      <c r="O327" s="85" t="s">
        <v>3211</v>
      </c>
      <c r="P327" s="86" t="s">
        <v>2890</v>
      </c>
    </row>
    <row r="328" spans="2:16" ht="15.75" x14ac:dyDescent="0.25">
      <c r="B328" s="85" t="str">
        <f t="shared" si="28"/>
        <v>1</v>
      </c>
      <c r="C328" s="85" t="str">
        <f t="shared" si="29"/>
        <v>2</v>
      </c>
      <c r="D328" s="85" t="str">
        <f t="shared" si="30"/>
        <v>1</v>
      </c>
      <c r="E328" s="85" t="str">
        <f t="shared" si="31"/>
        <v>0</v>
      </c>
      <c r="F328" s="85" t="str">
        <f t="shared" si="32"/>
        <v>07</v>
      </c>
      <c r="G328" s="85" t="str">
        <f t="shared" si="33"/>
        <v>4</v>
      </c>
      <c r="H328" s="85" t="str">
        <f t="shared" si="34"/>
        <v>2</v>
      </c>
      <c r="I328" s="87">
        <v>12100742</v>
      </c>
      <c r="J328" s="85" t="s">
        <v>3212</v>
      </c>
      <c r="K328" s="85" t="s">
        <v>2892</v>
      </c>
      <c r="L328" s="84"/>
      <c r="M328" s="85" t="s">
        <v>2892</v>
      </c>
      <c r="N328" s="85" t="s">
        <v>2879</v>
      </c>
      <c r="O328" s="85" t="s">
        <v>2892</v>
      </c>
      <c r="P328" s="86" t="s">
        <v>2890</v>
      </c>
    </row>
    <row r="329" spans="2:16" ht="15.75" x14ac:dyDescent="0.25">
      <c r="B329" s="85" t="str">
        <f t="shared" si="28"/>
        <v>1</v>
      </c>
      <c r="C329" s="85" t="str">
        <f t="shared" si="29"/>
        <v>2</v>
      </c>
      <c r="D329" s="85" t="str">
        <f t="shared" si="30"/>
        <v>1</v>
      </c>
      <c r="E329" s="85" t="str">
        <f t="shared" si="31"/>
        <v>0</v>
      </c>
      <c r="F329" s="85" t="str">
        <f t="shared" si="32"/>
        <v>07</v>
      </c>
      <c r="G329" s="85" t="str">
        <f t="shared" si="33"/>
        <v>4</v>
      </c>
      <c r="H329" s="85" t="str">
        <f t="shared" si="34"/>
        <v>3</v>
      </c>
      <c r="I329" s="87">
        <v>12100743</v>
      </c>
      <c r="J329" s="85" t="s">
        <v>3213</v>
      </c>
      <c r="K329" s="85" t="s">
        <v>2892</v>
      </c>
      <c r="L329" s="84"/>
      <c r="M329" s="85" t="s">
        <v>2892</v>
      </c>
      <c r="N329" s="85" t="s">
        <v>423</v>
      </c>
      <c r="O329" s="85" t="s">
        <v>2892</v>
      </c>
      <c r="P329" s="86" t="s">
        <v>2890</v>
      </c>
    </row>
    <row r="330" spans="2:16" ht="15.75" x14ac:dyDescent="0.25">
      <c r="B330" s="85" t="str">
        <f t="shared" si="28"/>
        <v>1</v>
      </c>
      <c r="C330" s="85" t="str">
        <f t="shared" si="29"/>
        <v>2</v>
      </c>
      <c r="D330" s="85" t="str">
        <f t="shared" si="30"/>
        <v>1</v>
      </c>
      <c r="E330" s="85" t="str">
        <f t="shared" si="31"/>
        <v>0</v>
      </c>
      <c r="F330" s="85" t="str">
        <f t="shared" si="32"/>
        <v>07</v>
      </c>
      <c r="G330" s="85" t="str">
        <f t="shared" si="33"/>
        <v>4</v>
      </c>
      <c r="H330" s="85" t="str">
        <f t="shared" si="34"/>
        <v>4</v>
      </c>
      <c r="I330" s="87">
        <v>12100744</v>
      </c>
      <c r="J330" s="85" t="s">
        <v>3214</v>
      </c>
      <c r="K330" s="85" t="s">
        <v>2892</v>
      </c>
      <c r="L330" s="84"/>
      <c r="M330" s="85" t="s">
        <v>2892</v>
      </c>
      <c r="N330" s="85" t="s">
        <v>423</v>
      </c>
      <c r="O330" s="85" t="s">
        <v>2892</v>
      </c>
      <c r="P330" s="86" t="s">
        <v>2890</v>
      </c>
    </row>
    <row r="331" spans="2:16" ht="30" x14ac:dyDescent="0.25">
      <c r="B331" s="114" t="str">
        <f t="shared" si="28"/>
        <v>1</v>
      </c>
      <c r="C331" s="114" t="str">
        <f t="shared" si="29"/>
        <v>2</v>
      </c>
      <c r="D331" s="114" t="str">
        <f t="shared" si="30"/>
        <v>1</v>
      </c>
      <c r="E331" s="114" t="str">
        <f t="shared" si="31"/>
        <v>0</v>
      </c>
      <c r="F331" s="114" t="str">
        <f t="shared" si="32"/>
        <v>07</v>
      </c>
      <c r="G331" s="114" t="str">
        <f t="shared" si="33"/>
        <v>5</v>
      </c>
      <c r="H331" s="114" t="str">
        <f t="shared" si="34"/>
        <v>0</v>
      </c>
      <c r="I331" s="115">
        <v>12100750</v>
      </c>
      <c r="J331" s="114" t="s">
        <v>3215</v>
      </c>
      <c r="K331" s="114" t="s">
        <v>3216</v>
      </c>
      <c r="L331" s="116"/>
      <c r="M331" s="114" t="s">
        <v>2878</v>
      </c>
      <c r="N331" s="114" t="s">
        <v>2879</v>
      </c>
      <c r="O331" s="114" t="s">
        <v>2878</v>
      </c>
      <c r="P331" s="117" t="s">
        <v>2880</v>
      </c>
    </row>
    <row r="332" spans="2:16" ht="59.25" customHeight="1" x14ac:dyDescent="0.25">
      <c r="B332" s="85" t="str">
        <f t="shared" si="28"/>
        <v>1</v>
      </c>
      <c r="C332" s="85" t="str">
        <f t="shared" si="29"/>
        <v>2</v>
      </c>
      <c r="D332" s="85" t="str">
        <f t="shared" si="30"/>
        <v>1</v>
      </c>
      <c r="E332" s="85" t="str">
        <f t="shared" si="31"/>
        <v>0</v>
      </c>
      <c r="F332" s="85" t="str">
        <f t="shared" si="32"/>
        <v>07</v>
      </c>
      <c r="G332" s="85" t="str">
        <f t="shared" si="33"/>
        <v>5</v>
      </c>
      <c r="H332" s="85" t="str">
        <f t="shared" si="34"/>
        <v>1</v>
      </c>
      <c r="I332" s="87">
        <v>12100751</v>
      </c>
      <c r="J332" s="85" t="s">
        <v>3217</v>
      </c>
      <c r="K332" s="85" t="s">
        <v>3218</v>
      </c>
      <c r="L332" s="84"/>
      <c r="M332" s="85" t="s">
        <v>3219</v>
      </c>
      <c r="N332" s="85" t="s">
        <v>2879</v>
      </c>
      <c r="O332" s="85" t="s">
        <v>3220</v>
      </c>
      <c r="P332" s="86" t="s">
        <v>2890</v>
      </c>
    </row>
    <row r="333" spans="2:16" ht="15.75" x14ac:dyDescent="0.25">
      <c r="B333" s="85" t="str">
        <f t="shared" si="28"/>
        <v>1</v>
      </c>
      <c r="C333" s="85" t="str">
        <f t="shared" si="29"/>
        <v>2</v>
      </c>
      <c r="D333" s="85" t="str">
        <f t="shared" si="30"/>
        <v>1</v>
      </c>
      <c r="E333" s="85" t="str">
        <f t="shared" si="31"/>
        <v>0</v>
      </c>
      <c r="F333" s="85" t="str">
        <f t="shared" si="32"/>
        <v>07</v>
      </c>
      <c r="G333" s="85" t="str">
        <f t="shared" si="33"/>
        <v>5</v>
      </c>
      <c r="H333" s="85" t="str">
        <f t="shared" si="34"/>
        <v>2</v>
      </c>
      <c r="I333" s="87">
        <v>12100752</v>
      </c>
      <c r="J333" s="85" t="s">
        <v>3221</v>
      </c>
      <c r="K333" s="85" t="s">
        <v>2892</v>
      </c>
      <c r="L333" s="84"/>
      <c r="M333" s="85" t="s">
        <v>2892</v>
      </c>
      <c r="N333" s="85" t="s">
        <v>2879</v>
      </c>
      <c r="O333" s="85" t="s">
        <v>2892</v>
      </c>
      <c r="P333" s="86" t="s">
        <v>2890</v>
      </c>
    </row>
    <row r="334" spans="2:16" ht="15.75" x14ac:dyDescent="0.25">
      <c r="B334" s="85" t="str">
        <f t="shared" si="28"/>
        <v>1</v>
      </c>
      <c r="C334" s="85" t="str">
        <f t="shared" si="29"/>
        <v>2</v>
      </c>
      <c r="D334" s="85" t="str">
        <f t="shared" si="30"/>
        <v>1</v>
      </c>
      <c r="E334" s="85" t="str">
        <f t="shared" si="31"/>
        <v>0</v>
      </c>
      <c r="F334" s="85" t="str">
        <f t="shared" si="32"/>
        <v>07</v>
      </c>
      <c r="G334" s="85" t="str">
        <f t="shared" si="33"/>
        <v>5</v>
      </c>
      <c r="H334" s="85" t="str">
        <f t="shared" si="34"/>
        <v>3</v>
      </c>
      <c r="I334" s="87">
        <v>12100753</v>
      </c>
      <c r="J334" s="85" t="s">
        <v>3222</v>
      </c>
      <c r="K334" s="85" t="s">
        <v>2892</v>
      </c>
      <c r="L334" s="84"/>
      <c r="M334" s="85" t="s">
        <v>2892</v>
      </c>
      <c r="N334" s="85" t="s">
        <v>423</v>
      </c>
      <c r="O334" s="85" t="s">
        <v>2892</v>
      </c>
      <c r="P334" s="86" t="s">
        <v>2890</v>
      </c>
    </row>
    <row r="335" spans="2:16" ht="15.75" x14ac:dyDescent="0.25">
      <c r="B335" s="85" t="str">
        <f t="shared" si="28"/>
        <v>1</v>
      </c>
      <c r="C335" s="85" t="str">
        <f t="shared" si="29"/>
        <v>2</v>
      </c>
      <c r="D335" s="85" t="str">
        <f t="shared" si="30"/>
        <v>1</v>
      </c>
      <c r="E335" s="85" t="str">
        <f t="shared" si="31"/>
        <v>0</v>
      </c>
      <c r="F335" s="85" t="str">
        <f t="shared" si="32"/>
        <v>07</v>
      </c>
      <c r="G335" s="85" t="str">
        <f t="shared" si="33"/>
        <v>5</v>
      </c>
      <c r="H335" s="85" t="str">
        <f t="shared" si="34"/>
        <v>4</v>
      </c>
      <c r="I335" s="87">
        <v>12100754</v>
      </c>
      <c r="J335" s="85" t="s">
        <v>3223</v>
      </c>
      <c r="K335" s="85" t="s">
        <v>2892</v>
      </c>
      <c r="L335" s="84"/>
      <c r="M335" s="85" t="s">
        <v>2892</v>
      </c>
      <c r="N335" s="85" t="s">
        <v>423</v>
      </c>
      <c r="O335" s="85" t="s">
        <v>2892</v>
      </c>
      <c r="P335" s="86" t="s">
        <v>2890</v>
      </c>
    </row>
    <row r="336" spans="2:16" ht="30" x14ac:dyDescent="0.25">
      <c r="B336" s="114" t="str">
        <f t="shared" si="28"/>
        <v>1</v>
      </c>
      <c r="C336" s="114" t="str">
        <f t="shared" si="29"/>
        <v>2</v>
      </c>
      <c r="D336" s="114" t="str">
        <f t="shared" si="30"/>
        <v>1</v>
      </c>
      <c r="E336" s="114" t="str">
        <f t="shared" si="31"/>
        <v>0</v>
      </c>
      <c r="F336" s="114" t="str">
        <f t="shared" si="32"/>
        <v>07</v>
      </c>
      <c r="G336" s="114" t="str">
        <f t="shared" si="33"/>
        <v>6</v>
      </c>
      <c r="H336" s="114" t="str">
        <f t="shared" si="34"/>
        <v>0</v>
      </c>
      <c r="I336" s="115">
        <v>12100760</v>
      </c>
      <c r="J336" s="114" t="s">
        <v>3224</v>
      </c>
      <c r="K336" s="114" t="s">
        <v>3225</v>
      </c>
      <c r="L336" s="116"/>
      <c r="M336" s="114" t="s">
        <v>2878</v>
      </c>
      <c r="N336" s="114" t="s">
        <v>2879</v>
      </c>
      <c r="O336" s="114" t="s">
        <v>2878</v>
      </c>
      <c r="P336" s="117" t="s">
        <v>2880</v>
      </c>
    </row>
    <row r="337" spans="2:16" ht="66.75" customHeight="1" x14ac:dyDescent="0.25">
      <c r="B337" s="85" t="str">
        <f t="shared" si="28"/>
        <v>1</v>
      </c>
      <c r="C337" s="85" t="str">
        <f t="shared" si="29"/>
        <v>2</v>
      </c>
      <c r="D337" s="85" t="str">
        <f t="shared" si="30"/>
        <v>1</v>
      </c>
      <c r="E337" s="85" t="str">
        <f t="shared" si="31"/>
        <v>0</v>
      </c>
      <c r="F337" s="85" t="str">
        <f t="shared" si="32"/>
        <v>07</v>
      </c>
      <c r="G337" s="85" t="str">
        <f t="shared" si="33"/>
        <v>6</v>
      </c>
      <c r="H337" s="85" t="str">
        <f t="shared" si="34"/>
        <v>1</v>
      </c>
      <c r="I337" s="87">
        <v>12100761</v>
      </c>
      <c r="J337" s="85" t="s">
        <v>3226</v>
      </c>
      <c r="K337" s="85" t="s">
        <v>3227</v>
      </c>
      <c r="L337" s="84"/>
      <c r="M337" s="85" t="s">
        <v>3228</v>
      </c>
      <c r="N337" s="85" t="s">
        <v>2879</v>
      </c>
      <c r="O337" s="85" t="s">
        <v>3229</v>
      </c>
      <c r="P337" s="86" t="s">
        <v>2890</v>
      </c>
    </row>
    <row r="338" spans="2:16" ht="30" x14ac:dyDescent="0.25">
      <c r="B338" s="85" t="str">
        <f t="shared" si="28"/>
        <v>1</v>
      </c>
      <c r="C338" s="85" t="str">
        <f t="shared" si="29"/>
        <v>2</v>
      </c>
      <c r="D338" s="85" t="str">
        <f t="shared" si="30"/>
        <v>1</v>
      </c>
      <c r="E338" s="85" t="str">
        <f t="shared" si="31"/>
        <v>0</v>
      </c>
      <c r="F338" s="85" t="str">
        <f t="shared" si="32"/>
        <v>07</v>
      </c>
      <c r="G338" s="85" t="str">
        <f t="shared" si="33"/>
        <v>6</v>
      </c>
      <c r="H338" s="85" t="str">
        <f t="shared" si="34"/>
        <v>2</v>
      </c>
      <c r="I338" s="87">
        <v>12100762</v>
      </c>
      <c r="J338" s="85" t="s">
        <v>3230</v>
      </c>
      <c r="K338" s="85" t="s">
        <v>2892</v>
      </c>
      <c r="L338" s="84"/>
      <c r="M338" s="85" t="s">
        <v>2892</v>
      </c>
      <c r="N338" s="85" t="s">
        <v>2879</v>
      </c>
      <c r="O338" s="85" t="s">
        <v>2892</v>
      </c>
      <c r="P338" s="86" t="s">
        <v>2890</v>
      </c>
    </row>
    <row r="339" spans="2:16" ht="30" x14ac:dyDescent="0.25">
      <c r="B339" s="85" t="str">
        <f t="shared" si="28"/>
        <v>1</v>
      </c>
      <c r="C339" s="85" t="str">
        <f t="shared" si="29"/>
        <v>2</v>
      </c>
      <c r="D339" s="85" t="str">
        <f t="shared" si="30"/>
        <v>1</v>
      </c>
      <c r="E339" s="85" t="str">
        <f t="shared" si="31"/>
        <v>0</v>
      </c>
      <c r="F339" s="85" t="str">
        <f t="shared" si="32"/>
        <v>07</v>
      </c>
      <c r="G339" s="85" t="str">
        <f t="shared" si="33"/>
        <v>6</v>
      </c>
      <c r="H339" s="85" t="str">
        <f t="shared" si="34"/>
        <v>3</v>
      </c>
      <c r="I339" s="87">
        <v>12100763</v>
      </c>
      <c r="J339" s="85" t="s">
        <v>3231</v>
      </c>
      <c r="K339" s="85" t="s">
        <v>2892</v>
      </c>
      <c r="L339" s="84"/>
      <c r="M339" s="85" t="s">
        <v>2892</v>
      </c>
      <c r="N339" s="85" t="s">
        <v>2879</v>
      </c>
      <c r="O339" s="85" t="s">
        <v>2892</v>
      </c>
      <c r="P339" s="86" t="s">
        <v>2890</v>
      </c>
    </row>
    <row r="340" spans="2:16" ht="30" x14ac:dyDescent="0.25">
      <c r="B340" s="85" t="str">
        <f t="shared" si="28"/>
        <v>1</v>
      </c>
      <c r="C340" s="85" t="str">
        <f t="shared" si="29"/>
        <v>2</v>
      </c>
      <c r="D340" s="85" t="str">
        <f t="shared" si="30"/>
        <v>1</v>
      </c>
      <c r="E340" s="85" t="str">
        <f t="shared" si="31"/>
        <v>0</v>
      </c>
      <c r="F340" s="85" t="str">
        <f t="shared" si="32"/>
        <v>07</v>
      </c>
      <c r="G340" s="85" t="str">
        <f t="shared" si="33"/>
        <v>6</v>
      </c>
      <c r="H340" s="85" t="str">
        <f t="shared" si="34"/>
        <v>4</v>
      </c>
      <c r="I340" s="87">
        <v>12100764</v>
      </c>
      <c r="J340" s="85" t="s">
        <v>3232</v>
      </c>
      <c r="K340" s="85" t="s">
        <v>2892</v>
      </c>
      <c r="L340" s="84"/>
      <c r="M340" s="85" t="s">
        <v>2892</v>
      </c>
      <c r="N340" s="85" t="s">
        <v>2879</v>
      </c>
      <c r="O340" s="85" t="s">
        <v>2892</v>
      </c>
      <c r="P340" s="86" t="s">
        <v>2890</v>
      </c>
    </row>
    <row r="341" spans="2:16" ht="30" x14ac:dyDescent="0.25">
      <c r="B341" s="108" t="str">
        <f t="shared" si="28"/>
        <v>1</v>
      </c>
      <c r="C341" s="108" t="str">
        <f t="shared" si="29"/>
        <v>2</v>
      </c>
      <c r="D341" s="108" t="str">
        <f t="shared" si="30"/>
        <v>1</v>
      </c>
      <c r="E341" s="108" t="str">
        <f t="shared" si="31"/>
        <v>0</v>
      </c>
      <c r="F341" s="108" t="str">
        <f t="shared" si="32"/>
        <v>08</v>
      </c>
      <c r="G341" s="108" t="str">
        <f t="shared" si="33"/>
        <v>0</v>
      </c>
      <c r="H341" s="108" t="str">
        <f t="shared" si="34"/>
        <v>0</v>
      </c>
      <c r="I341" s="109">
        <v>12100800</v>
      </c>
      <c r="J341" s="108" t="s">
        <v>3233</v>
      </c>
      <c r="K341" s="108" t="s">
        <v>3234</v>
      </c>
      <c r="L341" s="110"/>
      <c r="M341" s="108" t="s">
        <v>2878</v>
      </c>
      <c r="N341" s="108" t="s">
        <v>2879</v>
      </c>
      <c r="O341" s="108" t="s">
        <v>2878</v>
      </c>
      <c r="P341" s="111" t="s">
        <v>2880</v>
      </c>
    </row>
    <row r="342" spans="2:16" ht="30" x14ac:dyDescent="0.25">
      <c r="B342" s="114" t="str">
        <f t="shared" si="28"/>
        <v>1</v>
      </c>
      <c r="C342" s="114" t="str">
        <f t="shared" si="29"/>
        <v>2</v>
      </c>
      <c r="D342" s="114" t="str">
        <f t="shared" si="30"/>
        <v>1</v>
      </c>
      <c r="E342" s="114" t="str">
        <f t="shared" si="31"/>
        <v>0</v>
      </c>
      <c r="F342" s="114" t="str">
        <f t="shared" si="32"/>
        <v>08</v>
      </c>
      <c r="G342" s="114" t="str">
        <f t="shared" si="33"/>
        <v>1</v>
      </c>
      <c r="H342" s="114" t="str">
        <f t="shared" si="34"/>
        <v>0</v>
      </c>
      <c r="I342" s="115">
        <v>12100810</v>
      </c>
      <c r="J342" s="114" t="s">
        <v>3233</v>
      </c>
      <c r="K342" s="114" t="s">
        <v>3234</v>
      </c>
      <c r="L342" s="116"/>
      <c r="M342" s="114" t="s">
        <v>2878</v>
      </c>
      <c r="N342" s="114" t="s">
        <v>2879</v>
      </c>
      <c r="O342" s="114" t="s">
        <v>2878</v>
      </c>
      <c r="P342" s="117" t="s">
        <v>2880</v>
      </c>
    </row>
    <row r="343" spans="2:16" ht="45.75" customHeight="1" x14ac:dyDescent="0.25">
      <c r="B343" s="85" t="str">
        <f t="shared" si="28"/>
        <v>1</v>
      </c>
      <c r="C343" s="85" t="str">
        <f t="shared" si="29"/>
        <v>2</v>
      </c>
      <c r="D343" s="85" t="str">
        <f t="shared" si="30"/>
        <v>1</v>
      </c>
      <c r="E343" s="85" t="str">
        <f t="shared" si="31"/>
        <v>0</v>
      </c>
      <c r="F343" s="85" t="str">
        <f t="shared" si="32"/>
        <v>08</v>
      </c>
      <c r="G343" s="85" t="str">
        <f t="shared" si="33"/>
        <v>1</v>
      </c>
      <c r="H343" s="85" t="str">
        <f t="shared" si="34"/>
        <v>1</v>
      </c>
      <c r="I343" s="87">
        <v>12100811</v>
      </c>
      <c r="J343" s="85" t="s">
        <v>3235</v>
      </c>
      <c r="K343" s="85" t="s">
        <v>3236</v>
      </c>
      <c r="L343" s="84"/>
      <c r="M343" s="85" t="s">
        <v>3237</v>
      </c>
      <c r="N343" s="85" t="s">
        <v>2879</v>
      </c>
      <c r="O343" s="85" t="s">
        <v>3238</v>
      </c>
      <c r="P343" s="86" t="s">
        <v>2890</v>
      </c>
    </row>
    <row r="344" spans="2:16" ht="30" x14ac:dyDescent="0.25">
      <c r="B344" s="85" t="str">
        <f t="shared" si="28"/>
        <v>1</v>
      </c>
      <c r="C344" s="85" t="str">
        <f t="shared" si="29"/>
        <v>2</v>
      </c>
      <c r="D344" s="85" t="str">
        <f t="shared" si="30"/>
        <v>1</v>
      </c>
      <c r="E344" s="85" t="str">
        <f t="shared" si="31"/>
        <v>0</v>
      </c>
      <c r="F344" s="85" t="str">
        <f t="shared" si="32"/>
        <v>08</v>
      </c>
      <c r="G344" s="85" t="str">
        <f t="shared" si="33"/>
        <v>1</v>
      </c>
      <c r="H344" s="85" t="str">
        <f t="shared" si="34"/>
        <v>2</v>
      </c>
      <c r="I344" s="87">
        <v>12100812</v>
      </c>
      <c r="J344" s="85" t="s">
        <v>3239</v>
      </c>
      <c r="K344" s="85" t="s">
        <v>2892</v>
      </c>
      <c r="L344" s="84"/>
      <c r="M344" s="85" t="s">
        <v>2892</v>
      </c>
      <c r="N344" s="85" t="s">
        <v>2879</v>
      </c>
      <c r="O344" s="85" t="s">
        <v>2892</v>
      </c>
      <c r="P344" s="86" t="s">
        <v>2890</v>
      </c>
    </row>
    <row r="345" spans="2:16" ht="30" x14ac:dyDescent="0.25">
      <c r="B345" s="85" t="str">
        <f t="shared" si="28"/>
        <v>1</v>
      </c>
      <c r="C345" s="85" t="str">
        <f t="shared" si="29"/>
        <v>2</v>
      </c>
      <c r="D345" s="85" t="str">
        <f t="shared" si="30"/>
        <v>1</v>
      </c>
      <c r="E345" s="85" t="str">
        <f t="shared" si="31"/>
        <v>0</v>
      </c>
      <c r="F345" s="85" t="str">
        <f t="shared" si="32"/>
        <v>08</v>
      </c>
      <c r="G345" s="85" t="str">
        <f t="shared" si="33"/>
        <v>1</v>
      </c>
      <c r="H345" s="85" t="str">
        <f t="shared" si="34"/>
        <v>3</v>
      </c>
      <c r="I345" s="87">
        <v>12100813</v>
      </c>
      <c r="J345" s="85" t="s">
        <v>3240</v>
      </c>
      <c r="K345" s="85" t="s">
        <v>2892</v>
      </c>
      <c r="L345" s="84"/>
      <c r="M345" s="85" t="s">
        <v>2892</v>
      </c>
      <c r="N345" s="85" t="s">
        <v>2879</v>
      </c>
      <c r="O345" s="85" t="s">
        <v>2892</v>
      </c>
      <c r="P345" s="86" t="s">
        <v>2890</v>
      </c>
    </row>
    <row r="346" spans="2:16" ht="30" x14ac:dyDescent="0.25">
      <c r="B346" s="85" t="str">
        <f t="shared" si="28"/>
        <v>1</v>
      </c>
      <c r="C346" s="85" t="str">
        <f t="shared" si="29"/>
        <v>2</v>
      </c>
      <c r="D346" s="85" t="str">
        <f t="shared" si="30"/>
        <v>1</v>
      </c>
      <c r="E346" s="85" t="str">
        <f t="shared" si="31"/>
        <v>0</v>
      </c>
      <c r="F346" s="85" t="str">
        <f t="shared" si="32"/>
        <v>08</v>
      </c>
      <c r="G346" s="85" t="str">
        <f t="shared" si="33"/>
        <v>1</v>
      </c>
      <c r="H346" s="85" t="str">
        <f t="shared" si="34"/>
        <v>4</v>
      </c>
      <c r="I346" s="87">
        <v>12100814</v>
      </c>
      <c r="J346" s="85" t="s">
        <v>3241</v>
      </c>
      <c r="K346" s="85" t="s">
        <v>2892</v>
      </c>
      <c r="L346" s="84"/>
      <c r="M346" s="85" t="s">
        <v>2892</v>
      </c>
      <c r="N346" s="85" t="s">
        <v>2879</v>
      </c>
      <c r="O346" s="85" t="s">
        <v>2892</v>
      </c>
      <c r="P346" s="86" t="s">
        <v>2890</v>
      </c>
    </row>
    <row r="347" spans="2:16" ht="30" x14ac:dyDescent="0.25">
      <c r="B347" s="108" t="str">
        <f t="shared" si="28"/>
        <v>1</v>
      </c>
      <c r="C347" s="108" t="str">
        <f t="shared" si="29"/>
        <v>2</v>
      </c>
      <c r="D347" s="108" t="str">
        <f t="shared" si="30"/>
        <v>1</v>
      </c>
      <c r="E347" s="108" t="str">
        <f t="shared" si="31"/>
        <v>0</v>
      </c>
      <c r="F347" s="108" t="str">
        <f t="shared" si="32"/>
        <v>09</v>
      </c>
      <c r="G347" s="108" t="str">
        <f t="shared" si="33"/>
        <v>0</v>
      </c>
      <c r="H347" s="108" t="str">
        <f t="shared" si="34"/>
        <v>0</v>
      </c>
      <c r="I347" s="109">
        <v>12100900</v>
      </c>
      <c r="J347" s="108" t="s">
        <v>3242</v>
      </c>
      <c r="K347" s="108" t="s">
        <v>3243</v>
      </c>
      <c r="L347" s="110"/>
      <c r="M347" s="108" t="s">
        <v>2878</v>
      </c>
      <c r="N347" s="108" t="s">
        <v>2879</v>
      </c>
      <c r="O347" s="108" t="s">
        <v>2878</v>
      </c>
      <c r="P347" s="111" t="s">
        <v>2880</v>
      </c>
    </row>
    <row r="348" spans="2:16" ht="30" x14ac:dyDescent="0.25">
      <c r="B348" s="114" t="str">
        <f t="shared" si="28"/>
        <v>1</v>
      </c>
      <c r="C348" s="114" t="str">
        <f t="shared" si="29"/>
        <v>2</v>
      </c>
      <c r="D348" s="114" t="str">
        <f t="shared" si="30"/>
        <v>1</v>
      </c>
      <c r="E348" s="114" t="str">
        <f t="shared" si="31"/>
        <v>0</v>
      </c>
      <c r="F348" s="114" t="str">
        <f t="shared" si="32"/>
        <v>09</v>
      </c>
      <c r="G348" s="114" t="str">
        <f t="shared" si="33"/>
        <v>1</v>
      </c>
      <c r="H348" s="114" t="str">
        <f t="shared" si="34"/>
        <v>0</v>
      </c>
      <c r="I348" s="115">
        <v>12100910</v>
      </c>
      <c r="J348" s="114" t="s">
        <v>3242</v>
      </c>
      <c r="K348" s="114" t="s">
        <v>3243</v>
      </c>
      <c r="L348" s="116"/>
      <c r="M348" s="114" t="s">
        <v>2878</v>
      </c>
      <c r="N348" s="114" t="s">
        <v>2879</v>
      </c>
      <c r="O348" s="114" t="s">
        <v>2878</v>
      </c>
      <c r="P348" s="117" t="s">
        <v>2880</v>
      </c>
    </row>
    <row r="349" spans="2:16" ht="69" customHeight="1" x14ac:dyDescent="0.25">
      <c r="B349" s="85" t="str">
        <f t="shared" si="28"/>
        <v>1</v>
      </c>
      <c r="C349" s="85" t="str">
        <f t="shared" si="29"/>
        <v>2</v>
      </c>
      <c r="D349" s="85" t="str">
        <f t="shared" si="30"/>
        <v>1</v>
      </c>
      <c r="E349" s="85" t="str">
        <f t="shared" si="31"/>
        <v>0</v>
      </c>
      <c r="F349" s="85" t="str">
        <f t="shared" si="32"/>
        <v>09</v>
      </c>
      <c r="G349" s="85" t="str">
        <f t="shared" si="33"/>
        <v>1</v>
      </c>
      <c r="H349" s="85" t="str">
        <f t="shared" si="34"/>
        <v>1</v>
      </c>
      <c r="I349" s="87">
        <v>12100911</v>
      </c>
      <c r="J349" s="85" t="s">
        <v>3244</v>
      </c>
      <c r="K349" s="85" t="s">
        <v>3245</v>
      </c>
      <c r="L349" s="84"/>
      <c r="M349" s="85" t="s">
        <v>3246</v>
      </c>
      <c r="N349" s="85" t="s">
        <v>2879</v>
      </c>
      <c r="O349" s="85" t="s">
        <v>3247</v>
      </c>
      <c r="P349" s="86" t="s">
        <v>2890</v>
      </c>
    </row>
    <row r="350" spans="2:16" ht="30" x14ac:dyDescent="0.25">
      <c r="B350" s="85" t="str">
        <f t="shared" si="28"/>
        <v>1</v>
      </c>
      <c r="C350" s="85" t="str">
        <f t="shared" si="29"/>
        <v>2</v>
      </c>
      <c r="D350" s="85" t="str">
        <f t="shared" si="30"/>
        <v>1</v>
      </c>
      <c r="E350" s="85" t="str">
        <f t="shared" si="31"/>
        <v>0</v>
      </c>
      <c r="F350" s="85" t="str">
        <f t="shared" si="32"/>
        <v>09</v>
      </c>
      <c r="G350" s="85" t="str">
        <f t="shared" si="33"/>
        <v>1</v>
      </c>
      <c r="H350" s="85" t="str">
        <f t="shared" si="34"/>
        <v>2</v>
      </c>
      <c r="I350" s="87">
        <v>12100912</v>
      </c>
      <c r="J350" s="85" t="s">
        <v>3248</v>
      </c>
      <c r="K350" s="85" t="s">
        <v>2892</v>
      </c>
      <c r="L350" s="84"/>
      <c r="M350" s="85" t="s">
        <v>2892</v>
      </c>
      <c r="N350" s="85" t="s">
        <v>2879</v>
      </c>
      <c r="O350" s="85" t="s">
        <v>2892</v>
      </c>
      <c r="P350" s="86" t="s">
        <v>2890</v>
      </c>
    </row>
    <row r="351" spans="2:16" ht="30" x14ac:dyDescent="0.25">
      <c r="B351" s="85" t="str">
        <f t="shared" si="28"/>
        <v>1</v>
      </c>
      <c r="C351" s="85" t="str">
        <f t="shared" si="29"/>
        <v>2</v>
      </c>
      <c r="D351" s="85" t="str">
        <f t="shared" si="30"/>
        <v>1</v>
      </c>
      <c r="E351" s="85" t="str">
        <f t="shared" si="31"/>
        <v>0</v>
      </c>
      <c r="F351" s="85" t="str">
        <f t="shared" si="32"/>
        <v>09</v>
      </c>
      <c r="G351" s="85" t="str">
        <f t="shared" si="33"/>
        <v>1</v>
      </c>
      <c r="H351" s="85" t="str">
        <f t="shared" si="34"/>
        <v>3</v>
      </c>
      <c r="I351" s="87">
        <v>12100913</v>
      </c>
      <c r="J351" s="85" t="s">
        <v>3249</v>
      </c>
      <c r="K351" s="85" t="s">
        <v>2892</v>
      </c>
      <c r="L351" s="84"/>
      <c r="M351" s="85" t="s">
        <v>2892</v>
      </c>
      <c r="N351" s="85" t="s">
        <v>2879</v>
      </c>
      <c r="O351" s="85" t="s">
        <v>2892</v>
      </c>
      <c r="P351" s="86" t="s">
        <v>2890</v>
      </c>
    </row>
    <row r="352" spans="2:16" ht="30" x14ac:dyDescent="0.25">
      <c r="B352" s="85" t="str">
        <f t="shared" si="28"/>
        <v>1</v>
      </c>
      <c r="C352" s="85" t="str">
        <f t="shared" si="29"/>
        <v>2</v>
      </c>
      <c r="D352" s="85" t="str">
        <f t="shared" si="30"/>
        <v>1</v>
      </c>
      <c r="E352" s="85" t="str">
        <f t="shared" si="31"/>
        <v>0</v>
      </c>
      <c r="F352" s="85" t="str">
        <f t="shared" si="32"/>
        <v>09</v>
      </c>
      <c r="G352" s="85" t="str">
        <f t="shared" si="33"/>
        <v>1</v>
      </c>
      <c r="H352" s="85" t="str">
        <f t="shared" si="34"/>
        <v>4</v>
      </c>
      <c r="I352" s="87">
        <v>12100914</v>
      </c>
      <c r="J352" s="85" t="s">
        <v>3250</v>
      </c>
      <c r="K352" s="85" t="s">
        <v>2892</v>
      </c>
      <c r="L352" s="84"/>
      <c r="M352" s="85" t="s">
        <v>2892</v>
      </c>
      <c r="N352" s="85" t="s">
        <v>2879</v>
      </c>
      <c r="O352" s="85" t="s">
        <v>2892</v>
      </c>
      <c r="P352" s="86" t="s">
        <v>2890</v>
      </c>
    </row>
    <row r="353" spans="2:16" ht="60" x14ac:dyDescent="0.25">
      <c r="B353" s="108" t="str">
        <f t="shared" si="28"/>
        <v>1</v>
      </c>
      <c r="C353" s="108" t="str">
        <f t="shared" si="29"/>
        <v>2</v>
      </c>
      <c r="D353" s="108" t="str">
        <f t="shared" si="30"/>
        <v>1</v>
      </c>
      <c r="E353" s="108" t="str">
        <f t="shared" si="31"/>
        <v>0</v>
      </c>
      <c r="F353" s="108" t="str">
        <f t="shared" si="32"/>
        <v>10</v>
      </c>
      <c r="G353" s="108" t="str">
        <f t="shared" si="33"/>
        <v>0</v>
      </c>
      <c r="H353" s="108" t="str">
        <f t="shared" si="34"/>
        <v>0</v>
      </c>
      <c r="I353" s="109">
        <v>12101000</v>
      </c>
      <c r="J353" s="108" t="s">
        <v>288</v>
      </c>
      <c r="K353" s="108" t="s">
        <v>3251</v>
      </c>
      <c r="L353" s="110"/>
      <c r="M353" s="108" t="s">
        <v>2878</v>
      </c>
      <c r="N353" s="108" t="s">
        <v>2879</v>
      </c>
      <c r="O353" s="108" t="s">
        <v>2878</v>
      </c>
      <c r="P353" s="111" t="s">
        <v>2880</v>
      </c>
    </row>
    <row r="354" spans="2:16" ht="60" x14ac:dyDescent="0.25">
      <c r="B354" s="114" t="str">
        <f t="shared" si="28"/>
        <v>1</v>
      </c>
      <c r="C354" s="114" t="str">
        <f t="shared" si="29"/>
        <v>2</v>
      </c>
      <c r="D354" s="114" t="str">
        <f t="shared" si="30"/>
        <v>1</v>
      </c>
      <c r="E354" s="114" t="str">
        <f t="shared" si="31"/>
        <v>0</v>
      </c>
      <c r="F354" s="114" t="str">
        <f t="shared" si="32"/>
        <v>10</v>
      </c>
      <c r="G354" s="114" t="str">
        <f t="shared" si="33"/>
        <v>1</v>
      </c>
      <c r="H354" s="114" t="str">
        <f t="shared" si="34"/>
        <v>0</v>
      </c>
      <c r="I354" s="115">
        <v>12101010</v>
      </c>
      <c r="J354" s="114" t="s">
        <v>288</v>
      </c>
      <c r="K354" s="114" t="s">
        <v>3251</v>
      </c>
      <c r="L354" s="116"/>
      <c r="M354" s="114" t="s">
        <v>2878</v>
      </c>
      <c r="N354" s="114" t="s">
        <v>2879</v>
      </c>
      <c r="O354" s="114" t="s">
        <v>2878</v>
      </c>
      <c r="P354" s="117" t="s">
        <v>2880</v>
      </c>
    </row>
    <row r="355" spans="2:16" ht="75" x14ac:dyDescent="0.25">
      <c r="B355" s="85" t="str">
        <f t="shared" si="28"/>
        <v>1</v>
      </c>
      <c r="C355" s="85" t="str">
        <f t="shared" si="29"/>
        <v>2</v>
      </c>
      <c r="D355" s="85" t="str">
        <f t="shared" si="30"/>
        <v>1</v>
      </c>
      <c r="E355" s="85" t="str">
        <f t="shared" si="31"/>
        <v>0</v>
      </c>
      <c r="F355" s="85" t="str">
        <f t="shared" si="32"/>
        <v>10</v>
      </c>
      <c r="G355" s="85" t="str">
        <f t="shared" si="33"/>
        <v>1</v>
      </c>
      <c r="H355" s="85" t="str">
        <f t="shared" si="34"/>
        <v>1</v>
      </c>
      <c r="I355" s="87">
        <v>12101011</v>
      </c>
      <c r="J355" s="85" t="s">
        <v>3252</v>
      </c>
      <c r="K355" s="85" t="s">
        <v>3253</v>
      </c>
      <c r="L355" s="84"/>
      <c r="M355" s="85" t="s">
        <v>3254</v>
      </c>
      <c r="N355" s="85" t="s">
        <v>2879</v>
      </c>
      <c r="O355" s="85" t="s">
        <v>3255</v>
      </c>
      <c r="P355" s="86" t="s">
        <v>2890</v>
      </c>
    </row>
    <row r="356" spans="2:16" ht="15.75" x14ac:dyDescent="0.25">
      <c r="B356" s="85" t="str">
        <f t="shared" si="28"/>
        <v>1</v>
      </c>
      <c r="C356" s="85" t="str">
        <f t="shared" si="29"/>
        <v>2</v>
      </c>
      <c r="D356" s="85" t="str">
        <f t="shared" si="30"/>
        <v>1</v>
      </c>
      <c r="E356" s="85" t="str">
        <f t="shared" si="31"/>
        <v>0</v>
      </c>
      <c r="F356" s="85" t="str">
        <f t="shared" si="32"/>
        <v>10</v>
      </c>
      <c r="G356" s="85" t="str">
        <f t="shared" si="33"/>
        <v>1</v>
      </c>
      <c r="H356" s="85" t="str">
        <f t="shared" si="34"/>
        <v>2</v>
      </c>
      <c r="I356" s="87">
        <v>12101012</v>
      </c>
      <c r="J356" s="85" t="s">
        <v>3256</v>
      </c>
      <c r="K356" s="85" t="s">
        <v>2892</v>
      </c>
      <c r="L356" s="84"/>
      <c r="M356" s="85" t="s">
        <v>2892</v>
      </c>
      <c r="N356" s="85" t="s">
        <v>2879</v>
      </c>
      <c r="O356" s="85" t="s">
        <v>2892</v>
      </c>
      <c r="P356" s="86" t="s">
        <v>2890</v>
      </c>
    </row>
    <row r="357" spans="2:16" ht="45" x14ac:dyDescent="0.25">
      <c r="B357" s="108" t="str">
        <f t="shared" si="28"/>
        <v>1</v>
      </c>
      <c r="C357" s="108" t="str">
        <f t="shared" si="29"/>
        <v>2</v>
      </c>
      <c r="D357" s="108" t="str">
        <f t="shared" si="30"/>
        <v>1</v>
      </c>
      <c r="E357" s="108" t="str">
        <f t="shared" si="31"/>
        <v>0</v>
      </c>
      <c r="F357" s="108" t="str">
        <f t="shared" si="32"/>
        <v>11</v>
      </c>
      <c r="G357" s="108" t="str">
        <f t="shared" si="33"/>
        <v>0</v>
      </c>
      <c r="H357" s="108" t="str">
        <f t="shared" si="34"/>
        <v>0</v>
      </c>
      <c r="I357" s="109">
        <v>12101100</v>
      </c>
      <c r="J357" s="108" t="s">
        <v>3257</v>
      </c>
      <c r="K357" s="108" t="s">
        <v>3258</v>
      </c>
      <c r="L357" s="110"/>
      <c r="M357" s="108" t="s">
        <v>2878</v>
      </c>
      <c r="N357" s="108" t="s">
        <v>2879</v>
      </c>
      <c r="O357" s="108" t="s">
        <v>2878</v>
      </c>
      <c r="P357" s="111" t="s">
        <v>2880</v>
      </c>
    </row>
    <row r="358" spans="2:16" ht="30" x14ac:dyDescent="0.25">
      <c r="B358" s="114" t="str">
        <f t="shared" si="28"/>
        <v>1</v>
      </c>
      <c r="C358" s="114" t="str">
        <f t="shared" si="29"/>
        <v>2</v>
      </c>
      <c r="D358" s="114" t="str">
        <f t="shared" si="30"/>
        <v>1</v>
      </c>
      <c r="E358" s="114" t="str">
        <f t="shared" si="31"/>
        <v>0</v>
      </c>
      <c r="F358" s="114" t="str">
        <f t="shared" si="32"/>
        <v>11</v>
      </c>
      <c r="G358" s="114" t="str">
        <f t="shared" si="33"/>
        <v>1</v>
      </c>
      <c r="H358" s="114" t="str">
        <f t="shared" si="34"/>
        <v>0</v>
      </c>
      <c r="I358" s="115">
        <v>12101110</v>
      </c>
      <c r="J358" s="114" t="s">
        <v>478</v>
      </c>
      <c r="K358" s="114" t="s">
        <v>3259</v>
      </c>
      <c r="L358" s="116"/>
      <c r="M358" s="114" t="s">
        <v>2878</v>
      </c>
      <c r="N358" s="114" t="s">
        <v>2879</v>
      </c>
      <c r="O358" s="114" t="s">
        <v>2878</v>
      </c>
      <c r="P358" s="117" t="s">
        <v>2880</v>
      </c>
    </row>
    <row r="359" spans="2:16" ht="45" x14ac:dyDescent="0.25">
      <c r="B359" s="85" t="str">
        <f t="shared" si="28"/>
        <v>1</v>
      </c>
      <c r="C359" s="85" t="str">
        <f t="shared" si="29"/>
        <v>2</v>
      </c>
      <c r="D359" s="85" t="str">
        <f t="shared" si="30"/>
        <v>1</v>
      </c>
      <c r="E359" s="85" t="str">
        <f t="shared" si="31"/>
        <v>0</v>
      </c>
      <c r="F359" s="85" t="str">
        <f t="shared" si="32"/>
        <v>11</v>
      </c>
      <c r="G359" s="85" t="str">
        <f t="shared" si="33"/>
        <v>1</v>
      </c>
      <c r="H359" s="85" t="str">
        <f t="shared" si="34"/>
        <v>1</v>
      </c>
      <c r="I359" s="87">
        <v>12101111</v>
      </c>
      <c r="J359" s="85" t="s">
        <v>3260</v>
      </c>
      <c r="K359" s="85" t="s">
        <v>3261</v>
      </c>
      <c r="L359" s="84"/>
      <c r="M359" s="85" t="s">
        <v>3262</v>
      </c>
      <c r="N359" s="85" t="s">
        <v>2879</v>
      </c>
      <c r="O359" s="85" t="s">
        <v>3263</v>
      </c>
      <c r="P359" s="86" t="s">
        <v>2890</v>
      </c>
    </row>
    <row r="360" spans="2:16" ht="30" x14ac:dyDescent="0.25">
      <c r="B360" s="85" t="str">
        <f t="shared" si="28"/>
        <v>1</v>
      </c>
      <c r="C360" s="85" t="str">
        <f t="shared" si="29"/>
        <v>2</v>
      </c>
      <c r="D360" s="85" t="str">
        <f t="shared" si="30"/>
        <v>1</v>
      </c>
      <c r="E360" s="85" t="str">
        <f t="shared" si="31"/>
        <v>0</v>
      </c>
      <c r="F360" s="85" t="str">
        <f t="shared" si="32"/>
        <v>11</v>
      </c>
      <c r="G360" s="85" t="str">
        <f t="shared" si="33"/>
        <v>1</v>
      </c>
      <c r="H360" s="85" t="str">
        <f t="shared" si="34"/>
        <v>2</v>
      </c>
      <c r="I360" s="87">
        <v>12101112</v>
      </c>
      <c r="J360" s="85" t="s">
        <v>3264</v>
      </c>
      <c r="K360" s="85" t="s">
        <v>2892</v>
      </c>
      <c r="L360" s="84"/>
      <c r="M360" s="85" t="s">
        <v>2892</v>
      </c>
      <c r="N360" s="85" t="s">
        <v>2879</v>
      </c>
      <c r="O360" s="85" t="s">
        <v>2892</v>
      </c>
      <c r="P360" s="86" t="s">
        <v>2890</v>
      </c>
    </row>
    <row r="361" spans="2:16" ht="30" x14ac:dyDescent="0.25">
      <c r="B361" s="85" t="str">
        <f t="shared" si="28"/>
        <v>1</v>
      </c>
      <c r="C361" s="85" t="str">
        <f t="shared" si="29"/>
        <v>2</v>
      </c>
      <c r="D361" s="85" t="str">
        <f t="shared" si="30"/>
        <v>1</v>
      </c>
      <c r="E361" s="85" t="str">
        <f t="shared" si="31"/>
        <v>0</v>
      </c>
      <c r="F361" s="85" t="str">
        <f t="shared" si="32"/>
        <v>11</v>
      </c>
      <c r="G361" s="85" t="str">
        <f t="shared" si="33"/>
        <v>1</v>
      </c>
      <c r="H361" s="85" t="str">
        <f t="shared" si="34"/>
        <v>3</v>
      </c>
      <c r="I361" s="87">
        <v>12101113</v>
      </c>
      <c r="J361" s="85" t="s">
        <v>3265</v>
      </c>
      <c r="K361" s="85" t="s">
        <v>2892</v>
      </c>
      <c r="L361" s="84"/>
      <c r="M361" s="85" t="s">
        <v>2892</v>
      </c>
      <c r="N361" s="85" t="s">
        <v>423</v>
      </c>
      <c r="O361" s="85" t="s">
        <v>2892</v>
      </c>
      <c r="P361" s="86" t="s">
        <v>2890</v>
      </c>
    </row>
    <row r="362" spans="2:16" ht="30" x14ac:dyDescent="0.25">
      <c r="B362" s="85" t="str">
        <f t="shared" si="28"/>
        <v>1</v>
      </c>
      <c r="C362" s="85" t="str">
        <f t="shared" si="29"/>
        <v>2</v>
      </c>
      <c r="D362" s="85" t="str">
        <f t="shared" si="30"/>
        <v>1</v>
      </c>
      <c r="E362" s="85" t="str">
        <f t="shared" si="31"/>
        <v>0</v>
      </c>
      <c r="F362" s="85" t="str">
        <f t="shared" si="32"/>
        <v>11</v>
      </c>
      <c r="G362" s="85" t="str">
        <f t="shared" si="33"/>
        <v>1</v>
      </c>
      <c r="H362" s="85" t="str">
        <f t="shared" si="34"/>
        <v>4</v>
      </c>
      <c r="I362" s="87">
        <v>12101114</v>
      </c>
      <c r="J362" s="85" t="s">
        <v>3266</v>
      </c>
      <c r="K362" s="85" t="s">
        <v>2892</v>
      </c>
      <c r="L362" s="84"/>
      <c r="M362" s="85" t="s">
        <v>2892</v>
      </c>
      <c r="N362" s="85" t="s">
        <v>2879</v>
      </c>
      <c r="O362" s="85" t="s">
        <v>2892</v>
      </c>
      <c r="P362" s="86" t="s">
        <v>2890</v>
      </c>
    </row>
    <row r="363" spans="2:16" ht="30" x14ac:dyDescent="0.25">
      <c r="B363" s="114" t="str">
        <f t="shared" si="28"/>
        <v>1</v>
      </c>
      <c r="C363" s="114" t="str">
        <f t="shared" si="29"/>
        <v>2</v>
      </c>
      <c r="D363" s="114" t="str">
        <f t="shared" si="30"/>
        <v>1</v>
      </c>
      <c r="E363" s="114" t="str">
        <f t="shared" si="31"/>
        <v>0</v>
      </c>
      <c r="F363" s="114" t="str">
        <f t="shared" si="32"/>
        <v>11</v>
      </c>
      <c r="G363" s="114" t="str">
        <f t="shared" si="33"/>
        <v>2</v>
      </c>
      <c r="H363" s="114" t="str">
        <f t="shared" si="34"/>
        <v>0</v>
      </c>
      <c r="I363" s="115">
        <v>12101120</v>
      </c>
      <c r="J363" s="114" t="s">
        <v>480</v>
      </c>
      <c r="K363" s="114" t="s">
        <v>3267</v>
      </c>
      <c r="L363" s="116"/>
      <c r="M363" s="114" t="s">
        <v>2878</v>
      </c>
      <c r="N363" s="114" t="s">
        <v>2879</v>
      </c>
      <c r="O363" s="114" t="s">
        <v>2878</v>
      </c>
      <c r="P363" s="117" t="s">
        <v>2880</v>
      </c>
    </row>
    <row r="364" spans="2:16" ht="75" x14ac:dyDescent="0.25">
      <c r="B364" s="85" t="str">
        <f t="shared" si="28"/>
        <v>1</v>
      </c>
      <c r="C364" s="85" t="str">
        <f t="shared" si="29"/>
        <v>2</v>
      </c>
      <c r="D364" s="85" t="str">
        <f t="shared" si="30"/>
        <v>1</v>
      </c>
      <c r="E364" s="85" t="str">
        <f t="shared" si="31"/>
        <v>0</v>
      </c>
      <c r="F364" s="85" t="str">
        <f t="shared" si="32"/>
        <v>11</v>
      </c>
      <c r="G364" s="85" t="str">
        <f t="shared" si="33"/>
        <v>2</v>
      </c>
      <c r="H364" s="85" t="str">
        <f t="shared" si="34"/>
        <v>1</v>
      </c>
      <c r="I364" s="87">
        <v>12101121</v>
      </c>
      <c r="J364" s="85" t="s">
        <v>3268</v>
      </c>
      <c r="K364" s="85" t="s">
        <v>3269</v>
      </c>
      <c r="L364" s="84"/>
      <c r="M364" s="85" t="s">
        <v>3270</v>
      </c>
      <c r="N364" s="85" t="s">
        <v>2879</v>
      </c>
      <c r="O364" s="85" t="s">
        <v>3263</v>
      </c>
      <c r="P364" s="86" t="s">
        <v>2890</v>
      </c>
    </row>
    <row r="365" spans="2:16" ht="15.75" x14ac:dyDescent="0.25">
      <c r="B365" s="85" t="str">
        <f t="shared" ref="B365:B428" si="35">MID($I365,1,1)</f>
        <v>1</v>
      </c>
      <c r="C365" s="85" t="str">
        <f t="shared" ref="C365:C428" si="36">MID($I365,2,1)</f>
        <v>2</v>
      </c>
      <c r="D365" s="85" t="str">
        <f t="shared" ref="D365:D428" si="37">MID($I365,3,1)</f>
        <v>1</v>
      </c>
      <c r="E365" s="85" t="str">
        <f t="shared" ref="E365:E428" si="38">MID($I365,4,1)</f>
        <v>0</v>
      </c>
      <c r="F365" s="85" t="str">
        <f t="shared" ref="F365:F428" si="39">MID($I365,5,2)</f>
        <v>11</v>
      </c>
      <c r="G365" s="85" t="str">
        <f t="shared" ref="G365:G428" si="40">MID($I365,7,1)</f>
        <v>2</v>
      </c>
      <c r="H365" s="85" t="str">
        <f t="shared" ref="H365:H428" si="41">MID($I365,8,1)</f>
        <v>2</v>
      </c>
      <c r="I365" s="87">
        <v>12101122</v>
      </c>
      <c r="J365" s="85" t="s">
        <v>3271</v>
      </c>
      <c r="K365" s="85" t="s">
        <v>2892</v>
      </c>
      <c r="L365" s="84"/>
      <c r="M365" s="85" t="s">
        <v>2892</v>
      </c>
      <c r="N365" s="85" t="s">
        <v>2879</v>
      </c>
      <c r="O365" s="85" t="s">
        <v>2892</v>
      </c>
      <c r="P365" s="86" t="s">
        <v>2890</v>
      </c>
    </row>
    <row r="366" spans="2:16" ht="15.75" x14ac:dyDescent="0.25">
      <c r="B366" s="85" t="str">
        <f t="shared" si="35"/>
        <v>1</v>
      </c>
      <c r="C366" s="85" t="str">
        <f t="shared" si="36"/>
        <v>2</v>
      </c>
      <c r="D366" s="85" t="str">
        <f t="shared" si="37"/>
        <v>1</v>
      </c>
      <c r="E366" s="85" t="str">
        <f t="shared" si="38"/>
        <v>0</v>
      </c>
      <c r="F366" s="85" t="str">
        <f t="shared" si="39"/>
        <v>11</v>
      </c>
      <c r="G366" s="85" t="str">
        <f t="shared" si="40"/>
        <v>2</v>
      </c>
      <c r="H366" s="85" t="str">
        <f t="shared" si="41"/>
        <v>3</v>
      </c>
      <c r="I366" s="87">
        <v>12101123</v>
      </c>
      <c r="J366" s="85" t="s">
        <v>3272</v>
      </c>
      <c r="K366" s="85" t="s">
        <v>2892</v>
      </c>
      <c r="L366" s="84"/>
      <c r="M366" s="85" t="s">
        <v>2892</v>
      </c>
      <c r="N366" s="85" t="s">
        <v>423</v>
      </c>
      <c r="O366" s="85" t="s">
        <v>2892</v>
      </c>
      <c r="P366" s="86" t="s">
        <v>2890</v>
      </c>
    </row>
    <row r="367" spans="2:16" ht="30" x14ac:dyDescent="0.25">
      <c r="B367" s="85" t="str">
        <f t="shared" si="35"/>
        <v>1</v>
      </c>
      <c r="C367" s="85" t="str">
        <f t="shared" si="36"/>
        <v>2</v>
      </c>
      <c r="D367" s="85" t="str">
        <f t="shared" si="37"/>
        <v>1</v>
      </c>
      <c r="E367" s="85" t="str">
        <f t="shared" si="38"/>
        <v>0</v>
      </c>
      <c r="F367" s="85" t="str">
        <f t="shared" si="39"/>
        <v>11</v>
      </c>
      <c r="G367" s="85" t="str">
        <f t="shared" si="40"/>
        <v>2</v>
      </c>
      <c r="H367" s="85" t="str">
        <f t="shared" si="41"/>
        <v>4</v>
      </c>
      <c r="I367" s="87">
        <v>12101124</v>
      </c>
      <c r="J367" s="85" t="s">
        <v>3273</v>
      </c>
      <c r="K367" s="85" t="s">
        <v>2892</v>
      </c>
      <c r="L367" s="84"/>
      <c r="M367" s="85" t="s">
        <v>2892</v>
      </c>
      <c r="N367" s="85" t="s">
        <v>2879</v>
      </c>
      <c r="O367" s="85" t="s">
        <v>2892</v>
      </c>
      <c r="P367" s="86" t="s">
        <v>2890</v>
      </c>
    </row>
    <row r="368" spans="2:16" ht="45" x14ac:dyDescent="0.25">
      <c r="B368" s="108" t="str">
        <f t="shared" si="35"/>
        <v>1</v>
      </c>
      <c r="C368" s="108" t="str">
        <f t="shared" si="36"/>
        <v>2</v>
      </c>
      <c r="D368" s="108" t="str">
        <f t="shared" si="37"/>
        <v>1</v>
      </c>
      <c r="E368" s="108" t="str">
        <f t="shared" si="38"/>
        <v>0</v>
      </c>
      <c r="F368" s="108" t="str">
        <f t="shared" si="39"/>
        <v>12</v>
      </c>
      <c r="G368" s="108" t="str">
        <f t="shared" si="40"/>
        <v>0</v>
      </c>
      <c r="H368" s="108" t="str">
        <f t="shared" si="41"/>
        <v>0</v>
      </c>
      <c r="I368" s="109">
        <v>12101200</v>
      </c>
      <c r="J368" s="108" t="s">
        <v>286</v>
      </c>
      <c r="K368" s="108" t="s">
        <v>3274</v>
      </c>
      <c r="L368" s="110"/>
      <c r="M368" s="108" t="s">
        <v>2878</v>
      </c>
      <c r="N368" s="108" t="s">
        <v>2879</v>
      </c>
      <c r="O368" s="108" t="s">
        <v>2878</v>
      </c>
      <c r="P368" s="111" t="s">
        <v>2880</v>
      </c>
    </row>
    <row r="369" spans="2:16" ht="45" x14ac:dyDescent="0.25">
      <c r="B369" s="114" t="str">
        <f t="shared" si="35"/>
        <v>1</v>
      </c>
      <c r="C369" s="114" t="str">
        <f t="shared" si="36"/>
        <v>2</v>
      </c>
      <c r="D369" s="114" t="str">
        <f t="shared" si="37"/>
        <v>1</v>
      </c>
      <c r="E369" s="114" t="str">
        <f t="shared" si="38"/>
        <v>0</v>
      </c>
      <c r="F369" s="114" t="str">
        <f t="shared" si="39"/>
        <v>12</v>
      </c>
      <c r="G369" s="114" t="str">
        <f t="shared" si="40"/>
        <v>1</v>
      </c>
      <c r="H369" s="114" t="str">
        <f t="shared" si="41"/>
        <v>0</v>
      </c>
      <c r="I369" s="115">
        <v>12101210</v>
      </c>
      <c r="J369" s="114" t="s">
        <v>286</v>
      </c>
      <c r="K369" s="114" t="s">
        <v>3274</v>
      </c>
      <c r="L369" s="116"/>
      <c r="M369" s="114" t="s">
        <v>2878</v>
      </c>
      <c r="N369" s="114" t="s">
        <v>2879</v>
      </c>
      <c r="O369" s="114" t="s">
        <v>2878</v>
      </c>
      <c r="P369" s="117" t="s">
        <v>2880</v>
      </c>
    </row>
    <row r="370" spans="2:16" ht="48" customHeight="1" x14ac:dyDescent="0.25">
      <c r="B370" s="85" t="str">
        <f t="shared" si="35"/>
        <v>1</v>
      </c>
      <c r="C370" s="85" t="str">
        <f t="shared" si="36"/>
        <v>2</v>
      </c>
      <c r="D370" s="85" t="str">
        <f t="shared" si="37"/>
        <v>1</v>
      </c>
      <c r="E370" s="85" t="str">
        <f t="shared" si="38"/>
        <v>0</v>
      </c>
      <c r="F370" s="85" t="str">
        <f t="shared" si="39"/>
        <v>12</v>
      </c>
      <c r="G370" s="85" t="str">
        <f t="shared" si="40"/>
        <v>1</v>
      </c>
      <c r="H370" s="85" t="str">
        <f t="shared" si="41"/>
        <v>1</v>
      </c>
      <c r="I370" s="87">
        <v>12101211</v>
      </c>
      <c r="J370" s="85" t="s">
        <v>3275</v>
      </c>
      <c r="K370" s="85" t="s">
        <v>3276</v>
      </c>
      <c r="L370" s="84"/>
      <c r="M370" s="85" t="s">
        <v>3277</v>
      </c>
      <c r="N370" s="85" t="s">
        <v>2879</v>
      </c>
      <c r="O370" s="85" t="s">
        <v>3278</v>
      </c>
      <c r="P370" s="86" t="s">
        <v>2890</v>
      </c>
    </row>
    <row r="371" spans="2:16" ht="15.75" x14ac:dyDescent="0.25">
      <c r="B371" s="85" t="str">
        <f t="shared" si="35"/>
        <v>1</v>
      </c>
      <c r="C371" s="85" t="str">
        <f t="shared" si="36"/>
        <v>2</v>
      </c>
      <c r="D371" s="85" t="str">
        <f t="shared" si="37"/>
        <v>1</v>
      </c>
      <c r="E371" s="85" t="str">
        <f t="shared" si="38"/>
        <v>0</v>
      </c>
      <c r="F371" s="85" t="str">
        <f t="shared" si="39"/>
        <v>12</v>
      </c>
      <c r="G371" s="85" t="str">
        <f t="shared" si="40"/>
        <v>1</v>
      </c>
      <c r="H371" s="85" t="str">
        <f t="shared" si="41"/>
        <v>2</v>
      </c>
      <c r="I371" s="87">
        <v>12101212</v>
      </c>
      <c r="J371" s="85" t="s">
        <v>3279</v>
      </c>
      <c r="K371" s="85" t="s">
        <v>2892</v>
      </c>
      <c r="L371" s="84"/>
      <c r="M371" s="85" t="s">
        <v>2892</v>
      </c>
      <c r="N371" s="85" t="s">
        <v>2879</v>
      </c>
      <c r="O371" s="85" t="s">
        <v>2892</v>
      </c>
      <c r="P371" s="86" t="s">
        <v>2890</v>
      </c>
    </row>
    <row r="372" spans="2:16" ht="15.75" x14ac:dyDescent="0.25">
      <c r="B372" s="85" t="str">
        <f t="shared" si="35"/>
        <v>1</v>
      </c>
      <c r="C372" s="85" t="str">
        <f t="shared" si="36"/>
        <v>2</v>
      </c>
      <c r="D372" s="85" t="str">
        <f t="shared" si="37"/>
        <v>1</v>
      </c>
      <c r="E372" s="85" t="str">
        <f t="shared" si="38"/>
        <v>0</v>
      </c>
      <c r="F372" s="85" t="str">
        <f t="shared" si="39"/>
        <v>12</v>
      </c>
      <c r="G372" s="85" t="str">
        <f t="shared" si="40"/>
        <v>1</v>
      </c>
      <c r="H372" s="85" t="str">
        <f t="shared" si="41"/>
        <v>3</v>
      </c>
      <c r="I372" s="87">
        <v>12101213</v>
      </c>
      <c r="J372" s="85" t="s">
        <v>3280</v>
      </c>
      <c r="K372" s="85" t="s">
        <v>2892</v>
      </c>
      <c r="L372" s="84"/>
      <c r="M372" s="85" t="s">
        <v>2892</v>
      </c>
      <c r="N372" s="85" t="s">
        <v>2879</v>
      </c>
      <c r="O372" s="85" t="s">
        <v>2892</v>
      </c>
      <c r="P372" s="86" t="s">
        <v>2890</v>
      </c>
    </row>
    <row r="373" spans="2:16" ht="15.75" x14ac:dyDescent="0.25">
      <c r="B373" s="85" t="str">
        <f t="shared" si="35"/>
        <v>1</v>
      </c>
      <c r="C373" s="85" t="str">
        <f t="shared" si="36"/>
        <v>2</v>
      </c>
      <c r="D373" s="85" t="str">
        <f t="shared" si="37"/>
        <v>1</v>
      </c>
      <c r="E373" s="85" t="str">
        <f t="shared" si="38"/>
        <v>0</v>
      </c>
      <c r="F373" s="85" t="str">
        <f t="shared" si="39"/>
        <v>12</v>
      </c>
      <c r="G373" s="85" t="str">
        <f t="shared" si="40"/>
        <v>1</v>
      </c>
      <c r="H373" s="85" t="str">
        <f t="shared" si="41"/>
        <v>4</v>
      </c>
      <c r="I373" s="87">
        <v>12101214</v>
      </c>
      <c r="J373" s="85" t="s">
        <v>3281</v>
      </c>
      <c r="K373" s="85" t="s">
        <v>2892</v>
      </c>
      <c r="L373" s="84"/>
      <c r="M373" s="85" t="s">
        <v>2892</v>
      </c>
      <c r="N373" s="85" t="s">
        <v>2879</v>
      </c>
      <c r="O373" s="85" t="s">
        <v>2892</v>
      </c>
      <c r="P373" s="86" t="s">
        <v>2890</v>
      </c>
    </row>
    <row r="374" spans="2:16" ht="87.75" customHeight="1" x14ac:dyDescent="0.25">
      <c r="B374" s="108" t="str">
        <f t="shared" si="35"/>
        <v>1</v>
      </c>
      <c r="C374" s="108" t="str">
        <f t="shared" si="36"/>
        <v>2</v>
      </c>
      <c r="D374" s="108" t="str">
        <f t="shared" si="37"/>
        <v>1</v>
      </c>
      <c r="E374" s="108" t="str">
        <f t="shared" si="38"/>
        <v>0</v>
      </c>
      <c r="F374" s="108" t="str">
        <f t="shared" si="39"/>
        <v>13</v>
      </c>
      <c r="G374" s="108" t="str">
        <f t="shared" si="40"/>
        <v>0</v>
      </c>
      <c r="H374" s="108" t="str">
        <f t="shared" si="41"/>
        <v>0</v>
      </c>
      <c r="I374" s="109">
        <v>12101300</v>
      </c>
      <c r="J374" s="108" t="s">
        <v>290</v>
      </c>
      <c r="K374" s="108" t="s">
        <v>3282</v>
      </c>
      <c r="L374" s="110"/>
      <c r="M374" s="108" t="s">
        <v>2878</v>
      </c>
      <c r="N374" s="108" t="s">
        <v>2879</v>
      </c>
      <c r="O374" s="108" t="s">
        <v>2878</v>
      </c>
      <c r="P374" s="111" t="s">
        <v>2880</v>
      </c>
    </row>
    <row r="375" spans="2:16" ht="105" x14ac:dyDescent="0.25">
      <c r="B375" s="114" t="str">
        <f t="shared" si="35"/>
        <v>1</v>
      </c>
      <c r="C375" s="114" t="str">
        <f t="shared" si="36"/>
        <v>2</v>
      </c>
      <c r="D375" s="114" t="str">
        <f t="shared" si="37"/>
        <v>1</v>
      </c>
      <c r="E375" s="114" t="str">
        <f t="shared" si="38"/>
        <v>0</v>
      </c>
      <c r="F375" s="114" t="str">
        <f t="shared" si="39"/>
        <v>13</v>
      </c>
      <c r="G375" s="114" t="str">
        <f t="shared" si="40"/>
        <v>1</v>
      </c>
      <c r="H375" s="114" t="str">
        <f t="shared" si="41"/>
        <v>0</v>
      </c>
      <c r="I375" s="115">
        <v>12101310</v>
      </c>
      <c r="J375" s="114" t="s">
        <v>290</v>
      </c>
      <c r="K375" s="114" t="s">
        <v>3282</v>
      </c>
      <c r="L375" s="116"/>
      <c r="M375" s="114" t="s">
        <v>2878</v>
      </c>
      <c r="N375" s="114" t="s">
        <v>2879</v>
      </c>
      <c r="O375" s="114" t="s">
        <v>2878</v>
      </c>
      <c r="P375" s="117" t="s">
        <v>2880</v>
      </c>
    </row>
    <row r="376" spans="2:16" ht="105.75" customHeight="1" x14ac:dyDescent="0.25">
      <c r="B376" s="85" t="str">
        <f t="shared" si="35"/>
        <v>1</v>
      </c>
      <c r="C376" s="85" t="str">
        <f t="shared" si="36"/>
        <v>2</v>
      </c>
      <c r="D376" s="85" t="str">
        <f t="shared" si="37"/>
        <v>1</v>
      </c>
      <c r="E376" s="85" t="str">
        <f t="shared" si="38"/>
        <v>0</v>
      </c>
      <c r="F376" s="85" t="str">
        <f t="shared" si="39"/>
        <v>13</v>
      </c>
      <c r="G376" s="85" t="str">
        <f t="shared" si="40"/>
        <v>1</v>
      </c>
      <c r="H376" s="85" t="str">
        <f t="shared" si="41"/>
        <v>1</v>
      </c>
      <c r="I376" s="87">
        <v>12101311</v>
      </c>
      <c r="J376" s="85" t="s">
        <v>3283</v>
      </c>
      <c r="K376" s="85" t="s">
        <v>3284</v>
      </c>
      <c r="L376" s="84"/>
      <c r="M376" s="85" t="s">
        <v>3277</v>
      </c>
      <c r="N376" s="85" t="s">
        <v>2879</v>
      </c>
      <c r="O376" s="85" t="s">
        <v>3278</v>
      </c>
      <c r="P376" s="86" t="s">
        <v>2890</v>
      </c>
    </row>
    <row r="377" spans="2:16" ht="15.75" x14ac:dyDescent="0.25">
      <c r="B377" s="85" t="str">
        <f t="shared" si="35"/>
        <v>1</v>
      </c>
      <c r="C377" s="85" t="str">
        <f t="shared" si="36"/>
        <v>2</v>
      </c>
      <c r="D377" s="85" t="str">
        <f t="shared" si="37"/>
        <v>1</v>
      </c>
      <c r="E377" s="85" t="str">
        <f t="shared" si="38"/>
        <v>0</v>
      </c>
      <c r="F377" s="85" t="str">
        <f t="shared" si="39"/>
        <v>13</v>
      </c>
      <c r="G377" s="85" t="str">
        <f t="shared" si="40"/>
        <v>1</v>
      </c>
      <c r="H377" s="85" t="str">
        <f t="shared" si="41"/>
        <v>2</v>
      </c>
      <c r="I377" s="87">
        <v>12101312</v>
      </c>
      <c r="J377" s="85" t="s">
        <v>3285</v>
      </c>
      <c r="K377" s="85" t="s">
        <v>2892</v>
      </c>
      <c r="L377" s="84"/>
      <c r="M377" s="85" t="s">
        <v>2892</v>
      </c>
      <c r="N377" s="85" t="s">
        <v>2879</v>
      </c>
      <c r="O377" s="85" t="s">
        <v>2892</v>
      </c>
      <c r="P377" s="86" t="s">
        <v>2890</v>
      </c>
    </row>
    <row r="378" spans="2:16" ht="15.75" x14ac:dyDescent="0.25">
      <c r="B378" s="85" t="str">
        <f t="shared" si="35"/>
        <v>1</v>
      </c>
      <c r="C378" s="85" t="str">
        <f t="shared" si="36"/>
        <v>2</v>
      </c>
      <c r="D378" s="85" t="str">
        <f t="shared" si="37"/>
        <v>1</v>
      </c>
      <c r="E378" s="85" t="str">
        <f t="shared" si="38"/>
        <v>0</v>
      </c>
      <c r="F378" s="85" t="str">
        <f t="shared" si="39"/>
        <v>13</v>
      </c>
      <c r="G378" s="85" t="str">
        <f t="shared" si="40"/>
        <v>1</v>
      </c>
      <c r="H378" s="85" t="str">
        <f t="shared" si="41"/>
        <v>3</v>
      </c>
      <c r="I378" s="87">
        <v>12101313</v>
      </c>
      <c r="J378" s="85" t="s">
        <v>3286</v>
      </c>
      <c r="K378" s="85" t="s">
        <v>2892</v>
      </c>
      <c r="L378" s="84"/>
      <c r="M378" s="85" t="s">
        <v>2892</v>
      </c>
      <c r="N378" s="85" t="s">
        <v>2879</v>
      </c>
      <c r="O378" s="85" t="s">
        <v>2892</v>
      </c>
      <c r="P378" s="86" t="s">
        <v>2890</v>
      </c>
    </row>
    <row r="379" spans="2:16" ht="15.75" x14ac:dyDescent="0.25">
      <c r="B379" s="85" t="str">
        <f t="shared" si="35"/>
        <v>1</v>
      </c>
      <c r="C379" s="85" t="str">
        <f t="shared" si="36"/>
        <v>2</v>
      </c>
      <c r="D379" s="85" t="str">
        <f t="shared" si="37"/>
        <v>1</v>
      </c>
      <c r="E379" s="85" t="str">
        <f t="shared" si="38"/>
        <v>0</v>
      </c>
      <c r="F379" s="85" t="str">
        <f t="shared" si="39"/>
        <v>13</v>
      </c>
      <c r="G379" s="85" t="str">
        <f t="shared" si="40"/>
        <v>1</v>
      </c>
      <c r="H379" s="85" t="str">
        <f t="shared" si="41"/>
        <v>4</v>
      </c>
      <c r="I379" s="87">
        <v>12101314</v>
      </c>
      <c r="J379" s="85" t="s">
        <v>3287</v>
      </c>
      <c r="K379" s="85" t="s">
        <v>2892</v>
      </c>
      <c r="L379" s="84"/>
      <c r="M379" s="85" t="s">
        <v>2892</v>
      </c>
      <c r="N379" s="85" t="s">
        <v>2879</v>
      </c>
      <c r="O379" s="85" t="s">
        <v>2892</v>
      </c>
      <c r="P379" s="86" t="s">
        <v>2890</v>
      </c>
    </row>
    <row r="380" spans="2:16" ht="75" x14ac:dyDescent="0.25">
      <c r="B380" s="108" t="str">
        <f t="shared" si="35"/>
        <v>1</v>
      </c>
      <c r="C380" s="108" t="str">
        <f t="shared" si="36"/>
        <v>2</v>
      </c>
      <c r="D380" s="108" t="str">
        <f t="shared" si="37"/>
        <v>1</v>
      </c>
      <c r="E380" s="108" t="str">
        <f t="shared" si="38"/>
        <v>0</v>
      </c>
      <c r="F380" s="108" t="str">
        <f t="shared" si="39"/>
        <v>14</v>
      </c>
      <c r="G380" s="108" t="str">
        <f t="shared" si="40"/>
        <v>0</v>
      </c>
      <c r="H380" s="108" t="str">
        <f t="shared" si="41"/>
        <v>0</v>
      </c>
      <c r="I380" s="109">
        <v>12101400</v>
      </c>
      <c r="J380" s="108" t="s">
        <v>292</v>
      </c>
      <c r="K380" s="108" t="s">
        <v>3288</v>
      </c>
      <c r="L380" s="110"/>
      <c r="M380" s="108" t="s">
        <v>2878</v>
      </c>
      <c r="N380" s="108" t="s">
        <v>2879</v>
      </c>
      <c r="O380" s="108" t="s">
        <v>2878</v>
      </c>
      <c r="P380" s="111" t="s">
        <v>2880</v>
      </c>
    </row>
    <row r="381" spans="2:16" ht="75" x14ac:dyDescent="0.25">
      <c r="B381" s="114" t="str">
        <f t="shared" si="35"/>
        <v>1</v>
      </c>
      <c r="C381" s="114" t="str">
        <f t="shared" si="36"/>
        <v>2</v>
      </c>
      <c r="D381" s="114" t="str">
        <f t="shared" si="37"/>
        <v>1</v>
      </c>
      <c r="E381" s="114" t="str">
        <f t="shared" si="38"/>
        <v>0</v>
      </c>
      <c r="F381" s="114" t="str">
        <f t="shared" si="39"/>
        <v>14</v>
      </c>
      <c r="G381" s="114" t="str">
        <f t="shared" si="40"/>
        <v>1</v>
      </c>
      <c r="H381" s="114" t="str">
        <f t="shared" si="41"/>
        <v>0</v>
      </c>
      <c r="I381" s="115">
        <v>12101410</v>
      </c>
      <c r="J381" s="114" t="s">
        <v>292</v>
      </c>
      <c r="K381" s="114" t="s">
        <v>3288</v>
      </c>
      <c r="L381" s="116"/>
      <c r="M381" s="114" t="s">
        <v>2878</v>
      </c>
      <c r="N381" s="114" t="s">
        <v>2879</v>
      </c>
      <c r="O381" s="114" t="s">
        <v>2878</v>
      </c>
      <c r="P381" s="117" t="s">
        <v>2880</v>
      </c>
    </row>
    <row r="382" spans="2:16" ht="75" x14ac:dyDescent="0.25">
      <c r="B382" s="85" t="str">
        <f t="shared" si="35"/>
        <v>1</v>
      </c>
      <c r="C382" s="85" t="str">
        <f t="shared" si="36"/>
        <v>2</v>
      </c>
      <c r="D382" s="85" t="str">
        <f t="shared" si="37"/>
        <v>1</v>
      </c>
      <c r="E382" s="85" t="str">
        <f t="shared" si="38"/>
        <v>0</v>
      </c>
      <c r="F382" s="85" t="str">
        <f t="shared" si="39"/>
        <v>14</v>
      </c>
      <c r="G382" s="85" t="str">
        <f t="shared" si="40"/>
        <v>1</v>
      </c>
      <c r="H382" s="85" t="str">
        <f t="shared" si="41"/>
        <v>1</v>
      </c>
      <c r="I382" s="87">
        <v>12101411</v>
      </c>
      <c r="J382" s="85" t="s">
        <v>3289</v>
      </c>
      <c r="K382" s="85" t="s">
        <v>3290</v>
      </c>
      <c r="L382" s="84"/>
      <c r="M382" s="85" t="s">
        <v>3291</v>
      </c>
      <c r="N382" s="85" t="s">
        <v>2879</v>
      </c>
      <c r="O382" s="85" t="s">
        <v>3292</v>
      </c>
      <c r="P382" s="86" t="s">
        <v>2890</v>
      </c>
    </row>
    <row r="383" spans="2:16" ht="30" x14ac:dyDescent="0.25">
      <c r="B383" s="85" t="str">
        <f t="shared" si="35"/>
        <v>1</v>
      </c>
      <c r="C383" s="85" t="str">
        <f t="shared" si="36"/>
        <v>2</v>
      </c>
      <c r="D383" s="85" t="str">
        <f t="shared" si="37"/>
        <v>1</v>
      </c>
      <c r="E383" s="85" t="str">
        <f t="shared" si="38"/>
        <v>0</v>
      </c>
      <c r="F383" s="85" t="str">
        <f t="shared" si="39"/>
        <v>14</v>
      </c>
      <c r="G383" s="85" t="str">
        <f t="shared" si="40"/>
        <v>1</v>
      </c>
      <c r="H383" s="85" t="str">
        <f t="shared" si="41"/>
        <v>2</v>
      </c>
      <c r="I383" s="87">
        <v>12101412</v>
      </c>
      <c r="J383" s="85" t="s">
        <v>3293</v>
      </c>
      <c r="K383" s="85" t="s">
        <v>2892</v>
      </c>
      <c r="L383" s="84"/>
      <c r="M383" s="85" t="s">
        <v>2892</v>
      </c>
      <c r="N383" s="85" t="s">
        <v>2879</v>
      </c>
      <c r="O383" s="85" t="s">
        <v>2892</v>
      </c>
      <c r="P383" s="86" t="s">
        <v>2890</v>
      </c>
    </row>
    <row r="384" spans="2:16" ht="30" x14ac:dyDescent="0.25">
      <c r="B384" s="85" t="str">
        <f t="shared" si="35"/>
        <v>1</v>
      </c>
      <c r="C384" s="85" t="str">
        <f t="shared" si="36"/>
        <v>2</v>
      </c>
      <c r="D384" s="85" t="str">
        <f t="shared" si="37"/>
        <v>1</v>
      </c>
      <c r="E384" s="85" t="str">
        <f t="shared" si="38"/>
        <v>0</v>
      </c>
      <c r="F384" s="85" t="str">
        <f t="shared" si="39"/>
        <v>14</v>
      </c>
      <c r="G384" s="85" t="str">
        <f t="shared" si="40"/>
        <v>1</v>
      </c>
      <c r="H384" s="85" t="str">
        <f t="shared" si="41"/>
        <v>3</v>
      </c>
      <c r="I384" s="87">
        <v>12101413</v>
      </c>
      <c r="J384" s="85" t="s">
        <v>3294</v>
      </c>
      <c r="K384" s="85" t="s">
        <v>2892</v>
      </c>
      <c r="L384" s="84"/>
      <c r="M384" s="85" t="s">
        <v>2892</v>
      </c>
      <c r="N384" s="85" t="s">
        <v>2879</v>
      </c>
      <c r="O384" s="85" t="s">
        <v>2892</v>
      </c>
      <c r="P384" s="86" t="s">
        <v>2890</v>
      </c>
    </row>
    <row r="385" spans="2:16" ht="30" x14ac:dyDescent="0.25">
      <c r="B385" s="85" t="str">
        <f t="shared" si="35"/>
        <v>1</v>
      </c>
      <c r="C385" s="85" t="str">
        <f t="shared" si="36"/>
        <v>2</v>
      </c>
      <c r="D385" s="85" t="str">
        <f t="shared" si="37"/>
        <v>1</v>
      </c>
      <c r="E385" s="85" t="str">
        <f t="shared" si="38"/>
        <v>0</v>
      </c>
      <c r="F385" s="85" t="str">
        <f t="shared" si="39"/>
        <v>14</v>
      </c>
      <c r="G385" s="85" t="str">
        <f t="shared" si="40"/>
        <v>1</v>
      </c>
      <c r="H385" s="85" t="str">
        <f t="shared" si="41"/>
        <v>4</v>
      </c>
      <c r="I385" s="87">
        <v>12101414</v>
      </c>
      <c r="J385" s="85" t="s">
        <v>3295</v>
      </c>
      <c r="K385" s="85" t="s">
        <v>2892</v>
      </c>
      <c r="L385" s="84"/>
      <c r="M385" s="85" t="s">
        <v>2892</v>
      </c>
      <c r="N385" s="85" t="s">
        <v>2879</v>
      </c>
      <c r="O385" s="85" t="s">
        <v>2892</v>
      </c>
      <c r="P385" s="86" t="s">
        <v>2890</v>
      </c>
    </row>
    <row r="386" spans="2:16" ht="60" x14ac:dyDescent="0.25">
      <c r="B386" s="108" t="str">
        <f t="shared" si="35"/>
        <v>1</v>
      </c>
      <c r="C386" s="108" t="str">
        <f t="shared" si="36"/>
        <v>2</v>
      </c>
      <c r="D386" s="108" t="str">
        <f t="shared" si="37"/>
        <v>1</v>
      </c>
      <c r="E386" s="108" t="str">
        <f t="shared" si="38"/>
        <v>0</v>
      </c>
      <c r="F386" s="108" t="str">
        <f t="shared" si="39"/>
        <v>15</v>
      </c>
      <c r="G386" s="108" t="str">
        <f t="shared" si="40"/>
        <v>0</v>
      </c>
      <c r="H386" s="108" t="str">
        <f t="shared" si="41"/>
        <v>0</v>
      </c>
      <c r="I386" s="109">
        <v>12101500</v>
      </c>
      <c r="J386" s="108" t="s">
        <v>296</v>
      </c>
      <c r="K386" s="108" t="s">
        <v>3296</v>
      </c>
      <c r="L386" s="110"/>
      <c r="M386" s="108" t="s">
        <v>2878</v>
      </c>
      <c r="N386" s="108" t="s">
        <v>2879</v>
      </c>
      <c r="O386" s="108" t="s">
        <v>2878</v>
      </c>
      <c r="P386" s="111" t="s">
        <v>2880</v>
      </c>
    </row>
    <row r="387" spans="2:16" ht="60" x14ac:dyDescent="0.25">
      <c r="B387" s="114" t="str">
        <f t="shared" si="35"/>
        <v>1</v>
      </c>
      <c r="C387" s="114" t="str">
        <f t="shared" si="36"/>
        <v>2</v>
      </c>
      <c r="D387" s="114" t="str">
        <f t="shared" si="37"/>
        <v>1</v>
      </c>
      <c r="E387" s="114" t="str">
        <f t="shared" si="38"/>
        <v>0</v>
      </c>
      <c r="F387" s="114" t="str">
        <f t="shared" si="39"/>
        <v>15</v>
      </c>
      <c r="G387" s="114" t="str">
        <f t="shared" si="40"/>
        <v>1</v>
      </c>
      <c r="H387" s="114" t="str">
        <f t="shared" si="41"/>
        <v>0</v>
      </c>
      <c r="I387" s="115">
        <v>12101510</v>
      </c>
      <c r="J387" s="114" t="s">
        <v>296</v>
      </c>
      <c r="K387" s="114" t="s">
        <v>3296</v>
      </c>
      <c r="L387" s="116"/>
      <c r="M387" s="114" t="s">
        <v>2878</v>
      </c>
      <c r="N387" s="114" t="s">
        <v>2879</v>
      </c>
      <c r="O387" s="114" t="s">
        <v>2878</v>
      </c>
      <c r="P387" s="117" t="s">
        <v>2880</v>
      </c>
    </row>
    <row r="388" spans="2:16" ht="75" x14ac:dyDescent="0.25">
      <c r="B388" s="85" t="str">
        <f t="shared" si="35"/>
        <v>1</v>
      </c>
      <c r="C388" s="85" t="str">
        <f t="shared" si="36"/>
        <v>2</v>
      </c>
      <c r="D388" s="85" t="str">
        <f t="shared" si="37"/>
        <v>1</v>
      </c>
      <c r="E388" s="85" t="str">
        <f t="shared" si="38"/>
        <v>0</v>
      </c>
      <c r="F388" s="85" t="str">
        <f t="shared" si="39"/>
        <v>15</v>
      </c>
      <c r="G388" s="85" t="str">
        <f t="shared" si="40"/>
        <v>1</v>
      </c>
      <c r="H388" s="85" t="str">
        <f t="shared" si="41"/>
        <v>1</v>
      </c>
      <c r="I388" s="87">
        <v>12101511</v>
      </c>
      <c r="J388" s="85" t="s">
        <v>3297</v>
      </c>
      <c r="K388" s="85" t="s">
        <v>3290</v>
      </c>
      <c r="L388" s="84"/>
      <c r="M388" s="85" t="s">
        <v>2878</v>
      </c>
      <c r="N388" s="85" t="s">
        <v>2879</v>
      </c>
      <c r="O388" s="85" t="s">
        <v>2878</v>
      </c>
      <c r="P388" s="86" t="s">
        <v>2890</v>
      </c>
    </row>
    <row r="389" spans="2:16" ht="30" x14ac:dyDescent="0.25">
      <c r="B389" s="85" t="str">
        <f t="shared" si="35"/>
        <v>1</v>
      </c>
      <c r="C389" s="85" t="str">
        <f t="shared" si="36"/>
        <v>2</v>
      </c>
      <c r="D389" s="85" t="str">
        <f t="shared" si="37"/>
        <v>1</v>
      </c>
      <c r="E389" s="85" t="str">
        <f t="shared" si="38"/>
        <v>0</v>
      </c>
      <c r="F389" s="85" t="str">
        <f t="shared" si="39"/>
        <v>15</v>
      </c>
      <c r="G389" s="85" t="str">
        <f t="shared" si="40"/>
        <v>1</v>
      </c>
      <c r="H389" s="85" t="str">
        <f t="shared" si="41"/>
        <v>2</v>
      </c>
      <c r="I389" s="87">
        <v>12101512</v>
      </c>
      <c r="J389" s="85" t="s">
        <v>3298</v>
      </c>
      <c r="K389" s="85" t="s">
        <v>2892</v>
      </c>
      <c r="L389" s="84"/>
      <c r="M389" s="85" t="s">
        <v>2892</v>
      </c>
      <c r="N389" s="85" t="s">
        <v>2879</v>
      </c>
      <c r="O389" s="85" t="s">
        <v>2892</v>
      </c>
      <c r="P389" s="86" t="s">
        <v>2890</v>
      </c>
    </row>
    <row r="390" spans="2:16" ht="30" x14ac:dyDescent="0.25">
      <c r="B390" s="85" t="str">
        <f t="shared" si="35"/>
        <v>1</v>
      </c>
      <c r="C390" s="85" t="str">
        <f t="shared" si="36"/>
        <v>2</v>
      </c>
      <c r="D390" s="85" t="str">
        <f t="shared" si="37"/>
        <v>1</v>
      </c>
      <c r="E390" s="85" t="str">
        <f t="shared" si="38"/>
        <v>0</v>
      </c>
      <c r="F390" s="85" t="str">
        <f t="shared" si="39"/>
        <v>15</v>
      </c>
      <c r="G390" s="85" t="str">
        <f t="shared" si="40"/>
        <v>1</v>
      </c>
      <c r="H390" s="85" t="str">
        <f t="shared" si="41"/>
        <v>3</v>
      </c>
      <c r="I390" s="87">
        <v>12101513</v>
      </c>
      <c r="J390" s="85" t="s">
        <v>3299</v>
      </c>
      <c r="K390" s="85" t="s">
        <v>2892</v>
      </c>
      <c r="L390" s="84"/>
      <c r="M390" s="85" t="s">
        <v>2892</v>
      </c>
      <c r="N390" s="85" t="s">
        <v>2879</v>
      </c>
      <c r="O390" s="85" t="s">
        <v>2892</v>
      </c>
      <c r="P390" s="86" t="s">
        <v>2890</v>
      </c>
    </row>
    <row r="391" spans="2:16" ht="30" x14ac:dyDescent="0.25">
      <c r="B391" s="85" t="str">
        <f t="shared" si="35"/>
        <v>1</v>
      </c>
      <c r="C391" s="85" t="str">
        <f t="shared" si="36"/>
        <v>2</v>
      </c>
      <c r="D391" s="85" t="str">
        <f t="shared" si="37"/>
        <v>1</v>
      </c>
      <c r="E391" s="85" t="str">
        <f t="shared" si="38"/>
        <v>0</v>
      </c>
      <c r="F391" s="85" t="str">
        <f t="shared" si="39"/>
        <v>15</v>
      </c>
      <c r="G391" s="85" t="str">
        <f t="shared" si="40"/>
        <v>1</v>
      </c>
      <c r="H391" s="85" t="str">
        <f t="shared" si="41"/>
        <v>4</v>
      </c>
      <c r="I391" s="87">
        <v>12101514</v>
      </c>
      <c r="J391" s="85" t="s">
        <v>3300</v>
      </c>
      <c r="K391" s="85" t="s">
        <v>2892</v>
      </c>
      <c r="L391" s="84"/>
      <c r="M391" s="85" t="s">
        <v>2892</v>
      </c>
      <c r="N391" s="85" t="s">
        <v>2879</v>
      </c>
      <c r="O391" s="85" t="s">
        <v>2892</v>
      </c>
      <c r="P391" s="86" t="s">
        <v>2890</v>
      </c>
    </row>
    <row r="392" spans="2:16" ht="30" x14ac:dyDescent="0.25">
      <c r="B392" s="108" t="str">
        <f t="shared" si="35"/>
        <v>1</v>
      </c>
      <c r="C392" s="108" t="str">
        <f t="shared" si="36"/>
        <v>2</v>
      </c>
      <c r="D392" s="108" t="str">
        <f t="shared" si="37"/>
        <v>1</v>
      </c>
      <c r="E392" s="108" t="str">
        <f t="shared" si="38"/>
        <v>0</v>
      </c>
      <c r="F392" s="108" t="str">
        <f t="shared" si="39"/>
        <v>16</v>
      </c>
      <c r="G392" s="108" t="str">
        <f t="shared" si="40"/>
        <v>0</v>
      </c>
      <c r="H392" s="108" t="str">
        <f t="shared" si="41"/>
        <v>0</v>
      </c>
      <c r="I392" s="109">
        <v>12101600</v>
      </c>
      <c r="J392" s="108" t="s">
        <v>428</v>
      </c>
      <c r="K392" s="108" t="s">
        <v>3301</v>
      </c>
      <c r="L392" s="110"/>
      <c r="M392" s="108" t="s">
        <v>2878</v>
      </c>
      <c r="N392" s="108" t="s">
        <v>2879</v>
      </c>
      <c r="O392" s="108" t="s">
        <v>2878</v>
      </c>
      <c r="P392" s="111" t="s">
        <v>2880</v>
      </c>
    </row>
    <row r="393" spans="2:16" ht="30" x14ac:dyDescent="0.25">
      <c r="B393" s="114" t="str">
        <f t="shared" si="35"/>
        <v>1</v>
      </c>
      <c r="C393" s="114" t="str">
        <f t="shared" si="36"/>
        <v>2</v>
      </c>
      <c r="D393" s="114" t="str">
        <f t="shared" si="37"/>
        <v>1</v>
      </c>
      <c r="E393" s="114" t="str">
        <f t="shared" si="38"/>
        <v>0</v>
      </c>
      <c r="F393" s="114" t="str">
        <f t="shared" si="39"/>
        <v>16</v>
      </c>
      <c r="G393" s="114" t="str">
        <f t="shared" si="40"/>
        <v>1</v>
      </c>
      <c r="H393" s="114" t="str">
        <f t="shared" si="41"/>
        <v>0</v>
      </c>
      <c r="I393" s="115">
        <v>12101610</v>
      </c>
      <c r="J393" s="114" t="s">
        <v>428</v>
      </c>
      <c r="K393" s="114" t="s">
        <v>3301</v>
      </c>
      <c r="L393" s="116"/>
      <c r="M393" s="114" t="s">
        <v>2878</v>
      </c>
      <c r="N393" s="114" t="s">
        <v>2879</v>
      </c>
      <c r="O393" s="114" t="s">
        <v>2878</v>
      </c>
      <c r="P393" s="117" t="s">
        <v>2880</v>
      </c>
    </row>
    <row r="394" spans="2:16" ht="75" x14ac:dyDescent="0.25">
      <c r="B394" s="85" t="str">
        <f t="shared" si="35"/>
        <v>1</v>
      </c>
      <c r="C394" s="85" t="str">
        <f t="shared" si="36"/>
        <v>2</v>
      </c>
      <c r="D394" s="85" t="str">
        <f t="shared" si="37"/>
        <v>1</v>
      </c>
      <c r="E394" s="85" t="str">
        <f t="shared" si="38"/>
        <v>0</v>
      </c>
      <c r="F394" s="85" t="str">
        <f t="shared" si="39"/>
        <v>16</v>
      </c>
      <c r="G394" s="85" t="str">
        <f t="shared" si="40"/>
        <v>1</v>
      </c>
      <c r="H394" s="85" t="str">
        <f t="shared" si="41"/>
        <v>1</v>
      </c>
      <c r="I394" s="87">
        <v>12101611</v>
      </c>
      <c r="J394" s="85" t="s">
        <v>3302</v>
      </c>
      <c r="K394" s="85" t="s">
        <v>3303</v>
      </c>
      <c r="L394" s="84"/>
      <c r="M394" s="85" t="s">
        <v>3304</v>
      </c>
      <c r="N394" s="85" t="s">
        <v>2879</v>
      </c>
      <c r="O394" s="85" t="s">
        <v>3305</v>
      </c>
      <c r="P394" s="86" t="s">
        <v>2890</v>
      </c>
    </row>
    <row r="395" spans="2:16" ht="15.75" x14ac:dyDescent="0.25">
      <c r="B395" s="85" t="str">
        <f t="shared" si="35"/>
        <v>1</v>
      </c>
      <c r="C395" s="85" t="str">
        <f t="shared" si="36"/>
        <v>2</v>
      </c>
      <c r="D395" s="85" t="str">
        <f t="shared" si="37"/>
        <v>1</v>
      </c>
      <c r="E395" s="85" t="str">
        <f t="shared" si="38"/>
        <v>0</v>
      </c>
      <c r="F395" s="85" t="str">
        <f t="shared" si="39"/>
        <v>16</v>
      </c>
      <c r="G395" s="85" t="str">
        <f t="shared" si="40"/>
        <v>1</v>
      </c>
      <c r="H395" s="85" t="str">
        <f t="shared" si="41"/>
        <v>2</v>
      </c>
      <c r="I395" s="87">
        <v>12101612</v>
      </c>
      <c r="J395" s="85" t="s">
        <v>3306</v>
      </c>
      <c r="K395" s="85" t="s">
        <v>2892</v>
      </c>
      <c r="L395" s="84"/>
      <c r="M395" s="85" t="s">
        <v>2892</v>
      </c>
      <c r="N395" s="85" t="s">
        <v>2879</v>
      </c>
      <c r="O395" s="85" t="s">
        <v>2892</v>
      </c>
      <c r="P395" s="86" t="s">
        <v>2890</v>
      </c>
    </row>
    <row r="396" spans="2:16" ht="15.75" x14ac:dyDescent="0.25">
      <c r="B396" s="85" t="str">
        <f t="shared" si="35"/>
        <v>1</v>
      </c>
      <c r="C396" s="85" t="str">
        <f t="shared" si="36"/>
        <v>2</v>
      </c>
      <c r="D396" s="85" t="str">
        <f t="shared" si="37"/>
        <v>1</v>
      </c>
      <c r="E396" s="85" t="str">
        <f t="shared" si="38"/>
        <v>0</v>
      </c>
      <c r="F396" s="85" t="str">
        <f t="shared" si="39"/>
        <v>16</v>
      </c>
      <c r="G396" s="85" t="str">
        <f t="shared" si="40"/>
        <v>1</v>
      </c>
      <c r="H396" s="85" t="str">
        <f t="shared" si="41"/>
        <v>3</v>
      </c>
      <c r="I396" s="87">
        <v>12101613</v>
      </c>
      <c r="J396" s="85" t="s">
        <v>3307</v>
      </c>
      <c r="K396" s="85" t="s">
        <v>2892</v>
      </c>
      <c r="L396" s="84"/>
      <c r="M396" s="85" t="s">
        <v>2892</v>
      </c>
      <c r="N396" s="85" t="s">
        <v>2879</v>
      </c>
      <c r="O396" s="85" t="s">
        <v>2892</v>
      </c>
      <c r="P396" s="86" t="s">
        <v>2890</v>
      </c>
    </row>
    <row r="397" spans="2:16" ht="15.75" x14ac:dyDescent="0.25">
      <c r="B397" s="85" t="str">
        <f t="shared" si="35"/>
        <v>1</v>
      </c>
      <c r="C397" s="85" t="str">
        <f t="shared" si="36"/>
        <v>2</v>
      </c>
      <c r="D397" s="85" t="str">
        <f t="shared" si="37"/>
        <v>1</v>
      </c>
      <c r="E397" s="85" t="str">
        <f t="shared" si="38"/>
        <v>0</v>
      </c>
      <c r="F397" s="85" t="str">
        <f t="shared" si="39"/>
        <v>16</v>
      </c>
      <c r="G397" s="85" t="str">
        <f t="shared" si="40"/>
        <v>1</v>
      </c>
      <c r="H397" s="85" t="str">
        <f t="shared" si="41"/>
        <v>4</v>
      </c>
      <c r="I397" s="87">
        <v>12101614</v>
      </c>
      <c r="J397" s="85" t="s">
        <v>3308</v>
      </c>
      <c r="K397" s="85" t="s">
        <v>2892</v>
      </c>
      <c r="L397" s="84"/>
      <c r="M397" s="85" t="s">
        <v>2892</v>
      </c>
      <c r="N397" s="85" t="s">
        <v>2879</v>
      </c>
      <c r="O397" s="85" t="s">
        <v>2892</v>
      </c>
      <c r="P397" s="86" t="s">
        <v>2890</v>
      </c>
    </row>
    <row r="398" spans="2:16" ht="30" x14ac:dyDescent="0.25">
      <c r="B398" s="108" t="str">
        <f t="shared" si="35"/>
        <v>1</v>
      </c>
      <c r="C398" s="108" t="str">
        <f t="shared" si="36"/>
        <v>2</v>
      </c>
      <c r="D398" s="108" t="str">
        <f t="shared" si="37"/>
        <v>1</v>
      </c>
      <c r="E398" s="108" t="str">
        <f t="shared" si="38"/>
        <v>0</v>
      </c>
      <c r="F398" s="108" t="str">
        <f t="shared" si="39"/>
        <v>17</v>
      </c>
      <c r="G398" s="108" t="str">
        <f t="shared" si="40"/>
        <v>0</v>
      </c>
      <c r="H398" s="108" t="str">
        <f t="shared" si="41"/>
        <v>0</v>
      </c>
      <c r="I398" s="109">
        <v>12101700</v>
      </c>
      <c r="J398" s="108" t="s">
        <v>3309</v>
      </c>
      <c r="K398" s="108" t="s">
        <v>3310</v>
      </c>
      <c r="L398" s="110"/>
      <c r="M398" s="108" t="s">
        <v>2878</v>
      </c>
      <c r="N398" s="108" t="s">
        <v>2879</v>
      </c>
      <c r="O398" s="108" t="s">
        <v>2878</v>
      </c>
      <c r="P398" s="111" t="s">
        <v>2880</v>
      </c>
    </row>
    <row r="399" spans="2:16" ht="30" x14ac:dyDescent="0.25">
      <c r="B399" s="114" t="str">
        <f t="shared" si="35"/>
        <v>1</v>
      </c>
      <c r="C399" s="114" t="str">
        <f t="shared" si="36"/>
        <v>2</v>
      </c>
      <c r="D399" s="114" t="str">
        <f t="shared" si="37"/>
        <v>1</v>
      </c>
      <c r="E399" s="114" t="str">
        <f t="shared" si="38"/>
        <v>0</v>
      </c>
      <c r="F399" s="114" t="str">
        <f t="shared" si="39"/>
        <v>17</v>
      </c>
      <c r="G399" s="114" t="str">
        <f t="shared" si="40"/>
        <v>1</v>
      </c>
      <c r="H399" s="114" t="str">
        <f t="shared" si="41"/>
        <v>0</v>
      </c>
      <c r="I399" s="115">
        <v>12101710</v>
      </c>
      <c r="J399" s="114" t="s">
        <v>3309</v>
      </c>
      <c r="K399" s="114" t="s">
        <v>3310</v>
      </c>
      <c r="L399" s="116"/>
      <c r="M399" s="114" t="s">
        <v>2878</v>
      </c>
      <c r="N399" s="114" t="s">
        <v>2879</v>
      </c>
      <c r="O399" s="114" t="s">
        <v>2878</v>
      </c>
      <c r="P399" s="117" t="s">
        <v>2880</v>
      </c>
    </row>
    <row r="400" spans="2:16" ht="105" x14ac:dyDescent="0.25">
      <c r="B400" s="85" t="str">
        <f t="shared" si="35"/>
        <v>1</v>
      </c>
      <c r="C400" s="85" t="str">
        <f t="shared" si="36"/>
        <v>2</v>
      </c>
      <c r="D400" s="85" t="str">
        <f t="shared" si="37"/>
        <v>1</v>
      </c>
      <c r="E400" s="85" t="str">
        <f t="shared" si="38"/>
        <v>0</v>
      </c>
      <c r="F400" s="85" t="str">
        <f t="shared" si="39"/>
        <v>17</v>
      </c>
      <c r="G400" s="85" t="str">
        <f t="shared" si="40"/>
        <v>1</v>
      </c>
      <c r="H400" s="85" t="str">
        <f t="shared" si="41"/>
        <v>1</v>
      </c>
      <c r="I400" s="87">
        <v>12101711</v>
      </c>
      <c r="J400" s="85" t="s">
        <v>3311</v>
      </c>
      <c r="K400" s="85" t="s">
        <v>3312</v>
      </c>
      <c r="L400" s="84"/>
      <c r="M400" s="85" t="s">
        <v>3313</v>
      </c>
      <c r="N400" s="85" t="s">
        <v>2879</v>
      </c>
      <c r="O400" s="85" t="s">
        <v>3314</v>
      </c>
      <c r="P400" s="86" t="s">
        <v>2890</v>
      </c>
    </row>
    <row r="401" spans="2:16" ht="15.75" x14ac:dyDescent="0.25">
      <c r="B401" s="85" t="str">
        <f t="shared" si="35"/>
        <v>1</v>
      </c>
      <c r="C401" s="85" t="str">
        <f t="shared" si="36"/>
        <v>2</v>
      </c>
      <c r="D401" s="85" t="str">
        <f t="shared" si="37"/>
        <v>1</v>
      </c>
      <c r="E401" s="85" t="str">
        <f t="shared" si="38"/>
        <v>0</v>
      </c>
      <c r="F401" s="85" t="str">
        <f t="shared" si="39"/>
        <v>17</v>
      </c>
      <c r="G401" s="85" t="str">
        <f t="shared" si="40"/>
        <v>1</v>
      </c>
      <c r="H401" s="85" t="str">
        <f t="shared" si="41"/>
        <v>2</v>
      </c>
      <c r="I401" s="87">
        <v>12101712</v>
      </c>
      <c r="J401" s="85" t="s">
        <v>3315</v>
      </c>
      <c r="K401" s="85" t="s">
        <v>2892</v>
      </c>
      <c r="L401" s="84"/>
      <c r="M401" s="85" t="s">
        <v>2892</v>
      </c>
      <c r="N401" s="85" t="s">
        <v>2879</v>
      </c>
      <c r="O401" s="85" t="s">
        <v>2892</v>
      </c>
      <c r="P401" s="86" t="s">
        <v>2890</v>
      </c>
    </row>
    <row r="402" spans="2:16" ht="15.75" x14ac:dyDescent="0.25">
      <c r="B402" s="85" t="str">
        <f t="shared" si="35"/>
        <v>1</v>
      </c>
      <c r="C402" s="85" t="str">
        <f t="shared" si="36"/>
        <v>2</v>
      </c>
      <c r="D402" s="85" t="str">
        <f t="shared" si="37"/>
        <v>1</v>
      </c>
      <c r="E402" s="85" t="str">
        <f t="shared" si="38"/>
        <v>0</v>
      </c>
      <c r="F402" s="85" t="str">
        <f t="shared" si="39"/>
        <v>17</v>
      </c>
      <c r="G402" s="85" t="str">
        <f t="shared" si="40"/>
        <v>1</v>
      </c>
      <c r="H402" s="85" t="str">
        <f t="shared" si="41"/>
        <v>3</v>
      </c>
      <c r="I402" s="87">
        <v>12101713</v>
      </c>
      <c r="J402" s="85" t="s">
        <v>3316</v>
      </c>
      <c r="K402" s="85" t="s">
        <v>2892</v>
      </c>
      <c r="L402" s="84"/>
      <c r="M402" s="85" t="s">
        <v>2892</v>
      </c>
      <c r="N402" s="85" t="s">
        <v>2879</v>
      </c>
      <c r="O402" s="85" t="s">
        <v>2892</v>
      </c>
      <c r="P402" s="86" t="s">
        <v>2890</v>
      </c>
    </row>
    <row r="403" spans="2:16" ht="15.75" x14ac:dyDescent="0.25">
      <c r="B403" s="85" t="str">
        <f t="shared" si="35"/>
        <v>1</v>
      </c>
      <c r="C403" s="85" t="str">
        <f t="shared" si="36"/>
        <v>2</v>
      </c>
      <c r="D403" s="85" t="str">
        <f t="shared" si="37"/>
        <v>1</v>
      </c>
      <c r="E403" s="85" t="str">
        <f t="shared" si="38"/>
        <v>0</v>
      </c>
      <c r="F403" s="85" t="str">
        <f t="shared" si="39"/>
        <v>17</v>
      </c>
      <c r="G403" s="85" t="str">
        <f t="shared" si="40"/>
        <v>1</v>
      </c>
      <c r="H403" s="85" t="str">
        <f t="shared" si="41"/>
        <v>4</v>
      </c>
      <c r="I403" s="87">
        <v>12101714</v>
      </c>
      <c r="J403" s="85" t="s">
        <v>3317</v>
      </c>
      <c r="K403" s="85" t="s">
        <v>2892</v>
      </c>
      <c r="L403" s="84"/>
      <c r="M403" s="85" t="s">
        <v>2892</v>
      </c>
      <c r="N403" s="85" t="s">
        <v>2879</v>
      </c>
      <c r="O403" s="85" t="s">
        <v>2892</v>
      </c>
      <c r="P403" s="86" t="s">
        <v>2890</v>
      </c>
    </row>
    <row r="404" spans="2:16" ht="60" x14ac:dyDescent="0.25">
      <c r="B404" s="108" t="str">
        <f t="shared" si="35"/>
        <v>1</v>
      </c>
      <c r="C404" s="108" t="str">
        <f t="shared" si="36"/>
        <v>2</v>
      </c>
      <c r="D404" s="108" t="str">
        <f t="shared" si="37"/>
        <v>1</v>
      </c>
      <c r="E404" s="108" t="str">
        <f t="shared" si="38"/>
        <v>0</v>
      </c>
      <c r="F404" s="108" t="str">
        <f t="shared" si="39"/>
        <v>18</v>
      </c>
      <c r="G404" s="108" t="str">
        <f t="shared" si="40"/>
        <v>0</v>
      </c>
      <c r="H404" s="108" t="str">
        <f t="shared" si="41"/>
        <v>0</v>
      </c>
      <c r="I404" s="109">
        <v>12101800</v>
      </c>
      <c r="J404" s="108" t="s">
        <v>298</v>
      </c>
      <c r="K404" s="108" t="s">
        <v>3318</v>
      </c>
      <c r="L404" s="110"/>
      <c r="M404" s="108" t="s">
        <v>2878</v>
      </c>
      <c r="N404" s="108" t="s">
        <v>2879</v>
      </c>
      <c r="O404" s="108" t="s">
        <v>2878</v>
      </c>
      <c r="P404" s="111" t="s">
        <v>2880</v>
      </c>
    </row>
    <row r="405" spans="2:16" ht="60" x14ac:dyDescent="0.25">
      <c r="B405" s="114" t="str">
        <f t="shared" si="35"/>
        <v>1</v>
      </c>
      <c r="C405" s="114" t="str">
        <f t="shared" si="36"/>
        <v>2</v>
      </c>
      <c r="D405" s="114" t="str">
        <f t="shared" si="37"/>
        <v>1</v>
      </c>
      <c r="E405" s="114" t="str">
        <f t="shared" si="38"/>
        <v>0</v>
      </c>
      <c r="F405" s="114" t="str">
        <f t="shared" si="39"/>
        <v>18</v>
      </c>
      <c r="G405" s="114" t="str">
        <f t="shared" si="40"/>
        <v>1</v>
      </c>
      <c r="H405" s="114" t="str">
        <f t="shared" si="41"/>
        <v>0</v>
      </c>
      <c r="I405" s="115">
        <v>12101810</v>
      </c>
      <c r="J405" s="114" t="s">
        <v>298</v>
      </c>
      <c r="K405" s="114" t="s">
        <v>3318</v>
      </c>
      <c r="L405" s="116"/>
      <c r="M405" s="114" t="s">
        <v>2878</v>
      </c>
      <c r="N405" s="114" t="s">
        <v>2879</v>
      </c>
      <c r="O405" s="114" t="s">
        <v>2878</v>
      </c>
      <c r="P405" s="117" t="s">
        <v>2880</v>
      </c>
    </row>
    <row r="406" spans="2:16" ht="105" x14ac:dyDescent="0.25">
      <c r="B406" s="85" t="str">
        <f t="shared" si="35"/>
        <v>1</v>
      </c>
      <c r="C406" s="85" t="str">
        <f t="shared" si="36"/>
        <v>2</v>
      </c>
      <c r="D406" s="85" t="str">
        <f t="shared" si="37"/>
        <v>1</v>
      </c>
      <c r="E406" s="85" t="str">
        <f t="shared" si="38"/>
        <v>0</v>
      </c>
      <c r="F406" s="85" t="str">
        <f t="shared" si="39"/>
        <v>18</v>
      </c>
      <c r="G406" s="85" t="str">
        <f t="shared" si="40"/>
        <v>1</v>
      </c>
      <c r="H406" s="85" t="str">
        <f t="shared" si="41"/>
        <v>1</v>
      </c>
      <c r="I406" s="87">
        <v>12101811</v>
      </c>
      <c r="J406" s="85" t="s">
        <v>3319</v>
      </c>
      <c r="K406" s="85" t="s">
        <v>3320</v>
      </c>
      <c r="L406" s="84"/>
      <c r="M406" s="85" t="s">
        <v>3321</v>
      </c>
      <c r="N406" s="85" t="s">
        <v>2879</v>
      </c>
      <c r="O406" s="85" t="s">
        <v>3322</v>
      </c>
      <c r="P406" s="86" t="s">
        <v>2890</v>
      </c>
    </row>
    <row r="407" spans="2:16" ht="30" x14ac:dyDescent="0.25">
      <c r="B407" s="85" t="str">
        <f t="shared" si="35"/>
        <v>1</v>
      </c>
      <c r="C407" s="85" t="str">
        <f t="shared" si="36"/>
        <v>2</v>
      </c>
      <c r="D407" s="85" t="str">
        <f t="shared" si="37"/>
        <v>1</v>
      </c>
      <c r="E407" s="85" t="str">
        <f t="shared" si="38"/>
        <v>0</v>
      </c>
      <c r="F407" s="85" t="str">
        <f t="shared" si="39"/>
        <v>18</v>
      </c>
      <c r="G407" s="85" t="str">
        <f t="shared" si="40"/>
        <v>1</v>
      </c>
      <c r="H407" s="85" t="str">
        <f t="shared" si="41"/>
        <v>2</v>
      </c>
      <c r="I407" s="87">
        <v>12101812</v>
      </c>
      <c r="J407" s="85" t="s">
        <v>3323</v>
      </c>
      <c r="K407" s="85" t="s">
        <v>2892</v>
      </c>
      <c r="L407" s="84"/>
      <c r="M407" s="85" t="s">
        <v>2892</v>
      </c>
      <c r="N407" s="85" t="s">
        <v>2879</v>
      </c>
      <c r="O407" s="85" t="s">
        <v>2892</v>
      </c>
      <c r="P407" s="86" t="s">
        <v>2890</v>
      </c>
    </row>
    <row r="408" spans="2:16" ht="30" x14ac:dyDescent="0.25">
      <c r="B408" s="85" t="str">
        <f t="shared" si="35"/>
        <v>1</v>
      </c>
      <c r="C408" s="85" t="str">
        <f t="shared" si="36"/>
        <v>2</v>
      </c>
      <c r="D408" s="85" t="str">
        <f t="shared" si="37"/>
        <v>1</v>
      </c>
      <c r="E408" s="85" t="str">
        <f t="shared" si="38"/>
        <v>0</v>
      </c>
      <c r="F408" s="85" t="str">
        <f t="shared" si="39"/>
        <v>18</v>
      </c>
      <c r="G408" s="85" t="str">
        <f t="shared" si="40"/>
        <v>1</v>
      </c>
      <c r="H408" s="85" t="str">
        <f t="shared" si="41"/>
        <v>3</v>
      </c>
      <c r="I408" s="87">
        <v>12101813</v>
      </c>
      <c r="J408" s="85" t="s">
        <v>3324</v>
      </c>
      <c r="K408" s="85" t="s">
        <v>2892</v>
      </c>
      <c r="L408" s="84"/>
      <c r="M408" s="85" t="s">
        <v>2892</v>
      </c>
      <c r="N408" s="85" t="s">
        <v>2879</v>
      </c>
      <c r="O408" s="85" t="s">
        <v>2892</v>
      </c>
      <c r="P408" s="86" t="s">
        <v>2890</v>
      </c>
    </row>
    <row r="409" spans="2:16" ht="30" x14ac:dyDescent="0.25">
      <c r="B409" s="85" t="str">
        <f t="shared" si="35"/>
        <v>1</v>
      </c>
      <c r="C409" s="85" t="str">
        <f t="shared" si="36"/>
        <v>2</v>
      </c>
      <c r="D409" s="85" t="str">
        <f t="shared" si="37"/>
        <v>1</v>
      </c>
      <c r="E409" s="85" t="str">
        <f t="shared" si="38"/>
        <v>0</v>
      </c>
      <c r="F409" s="85" t="str">
        <f t="shared" si="39"/>
        <v>18</v>
      </c>
      <c r="G409" s="85" t="str">
        <f t="shared" si="40"/>
        <v>1</v>
      </c>
      <c r="H409" s="85" t="str">
        <f t="shared" si="41"/>
        <v>4</v>
      </c>
      <c r="I409" s="87">
        <v>12101814</v>
      </c>
      <c r="J409" s="85" t="s">
        <v>3325</v>
      </c>
      <c r="K409" s="85" t="s">
        <v>2892</v>
      </c>
      <c r="L409" s="84"/>
      <c r="M409" s="85" t="s">
        <v>2892</v>
      </c>
      <c r="N409" s="85" t="s">
        <v>2879</v>
      </c>
      <c r="O409" s="85" t="s">
        <v>2892</v>
      </c>
      <c r="P409" s="86" t="s">
        <v>2890</v>
      </c>
    </row>
    <row r="410" spans="2:16" ht="30" x14ac:dyDescent="0.25">
      <c r="B410" s="108" t="str">
        <f t="shared" si="35"/>
        <v>1</v>
      </c>
      <c r="C410" s="108" t="str">
        <f t="shared" si="36"/>
        <v>2</v>
      </c>
      <c r="D410" s="108" t="str">
        <f t="shared" si="37"/>
        <v>1</v>
      </c>
      <c r="E410" s="108" t="str">
        <f t="shared" si="38"/>
        <v>0</v>
      </c>
      <c r="F410" s="108" t="str">
        <f t="shared" si="39"/>
        <v>99</v>
      </c>
      <c r="G410" s="108" t="str">
        <f t="shared" si="40"/>
        <v>0</v>
      </c>
      <c r="H410" s="108" t="str">
        <f t="shared" si="41"/>
        <v>0</v>
      </c>
      <c r="I410" s="109">
        <v>12109900</v>
      </c>
      <c r="J410" s="108" t="s">
        <v>482</v>
      </c>
      <c r="K410" s="108" t="s">
        <v>3326</v>
      </c>
      <c r="L410" s="110"/>
      <c r="M410" s="108" t="s">
        <v>2878</v>
      </c>
      <c r="N410" s="108" t="s">
        <v>2879</v>
      </c>
      <c r="O410" s="108" t="s">
        <v>2878</v>
      </c>
      <c r="P410" s="111" t="s">
        <v>2880</v>
      </c>
    </row>
    <row r="411" spans="2:16" ht="30" x14ac:dyDescent="0.25">
      <c r="B411" s="114" t="str">
        <f t="shared" si="35"/>
        <v>1</v>
      </c>
      <c r="C411" s="114" t="str">
        <f t="shared" si="36"/>
        <v>2</v>
      </c>
      <c r="D411" s="114" t="str">
        <f t="shared" si="37"/>
        <v>1</v>
      </c>
      <c r="E411" s="114" t="str">
        <f t="shared" si="38"/>
        <v>0</v>
      </c>
      <c r="F411" s="114" t="str">
        <f t="shared" si="39"/>
        <v>99</v>
      </c>
      <c r="G411" s="114" t="str">
        <f t="shared" si="40"/>
        <v>1</v>
      </c>
      <c r="H411" s="114" t="str">
        <f t="shared" si="41"/>
        <v>0</v>
      </c>
      <c r="I411" s="115">
        <v>12109910</v>
      </c>
      <c r="J411" s="114" t="s">
        <v>482</v>
      </c>
      <c r="K411" s="114" t="s">
        <v>3326</v>
      </c>
      <c r="L411" s="116"/>
      <c r="M411" s="114" t="s">
        <v>2878</v>
      </c>
      <c r="N411" s="114" t="s">
        <v>2879</v>
      </c>
      <c r="O411" s="114" t="s">
        <v>2878</v>
      </c>
      <c r="P411" s="117" t="s">
        <v>2880</v>
      </c>
    </row>
    <row r="412" spans="2:16" ht="30" x14ac:dyDescent="0.25">
      <c r="B412" s="85" t="str">
        <f t="shared" si="35"/>
        <v>1</v>
      </c>
      <c r="C412" s="85" t="str">
        <f t="shared" si="36"/>
        <v>2</v>
      </c>
      <c r="D412" s="85" t="str">
        <f t="shared" si="37"/>
        <v>1</v>
      </c>
      <c r="E412" s="85" t="str">
        <f t="shared" si="38"/>
        <v>0</v>
      </c>
      <c r="F412" s="85" t="str">
        <f t="shared" si="39"/>
        <v>99</v>
      </c>
      <c r="G412" s="85" t="str">
        <f t="shared" si="40"/>
        <v>1</v>
      </c>
      <c r="H412" s="85" t="str">
        <f t="shared" si="41"/>
        <v>1</v>
      </c>
      <c r="I412" s="87">
        <v>12109911</v>
      </c>
      <c r="J412" s="85" t="s">
        <v>3327</v>
      </c>
      <c r="K412" s="85" t="s">
        <v>3328</v>
      </c>
      <c r="L412" s="84"/>
      <c r="M412" s="85" t="s">
        <v>3033</v>
      </c>
      <c r="N412" s="85" t="s">
        <v>2879</v>
      </c>
      <c r="O412" s="85" t="s">
        <v>3329</v>
      </c>
      <c r="P412" s="86" t="s">
        <v>2890</v>
      </c>
    </row>
    <row r="413" spans="2:16" ht="15.75" x14ac:dyDescent="0.25">
      <c r="B413" s="85" t="str">
        <f t="shared" si="35"/>
        <v>1</v>
      </c>
      <c r="C413" s="85" t="str">
        <f t="shared" si="36"/>
        <v>2</v>
      </c>
      <c r="D413" s="85" t="str">
        <f t="shared" si="37"/>
        <v>1</v>
      </c>
      <c r="E413" s="85" t="str">
        <f t="shared" si="38"/>
        <v>0</v>
      </c>
      <c r="F413" s="85" t="str">
        <f t="shared" si="39"/>
        <v>99</v>
      </c>
      <c r="G413" s="85" t="str">
        <f t="shared" si="40"/>
        <v>1</v>
      </c>
      <c r="H413" s="85" t="str">
        <f t="shared" si="41"/>
        <v>2</v>
      </c>
      <c r="I413" s="87">
        <v>12109912</v>
      </c>
      <c r="J413" s="85" t="s">
        <v>3330</v>
      </c>
      <c r="K413" s="85" t="s">
        <v>2892</v>
      </c>
      <c r="L413" s="84"/>
      <c r="M413" s="85" t="s">
        <v>2892</v>
      </c>
      <c r="N413" s="85" t="s">
        <v>2879</v>
      </c>
      <c r="O413" s="85" t="s">
        <v>2892</v>
      </c>
      <c r="P413" s="86" t="s">
        <v>2890</v>
      </c>
    </row>
    <row r="414" spans="2:16" ht="15.75" x14ac:dyDescent="0.25">
      <c r="B414" s="85" t="str">
        <f t="shared" si="35"/>
        <v>1</v>
      </c>
      <c r="C414" s="85" t="str">
        <f t="shared" si="36"/>
        <v>2</v>
      </c>
      <c r="D414" s="85" t="str">
        <f t="shared" si="37"/>
        <v>1</v>
      </c>
      <c r="E414" s="85" t="str">
        <f t="shared" si="38"/>
        <v>0</v>
      </c>
      <c r="F414" s="85" t="str">
        <f t="shared" si="39"/>
        <v>99</v>
      </c>
      <c r="G414" s="85" t="str">
        <f t="shared" si="40"/>
        <v>1</v>
      </c>
      <c r="H414" s="85" t="str">
        <f t="shared" si="41"/>
        <v>3</v>
      </c>
      <c r="I414" s="87">
        <v>12109913</v>
      </c>
      <c r="J414" s="85" t="s">
        <v>3331</v>
      </c>
      <c r="K414" s="85" t="s">
        <v>2892</v>
      </c>
      <c r="L414" s="84"/>
      <c r="M414" s="85" t="s">
        <v>2892</v>
      </c>
      <c r="N414" s="85" t="s">
        <v>2879</v>
      </c>
      <c r="O414" s="85" t="s">
        <v>2892</v>
      </c>
      <c r="P414" s="86" t="s">
        <v>2890</v>
      </c>
    </row>
    <row r="415" spans="2:16" ht="15.75" x14ac:dyDescent="0.25">
      <c r="B415" s="85" t="str">
        <f t="shared" si="35"/>
        <v>1</v>
      </c>
      <c r="C415" s="85" t="str">
        <f t="shared" si="36"/>
        <v>2</v>
      </c>
      <c r="D415" s="85" t="str">
        <f t="shared" si="37"/>
        <v>1</v>
      </c>
      <c r="E415" s="85" t="str">
        <f t="shared" si="38"/>
        <v>0</v>
      </c>
      <c r="F415" s="85" t="str">
        <f t="shared" si="39"/>
        <v>99</v>
      </c>
      <c r="G415" s="85" t="str">
        <f t="shared" si="40"/>
        <v>1</v>
      </c>
      <c r="H415" s="85" t="str">
        <f t="shared" si="41"/>
        <v>4</v>
      </c>
      <c r="I415" s="87">
        <v>12109914</v>
      </c>
      <c r="J415" s="85" t="s">
        <v>3332</v>
      </c>
      <c r="K415" s="85" t="s">
        <v>2892</v>
      </c>
      <c r="L415" s="84"/>
      <c r="M415" s="85" t="s">
        <v>2892</v>
      </c>
      <c r="N415" s="85" t="s">
        <v>2879</v>
      </c>
      <c r="O415" s="85" t="s">
        <v>2892</v>
      </c>
      <c r="P415" s="86" t="s">
        <v>2890</v>
      </c>
    </row>
    <row r="416" spans="2:16" s="153" customFormat="1" ht="30" x14ac:dyDescent="0.25">
      <c r="B416" s="155" t="str">
        <f t="shared" si="35"/>
        <v>1</v>
      </c>
      <c r="C416" s="155" t="str">
        <f t="shared" si="36"/>
        <v>2</v>
      </c>
      <c r="D416" s="155" t="str">
        <f t="shared" si="37"/>
        <v>1</v>
      </c>
      <c r="E416" s="155" t="str">
        <f t="shared" si="38"/>
        <v>8</v>
      </c>
      <c r="F416" s="155" t="str">
        <f t="shared" si="39"/>
        <v>00</v>
      </c>
      <c r="G416" s="155" t="str">
        <f t="shared" si="40"/>
        <v>0</v>
      </c>
      <c r="H416" s="155" t="str">
        <f t="shared" si="41"/>
        <v>0</v>
      </c>
      <c r="I416" s="161">
        <v>12180000</v>
      </c>
      <c r="J416" s="155" t="s">
        <v>5021</v>
      </c>
      <c r="K416" s="155" t="s">
        <v>4914</v>
      </c>
      <c r="L416" s="106"/>
      <c r="M416" s="155" t="s">
        <v>2878</v>
      </c>
      <c r="N416" s="155"/>
      <c r="O416" s="155" t="s">
        <v>5018</v>
      </c>
      <c r="P416" s="162" t="s">
        <v>2880</v>
      </c>
    </row>
    <row r="417" spans="2:16" s="153" customFormat="1" ht="30" x14ac:dyDescent="0.25">
      <c r="B417" s="113" t="str">
        <f t="shared" si="35"/>
        <v>1</v>
      </c>
      <c r="C417" s="113" t="str">
        <f t="shared" si="36"/>
        <v>2</v>
      </c>
      <c r="D417" s="113" t="str">
        <f t="shared" si="37"/>
        <v>1</v>
      </c>
      <c r="E417" s="113" t="str">
        <f t="shared" si="38"/>
        <v>8</v>
      </c>
      <c r="F417" s="113" t="str">
        <f t="shared" si="39"/>
        <v>01</v>
      </c>
      <c r="G417" s="113" t="str">
        <f t="shared" si="40"/>
        <v>0</v>
      </c>
      <c r="H417" s="113" t="str">
        <f t="shared" si="41"/>
        <v>0</v>
      </c>
      <c r="I417" s="112">
        <v>12180100</v>
      </c>
      <c r="J417" s="113" t="s">
        <v>4906</v>
      </c>
      <c r="K417" s="113" t="s">
        <v>4908</v>
      </c>
      <c r="L417" s="110"/>
      <c r="M417" s="113" t="s">
        <v>2878</v>
      </c>
      <c r="N417" s="113"/>
      <c r="O417" s="113"/>
      <c r="P417" s="163" t="s">
        <v>2880</v>
      </c>
    </row>
    <row r="418" spans="2:16" s="153" customFormat="1" ht="60" x14ac:dyDescent="0.25">
      <c r="B418" s="130" t="str">
        <f t="shared" si="35"/>
        <v>1</v>
      </c>
      <c r="C418" s="130" t="str">
        <f t="shared" si="36"/>
        <v>2</v>
      </c>
      <c r="D418" s="130" t="str">
        <f t="shared" si="37"/>
        <v>1</v>
      </c>
      <c r="E418" s="130" t="str">
        <f t="shared" si="38"/>
        <v>8</v>
      </c>
      <c r="F418" s="130" t="str">
        <f t="shared" si="39"/>
        <v>01</v>
      </c>
      <c r="G418" s="130" t="str">
        <f t="shared" si="40"/>
        <v>1</v>
      </c>
      <c r="H418" s="130" t="str">
        <f t="shared" si="41"/>
        <v>0</v>
      </c>
      <c r="I418" s="129">
        <v>12180110</v>
      </c>
      <c r="J418" s="130" t="s">
        <v>354</v>
      </c>
      <c r="K418" s="130" t="s">
        <v>4907</v>
      </c>
      <c r="L418" s="116"/>
      <c r="M418" s="130"/>
      <c r="N418" s="130"/>
      <c r="O418" s="130"/>
      <c r="P418" s="152" t="s">
        <v>2880</v>
      </c>
    </row>
    <row r="419" spans="2:16" s="153" customFormat="1" ht="60" x14ac:dyDescent="0.25">
      <c r="B419" s="93" t="str">
        <f t="shared" si="35"/>
        <v>1</v>
      </c>
      <c r="C419" s="93" t="str">
        <f t="shared" si="36"/>
        <v>2</v>
      </c>
      <c r="D419" s="93" t="str">
        <f t="shared" si="37"/>
        <v>1</v>
      </c>
      <c r="E419" s="93" t="str">
        <f t="shared" si="38"/>
        <v>8</v>
      </c>
      <c r="F419" s="93" t="str">
        <f t="shared" si="39"/>
        <v>01</v>
      </c>
      <c r="G419" s="93" t="str">
        <f t="shared" si="40"/>
        <v>1</v>
      </c>
      <c r="H419" s="93" t="str">
        <f t="shared" si="41"/>
        <v>1</v>
      </c>
      <c r="I419" s="135">
        <v>12180111</v>
      </c>
      <c r="J419" s="93" t="s">
        <v>4778</v>
      </c>
      <c r="K419" s="93" t="s">
        <v>355</v>
      </c>
      <c r="L419" s="84"/>
      <c r="M419" s="93"/>
      <c r="N419" s="93"/>
      <c r="O419" s="93"/>
      <c r="P419" s="154" t="s">
        <v>2890</v>
      </c>
    </row>
    <row r="420" spans="2:16" s="153" customFormat="1" ht="30" x14ac:dyDescent="0.25">
      <c r="B420" s="130" t="str">
        <f t="shared" si="35"/>
        <v>1</v>
      </c>
      <c r="C420" s="130" t="str">
        <f t="shared" si="36"/>
        <v>2</v>
      </c>
      <c r="D420" s="130" t="str">
        <f t="shared" si="37"/>
        <v>1</v>
      </c>
      <c r="E420" s="130" t="str">
        <f t="shared" si="38"/>
        <v>8</v>
      </c>
      <c r="F420" s="130" t="str">
        <f t="shared" si="39"/>
        <v>01</v>
      </c>
      <c r="G420" s="130" t="str">
        <f t="shared" si="40"/>
        <v>2</v>
      </c>
      <c r="H420" s="130" t="str">
        <f t="shared" si="41"/>
        <v>0</v>
      </c>
      <c r="I420" s="129">
        <v>12180120</v>
      </c>
      <c r="J420" s="130" t="s">
        <v>5077</v>
      </c>
      <c r="K420" s="130" t="s">
        <v>5078</v>
      </c>
      <c r="L420" s="116"/>
      <c r="M420" s="130"/>
      <c r="N420" s="130"/>
      <c r="O420" s="130"/>
      <c r="P420" s="152" t="s">
        <v>2880</v>
      </c>
    </row>
    <row r="421" spans="2:16" s="153" customFormat="1" ht="30" x14ac:dyDescent="0.25">
      <c r="B421" s="93" t="str">
        <f t="shared" si="35"/>
        <v>1</v>
      </c>
      <c r="C421" s="93" t="str">
        <f t="shared" si="36"/>
        <v>2</v>
      </c>
      <c r="D421" s="93" t="str">
        <f t="shared" si="37"/>
        <v>1</v>
      </c>
      <c r="E421" s="93" t="str">
        <f t="shared" si="38"/>
        <v>8</v>
      </c>
      <c r="F421" s="93" t="str">
        <f t="shared" si="39"/>
        <v>01</v>
      </c>
      <c r="G421" s="93" t="str">
        <f t="shared" si="40"/>
        <v>2</v>
      </c>
      <c r="H421" s="93" t="str">
        <f t="shared" si="41"/>
        <v>1</v>
      </c>
      <c r="I421" s="135">
        <v>12180121</v>
      </c>
      <c r="J421" s="93" t="s">
        <v>5079</v>
      </c>
      <c r="K421" s="93" t="s">
        <v>5078</v>
      </c>
      <c r="L421" s="84"/>
      <c r="M421" s="93"/>
      <c r="N421" s="93"/>
      <c r="O421" s="93"/>
      <c r="P421" s="154" t="s">
        <v>2890</v>
      </c>
    </row>
    <row r="422" spans="2:16" s="153" customFormat="1" ht="30" x14ac:dyDescent="0.25">
      <c r="B422" s="130" t="str">
        <f t="shared" si="35"/>
        <v>1</v>
      </c>
      <c r="C422" s="130" t="str">
        <f t="shared" si="36"/>
        <v>2</v>
      </c>
      <c r="D422" s="130" t="str">
        <f t="shared" si="37"/>
        <v>1</v>
      </c>
      <c r="E422" s="130" t="str">
        <f t="shared" si="38"/>
        <v>8</v>
      </c>
      <c r="F422" s="130" t="str">
        <f t="shared" si="39"/>
        <v>01</v>
      </c>
      <c r="G422" s="130" t="str">
        <f t="shared" si="40"/>
        <v>3</v>
      </c>
      <c r="H422" s="130" t="str">
        <f t="shared" si="41"/>
        <v>0</v>
      </c>
      <c r="I422" s="129">
        <v>12180130</v>
      </c>
      <c r="J422" s="130" t="s">
        <v>5080</v>
      </c>
      <c r="K422" s="130" t="s">
        <v>5081</v>
      </c>
      <c r="L422" s="116"/>
      <c r="M422" s="130"/>
      <c r="N422" s="130"/>
      <c r="O422" s="130"/>
      <c r="P422" s="152" t="s">
        <v>2880</v>
      </c>
    </row>
    <row r="423" spans="2:16" s="153" customFormat="1" ht="30" x14ac:dyDescent="0.25">
      <c r="B423" s="93" t="str">
        <f t="shared" si="35"/>
        <v>1</v>
      </c>
      <c r="C423" s="93" t="str">
        <f t="shared" si="36"/>
        <v>2</v>
      </c>
      <c r="D423" s="93" t="str">
        <f t="shared" si="37"/>
        <v>1</v>
      </c>
      <c r="E423" s="93" t="str">
        <f t="shared" si="38"/>
        <v>8</v>
      </c>
      <c r="F423" s="93" t="str">
        <f t="shared" si="39"/>
        <v>01</v>
      </c>
      <c r="G423" s="93" t="str">
        <f t="shared" si="40"/>
        <v>3</v>
      </c>
      <c r="H423" s="93" t="str">
        <f t="shared" si="41"/>
        <v>1</v>
      </c>
      <c r="I423" s="135">
        <v>12180131</v>
      </c>
      <c r="J423" s="93" t="s">
        <v>5082</v>
      </c>
      <c r="K423" s="93" t="s">
        <v>5081</v>
      </c>
      <c r="L423" s="84"/>
      <c r="M423" s="93"/>
      <c r="N423" s="93"/>
      <c r="O423" s="93"/>
      <c r="P423" s="154" t="s">
        <v>2890</v>
      </c>
    </row>
    <row r="424" spans="2:16" s="153" customFormat="1" ht="15.75" x14ac:dyDescent="0.25">
      <c r="B424" s="113" t="str">
        <f t="shared" si="35"/>
        <v>1</v>
      </c>
      <c r="C424" s="113" t="str">
        <f t="shared" si="36"/>
        <v>2</v>
      </c>
      <c r="D424" s="113" t="str">
        <f t="shared" si="37"/>
        <v>1</v>
      </c>
      <c r="E424" s="113" t="str">
        <f t="shared" si="38"/>
        <v>8</v>
      </c>
      <c r="F424" s="113" t="str">
        <f t="shared" si="39"/>
        <v>02</v>
      </c>
      <c r="G424" s="113" t="str">
        <f t="shared" si="40"/>
        <v>0</v>
      </c>
      <c r="H424" s="113" t="str">
        <f t="shared" si="41"/>
        <v>0</v>
      </c>
      <c r="I424" s="112">
        <v>12180200</v>
      </c>
      <c r="J424" s="113" t="s">
        <v>4948</v>
      </c>
      <c r="K424" s="113" t="s">
        <v>4913</v>
      </c>
      <c r="L424" s="110"/>
      <c r="M424" s="113"/>
      <c r="N424" s="113"/>
      <c r="O424" s="113"/>
      <c r="P424" s="163" t="s">
        <v>2880</v>
      </c>
    </row>
    <row r="425" spans="2:16" s="153" customFormat="1" ht="30" x14ac:dyDescent="0.25">
      <c r="B425" s="130" t="str">
        <f t="shared" si="35"/>
        <v>1</v>
      </c>
      <c r="C425" s="130" t="str">
        <f t="shared" si="36"/>
        <v>2</v>
      </c>
      <c r="D425" s="130" t="str">
        <f t="shared" si="37"/>
        <v>1</v>
      </c>
      <c r="E425" s="130" t="str">
        <f t="shared" si="38"/>
        <v>8</v>
      </c>
      <c r="F425" s="130" t="str">
        <f t="shared" si="39"/>
        <v>02</v>
      </c>
      <c r="G425" s="130" t="str">
        <f t="shared" si="40"/>
        <v>1</v>
      </c>
      <c r="H425" s="130" t="str">
        <f t="shared" si="41"/>
        <v>0</v>
      </c>
      <c r="I425" s="129">
        <v>12180210</v>
      </c>
      <c r="J425" s="130" t="s">
        <v>5083</v>
      </c>
      <c r="K425" s="130" t="s">
        <v>5084</v>
      </c>
      <c r="L425" s="116"/>
      <c r="M425" s="130"/>
      <c r="N425" s="130"/>
      <c r="O425" s="130"/>
      <c r="P425" s="152" t="s">
        <v>2880</v>
      </c>
    </row>
    <row r="426" spans="2:16" s="153" customFormat="1" ht="30" x14ac:dyDescent="0.25">
      <c r="B426" s="93" t="str">
        <f t="shared" si="35"/>
        <v>1</v>
      </c>
      <c r="C426" s="93" t="str">
        <f t="shared" si="36"/>
        <v>2</v>
      </c>
      <c r="D426" s="93" t="str">
        <f t="shared" si="37"/>
        <v>1</v>
      </c>
      <c r="E426" s="93" t="str">
        <f t="shared" si="38"/>
        <v>8</v>
      </c>
      <c r="F426" s="93" t="str">
        <f t="shared" si="39"/>
        <v>02</v>
      </c>
      <c r="G426" s="93" t="str">
        <f t="shared" si="40"/>
        <v>1</v>
      </c>
      <c r="H426" s="93" t="str">
        <f t="shared" si="41"/>
        <v>1</v>
      </c>
      <c r="I426" s="135">
        <v>12180211</v>
      </c>
      <c r="J426" s="93" t="s">
        <v>5085</v>
      </c>
      <c r="K426" s="93" t="s">
        <v>4945</v>
      </c>
      <c r="L426" s="84"/>
      <c r="M426" s="93"/>
      <c r="N426" s="93"/>
      <c r="O426" s="93"/>
      <c r="P426" s="154" t="s">
        <v>2890</v>
      </c>
    </row>
    <row r="427" spans="2:16" s="153" customFormat="1" ht="30" x14ac:dyDescent="0.25">
      <c r="B427" s="130" t="str">
        <f t="shared" si="35"/>
        <v>1</v>
      </c>
      <c r="C427" s="130" t="str">
        <f t="shared" si="36"/>
        <v>2</v>
      </c>
      <c r="D427" s="130" t="str">
        <f t="shared" si="37"/>
        <v>1</v>
      </c>
      <c r="E427" s="130" t="str">
        <f t="shared" si="38"/>
        <v>8</v>
      </c>
      <c r="F427" s="130" t="str">
        <f t="shared" si="39"/>
        <v>02</v>
      </c>
      <c r="G427" s="130" t="str">
        <f t="shared" si="40"/>
        <v>2</v>
      </c>
      <c r="H427" s="130" t="str">
        <f t="shared" si="41"/>
        <v>0</v>
      </c>
      <c r="I427" s="129">
        <v>12180220</v>
      </c>
      <c r="J427" s="130" t="s">
        <v>4909</v>
      </c>
      <c r="K427" s="130" t="s">
        <v>345</v>
      </c>
      <c r="L427" s="116"/>
      <c r="M427" s="130"/>
      <c r="N427" s="130"/>
      <c r="O427" s="130"/>
      <c r="P427" s="152" t="s">
        <v>2880</v>
      </c>
    </row>
    <row r="428" spans="2:16" s="153" customFormat="1" ht="30" x14ac:dyDescent="0.25">
      <c r="B428" s="93" t="str">
        <f t="shared" si="35"/>
        <v>1</v>
      </c>
      <c r="C428" s="93" t="str">
        <f t="shared" si="36"/>
        <v>2</v>
      </c>
      <c r="D428" s="93" t="str">
        <f t="shared" si="37"/>
        <v>1</v>
      </c>
      <c r="E428" s="93" t="str">
        <f t="shared" si="38"/>
        <v>8</v>
      </c>
      <c r="F428" s="93" t="str">
        <f t="shared" si="39"/>
        <v>02</v>
      </c>
      <c r="G428" s="93" t="str">
        <f t="shared" si="40"/>
        <v>2</v>
      </c>
      <c r="H428" s="93" t="str">
        <f t="shared" si="41"/>
        <v>1</v>
      </c>
      <c r="I428" s="135">
        <v>12180221</v>
      </c>
      <c r="J428" s="93" t="s">
        <v>4911</v>
      </c>
      <c r="K428" s="93" t="s">
        <v>345</v>
      </c>
      <c r="L428" s="84"/>
      <c r="M428" s="93"/>
      <c r="N428" s="93"/>
      <c r="O428" s="93"/>
      <c r="P428" s="154" t="s">
        <v>2890</v>
      </c>
    </row>
    <row r="429" spans="2:16" s="153" customFormat="1" ht="30" x14ac:dyDescent="0.25">
      <c r="B429" s="130" t="str">
        <f t="shared" ref="B429:B500" si="42">MID($I429,1,1)</f>
        <v>1</v>
      </c>
      <c r="C429" s="130" t="str">
        <f t="shared" ref="C429:C500" si="43">MID($I429,2,1)</f>
        <v>2</v>
      </c>
      <c r="D429" s="130" t="str">
        <f t="shared" ref="D429:D500" si="44">MID($I429,3,1)</f>
        <v>1</v>
      </c>
      <c r="E429" s="130" t="str">
        <f t="shared" ref="E429:E500" si="45">MID($I429,4,1)</f>
        <v>8</v>
      </c>
      <c r="F429" s="130" t="str">
        <f t="shared" ref="F429:F500" si="46">MID($I429,5,2)</f>
        <v>02</v>
      </c>
      <c r="G429" s="130" t="str">
        <f t="shared" ref="G429:G500" si="47">MID($I429,7,1)</f>
        <v>3</v>
      </c>
      <c r="H429" s="130" t="str">
        <f t="shared" ref="H429:H500" si="48">MID($I429,8,1)</f>
        <v>0</v>
      </c>
      <c r="I429" s="129">
        <v>12180230</v>
      </c>
      <c r="J429" s="130" t="s">
        <v>4910</v>
      </c>
      <c r="K429" s="130" t="s">
        <v>349</v>
      </c>
      <c r="L429" s="116"/>
      <c r="M429" s="130"/>
      <c r="N429" s="130"/>
      <c r="O429" s="130"/>
      <c r="P429" s="152" t="s">
        <v>2880</v>
      </c>
    </row>
    <row r="430" spans="2:16" s="153" customFormat="1" ht="30" x14ac:dyDescent="0.25">
      <c r="B430" s="93" t="str">
        <f t="shared" si="42"/>
        <v>1</v>
      </c>
      <c r="C430" s="93" t="str">
        <f t="shared" si="43"/>
        <v>2</v>
      </c>
      <c r="D430" s="93" t="str">
        <f t="shared" si="44"/>
        <v>1</v>
      </c>
      <c r="E430" s="93" t="str">
        <f t="shared" si="45"/>
        <v>8</v>
      </c>
      <c r="F430" s="93" t="str">
        <f t="shared" si="46"/>
        <v>02</v>
      </c>
      <c r="G430" s="93" t="str">
        <f t="shared" si="47"/>
        <v>3</v>
      </c>
      <c r="H430" s="93" t="str">
        <f t="shared" si="48"/>
        <v>1</v>
      </c>
      <c r="I430" s="135">
        <v>12180231</v>
      </c>
      <c r="J430" s="93" t="s">
        <v>4912</v>
      </c>
      <c r="K430" s="93" t="s">
        <v>349</v>
      </c>
      <c r="L430" s="84"/>
      <c r="M430" s="93"/>
      <c r="N430" s="93"/>
      <c r="O430" s="93"/>
      <c r="P430" s="154" t="s">
        <v>2890</v>
      </c>
    </row>
    <row r="431" spans="2:16" s="153" customFormat="1" ht="30" x14ac:dyDescent="0.25">
      <c r="B431" s="130" t="str">
        <f t="shared" si="42"/>
        <v>1</v>
      </c>
      <c r="C431" s="130" t="str">
        <f t="shared" si="43"/>
        <v>2</v>
      </c>
      <c r="D431" s="130" t="str">
        <f t="shared" si="44"/>
        <v>1</v>
      </c>
      <c r="E431" s="130" t="str">
        <f t="shared" si="45"/>
        <v>8</v>
      </c>
      <c r="F431" s="130" t="str">
        <f t="shared" si="46"/>
        <v>02</v>
      </c>
      <c r="G431" s="130" t="str">
        <f t="shared" si="47"/>
        <v>4</v>
      </c>
      <c r="H431" s="130" t="str">
        <f t="shared" si="48"/>
        <v>0</v>
      </c>
      <c r="I431" s="129">
        <v>12180240</v>
      </c>
      <c r="J431" s="130" t="s">
        <v>4946</v>
      </c>
      <c r="K431" s="130" t="s">
        <v>353</v>
      </c>
      <c r="L431" s="116"/>
      <c r="M431" s="130"/>
      <c r="N431" s="130"/>
      <c r="O431" s="130"/>
      <c r="P431" s="152" t="s">
        <v>2880</v>
      </c>
    </row>
    <row r="432" spans="2:16" s="153" customFormat="1" ht="30" x14ac:dyDescent="0.25">
      <c r="B432" s="93" t="str">
        <f t="shared" si="42"/>
        <v>1</v>
      </c>
      <c r="C432" s="93" t="str">
        <f t="shared" si="43"/>
        <v>2</v>
      </c>
      <c r="D432" s="93" t="str">
        <f t="shared" si="44"/>
        <v>1</v>
      </c>
      <c r="E432" s="93" t="str">
        <f t="shared" si="45"/>
        <v>8</v>
      </c>
      <c r="F432" s="93" t="str">
        <f t="shared" si="46"/>
        <v>02</v>
      </c>
      <c r="G432" s="93" t="str">
        <f t="shared" si="47"/>
        <v>4</v>
      </c>
      <c r="H432" s="93" t="str">
        <f t="shared" si="48"/>
        <v>1</v>
      </c>
      <c r="I432" s="135">
        <v>12180241</v>
      </c>
      <c r="J432" s="93" t="s">
        <v>4947</v>
      </c>
      <c r="K432" s="93" t="s">
        <v>353</v>
      </c>
      <c r="L432" s="84"/>
      <c r="M432" s="93"/>
      <c r="N432" s="93"/>
      <c r="O432" s="93"/>
      <c r="P432" s="154" t="s">
        <v>2890</v>
      </c>
    </row>
    <row r="433" spans="2:16" s="153" customFormat="1" ht="30" x14ac:dyDescent="0.25">
      <c r="B433" s="130" t="str">
        <f t="shared" si="42"/>
        <v>1</v>
      </c>
      <c r="C433" s="130" t="str">
        <f t="shared" si="43"/>
        <v>2</v>
      </c>
      <c r="D433" s="130" t="str">
        <f t="shared" si="44"/>
        <v>1</v>
      </c>
      <c r="E433" s="130" t="str">
        <f t="shared" si="45"/>
        <v>8</v>
      </c>
      <c r="F433" s="130" t="str">
        <f t="shared" si="46"/>
        <v>02</v>
      </c>
      <c r="G433" s="130" t="str">
        <f t="shared" si="47"/>
        <v>5</v>
      </c>
      <c r="H433" s="130" t="str">
        <f t="shared" si="48"/>
        <v>0</v>
      </c>
      <c r="I433" s="129">
        <v>12180250</v>
      </c>
      <c r="J433" s="130" t="s">
        <v>5086</v>
      </c>
      <c r="K433" s="130" t="s">
        <v>5087</v>
      </c>
      <c r="L433" s="116"/>
      <c r="M433" s="130"/>
      <c r="N433" s="130"/>
      <c r="O433" s="130"/>
      <c r="P433" s="152" t="s">
        <v>2880</v>
      </c>
    </row>
    <row r="434" spans="2:16" s="153" customFormat="1" ht="30" x14ac:dyDescent="0.25">
      <c r="B434" s="93" t="str">
        <f t="shared" si="42"/>
        <v>1</v>
      </c>
      <c r="C434" s="93" t="str">
        <f t="shared" si="43"/>
        <v>2</v>
      </c>
      <c r="D434" s="93" t="str">
        <f t="shared" si="44"/>
        <v>1</v>
      </c>
      <c r="E434" s="93" t="str">
        <f t="shared" si="45"/>
        <v>8</v>
      </c>
      <c r="F434" s="93" t="str">
        <f t="shared" si="46"/>
        <v>02</v>
      </c>
      <c r="G434" s="93" t="str">
        <f t="shared" si="47"/>
        <v>5</v>
      </c>
      <c r="H434" s="93" t="str">
        <f t="shared" si="48"/>
        <v>1</v>
      </c>
      <c r="I434" s="135">
        <v>12180251</v>
      </c>
      <c r="J434" s="93" t="s">
        <v>5088</v>
      </c>
      <c r="K434" s="93" t="s">
        <v>5087</v>
      </c>
      <c r="L434" s="84"/>
      <c r="M434" s="93"/>
      <c r="N434" s="93"/>
      <c r="O434" s="93"/>
      <c r="P434" s="154" t="s">
        <v>2890</v>
      </c>
    </row>
    <row r="435" spans="2:16" s="153" customFormat="1" ht="30" x14ac:dyDescent="0.25">
      <c r="B435" s="130" t="str">
        <f t="shared" si="42"/>
        <v>1</v>
      </c>
      <c r="C435" s="130" t="str">
        <f t="shared" si="43"/>
        <v>2</v>
      </c>
      <c r="D435" s="130" t="str">
        <f t="shared" si="44"/>
        <v>1</v>
      </c>
      <c r="E435" s="130" t="str">
        <f t="shared" si="45"/>
        <v>8</v>
      </c>
      <c r="F435" s="130" t="str">
        <f t="shared" si="46"/>
        <v>02</v>
      </c>
      <c r="G435" s="130" t="str">
        <f t="shared" si="47"/>
        <v>6</v>
      </c>
      <c r="H435" s="130" t="str">
        <f t="shared" si="48"/>
        <v>0</v>
      </c>
      <c r="I435" s="129">
        <v>12180260</v>
      </c>
      <c r="J435" s="130" t="s">
        <v>5089</v>
      </c>
      <c r="K435" s="130" t="s">
        <v>5090</v>
      </c>
      <c r="L435" s="116"/>
      <c r="M435" s="130"/>
      <c r="N435" s="130"/>
      <c r="O435" s="130"/>
      <c r="P435" s="152" t="s">
        <v>2880</v>
      </c>
    </row>
    <row r="436" spans="2:16" s="153" customFormat="1" ht="30" x14ac:dyDescent="0.25">
      <c r="B436" s="93" t="str">
        <f t="shared" si="42"/>
        <v>1</v>
      </c>
      <c r="C436" s="93" t="str">
        <f t="shared" si="43"/>
        <v>2</v>
      </c>
      <c r="D436" s="93" t="str">
        <f t="shared" si="44"/>
        <v>1</v>
      </c>
      <c r="E436" s="93" t="str">
        <f t="shared" si="45"/>
        <v>8</v>
      </c>
      <c r="F436" s="93" t="str">
        <f t="shared" si="46"/>
        <v>02</v>
      </c>
      <c r="G436" s="93" t="str">
        <f t="shared" si="47"/>
        <v>6</v>
      </c>
      <c r="H436" s="93" t="str">
        <f t="shared" si="48"/>
        <v>1</v>
      </c>
      <c r="I436" s="135">
        <v>12180261</v>
      </c>
      <c r="J436" s="93" t="s">
        <v>5091</v>
      </c>
      <c r="K436" s="93" t="s">
        <v>5090</v>
      </c>
      <c r="L436" s="84"/>
      <c r="M436" s="93"/>
      <c r="N436" s="93"/>
      <c r="O436" s="93"/>
      <c r="P436" s="154" t="s">
        <v>2890</v>
      </c>
    </row>
    <row r="437" spans="2:16" ht="75" x14ac:dyDescent="0.25">
      <c r="B437" s="126" t="str">
        <f t="shared" si="42"/>
        <v>1</v>
      </c>
      <c r="C437" s="126" t="str">
        <f t="shared" si="43"/>
        <v>2</v>
      </c>
      <c r="D437" s="126" t="str">
        <f t="shared" si="44"/>
        <v>2</v>
      </c>
      <c r="E437" s="126" t="str">
        <f t="shared" si="45"/>
        <v>0</v>
      </c>
      <c r="F437" s="126" t="str">
        <f t="shared" si="46"/>
        <v>00</v>
      </c>
      <c r="G437" s="126" t="str">
        <f t="shared" si="47"/>
        <v>0</v>
      </c>
      <c r="H437" s="126" t="str">
        <f t="shared" si="48"/>
        <v>0</v>
      </c>
      <c r="I437" s="127">
        <v>12200000</v>
      </c>
      <c r="J437" s="126" t="s">
        <v>3333</v>
      </c>
      <c r="K437" s="126" t="s">
        <v>3334</v>
      </c>
      <c r="L437" s="122"/>
      <c r="M437" s="126" t="s">
        <v>2878</v>
      </c>
      <c r="N437" s="126" t="s">
        <v>5016</v>
      </c>
      <c r="O437" s="126" t="s">
        <v>2878</v>
      </c>
      <c r="P437" s="128" t="s">
        <v>2880</v>
      </c>
    </row>
    <row r="438" spans="2:16" ht="45" x14ac:dyDescent="0.25">
      <c r="B438" s="108" t="str">
        <f t="shared" si="42"/>
        <v>1</v>
      </c>
      <c r="C438" s="108" t="str">
        <f t="shared" si="43"/>
        <v>2</v>
      </c>
      <c r="D438" s="108" t="str">
        <f t="shared" si="44"/>
        <v>2</v>
      </c>
      <c r="E438" s="108" t="str">
        <f t="shared" si="45"/>
        <v>0</v>
      </c>
      <c r="F438" s="108" t="str">
        <f t="shared" si="46"/>
        <v>01</v>
      </c>
      <c r="G438" s="108" t="str">
        <f t="shared" si="47"/>
        <v>0</v>
      </c>
      <c r="H438" s="108" t="str">
        <f t="shared" si="48"/>
        <v>0</v>
      </c>
      <c r="I438" s="109">
        <v>12200100</v>
      </c>
      <c r="J438" s="108" t="s">
        <v>3335</v>
      </c>
      <c r="K438" s="108" t="s">
        <v>3336</v>
      </c>
      <c r="L438" s="110"/>
      <c r="M438" s="108" t="s">
        <v>2878</v>
      </c>
      <c r="N438" s="108" t="s">
        <v>2879</v>
      </c>
      <c r="O438" s="108" t="s">
        <v>2878</v>
      </c>
      <c r="P438" s="111" t="s">
        <v>2880</v>
      </c>
    </row>
    <row r="439" spans="2:16" ht="30" x14ac:dyDescent="0.25">
      <c r="B439" s="114" t="str">
        <f t="shared" si="42"/>
        <v>1</v>
      </c>
      <c r="C439" s="114" t="str">
        <f t="shared" si="43"/>
        <v>2</v>
      </c>
      <c r="D439" s="114" t="str">
        <f t="shared" si="44"/>
        <v>2</v>
      </c>
      <c r="E439" s="114" t="str">
        <f t="shared" si="45"/>
        <v>0</v>
      </c>
      <c r="F439" s="114" t="str">
        <f t="shared" si="46"/>
        <v>01</v>
      </c>
      <c r="G439" s="114" t="str">
        <f t="shared" si="47"/>
        <v>1</v>
      </c>
      <c r="H439" s="114" t="str">
        <f t="shared" si="48"/>
        <v>0</v>
      </c>
      <c r="I439" s="115">
        <v>12200110</v>
      </c>
      <c r="J439" s="114" t="s">
        <v>3337</v>
      </c>
      <c r="K439" s="114" t="s">
        <v>3338</v>
      </c>
      <c r="L439" s="116"/>
      <c r="M439" s="114" t="s">
        <v>2878</v>
      </c>
      <c r="N439" s="114" t="s">
        <v>2879</v>
      </c>
      <c r="O439" s="114" t="s">
        <v>2878</v>
      </c>
      <c r="P439" s="117" t="s">
        <v>2880</v>
      </c>
    </row>
    <row r="440" spans="2:16" ht="60" x14ac:dyDescent="0.25">
      <c r="B440" s="85" t="str">
        <f t="shared" si="42"/>
        <v>1</v>
      </c>
      <c r="C440" s="85" t="str">
        <f t="shared" si="43"/>
        <v>2</v>
      </c>
      <c r="D440" s="85" t="str">
        <f t="shared" si="44"/>
        <v>2</v>
      </c>
      <c r="E440" s="85" t="str">
        <f t="shared" si="45"/>
        <v>0</v>
      </c>
      <c r="F440" s="85" t="str">
        <f t="shared" si="46"/>
        <v>01</v>
      </c>
      <c r="G440" s="85" t="str">
        <f t="shared" si="47"/>
        <v>1</v>
      </c>
      <c r="H440" s="85" t="str">
        <f t="shared" si="48"/>
        <v>1</v>
      </c>
      <c r="I440" s="87">
        <v>12200111</v>
      </c>
      <c r="J440" s="85" t="s">
        <v>3339</v>
      </c>
      <c r="K440" s="85" t="s">
        <v>3340</v>
      </c>
      <c r="L440" s="84"/>
      <c r="M440" s="85" t="s">
        <v>3341</v>
      </c>
      <c r="N440" s="85" t="s">
        <v>2879</v>
      </c>
      <c r="O440" s="85" t="s">
        <v>3342</v>
      </c>
      <c r="P440" s="86" t="s">
        <v>2890</v>
      </c>
    </row>
    <row r="441" spans="2:16" ht="15.75" x14ac:dyDescent="0.25">
      <c r="B441" s="85" t="str">
        <f t="shared" si="42"/>
        <v>1</v>
      </c>
      <c r="C441" s="85" t="str">
        <f t="shared" si="43"/>
        <v>2</v>
      </c>
      <c r="D441" s="85" t="str">
        <f t="shared" si="44"/>
        <v>2</v>
      </c>
      <c r="E441" s="85" t="str">
        <f t="shared" si="45"/>
        <v>0</v>
      </c>
      <c r="F441" s="85" t="str">
        <f t="shared" si="46"/>
        <v>01</v>
      </c>
      <c r="G441" s="85" t="str">
        <f t="shared" si="47"/>
        <v>1</v>
      </c>
      <c r="H441" s="85" t="str">
        <f t="shared" si="48"/>
        <v>2</v>
      </c>
      <c r="I441" s="87">
        <v>12200112</v>
      </c>
      <c r="J441" s="85" t="s">
        <v>3343</v>
      </c>
      <c r="K441" s="85" t="s">
        <v>2892</v>
      </c>
      <c r="L441" s="84"/>
      <c r="M441" s="85" t="s">
        <v>2892</v>
      </c>
      <c r="N441" s="85" t="s">
        <v>2879</v>
      </c>
      <c r="O441" s="85" t="s">
        <v>2892</v>
      </c>
      <c r="P441" s="86" t="s">
        <v>2890</v>
      </c>
    </row>
    <row r="442" spans="2:16" ht="15.75" x14ac:dyDescent="0.25">
      <c r="B442" s="85" t="str">
        <f t="shared" si="42"/>
        <v>1</v>
      </c>
      <c r="C442" s="85" t="str">
        <f t="shared" si="43"/>
        <v>2</v>
      </c>
      <c r="D442" s="85" t="str">
        <f t="shared" si="44"/>
        <v>2</v>
      </c>
      <c r="E442" s="85" t="str">
        <f t="shared" si="45"/>
        <v>0</v>
      </c>
      <c r="F442" s="85" t="str">
        <f t="shared" si="46"/>
        <v>01</v>
      </c>
      <c r="G442" s="85" t="str">
        <f t="shared" si="47"/>
        <v>1</v>
      </c>
      <c r="H442" s="85" t="str">
        <f t="shared" si="48"/>
        <v>3</v>
      </c>
      <c r="I442" s="87">
        <v>12200113</v>
      </c>
      <c r="J442" s="85" t="s">
        <v>3344</v>
      </c>
      <c r="K442" s="85" t="s">
        <v>2892</v>
      </c>
      <c r="L442" s="84"/>
      <c r="M442" s="85" t="s">
        <v>2892</v>
      </c>
      <c r="N442" s="85" t="s">
        <v>2879</v>
      </c>
      <c r="O442" s="85" t="s">
        <v>2892</v>
      </c>
      <c r="P442" s="86" t="s">
        <v>2890</v>
      </c>
    </row>
    <row r="443" spans="2:16" ht="30" x14ac:dyDescent="0.25">
      <c r="B443" s="85" t="str">
        <f t="shared" si="42"/>
        <v>1</v>
      </c>
      <c r="C443" s="85" t="str">
        <f t="shared" si="43"/>
        <v>2</v>
      </c>
      <c r="D443" s="85" t="str">
        <f t="shared" si="44"/>
        <v>2</v>
      </c>
      <c r="E443" s="85" t="str">
        <f t="shared" si="45"/>
        <v>0</v>
      </c>
      <c r="F443" s="85" t="str">
        <f t="shared" si="46"/>
        <v>01</v>
      </c>
      <c r="G443" s="85" t="str">
        <f t="shared" si="47"/>
        <v>1</v>
      </c>
      <c r="H443" s="85" t="str">
        <f t="shared" si="48"/>
        <v>4</v>
      </c>
      <c r="I443" s="87">
        <v>12200114</v>
      </c>
      <c r="J443" s="85" t="s">
        <v>3345</v>
      </c>
      <c r="K443" s="85" t="s">
        <v>2892</v>
      </c>
      <c r="L443" s="84"/>
      <c r="M443" s="85" t="s">
        <v>2892</v>
      </c>
      <c r="N443" s="85" t="s">
        <v>2879</v>
      </c>
      <c r="O443" s="85" t="s">
        <v>2892</v>
      </c>
      <c r="P443" s="86" t="s">
        <v>2890</v>
      </c>
    </row>
    <row r="444" spans="2:16" ht="30" x14ac:dyDescent="0.25">
      <c r="B444" s="114" t="str">
        <f t="shared" si="42"/>
        <v>1</v>
      </c>
      <c r="C444" s="114" t="str">
        <f t="shared" si="43"/>
        <v>2</v>
      </c>
      <c r="D444" s="114" t="str">
        <f t="shared" si="44"/>
        <v>2</v>
      </c>
      <c r="E444" s="114" t="str">
        <f t="shared" si="45"/>
        <v>0</v>
      </c>
      <c r="F444" s="114" t="str">
        <f t="shared" si="46"/>
        <v>01</v>
      </c>
      <c r="G444" s="114" t="str">
        <f t="shared" si="47"/>
        <v>2</v>
      </c>
      <c r="H444" s="114" t="str">
        <f t="shared" si="48"/>
        <v>0</v>
      </c>
      <c r="I444" s="115">
        <v>12200120</v>
      </c>
      <c r="J444" s="114" t="s">
        <v>3346</v>
      </c>
      <c r="K444" s="114" t="s">
        <v>3347</v>
      </c>
      <c r="L444" s="116"/>
      <c r="M444" s="114" t="s">
        <v>2878</v>
      </c>
      <c r="N444" s="114" t="s">
        <v>2879</v>
      </c>
      <c r="O444" s="114" t="s">
        <v>2878</v>
      </c>
      <c r="P444" s="117" t="s">
        <v>2880</v>
      </c>
    </row>
    <row r="445" spans="2:16" ht="60" x14ac:dyDescent="0.25">
      <c r="B445" s="85" t="str">
        <f t="shared" si="42"/>
        <v>1</v>
      </c>
      <c r="C445" s="85" t="str">
        <f t="shared" si="43"/>
        <v>2</v>
      </c>
      <c r="D445" s="85" t="str">
        <f t="shared" si="44"/>
        <v>2</v>
      </c>
      <c r="E445" s="85" t="str">
        <f t="shared" si="45"/>
        <v>0</v>
      </c>
      <c r="F445" s="85" t="str">
        <f t="shared" si="46"/>
        <v>01</v>
      </c>
      <c r="G445" s="85" t="str">
        <f t="shared" si="47"/>
        <v>2</v>
      </c>
      <c r="H445" s="85" t="str">
        <f t="shared" si="48"/>
        <v>1</v>
      </c>
      <c r="I445" s="87">
        <v>12200121</v>
      </c>
      <c r="J445" s="85" t="s">
        <v>3348</v>
      </c>
      <c r="K445" s="85" t="s">
        <v>3340</v>
      </c>
      <c r="L445" s="84"/>
      <c r="M445" s="85" t="s">
        <v>3341</v>
      </c>
      <c r="N445" s="85" t="s">
        <v>2879</v>
      </c>
      <c r="O445" s="85" t="s">
        <v>3342</v>
      </c>
      <c r="P445" s="86" t="s">
        <v>2890</v>
      </c>
    </row>
    <row r="446" spans="2:16" ht="30" x14ac:dyDescent="0.25">
      <c r="B446" s="85" t="str">
        <f t="shared" si="42"/>
        <v>1</v>
      </c>
      <c r="C446" s="85" t="str">
        <f t="shared" si="43"/>
        <v>2</v>
      </c>
      <c r="D446" s="85" t="str">
        <f t="shared" si="44"/>
        <v>2</v>
      </c>
      <c r="E446" s="85" t="str">
        <f t="shared" si="45"/>
        <v>0</v>
      </c>
      <c r="F446" s="85" t="str">
        <f t="shared" si="46"/>
        <v>01</v>
      </c>
      <c r="G446" s="85" t="str">
        <f t="shared" si="47"/>
        <v>2</v>
      </c>
      <c r="H446" s="85" t="str">
        <f t="shared" si="48"/>
        <v>2</v>
      </c>
      <c r="I446" s="87">
        <v>12200122</v>
      </c>
      <c r="J446" s="85" t="s">
        <v>3349</v>
      </c>
      <c r="K446" s="85" t="s">
        <v>2892</v>
      </c>
      <c r="L446" s="84"/>
      <c r="M446" s="85" t="s">
        <v>2892</v>
      </c>
      <c r="N446" s="85" t="s">
        <v>2879</v>
      </c>
      <c r="O446" s="85" t="s">
        <v>2892</v>
      </c>
      <c r="P446" s="86" t="s">
        <v>2890</v>
      </c>
    </row>
    <row r="447" spans="2:16" ht="30" x14ac:dyDescent="0.25">
      <c r="B447" s="85" t="str">
        <f t="shared" si="42"/>
        <v>1</v>
      </c>
      <c r="C447" s="85" t="str">
        <f t="shared" si="43"/>
        <v>2</v>
      </c>
      <c r="D447" s="85" t="str">
        <f t="shared" si="44"/>
        <v>2</v>
      </c>
      <c r="E447" s="85" t="str">
        <f t="shared" si="45"/>
        <v>0</v>
      </c>
      <c r="F447" s="85" t="str">
        <f t="shared" si="46"/>
        <v>01</v>
      </c>
      <c r="G447" s="85" t="str">
        <f t="shared" si="47"/>
        <v>2</v>
      </c>
      <c r="H447" s="85" t="str">
        <f t="shared" si="48"/>
        <v>3</v>
      </c>
      <c r="I447" s="87">
        <v>12200123</v>
      </c>
      <c r="J447" s="85" t="s">
        <v>3350</v>
      </c>
      <c r="K447" s="85" t="s">
        <v>2892</v>
      </c>
      <c r="L447" s="84"/>
      <c r="M447" s="85" t="s">
        <v>2892</v>
      </c>
      <c r="N447" s="85" t="s">
        <v>2879</v>
      </c>
      <c r="O447" s="85" t="s">
        <v>2892</v>
      </c>
      <c r="P447" s="86" t="s">
        <v>2890</v>
      </c>
    </row>
    <row r="448" spans="2:16" ht="45" x14ac:dyDescent="0.25">
      <c r="B448" s="85" t="str">
        <f t="shared" si="42"/>
        <v>1</v>
      </c>
      <c r="C448" s="85" t="str">
        <f t="shared" si="43"/>
        <v>2</v>
      </c>
      <c r="D448" s="85" t="str">
        <f t="shared" si="44"/>
        <v>2</v>
      </c>
      <c r="E448" s="85" t="str">
        <f t="shared" si="45"/>
        <v>0</v>
      </c>
      <c r="F448" s="85" t="str">
        <f t="shared" si="46"/>
        <v>01</v>
      </c>
      <c r="G448" s="85" t="str">
        <f t="shared" si="47"/>
        <v>2</v>
      </c>
      <c r="H448" s="85" t="str">
        <f t="shared" si="48"/>
        <v>4</v>
      </c>
      <c r="I448" s="87">
        <v>12200124</v>
      </c>
      <c r="J448" s="85" t="s">
        <v>3351</v>
      </c>
      <c r="K448" s="85" t="s">
        <v>2892</v>
      </c>
      <c r="L448" s="84"/>
      <c r="M448" s="85" t="s">
        <v>2892</v>
      </c>
      <c r="N448" s="85" t="s">
        <v>2879</v>
      </c>
      <c r="O448" s="85" t="s">
        <v>2892</v>
      </c>
      <c r="P448" s="86" t="s">
        <v>2890</v>
      </c>
    </row>
    <row r="449" spans="2:16" ht="30" x14ac:dyDescent="0.25">
      <c r="B449" s="108" t="str">
        <f t="shared" si="42"/>
        <v>1</v>
      </c>
      <c r="C449" s="108" t="str">
        <f t="shared" si="43"/>
        <v>2</v>
      </c>
      <c r="D449" s="108" t="str">
        <f t="shared" si="44"/>
        <v>2</v>
      </c>
      <c r="E449" s="108" t="str">
        <f t="shared" si="45"/>
        <v>0</v>
      </c>
      <c r="F449" s="108" t="str">
        <f t="shared" si="46"/>
        <v>02</v>
      </c>
      <c r="G449" s="108" t="str">
        <f t="shared" si="47"/>
        <v>0</v>
      </c>
      <c r="H449" s="108" t="str">
        <f t="shared" si="48"/>
        <v>0</v>
      </c>
      <c r="I449" s="109">
        <v>12200200</v>
      </c>
      <c r="J449" s="108" t="s">
        <v>3352</v>
      </c>
      <c r="K449" s="108" t="s">
        <v>3353</v>
      </c>
      <c r="L449" s="110"/>
      <c r="M449" s="108" t="s">
        <v>2878</v>
      </c>
      <c r="N449" s="108" t="s">
        <v>2879</v>
      </c>
      <c r="O449" s="108" t="s">
        <v>2878</v>
      </c>
      <c r="P449" s="111" t="s">
        <v>2880</v>
      </c>
    </row>
    <row r="450" spans="2:16" ht="105" x14ac:dyDescent="0.25">
      <c r="B450" s="114" t="str">
        <f t="shared" si="42"/>
        <v>1</v>
      </c>
      <c r="C450" s="114" t="str">
        <f t="shared" si="43"/>
        <v>2</v>
      </c>
      <c r="D450" s="114" t="str">
        <f t="shared" si="44"/>
        <v>2</v>
      </c>
      <c r="E450" s="114" t="str">
        <f t="shared" si="45"/>
        <v>0</v>
      </c>
      <c r="F450" s="114" t="str">
        <f t="shared" si="46"/>
        <v>02</v>
      </c>
      <c r="G450" s="114" t="str">
        <f t="shared" si="47"/>
        <v>1</v>
      </c>
      <c r="H450" s="114" t="str">
        <f t="shared" si="48"/>
        <v>0</v>
      </c>
      <c r="I450" s="115">
        <v>12200210</v>
      </c>
      <c r="J450" s="114" t="s">
        <v>3352</v>
      </c>
      <c r="K450" s="114" t="s">
        <v>3354</v>
      </c>
      <c r="L450" s="116"/>
      <c r="M450" s="114" t="s">
        <v>2878</v>
      </c>
      <c r="N450" s="114" t="s">
        <v>2879</v>
      </c>
      <c r="O450" s="114" t="s">
        <v>2878</v>
      </c>
      <c r="P450" s="117" t="s">
        <v>2880</v>
      </c>
    </row>
    <row r="451" spans="2:16" ht="105" x14ac:dyDescent="0.25">
      <c r="B451" s="85" t="str">
        <f t="shared" si="42"/>
        <v>1</v>
      </c>
      <c r="C451" s="85" t="str">
        <f t="shared" si="43"/>
        <v>2</v>
      </c>
      <c r="D451" s="85" t="str">
        <f t="shared" si="44"/>
        <v>2</v>
      </c>
      <c r="E451" s="85" t="str">
        <f t="shared" si="45"/>
        <v>0</v>
      </c>
      <c r="F451" s="85" t="str">
        <f t="shared" si="46"/>
        <v>02</v>
      </c>
      <c r="G451" s="85" t="str">
        <f t="shared" si="47"/>
        <v>1</v>
      </c>
      <c r="H451" s="85" t="str">
        <f t="shared" si="48"/>
        <v>1</v>
      </c>
      <c r="I451" s="87">
        <v>12200211</v>
      </c>
      <c r="J451" s="85" t="s">
        <v>3355</v>
      </c>
      <c r="K451" s="85" t="s">
        <v>3356</v>
      </c>
      <c r="L451" s="84"/>
      <c r="M451" s="85" t="s">
        <v>3357</v>
      </c>
      <c r="N451" s="85" t="s">
        <v>2879</v>
      </c>
      <c r="O451" s="85" t="s">
        <v>3358</v>
      </c>
      <c r="P451" s="86" t="s">
        <v>2890</v>
      </c>
    </row>
    <row r="452" spans="2:16" ht="30" x14ac:dyDescent="0.25">
      <c r="B452" s="85" t="str">
        <f t="shared" si="42"/>
        <v>1</v>
      </c>
      <c r="C452" s="85" t="str">
        <f t="shared" si="43"/>
        <v>2</v>
      </c>
      <c r="D452" s="85" t="str">
        <f t="shared" si="44"/>
        <v>2</v>
      </c>
      <c r="E452" s="85" t="str">
        <f t="shared" si="45"/>
        <v>0</v>
      </c>
      <c r="F452" s="85" t="str">
        <f t="shared" si="46"/>
        <v>02</v>
      </c>
      <c r="G452" s="85" t="str">
        <f t="shared" si="47"/>
        <v>1</v>
      </c>
      <c r="H452" s="85" t="str">
        <f t="shared" si="48"/>
        <v>2</v>
      </c>
      <c r="I452" s="87">
        <v>12200212</v>
      </c>
      <c r="J452" s="85" t="s">
        <v>3359</v>
      </c>
      <c r="K452" s="85" t="s">
        <v>2892</v>
      </c>
      <c r="L452" s="84"/>
      <c r="M452" s="85" t="s">
        <v>2892</v>
      </c>
      <c r="N452" s="85" t="s">
        <v>2879</v>
      </c>
      <c r="O452" s="85" t="s">
        <v>2892</v>
      </c>
      <c r="P452" s="86" t="s">
        <v>2890</v>
      </c>
    </row>
    <row r="453" spans="2:16" ht="30" x14ac:dyDescent="0.25">
      <c r="B453" s="85" t="str">
        <f t="shared" si="42"/>
        <v>1</v>
      </c>
      <c r="C453" s="85" t="str">
        <f t="shared" si="43"/>
        <v>2</v>
      </c>
      <c r="D453" s="85" t="str">
        <f t="shared" si="44"/>
        <v>2</v>
      </c>
      <c r="E453" s="85" t="str">
        <f t="shared" si="45"/>
        <v>0</v>
      </c>
      <c r="F453" s="85" t="str">
        <f t="shared" si="46"/>
        <v>02</v>
      </c>
      <c r="G453" s="85" t="str">
        <f t="shared" si="47"/>
        <v>1</v>
      </c>
      <c r="H453" s="85" t="str">
        <f t="shared" si="48"/>
        <v>3</v>
      </c>
      <c r="I453" s="87">
        <v>12200213</v>
      </c>
      <c r="J453" s="85" t="s">
        <v>3360</v>
      </c>
      <c r="K453" s="85" t="s">
        <v>2892</v>
      </c>
      <c r="L453" s="84"/>
      <c r="M453" s="85" t="s">
        <v>2892</v>
      </c>
      <c r="N453" s="85" t="s">
        <v>2879</v>
      </c>
      <c r="O453" s="85" t="s">
        <v>2892</v>
      </c>
      <c r="P453" s="86" t="s">
        <v>2890</v>
      </c>
    </row>
    <row r="454" spans="2:16" ht="30" x14ac:dyDescent="0.25">
      <c r="B454" s="85" t="str">
        <f t="shared" si="42"/>
        <v>1</v>
      </c>
      <c r="C454" s="85" t="str">
        <f t="shared" si="43"/>
        <v>2</v>
      </c>
      <c r="D454" s="85" t="str">
        <f t="shared" si="44"/>
        <v>2</v>
      </c>
      <c r="E454" s="85" t="str">
        <f t="shared" si="45"/>
        <v>0</v>
      </c>
      <c r="F454" s="85" t="str">
        <f t="shared" si="46"/>
        <v>02</v>
      </c>
      <c r="G454" s="85" t="str">
        <f t="shared" si="47"/>
        <v>1</v>
      </c>
      <c r="H454" s="85" t="str">
        <f t="shared" si="48"/>
        <v>4</v>
      </c>
      <c r="I454" s="87">
        <v>12200214</v>
      </c>
      <c r="J454" s="85" t="s">
        <v>3361</v>
      </c>
      <c r="K454" s="85" t="s">
        <v>2892</v>
      </c>
      <c r="L454" s="84"/>
      <c r="M454" s="85" t="s">
        <v>2892</v>
      </c>
      <c r="N454" s="85" t="s">
        <v>2879</v>
      </c>
      <c r="O454" s="85" t="s">
        <v>2892</v>
      </c>
      <c r="P454" s="86" t="s">
        <v>2890</v>
      </c>
    </row>
    <row r="455" spans="2:16" ht="75" x14ac:dyDescent="0.25">
      <c r="B455" s="108" t="str">
        <f t="shared" si="42"/>
        <v>1</v>
      </c>
      <c r="C455" s="108" t="str">
        <f t="shared" si="43"/>
        <v>2</v>
      </c>
      <c r="D455" s="108" t="str">
        <f t="shared" si="44"/>
        <v>2</v>
      </c>
      <c r="E455" s="108" t="str">
        <f t="shared" si="45"/>
        <v>0</v>
      </c>
      <c r="F455" s="108" t="str">
        <f t="shared" si="46"/>
        <v>03</v>
      </c>
      <c r="G455" s="108" t="str">
        <f t="shared" si="47"/>
        <v>0</v>
      </c>
      <c r="H455" s="108" t="str">
        <f t="shared" si="48"/>
        <v>0</v>
      </c>
      <c r="I455" s="109">
        <v>12200300</v>
      </c>
      <c r="J455" s="108" t="s">
        <v>501</v>
      </c>
      <c r="K455" s="108" t="s">
        <v>3362</v>
      </c>
      <c r="L455" s="110"/>
      <c r="M455" s="108" t="s">
        <v>2878</v>
      </c>
      <c r="N455" s="108" t="s">
        <v>2879</v>
      </c>
      <c r="O455" s="108" t="s">
        <v>2878</v>
      </c>
      <c r="P455" s="111" t="s">
        <v>2880</v>
      </c>
    </row>
    <row r="456" spans="2:16" ht="75" x14ac:dyDescent="0.25">
      <c r="B456" s="114" t="str">
        <f t="shared" si="42"/>
        <v>1</v>
      </c>
      <c r="C456" s="114" t="str">
        <f t="shared" si="43"/>
        <v>2</v>
      </c>
      <c r="D456" s="114" t="str">
        <f t="shared" si="44"/>
        <v>2</v>
      </c>
      <c r="E456" s="114" t="str">
        <f t="shared" si="45"/>
        <v>0</v>
      </c>
      <c r="F456" s="114" t="str">
        <f t="shared" si="46"/>
        <v>03</v>
      </c>
      <c r="G456" s="114" t="str">
        <f t="shared" si="47"/>
        <v>1</v>
      </c>
      <c r="H456" s="114" t="str">
        <f t="shared" si="48"/>
        <v>0</v>
      </c>
      <c r="I456" s="115">
        <v>12200310</v>
      </c>
      <c r="J456" s="114" t="s">
        <v>501</v>
      </c>
      <c r="K456" s="114" t="s">
        <v>3362</v>
      </c>
      <c r="L456" s="116"/>
      <c r="M456" s="114" t="s">
        <v>2878</v>
      </c>
      <c r="N456" s="114" t="s">
        <v>2879</v>
      </c>
      <c r="O456" s="114" t="s">
        <v>2878</v>
      </c>
      <c r="P456" s="117" t="s">
        <v>2880</v>
      </c>
    </row>
    <row r="457" spans="2:16" ht="105" x14ac:dyDescent="0.25">
      <c r="B457" s="85" t="str">
        <f t="shared" si="42"/>
        <v>1</v>
      </c>
      <c r="C457" s="85" t="str">
        <f t="shared" si="43"/>
        <v>2</v>
      </c>
      <c r="D457" s="85" t="str">
        <f t="shared" si="44"/>
        <v>2</v>
      </c>
      <c r="E457" s="85" t="str">
        <f t="shared" si="45"/>
        <v>0</v>
      </c>
      <c r="F457" s="85" t="str">
        <f t="shared" si="46"/>
        <v>03</v>
      </c>
      <c r="G457" s="85" t="str">
        <f t="shared" si="47"/>
        <v>1</v>
      </c>
      <c r="H457" s="85" t="str">
        <f t="shared" si="48"/>
        <v>1</v>
      </c>
      <c r="I457" s="87">
        <v>12200311</v>
      </c>
      <c r="J457" s="85" t="s">
        <v>3363</v>
      </c>
      <c r="K457" s="85" t="s">
        <v>3364</v>
      </c>
      <c r="L457" s="84"/>
      <c r="M457" s="85" t="s">
        <v>3365</v>
      </c>
      <c r="N457" s="85" t="s">
        <v>2879</v>
      </c>
      <c r="O457" s="85" t="s">
        <v>3366</v>
      </c>
      <c r="P457" s="86" t="s">
        <v>2890</v>
      </c>
    </row>
    <row r="458" spans="2:16" ht="15.75" x14ac:dyDescent="0.25">
      <c r="B458" s="85" t="str">
        <f t="shared" si="42"/>
        <v>1</v>
      </c>
      <c r="C458" s="85" t="str">
        <f t="shared" si="43"/>
        <v>2</v>
      </c>
      <c r="D458" s="85" t="str">
        <f t="shared" si="44"/>
        <v>2</v>
      </c>
      <c r="E458" s="85" t="str">
        <f t="shared" si="45"/>
        <v>0</v>
      </c>
      <c r="F458" s="85" t="str">
        <f t="shared" si="46"/>
        <v>03</v>
      </c>
      <c r="G458" s="85" t="str">
        <f t="shared" si="47"/>
        <v>1</v>
      </c>
      <c r="H458" s="85" t="str">
        <f t="shared" si="48"/>
        <v>2</v>
      </c>
      <c r="I458" s="87">
        <v>12200312</v>
      </c>
      <c r="J458" s="85" t="s">
        <v>3367</v>
      </c>
      <c r="K458" s="85" t="s">
        <v>2892</v>
      </c>
      <c r="L458" s="84"/>
      <c r="M458" s="85" t="s">
        <v>2892</v>
      </c>
      <c r="N458" s="85" t="s">
        <v>1589</v>
      </c>
      <c r="O458" s="85" t="s">
        <v>2892</v>
      </c>
      <c r="P458" s="86" t="s">
        <v>2890</v>
      </c>
    </row>
    <row r="459" spans="2:16" ht="15.75" x14ac:dyDescent="0.25">
      <c r="B459" s="85" t="str">
        <f t="shared" si="42"/>
        <v>1</v>
      </c>
      <c r="C459" s="85" t="str">
        <f t="shared" si="43"/>
        <v>2</v>
      </c>
      <c r="D459" s="85" t="str">
        <f t="shared" si="44"/>
        <v>2</v>
      </c>
      <c r="E459" s="85" t="str">
        <f t="shared" si="45"/>
        <v>0</v>
      </c>
      <c r="F459" s="85" t="str">
        <f t="shared" si="46"/>
        <v>03</v>
      </c>
      <c r="G459" s="85" t="str">
        <f t="shared" si="47"/>
        <v>1</v>
      </c>
      <c r="H459" s="85" t="str">
        <f t="shared" si="48"/>
        <v>3</v>
      </c>
      <c r="I459" s="87">
        <v>12200313</v>
      </c>
      <c r="J459" s="85" t="s">
        <v>3368</v>
      </c>
      <c r="K459" s="85" t="s">
        <v>2892</v>
      </c>
      <c r="L459" s="84"/>
      <c r="M459" s="85" t="s">
        <v>2892</v>
      </c>
      <c r="N459" s="85" t="s">
        <v>423</v>
      </c>
      <c r="O459" s="85" t="s">
        <v>2892</v>
      </c>
      <c r="P459" s="86" t="s">
        <v>2890</v>
      </c>
    </row>
    <row r="460" spans="2:16" ht="30" x14ac:dyDescent="0.25">
      <c r="B460" s="85" t="str">
        <f t="shared" si="42"/>
        <v>1</v>
      </c>
      <c r="C460" s="85" t="str">
        <f t="shared" si="43"/>
        <v>2</v>
      </c>
      <c r="D460" s="85" t="str">
        <f t="shared" si="44"/>
        <v>2</v>
      </c>
      <c r="E460" s="85" t="str">
        <f t="shared" si="45"/>
        <v>0</v>
      </c>
      <c r="F460" s="85" t="str">
        <f t="shared" si="46"/>
        <v>03</v>
      </c>
      <c r="G460" s="85" t="str">
        <f t="shared" si="47"/>
        <v>1</v>
      </c>
      <c r="H460" s="85" t="str">
        <f t="shared" si="48"/>
        <v>4</v>
      </c>
      <c r="I460" s="87">
        <v>12200314</v>
      </c>
      <c r="J460" s="85" t="s">
        <v>3369</v>
      </c>
      <c r="K460" s="85" t="s">
        <v>2892</v>
      </c>
      <c r="L460" s="84"/>
      <c r="M460" s="85" t="s">
        <v>2892</v>
      </c>
      <c r="N460" s="85" t="s">
        <v>2879</v>
      </c>
      <c r="O460" s="85" t="s">
        <v>2892</v>
      </c>
      <c r="P460" s="86" t="s">
        <v>2890</v>
      </c>
    </row>
    <row r="461" spans="2:16" ht="150" x14ac:dyDescent="0.25">
      <c r="B461" s="108" t="str">
        <f t="shared" si="42"/>
        <v>1</v>
      </c>
      <c r="C461" s="108" t="str">
        <f t="shared" si="43"/>
        <v>2</v>
      </c>
      <c r="D461" s="108" t="str">
        <f t="shared" si="44"/>
        <v>2</v>
      </c>
      <c r="E461" s="108" t="str">
        <f t="shared" si="45"/>
        <v>0</v>
      </c>
      <c r="F461" s="108" t="str">
        <f t="shared" si="46"/>
        <v>04</v>
      </c>
      <c r="G461" s="108" t="str">
        <f t="shared" si="47"/>
        <v>0</v>
      </c>
      <c r="H461" s="108" t="str">
        <f t="shared" si="48"/>
        <v>0</v>
      </c>
      <c r="I461" s="109">
        <v>12200400</v>
      </c>
      <c r="J461" s="108" t="s">
        <v>3370</v>
      </c>
      <c r="K461" s="108" t="s">
        <v>3371</v>
      </c>
      <c r="L461" s="110"/>
      <c r="M461" s="108" t="s">
        <v>2878</v>
      </c>
      <c r="N461" s="108" t="s">
        <v>2879</v>
      </c>
      <c r="O461" s="108" t="s">
        <v>2878</v>
      </c>
      <c r="P461" s="111" t="s">
        <v>2880</v>
      </c>
    </row>
    <row r="462" spans="2:16" ht="150" x14ac:dyDescent="0.25">
      <c r="B462" s="114" t="str">
        <f t="shared" si="42"/>
        <v>1</v>
      </c>
      <c r="C462" s="114" t="str">
        <f t="shared" si="43"/>
        <v>2</v>
      </c>
      <c r="D462" s="114" t="str">
        <f t="shared" si="44"/>
        <v>2</v>
      </c>
      <c r="E462" s="114" t="str">
        <f t="shared" si="45"/>
        <v>0</v>
      </c>
      <c r="F462" s="114" t="str">
        <f t="shared" si="46"/>
        <v>04</v>
      </c>
      <c r="G462" s="114" t="str">
        <f t="shared" si="47"/>
        <v>1</v>
      </c>
      <c r="H462" s="114" t="str">
        <f t="shared" si="48"/>
        <v>0</v>
      </c>
      <c r="I462" s="115">
        <v>12200410</v>
      </c>
      <c r="J462" s="114" t="s">
        <v>3370</v>
      </c>
      <c r="K462" s="114" t="s">
        <v>3371</v>
      </c>
      <c r="L462" s="116"/>
      <c r="M462" s="114" t="s">
        <v>2878</v>
      </c>
      <c r="N462" s="114" t="s">
        <v>2879</v>
      </c>
      <c r="O462" s="114" t="s">
        <v>2878</v>
      </c>
      <c r="P462" s="117" t="s">
        <v>2880</v>
      </c>
    </row>
    <row r="463" spans="2:16" ht="150" x14ac:dyDescent="0.25">
      <c r="B463" s="85" t="str">
        <f t="shared" si="42"/>
        <v>1</v>
      </c>
      <c r="C463" s="85" t="str">
        <f t="shared" si="43"/>
        <v>2</v>
      </c>
      <c r="D463" s="85" t="str">
        <f t="shared" si="44"/>
        <v>2</v>
      </c>
      <c r="E463" s="85" t="str">
        <f t="shared" si="45"/>
        <v>0</v>
      </c>
      <c r="F463" s="85" t="str">
        <f t="shared" si="46"/>
        <v>04</v>
      </c>
      <c r="G463" s="85" t="str">
        <f t="shared" si="47"/>
        <v>1</v>
      </c>
      <c r="H463" s="85" t="str">
        <f t="shared" si="48"/>
        <v>1</v>
      </c>
      <c r="I463" s="87">
        <v>12200411</v>
      </c>
      <c r="J463" s="85" t="s">
        <v>3372</v>
      </c>
      <c r="K463" s="85" t="s">
        <v>3373</v>
      </c>
      <c r="L463" s="84"/>
      <c r="M463" s="85" t="s">
        <v>3374</v>
      </c>
      <c r="N463" s="85" t="s">
        <v>2879</v>
      </c>
      <c r="O463" s="85" t="s">
        <v>3375</v>
      </c>
      <c r="P463" s="86" t="s">
        <v>2890</v>
      </c>
    </row>
    <row r="464" spans="2:16" ht="30" x14ac:dyDescent="0.25">
      <c r="B464" s="85" t="str">
        <f t="shared" si="42"/>
        <v>1</v>
      </c>
      <c r="C464" s="85" t="str">
        <f t="shared" si="43"/>
        <v>2</v>
      </c>
      <c r="D464" s="85" t="str">
        <f t="shared" si="44"/>
        <v>2</v>
      </c>
      <c r="E464" s="85" t="str">
        <f t="shared" si="45"/>
        <v>0</v>
      </c>
      <c r="F464" s="85" t="str">
        <f t="shared" si="46"/>
        <v>04</v>
      </c>
      <c r="G464" s="85" t="str">
        <f t="shared" si="47"/>
        <v>1</v>
      </c>
      <c r="H464" s="85" t="str">
        <f t="shared" si="48"/>
        <v>2</v>
      </c>
      <c r="I464" s="87">
        <v>12200412</v>
      </c>
      <c r="J464" s="85" t="s">
        <v>3376</v>
      </c>
      <c r="K464" s="85" t="s">
        <v>2892</v>
      </c>
      <c r="L464" s="84"/>
      <c r="M464" s="85" t="s">
        <v>2892</v>
      </c>
      <c r="N464" s="85" t="s">
        <v>2879</v>
      </c>
      <c r="O464" s="85" t="s">
        <v>2892</v>
      </c>
      <c r="P464" s="86" t="s">
        <v>2890</v>
      </c>
    </row>
    <row r="465" spans="2:16" ht="30" x14ac:dyDescent="0.25">
      <c r="B465" s="85" t="str">
        <f t="shared" si="42"/>
        <v>1</v>
      </c>
      <c r="C465" s="85" t="str">
        <f t="shared" si="43"/>
        <v>2</v>
      </c>
      <c r="D465" s="85" t="str">
        <f t="shared" si="44"/>
        <v>2</v>
      </c>
      <c r="E465" s="85" t="str">
        <f t="shared" si="45"/>
        <v>0</v>
      </c>
      <c r="F465" s="85" t="str">
        <f t="shared" si="46"/>
        <v>04</v>
      </c>
      <c r="G465" s="85" t="str">
        <f t="shared" si="47"/>
        <v>1</v>
      </c>
      <c r="H465" s="85" t="str">
        <f t="shared" si="48"/>
        <v>3</v>
      </c>
      <c r="I465" s="87">
        <v>12200413</v>
      </c>
      <c r="J465" s="85" t="s">
        <v>3377</v>
      </c>
      <c r="K465" s="85" t="s">
        <v>2892</v>
      </c>
      <c r="L465" s="84"/>
      <c r="M465" s="85" t="s">
        <v>2892</v>
      </c>
      <c r="N465" s="85" t="s">
        <v>2879</v>
      </c>
      <c r="O465" s="85" t="s">
        <v>2892</v>
      </c>
      <c r="P465" s="86" t="s">
        <v>2890</v>
      </c>
    </row>
    <row r="466" spans="2:16" ht="30" x14ac:dyDescent="0.25">
      <c r="B466" s="85" t="str">
        <f t="shared" si="42"/>
        <v>1</v>
      </c>
      <c r="C466" s="85" t="str">
        <f t="shared" si="43"/>
        <v>2</v>
      </c>
      <c r="D466" s="85" t="str">
        <f t="shared" si="44"/>
        <v>2</v>
      </c>
      <c r="E466" s="85" t="str">
        <f t="shared" si="45"/>
        <v>0</v>
      </c>
      <c r="F466" s="85" t="str">
        <f t="shared" si="46"/>
        <v>04</v>
      </c>
      <c r="G466" s="85" t="str">
        <f t="shared" si="47"/>
        <v>1</v>
      </c>
      <c r="H466" s="85" t="str">
        <f t="shared" si="48"/>
        <v>4</v>
      </c>
      <c r="I466" s="87">
        <v>12200414</v>
      </c>
      <c r="J466" s="85" t="s">
        <v>3378</v>
      </c>
      <c r="K466" s="85" t="s">
        <v>2892</v>
      </c>
      <c r="L466" s="84"/>
      <c r="M466" s="85" t="s">
        <v>2892</v>
      </c>
      <c r="N466" s="85" t="s">
        <v>2879</v>
      </c>
      <c r="O466" s="85" t="s">
        <v>2892</v>
      </c>
      <c r="P466" s="86" t="s">
        <v>2890</v>
      </c>
    </row>
    <row r="467" spans="2:16" ht="78" customHeight="1" x14ac:dyDescent="0.25">
      <c r="B467" s="108" t="str">
        <f t="shared" si="42"/>
        <v>1</v>
      </c>
      <c r="C467" s="108" t="str">
        <f t="shared" si="43"/>
        <v>2</v>
      </c>
      <c r="D467" s="108" t="str">
        <f t="shared" si="44"/>
        <v>2</v>
      </c>
      <c r="E467" s="108" t="str">
        <f t="shared" si="45"/>
        <v>0</v>
      </c>
      <c r="F467" s="108" t="str">
        <f t="shared" si="46"/>
        <v>05</v>
      </c>
      <c r="G467" s="108" t="str">
        <f t="shared" si="47"/>
        <v>0</v>
      </c>
      <c r="H467" s="108" t="str">
        <f t="shared" si="48"/>
        <v>0</v>
      </c>
      <c r="I467" s="109">
        <v>12200500</v>
      </c>
      <c r="J467" s="108" t="s">
        <v>3379</v>
      </c>
      <c r="K467" s="108" t="s">
        <v>3380</v>
      </c>
      <c r="L467" s="110"/>
      <c r="M467" s="108" t="s">
        <v>2878</v>
      </c>
      <c r="N467" s="108" t="s">
        <v>2879</v>
      </c>
      <c r="O467" s="108" t="s">
        <v>2878</v>
      </c>
      <c r="P467" s="111" t="s">
        <v>2880</v>
      </c>
    </row>
    <row r="468" spans="2:16" ht="59.25" customHeight="1" x14ac:dyDescent="0.25">
      <c r="B468" s="114" t="str">
        <f t="shared" si="42"/>
        <v>1</v>
      </c>
      <c r="C468" s="114" t="str">
        <f t="shared" si="43"/>
        <v>2</v>
      </c>
      <c r="D468" s="114" t="str">
        <f t="shared" si="44"/>
        <v>2</v>
      </c>
      <c r="E468" s="114" t="str">
        <f t="shared" si="45"/>
        <v>0</v>
      </c>
      <c r="F468" s="114" t="str">
        <f t="shared" si="46"/>
        <v>05</v>
      </c>
      <c r="G468" s="114" t="str">
        <f t="shared" si="47"/>
        <v>1</v>
      </c>
      <c r="H468" s="114" t="str">
        <f t="shared" si="48"/>
        <v>0</v>
      </c>
      <c r="I468" s="115">
        <v>12200510</v>
      </c>
      <c r="J468" s="114" t="s">
        <v>3379</v>
      </c>
      <c r="K468" s="114" t="s">
        <v>3380</v>
      </c>
      <c r="L468" s="116"/>
      <c r="M468" s="114" t="s">
        <v>2878</v>
      </c>
      <c r="N468" s="114" t="s">
        <v>2879</v>
      </c>
      <c r="O468" s="114" t="s">
        <v>2878</v>
      </c>
      <c r="P468" s="117" t="s">
        <v>2880</v>
      </c>
    </row>
    <row r="469" spans="2:16" ht="78" customHeight="1" x14ac:dyDescent="0.25">
      <c r="B469" s="85" t="str">
        <f t="shared" si="42"/>
        <v>1</v>
      </c>
      <c r="C469" s="85" t="str">
        <f t="shared" si="43"/>
        <v>2</v>
      </c>
      <c r="D469" s="85" t="str">
        <f t="shared" si="44"/>
        <v>2</v>
      </c>
      <c r="E469" s="85" t="str">
        <f t="shared" si="45"/>
        <v>0</v>
      </c>
      <c r="F469" s="85" t="str">
        <f t="shared" si="46"/>
        <v>05</v>
      </c>
      <c r="G469" s="85" t="str">
        <f t="shared" si="47"/>
        <v>1</v>
      </c>
      <c r="H469" s="85" t="str">
        <f t="shared" si="48"/>
        <v>1</v>
      </c>
      <c r="I469" s="87">
        <v>12200511</v>
      </c>
      <c r="J469" s="85" t="s">
        <v>3381</v>
      </c>
      <c r="K469" s="85" t="s">
        <v>3382</v>
      </c>
      <c r="L469" s="84"/>
      <c r="M469" s="85" t="s">
        <v>3383</v>
      </c>
      <c r="N469" s="85" t="s">
        <v>2879</v>
      </c>
      <c r="O469" s="85" t="s">
        <v>3384</v>
      </c>
      <c r="P469" s="86" t="s">
        <v>2890</v>
      </c>
    </row>
    <row r="470" spans="2:16" ht="30" x14ac:dyDescent="0.25">
      <c r="B470" s="85" t="str">
        <f t="shared" si="42"/>
        <v>1</v>
      </c>
      <c r="C470" s="85" t="str">
        <f t="shared" si="43"/>
        <v>2</v>
      </c>
      <c r="D470" s="85" t="str">
        <f t="shared" si="44"/>
        <v>2</v>
      </c>
      <c r="E470" s="85" t="str">
        <f t="shared" si="45"/>
        <v>0</v>
      </c>
      <c r="F470" s="85" t="str">
        <f t="shared" si="46"/>
        <v>05</v>
      </c>
      <c r="G470" s="85" t="str">
        <f t="shared" si="47"/>
        <v>1</v>
      </c>
      <c r="H470" s="85" t="str">
        <f t="shared" si="48"/>
        <v>2</v>
      </c>
      <c r="I470" s="87">
        <v>12200512</v>
      </c>
      <c r="J470" s="85" t="s">
        <v>3385</v>
      </c>
      <c r="K470" s="85" t="s">
        <v>2892</v>
      </c>
      <c r="L470" s="84"/>
      <c r="M470" s="85" t="s">
        <v>2892</v>
      </c>
      <c r="N470" s="85" t="s">
        <v>2879</v>
      </c>
      <c r="O470" s="85" t="s">
        <v>2892</v>
      </c>
      <c r="P470" s="86" t="s">
        <v>2890</v>
      </c>
    </row>
    <row r="471" spans="2:16" ht="30" x14ac:dyDescent="0.25">
      <c r="B471" s="85" t="str">
        <f t="shared" si="42"/>
        <v>1</v>
      </c>
      <c r="C471" s="85" t="str">
        <f t="shared" si="43"/>
        <v>2</v>
      </c>
      <c r="D471" s="85" t="str">
        <f t="shared" si="44"/>
        <v>2</v>
      </c>
      <c r="E471" s="85" t="str">
        <f t="shared" si="45"/>
        <v>0</v>
      </c>
      <c r="F471" s="85" t="str">
        <f t="shared" si="46"/>
        <v>05</v>
      </c>
      <c r="G471" s="85" t="str">
        <f t="shared" si="47"/>
        <v>1</v>
      </c>
      <c r="H471" s="85" t="str">
        <f t="shared" si="48"/>
        <v>3</v>
      </c>
      <c r="I471" s="87">
        <v>12200513</v>
      </c>
      <c r="J471" s="85" t="s">
        <v>3386</v>
      </c>
      <c r="K471" s="85" t="s">
        <v>2892</v>
      </c>
      <c r="L471" s="84"/>
      <c r="M471" s="85" t="s">
        <v>2892</v>
      </c>
      <c r="N471" s="85" t="s">
        <v>423</v>
      </c>
      <c r="O471" s="85" t="s">
        <v>2892</v>
      </c>
      <c r="P471" s="86" t="s">
        <v>2890</v>
      </c>
    </row>
    <row r="472" spans="2:16" ht="30" x14ac:dyDescent="0.25">
      <c r="B472" s="85" t="str">
        <f t="shared" si="42"/>
        <v>1</v>
      </c>
      <c r="C472" s="85" t="str">
        <f t="shared" si="43"/>
        <v>2</v>
      </c>
      <c r="D472" s="85" t="str">
        <f t="shared" si="44"/>
        <v>2</v>
      </c>
      <c r="E472" s="85" t="str">
        <f t="shared" si="45"/>
        <v>0</v>
      </c>
      <c r="F472" s="85" t="str">
        <f t="shared" si="46"/>
        <v>05</v>
      </c>
      <c r="G472" s="85" t="str">
        <f t="shared" si="47"/>
        <v>1</v>
      </c>
      <c r="H472" s="85" t="str">
        <f t="shared" si="48"/>
        <v>4</v>
      </c>
      <c r="I472" s="87">
        <v>12200514</v>
      </c>
      <c r="J472" s="85" t="s">
        <v>3387</v>
      </c>
      <c r="K472" s="85" t="s">
        <v>2892</v>
      </c>
      <c r="L472" s="84"/>
      <c r="M472" s="85" t="s">
        <v>2892</v>
      </c>
      <c r="N472" s="85" t="s">
        <v>2879</v>
      </c>
      <c r="O472" s="85" t="s">
        <v>2892</v>
      </c>
      <c r="P472" s="86" t="s">
        <v>2890</v>
      </c>
    </row>
    <row r="473" spans="2:16" ht="54" customHeight="1" x14ac:dyDescent="0.25">
      <c r="B473" s="108" t="str">
        <f t="shared" si="42"/>
        <v>1</v>
      </c>
      <c r="C473" s="108" t="str">
        <f t="shared" si="43"/>
        <v>2</v>
      </c>
      <c r="D473" s="108" t="str">
        <f t="shared" si="44"/>
        <v>2</v>
      </c>
      <c r="E473" s="108" t="str">
        <f t="shared" si="45"/>
        <v>0</v>
      </c>
      <c r="F473" s="108" t="str">
        <f t="shared" si="46"/>
        <v>06</v>
      </c>
      <c r="G473" s="108" t="str">
        <f t="shared" si="47"/>
        <v>0</v>
      </c>
      <c r="H473" s="108" t="str">
        <f t="shared" si="48"/>
        <v>0</v>
      </c>
      <c r="I473" s="109">
        <v>12200600</v>
      </c>
      <c r="J473" s="108" t="s">
        <v>3388</v>
      </c>
      <c r="K473" s="108" t="s">
        <v>3389</v>
      </c>
      <c r="L473" s="110"/>
      <c r="M473" s="108" t="s">
        <v>2878</v>
      </c>
      <c r="N473" s="108" t="s">
        <v>2879</v>
      </c>
      <c r="O473" s="108" t="s">
        <v>2878</v>
      </c>
      <c r="P473" s="111" t="s">
        <v>2880</v>
      </c>
    </row>
    <row r="474" spans="2:16" ht="47.25" customHeight="1" x14ac:dyDescent="0.25">
      <c r="B474" s="114" t="str">
        <f t="shared" si="42"/>
        <v>1</v>
      </c>
      <c r="C474" s="114" t="str">
        <f t="shared" si="43"/>
        <v>2</v>
      </c>
      <c r="D474" s="114" t="str">
        <f t="shared" si="44"/>
        <v>2</v>
      </c>
      <c r="E474" s="114" t="str">
        <f t="shared" si="45"/>
        <v>0</v>
      </c>
      <c r="F474" s="114" t="str">
        <f t="shared" si="46"/>
        <v>06</v>
      </c>
      <c r="G474" s="114" t="str">
        <f t="shared" si="47"/>
        <v>1</v>
      </c>
      <c r="H474" s="114" t="str">
        <f t="shared" si="48"/>
        <v>0</v>
      </c>
      <c r="I474" s="115">
        <v>12200610</v>
      </c>
      <c r="J474" s="114" t="s">
        <v>3388</v>
      </c>
      <c r="K474" s="114" t="s">
        <v>3389</v>
      </c>
      <c r="L474" s="116"/>
      <c r="M474" s="114" t="s">
        <v>2878</v>
      </c>
      <c r="N474" s="114" t="s">
        <v>2879</v>
      </c>
      <c r="O474" s="114" t="s">
        <v>2878</v>
      </c>
      <c r="P474" s="117" t="s">
        <v>2880</v>
      </c>
    </row>
    <row r="475" spans="2:16" ht="50.25" customHeight="1" x14ac:dyDescent="0.25">
      <c r="B475" s="85" t="str">
        <f t="shared" si="42"/>
        <v>1</v>
      </c>
      <c r="C475" s="85" t="str">
        <f t="shared" si="43"/>
        <v>2</v>
      </c>
      <c r="D475" s="85" t="str">
        <f t="shared" si="44"/>
        <v>2</v>
      </c>
      <c r="E475" s="85" t="str">
        <f t="shared" si="45"/>
        <v>0</v>
      </c>
      <c r="F475" s="85" t="str">
        <f t="shared" si="46"/>
        <v>06</v>
      </c>
      <c r="G475" s="85" t="str">
        <f t="shared" si="47"/>
        <v>1</v>
      </c>
      <c r="H475" s="85" t="str">
        <f t="shared" si="48"/>
        <v>1</v>
      </c>
      <c r="I475" s="87">
        <v>12200611</v>
      </c>
      <c r="J475" s="85" t="s">
        <v>4780</v>
      </c>
      <c r="K475" s="85" t="s">
        <v>3390</v>
      </c>
      <c r="L475" s="84"/>
      <c r="M475" s="85" t="s">
        <v>3391</v>
      </c>
      <c r="N475" s="85" t="s">
        <v>2879</v>
      </c>
      <c r="O475" s="85" t="s">
        <v>3392</v>
      </c>
      <c r="P475" s="86" t="s">
        <v>2890</v>
      </c>
    </row>
    <row r="476" spans="2:16" ht="30" x14ac:dyDescent="0.25">
      <c r="B476" s="85" t="str">
        <f t="shared" si="42"/>
        <v>1</v>
      </c>
      <c r="C476" s="85" t="str">
        <f t="shared" si="43"/>
        <v>2</v>
      </c>
      <c r="D476" s="85" t="str">
        <f t="shared" si="44"/>
        <v>2</v>
      </c>
      <c r="E476" s="85" t="str">
        <f t="shared" si="45"/>
        <v>0</v>
      </c>
      <c r="F476" s="85" t="str">
        <f t="shared" si="46"/>
        <v>06</v>
      </c>
      <c r="G476" s="85" t="str">
        <f t="shared" si="47"/>
        <v>1</v>
      </c>
      <c r="H476" s="85" t="str">
        <f t="shared" si="48"/>
        <v>2</v>
      </c>
      <c r="I476" s="87">
        <v>12200612</v>
      </c>
      <c r="J476" s="85" t="s">
        <v>4781</v>
      </c>
      <c r="K476" s="85" t="s">
        <v>2892</v>
      </c>
      <c r="L476" s="84"/>
      <c r="M476" s="85" t="s">
        <v>2892</v>
      </c>
      <c r="N476" s="85" t="s">
        <v>2879</v>
      </c>
      <c r="O476" s="85" t="s">
        <v>2892</v>
      </c>
      <c r="P476" s="86" t="s">
        <v>2890</v>
      </c>
    </row>
    <row r="477" spans="2:16" ht="30" x14ac:dyDescent="0.25">
      <c r="B477" s="85" t="str">
        <f t="shared" si="42"/>
        <v>1</v>
      </c>
      <c r="C477" s="85" t="str">
        <f t="shared" si="43"/>
        <v>2</v>
      </c>
      <c r="D477" s="85" t="str">
        <f t="shared" si="44"/>
        <v>2</v>
      </c>
      <c r="E477" s="85" t="str">
        <f t="shared" si="45"/>
        <v>0</v>
      </c>
      <c r="F477" s="85" t="str">
        <f t="shared" si="46"/>
        <v>06</v>
      </c>
      <c r="G477" s="85" t="str">
        <f t="shared" si="47"/>
        <v>1</v>
      </c>
      <c r="H477" s="85" t="str">
        <f t="shared" si="48"/>
        <v>3</v>
      </c>
      <c r="I477" s="87">
        <v>12200613</v>
      </c>
      <c r="J477" s="85" t="s">
        <v>4782</v>
      </c>
      <c r="K477" s="85" t="s">
        <v>2892</v>
      </c>
      <c r="L477" s="84"/>
      <c r="M477" s="85" t="s">
        <v>2892</v>
      </c>
      <c r="N477" s="85" t="s">
        <v>2879</v>
      </c>
      <c r="O477" s="85" t="s">
        <v>2892</v>
      </c>
      <c r="P477" s="86" t="s">
        <v>2890</v>
      </c>
    </row>
    <row r="478" spans="2:16" ht="30" x14ac:dyDescent="0.25">
      <c r="B478" s="85" t="str">
        <f t="shared" si="42"/>
        <v>1</v>
      </c>
      <c r="C478" s="85" t="str">
        <f t="shared" si="43"/>
        <v>2</v>
      </c>
      <c r="D478" s="85" t="str">
        <f t="shared" si="44"/>
        <v>2</v>
      </c>
      <c r="E478" s="85" t="str">
        <f t="shared" si="45"/>
        <v>0</v>
      </c>
      <c r="F478" s="85" t="str">
        <f t="shared" si="46"/>
        <v>06</v>
      </c>
      <c r="G478" s="85" t="str">
        <f t="shared" si="47"/>
        <v>1</v>
      </c>
      <c r="H478" s="85" t="str">
        <f t="shared" si="48"/>
        <v>4</v>
      </c>
      <c r="I478" s="87">
        <v>12200614</v>
      </c>
      <c r="J478" s="85" t="s">
        <v>4783</v>
      </c>
      <c r="K478" s="85" t="s">
        <v>2892</v>
      </c>
      <c r="L478" s="84"/>
      <c r="M478" s="85" t="s">
        <v>2892</v>
      </c>
      <c r="N478" s="85" t="s">
        <v>2879</v>
      </c>
      <c r="O478" s="85" t="s">
        <v>2892</v>
      </c>
      <c r="P478" s="86" t="s">
        <v>2890</v>
      </c>
    </row>
    <row r="479" spans="2:16" ht="90" x14ac:dyDescent="0.25">
      <c r="B479" s="108" t="str">
        <f t="shared" si="42"/>
        <v>1</v>
      </c>
      <c r="C479" s="108" t="str">
        <f t="shared" si="43"/>
        <v>2</v>
      </c>
      <c r="D479" s="108" t="str">
        <f t="shared" si="44"/>
        <v>2</v>
      </c>
      <c r="E479" s="108" t="str">
        <f t="shared" si="45"/>
        <v>0</v>
      </c>
      <c r="F479" s="108" t="str">
        <f t="shared" si="46"/>
        <v>07</v>
      </c>
      <c r="G479" s="108" t="str">
        <f t="shared" si="47"/>
        <v>0</v>
      </c>
      <c r="H479" s="108" t="str">
        <f t="shared" si="48"/>
        <v>0</v>
      </c>
      <c r="I479" s="109">
        <v>12200700</v>
      </c>
      <c r="J479" s="108" t="s">
        <v>3393</v>
      </c>
      <c r="K479" s="108" t="s">
        <v>3394</v>
      </c>
      <c r="L479" s="110"/>
      <c r="M479" s="108" t="s">
        <v>2878</v>
      </c>
      <c r="N479" s="108" t="s">
        <v>2879</v>
      </c>
      <c r="O479" s="108" t="s">
        <v>2878</v>
      </c>
      <c r="P479" s="111" t="s">
        <v>2880</v>
      </c>
    </row>
    <row r="480" spans="2:16" ht="90" x14ac:dyDescent="0.25">
      <c r="B480" s="114" t="str">
        <f t="shared" si="42"/>
        <v>1</v>
      </c>
      <c r="C480" s="114" t="str">
        <f t="shared" si="43"/>
        <v>2</v>
      </c>
      <c r="D480" s="114" t="str">
        <f t="shared" si="44"/>
        <v>2</v>
      </c>
      <c r="E480" s="114" t="str">
        <f t="shared" si="45"/>
        <v>0</v>
      </c>
      <c r="F480" s="114" t="str">
        <f t="shared" si="46"/>
        <v>07</v>
      </c>
      <c r="G480" s="114" t="str">
        <f t="shared" si="47"/>
        <v>1</v>
      </c>
      <c r="H480" s="114" t="str">
        <f t="shared" si="48"/>
        <v>0</v>
      </c>
      <c r="I480" s="115">
        <v>12200710</v>
      </c>
      <c r="J480" s="114" t="s">
        <v>3393</v>
      </c>
      <c r="K480" s="114" t="s">
        <v>3394</v>
      </c>
      <c r="L480" s="116"/>
      <c r="M480" s="114" t="s">
        <v>2878</v>
      </c>
      <c r="N480" s="114" t="s">
        <v>2879</v>
      </c>
      <c r="O480" s="114" t="s">
        <v>2878</v>
      </c>
      <c r="P480" s="117" t="s">
        <v>2880</v>
      </c>
    </row>
    <row r="481" spans="2:16" ht="90" x14ac:dyDescent="0.25">
      <c r="B481" s="85" t="str">
        <f t="shared" si="42"/>
        <v>1</v>
      </c>
      <c r="C481" s="85" t="str">
        <f t="shared" si="43"/>
        <v>2</v>
      </c>
      <c r="D481" s="85" t="str">
        <f t="shared" si="44"/>
        <v>2</v>
      </c>
      <c r="E481" s="85" t="str">
        <f t="shared" si="45"/>
        <v>0</v>
      </c>
      <c r="F481" s="85" t="str">
        <f t="shared" si="46"/>
        <v>07</v>
      </c>
      <c r="G481" s="85" t="str">
        <f t="shared" si="47"/>
        <v>1</v>
      </c>
      <c r="H481" s="85" t="str">
        <f t="shared" si="48"/>
        <v>1</v>
      </c>
      <c r="I481" s="87">
        <v>12200711</v>
      </c>
      <c r="J481" s="85" t="s">
        <v>4784</v>
      </c>
      <c r="K481" s="85" t="s">
        <v>3395</v>
      </c>
      <c r="L481" s="84"/>
      <c r="M481" s="85" t="s">
        <v>3396</v>
      </c>
      <c r="N481" s="85" t="s">
        <v>2879</v>
      </c>
      <c r="O481" s="85" t="s">
        <v>3397</v>
      </c>
      <c r="P481" s="86" t="s">
        <v>2890</v>
      </c>
    </row>
    <row r="482" spans="2:16" ht="30" x14ac:dyDescent="0.25">
      <c r="B482" s="85" t="str">
        <f t="shared" si="42"/>
        <v>1</v>
      </c>
      <c r="C482" s="85" t="str">
        <f t="shared" si="43"/>
        <v>2</v>
      </c>
      <c r="D482" s="85" t="str">
        <f t="shared" si="44"/>
        <v>2</v>
      </c>
      <c r="E482" s="85" t="str">
        <f t="shared" si="45"/>
        <v>0</v>
      </c>
      <c r="F482" s="85" t="str">
        <f t="shared" si="46"/>
        <v>07</v>
      </c>
      <c r="G482" s="85" t="str">
        <f t="shared" si="47"/>
        <v>1</v>
      </c>
      <c r="H482" s="85" t="str">
        <f t="shared" si="48"/>
        <v>2</v>
      </c>
      <c r="I482" s="87">
        <v>12200712</v>
      </c>
      <c r="J482" s="85" t="s">
        <v>4785</v>
      </c>
      <c r="K482" s="85" t="s">
        <v>2892</v>
      </c>
      <c r="L482" s="84"/>
      <c r="M482" s="85" t="s">
        <v>2892</v>
      </c>
      <c r="N482" s="85" t="s">
        <v>2879</v>
      </c>
      <c r="O482" s="85" t="s">
        <v>2892</v>
      </c>
      <c r="P482" s="86" t="s">
        <v>2890</v>
      </c>
    </row>
    <row r="483" spans="2:16" ht="30" x14ac:dyDescent="0.25">
      <c r="B483" s="85" t="str">
        <f t="shared" si="42"/>
        <v>1</v>
      </c>
      <c r="C483" s="85" t="str">
        <f t="shared" si="43"/>
        <v>2</v>
      </c>
      <c r="D483" s="85" t="str">
        <f t="shared" si="44"/>
        <v>2</v>
      </c>
      <c r="E483" s="85" t="str">
        <f t="shared" si="45"/>
        <v>0</v>
      </c>
      <c r="F483" s="85" t="str">
        <f t="shared" si="46"/>
        <v>07</v>
      </c>
      <c r="G483" s="85" t="str">
        <f t="shared" si="47"/>
        <v>1</v>
      </c>
      <c r="H483" s="85" t="str">
        <f t="shared" si="48"/>
        <v>3</v>
      </c>
      <c r="I483" s="87">
        <v>12200713</v>
      </c>
      <c r="J483" s="85" t="s">
        <v>4786</v>
      </c>
      <c r="K483" s="85" t="s">
        <v>2892</v>
      </c>
      <c r="L483" s="84"/>
      <c r="M483" s="85" t="s">
        <v>2892</v>
      </c>
      <c r="N483" s="85" t="s">
        <v>2879</v>
      </c>
      <c r="O483" s="85" t="s">
        <v>2892</v>
      </c>
      <c r="P483" s="86" t="s">
        <v>2890</v>
      </c>
    </row>
    <row r="484" spans="2:16" ht="30" x14ac:dyDescent="0.25">
      <c r="B484" s="85" t="str">
        <f t="shared" si="42"/>
        <v>1</v>
      </c>
      <c r="C484" s="85" t="str">
        <f t="shared" si="43"/>
        <v>2</v>
      </c>
      <c r="D484" s="85" t="str">
        <f t="shared" si="44"/>
        <v>2</v>
      </c>
      <c r="E484" s="85" t="str">
        <f t="shared" si="45"/>
        <v>0</v>
      </c>
      <c r="F484" s="85" t="str">
        <f t="shared" si="46"/>
        <v>07</v>
      </c>
      <c r="G484" s="85" t="str">
        <f t="shared" si="47"/>
        <v>1</v>
      </c>
      <c r="H484" s="85" t="str">
        <f t="shared" si="48"/>
        <v>4</v>
      </c>
      <c r="I484" s="87">
        <v>12200714</v>
      </c>
      <c r="J484" s="85" t="s">
        <v>4787</v>
      </c>
      <c r="K484" s="85" t="s">
        <v>2892</v>
      </c>
      <c r="L484" s="84"/>
      <c r="M484" s="85" t="s">
        <v>2892</v>
      </c>
      <c r="N484" s="85" t="s">
        <v>2879</v>
      </c>
      <c r="O484" s="85" t="s">
        <v>2892</v>
      </c>
      <c r="P484" s="86" t="s">
        <v>2890</v>
      </c>
    </row>
    <row r="485" spans="2:16" ht="45" x14ac:dyDescent="0.25">
      <c r="B485" s="108" t="str">
        <f t="shared" si="42"/>
        <v>1</v>
      </c>
      <c r="C485" s="108" t="str">
        <f t="shared" si="43"/>
        <v>2</v>
      </c>
      <c r="D485" s="108" t="str">
        <f t="shared" si="44"/>
        <v>2</v>
      </c>
      <c r="E485" s="108" t="str">
        <f t="shared" si="45"/>
        <v>0</v>
      </c>
      <c r="F485" s="108" t="str">
        <f t="shared" si="46"/>
        <v>08</v>
      </c>
      <c r="G485" s="108" t="str">
        <f t="shared" si="47"/>
        <v>0</v>
      </c>
      <c r="H485" s="108" t="str">
        <f t="shared" si="48"/>
        <v>0</v>
      </c>
      <c r="I485" s="109">
        <v>12200800</v>
      </c>
      <c r="J485" s="108" t="s">
        <v>3398</v>
      </c>
      <c r="K485" s="108" t="s">
        <v>3399</v>
      </c>
      <c r="L485" s="110"/>
      <c r="M485" s="108" t="s">
        <v>2878</v>
      </c>
      <c r="N485" s="108" t="s">
        <v>2879</v>
      </c>
      <c r="O485" s="108" t="s">
        <v>2878</v>
      </c>
      <c r="P485" s="111" t="s">
        <v>2880</v>
      </c>
    </row>
    <row r="486" spans="2:16" ht="45" x14ac:dyDescent="0.25">
      <c r="B486" s="114" t="str">
        <f t="shared" si="42"/>
        <v>1</v>
      </c>
      <c r="C486" s="114" t="str">
        <f t="shared" si="43"/>
        <v>2</v>
      </c>
      <c r="D486" s="114" t="str">
        <f t="shared" si="44"/>
        <v>2</v>
      </c>
      <c r="E486" s="114" t="str">
        <f t="shared" si="45"/>
        <v>0</v>
      </c>
      <c r="F486" s="114" t="str">
        <f t="shared" si="46"/>
        <v>08</v>
      </c>
      <c r="G486" s="114" t="str">
        <f t="shared" si="47"/>
        <v>1</v>
      </c>
      <c r="H486" s="114" t="str">
        <f t="shared" si="48"/>
        <v>0</v>
      </c>
      <c r="I486" s="115">
        <v>12200810</v>
      </c>
      <c r="J486" s="114" t="s">
        <v>3400</v>
      </c>
      <c r="K486" s="114" t="s">
        <v>3401</v>
      </c>
      <c r="L486" s="116"/>
      <c r="M486" s="114" t="s">
        <v>2878</v>
      </c>
      <c r="N486" s="114" t="s">
        <v>2879</v>
      </c>
      <c r="O486" s="114" t="s">
        <v>2878</v>
      </c>
      <c r="P486" s="117" t="s">
        <v>2880</v>
      </c>
    </row>
    <row r="487" spans="2:16" ht="54" customHeight="1" x14ac:dyDescent="0.25">
      <c r="B487" s="85" t="str">
        <f t="shared" si="42"/>
        <v>1</v>
      </c>
      <c r="C487" s="85" t="str">
        <f t="shared" si="43"/>
        <v>2</v>
      </c>
      <c r="D487" s="85" t="str">
        <f t="shared" si="44"/>
        <v>2</v>
      </c>
      <c r="E487" s="85" t="str">
        <f t="shared" si="45"/>
        <v>0</v>
      </c>
      <c r="F487" s="85" t="str">
        <f t="shared" si="46"/>
        <v>08</v>
      </c>
      <c r="G487" s="85" t="str">
        <f t="shared" si="47"/>
        <v>1</v>
      </c>
      <c r="H487" s="85" t="str">
        <f t="shared" si="48"/>
        <v>1</v>
      </c>
      <c r="I487" s="87">
        <v>12200811</v>
      </c>
      <c r="J487" s="85" t="s">
        <v>3402</v>
      </c>
      <c r="K487" s="85" t="s">
        <v>3403</v>
      </c>
      <c r="L487" s="84"/>
      <c r="M487" s="85" t="s">
        <v>3404</v>
      </c>
      <c r="N487" s="85" t="s">
        <v>2879</v>
      </c>
      <c r="O487" s="85" t="s">
        <v>3405</v>
      </c>
      <c r="P487" s="86" t="s">
        <v>2890</v>
      </c>
    </row>
    <row r="488" spans="2:16" ht="30" x14ac:dyDescent="0.25">
      <c r="B488" s="85" t="str">
        <f t="shared" si="42"/>
        <v>1</v>
      </c>
      <c r="C488" s="85" t="str">
        <f t="shared" si="43"/>
        <v>2</v>
      </c>
      <c r="D488" s="85" t="str">
        <f t="shared" si="44"/>
        <v>2</v>
      </c>
      <c r="E488" s="85" t="str">
        <f t="shared" si="45"/>
        <v>0</v>
      </c>
      <c r="F488" s="85" t="str">
        <f t="shared" si="46"/>
        <v>08</v>
      </c>
      <c r="G488" s="85" t="str">
        <f t="shared" si="47"/>
        <v>1</v>
      </c>
      <c r="H488" s="85" t="str">
        <f t="shared" si="48"/>
        <v>2</v>
      </c>
      <c r="I488" s="87">
        <v>12200812</v>
      </c>
      <c r="J488" s="85" t="s">
        <v>3406</v>
      </c>
      <c r="K488" s="85" t="s">
        <v>2892</v>
      </c>
      <c r="L488" s="84"/>
      <c r="M488" s="85" t="s">
        <v>2892</v>
      </c>
      <c r="N488" s="85" t="s">
        <v>2879</v>
      </c>
      <c r="O488" s="85" t="s">
        <v>2892</v>
      </c>
      <c r="P488" s="86" t="s">
        <v>2890</v>
      </c>
    </row>
    <row r="489" spans="2:16" ht="30" x14ac:dyDescent="0.25">
      <c r="B489" s="85" t="str">
        <f t="shared" si="42"/>
        <v>1</v>
      </c>
      <c r="C489" s="85" t="str">
        <f t="shared" si="43"/>
        <v>2</v>
      </c>
      <c r="D489" s="85" t="str">
        <f t="shared" si="44"/>
        <v>2</v>
      </c>
      <c r="E489" s="85" t="str">
        <f t="shared" si="45"/>
        <v>0</v>
      </c>
      <c r="F489" s="85" t="str">
        <f t="shared" si="46"/>
        <v>08</v>
      </c>
      <c r="G489" s="85" t="str">
        <f t="shared" si="47"/>
        <v>1</v>
      </c>
      <c r="H489" s="85" t="str">
        <f t="shared" si="48"/>
        <v>3</v>
      </c>
      <c r="I489" s="87">
        <v>12200813</v>
      </c>
      <c r="J489" s="85" t="s">
        <v>3407</v>
      </c>
      <c r="K489" s="85" t="s">
        <v>2892</v>
      </c>
      <c r="L489" s="84"/>
      <c r="M489" s="85" t="s">
        <v>2892</v>
      </c>
      <c r="N489" s="85" t="s">
        <v>2879</v>
      </c>
      <c r="O489" s="85" t="s">
        <v>2892</v>
      </c>
      <c r="P489" s="86" t="s">
        <v>2890</v>
      </c>
    </row>
    <row r="490" spans="2:16" ht="30" x14ac:dyDescent="0.25">
      <c r="B490" s="85" t="str">
        <f t="shared" si="42"/>
        <v>1</v>
      </c>
      <c r="C490" s="85" t="str">
        <f t="shared" si="43"/>
        <v>2</v>
      </c>
      <c r="D490" s="85" t="str">
        <f t="shared" si="44"/>
        <v>2</v>
      </c>
      <c r="E490" s="85" t="str">
        <f t="shared" si="45"/>
        <v>0</v>
      </c>
      <c r="F490" s="85" t="str">
        <f t="shared" si="46"/>
        <v>08</v>
      </c>
      <c r="G490" s="85" t="str">
        <f t="shared" si="47"/>
        <v>1</v>
      </c>
      <c r="H490" s="85" t="str">
        <f t="shared" si="48"/>
        <v>4</v>
      </c>
      <c r="I490" s="87">
        <v>12200814</v>
      </c>
      <c r="J490" s="85" t="s">
        <v>3408</v>
      </c>
      <c r="K490" s="85" t="s">
        <v>2892</v>
      </c>
      <c r="L490" s="84"/>
      <c r="M490" s="85" t="s">
        <v>2892</v>
      </c>
      <c r="N490" s="85" t="s">
        <v>2879</v>
      </c>
      <c r="O490" s="85" t="s">
        <v>2892</v>
      </c>
      <c r="P490" s="86" t="s">
        <v>2890</v>
      </c>
    </row>
    <row r="491" spans="2:16" ht="45" x14ac:dyDescent="0.25">
      <c r="B491" s="114" t="str">
        <f t="shared" si="42"/>
        <v>1</v>
      </c>
      <c r="C491" s="114" t="str">
        <f t="shared" si="43"/>
        <v>2</v>
      </c>
      <c r="D491" s="114" t="str">
        <f t="shared" si="44"/>
        <v>2</v>
      </c>
      <c r="E491" s="114" t="str">
        <f t="shared" si="45"/>
        <v>0</v>
      </c>
      <c r="F491" s="114" t="str">
        <f t="shared" si="46"/>
        <v>08</v>
      </c>
      <c r="G491" s="114" t="str">
        <f t="shared" si="47"/>
        <v>2</v>
      </c>
      <c r="H491" s="114" t="str">
        <f t="shared" si="48"/>
        <v>0</v>
      </c>
      <c r="I491" s="115">
        <v>12200820</v>
      </c>
      <c r="J491" s="114" t="s">
        <v>3409</v>
      </c>
      <c r="K491" s="114" t="s">
        <v>3410</v>
      </c>
      <c r="L491" s="116"/>
      <c r="M491" s="114" t="s">
        <v>2878</v>
      </c>
      <c r="N491" s="114" t="s">
        <v>2879</v>
      </c>
      <c r="O491" s="114" t="s">
        <v>2878</v>
      </c>
      <c r="P491" s="117" t="s">
        <v>2880</v>
      </c>
    </row>
    <row r="492" spans="2:16" ht="37.5" customHeight="1" x14ac:dyDescent="0.25">
      <c r="B492" s="85" t="str">
        <f t="shared" si="42"/>
        <v>1</v>
      </c>
      <c r="C492" s="85" t="str">
        <f t="shared" si="43"/>
        <v>2</v>
      </c>
      <c r="D492" s="85" t="str">
        <f t="shared" si="44"/>
        <v>2</v>
      </c>
      <c r="E492" s="85" t="str">
        <f t="shared" si="45"/>
        <v>0</v>
      </c>
      <c r="F492" s="85" t="str">
        <f t="shared" si="46"/>
        <v>08</v>
      </c>
      <c r="G492" s="85" t="str">
        <f t="shared" si="47"/>
        <v>2</v>
      </c>
      <c r="H492" s="85" t="str">
        <f t="shared" si="48"/>
        <v>1</v>
      </c>
      <c r="I492" s="87">
        <v>12200821</v>
      </c>
      <c r="J492" s="85" t="s">
        <v>3411</v>
      </c>
      <c r="K492" s="85" t="s">
        <v>3412</v>
      </c>
      <c r="L492" s="84"/>
      <c r="M492" s="85" t="s">
        <v>3404</v>
      </c>
      <c r="N492" s="85" t="s">
        <v>2879</v>
      </c>
      <c r="O492" s="85" t="s">
        <v>3413</v>
      </c>
      <c r="P492" s="86" t="s">
        <v>2890</v>
      </c>
    </row>
    <row r="493" spans="2:16" ht="30" x14ac:dyDescent="0.25">
      <c r="B493" s="85" t="str">
        <f t="shared" si="42"/>
        <v>1</v>
      </c>
      <c r="C493" s="85" t="str">
        <f t="shared" si="43"/>
        <v>2</v>
      </c>
      <c r="D493" s="85" t="str">
        <f t="shared" si="44"/>
        <v>2</v>
      </c>
      <c r="E493" s="85" t="str">
        <f t="shared" si="45"/>
        <v>0</v>
      </c>
      <c r="F493" s="85" t="str">
        <f t="shared" si="46"/>
        <v>08</v>
      </c>
      <c r="G493" s="85" t="str">
        <f t="shared" si="47"/>
        <v>2</v>
      </c>
      <c r="H493" s="85" t="str">
        <f t="shared" si="48"/>
        <v>2</v>
      </c>
      <c r="I493" s="87">
        <v>12200822</v>
      </c>
      <c r="J493" s="85" t="s">
        <v>3414</v>
      </c>
      <c r="K493" s="85" t="s">
        <v>2892</v>
      </c>
      <c r="L493" s="84"/>
      <c r="M493" s="85" t="s">
        <v>2892</v>
      </c>
      <c r="N493" s="85" t="s">
        <v>2879</v>
      </c>
      <c r="O493" s="85" t="s">
        <v>2892</v>
      </c>
      <c r="P493" s="86" t="s">
        <v>2890</v>
      </c>
    </row>
    <row r="494" spans="2:16" ht="30" x14ac:dyDescent="0.25">
      <c r="B494" s="85" t="str">
        <f t="shared" si="42"/>
        <v>1</v>
      </c>
      <c r="C494" s="85" t="str">
        <f t="shared" si="43"/>
        <v>2</v>
      </c>
      <c r="D494" s="85" t="str">
        <f t="shared" si="44"/>
        <v>2</v>
      </c>
      <c r="E494" s="85" t="str">
        <f t="shared" si="45"/>
        <v>0</v>
      </c>
      <c r="F494" s="85" t="str">
        <f t="shared" si="46"/>
        <v>08</v>
      </c>
      <c r="G494" s="85" t="str">
        <f t="shared" si="47"/>
        <v>2</v>
      </c>
      <c r="H494" s="85" t="str">
        <f t="shared" si="48"/>
        <v>3</v>
      </c>
      <c r="I494" s="87">
        <v>12200823</v>
      </c>
      <c r="J494" s="85" t="s">
        <v>3415</v>
      </c>
      <c r="K494" s="85" t="s">
        <v>2892</v>
      </c>
      <c r="L494" s="84"/>
      <c r="M494" s="85" t="s">
        <v>2892</v>
      </c>
      <c r="N494" s="85" t="s">
        <v>2879</v>
      </c>
      <c r="O494" s="85" t="s">
        <v>2892</v>
      </c>
      <c r="P494" s="86" t="s">
        <v>2890</v>
      </c>
    </row>
    <row r="495" spans="2:16" ht="30" x14ac:dyDescent="0.25">
      <c r="B495" s="85" t="str">
        <f t="shared" si="42"/>
        <v>1</v>
      </c>
      <c r="C495" s="85" t="str">
        <f t="shared" si="43"/>
        <v>2</v>
      </c>
      <c r="D495" s="85" t="str">
        <f t="shared" si="44"/>
        <v>2</v>
      </c>
      <c r="E495" s="85" t="str">
        <f t="shared" si="45"/>
        <v>0</v>
      </c>
      <c r="F495" s="85" t="str">
        <f t="shared" si="46"/>
        <v>08</v>
      </c>
      <c r="G495" s="85" t="str">
        <f t="shared" si="47"/>
        <v>2</v>
      </c>
      <c r="H495" s="85" t="str">
        <f t="shared" si="48"/>
        <v>4</v>
      </c>
      <c r="I495" s="87">
        <v>12200824</v>
      </c>
      <c r="J495" s="85" t="s">
        <v>3416</v>
      </c>
      <c r="K495" s="85" t="s">
        <v>2892</v>
      </c>
      <c r="L495" s="84"/>
      <c r="M495" s="85" t="s">
        <v>2892</v>
      </c>
      <c r="N495" s="85" t="s">
        <v>2879</v>
      </c>
      <c r="O495" s="85" t="s">
        <v>2892</v>
      </c>
      <c r="P495" s="86" t="s">
        <v>2890</v>
      </c>
    </row>
    <row r="496" spans="2:16" ht="75" x14ac:dyDescent="0.25">
      <c r="B496" s="108" t="str">
        <f t="shared" si="42"/>
        <v>1</v>
      </c>
      <c r="C496" s="108" t="str">
        <f t="shared" si="43"/>
        <v>2</v>
      </c>
      <c r="D496" s="108" t="str">
        <f t="shared" si="44"/>
        <v>2</v>
      </c>
      <c r="E496" s="108" t="str">
        <f t="shared" si="45"/>
        <v>0</v>
      </c>
      <c r="F496" s="108" t="str">
        <f t="shared" si="46"/>
        <v>09</v>
      </c>
      <c r="G496" s="108" t="str">
        <f t="shared" si="47"/>
        <v>0</v>
      </c>
      <c r="H496" s="108" t="str">
        <f t="shared" si="48"/>
        <v>0</v>
      </c>
      <c r="I496" s="109">
        <v>12200900</v>
      </c>
      <c r="J496" s="108" t="s">
        <v>519</v>
      </c>
      <c r="K496" s="108" t="s">
        <v>3417</v>
      </c>
      <c r="L496" s="110"/>
      <c r="M496" s="108" t="s">
        <v>2878</v>
      </c>
      <c r="N496" s="108" t="s">
        <v>2879</v>
      </c>
      <c r="O496" s="108" t="s">
        <v>2878</v>
      </c>
      <c r="P496" s="111" t="s">
        <v>2880</v>
      </c>
    </row>
    <row r="497" spans="2:16" ht="135" x14ac:dyDescent="0.25">
      <c r="B497" s="114" t="str">
        <f t="shared" si="42"/>
        <v>1</v>
      </c>
      <c r="C497" s="114" t="str">
        <f t="shared" si="43"/>
        <v>2</v>
      </c>
      <c r="D497" s="114" t="str">
        <f t="shared" si="44"/>
        <v>2</v>
      </c>
      <c r="E497" s="114" t="str">
        <f t="shared" si="45"/>
        <v>0</v>
      </c>
      <c r="F497" s="114" t="str">
        <f t="shared" si="46"/>
        <v>09</v>
      </c>
      <c r="G497" s="114" t="str">
        <f t="shared" si="47"/>
        <v>1</v>
      </c>
      <c r="H497" s="114" t="str">
        <f t="shared" si="48"/>
        <v>0</v>
      </c>
      <c r="I497" s="115">
        <v>12200910</v>
      </c>
      <c r="J497" s="114" t="s">
        <v>3418</v>
      </c>
      <c r="K497" s="114" t="s">
        <v>3419</v>
      </c>
      <c r="L497" s="116"/>
      <c r="M497" s="114" t="s">
        <v>2878</v>
      </c>
      <c r="N497" s="114" t="s">
        <v>2879</v>
      </c>
      <c r="O497" s="114" t="s">
        <v>2878</v>
      </c>
      <c r="P497" s="117" t="s">
        <v>2880</v>
      </c>
    </row>
    <row r="498" spans="2:16" ht="135" x14ac:dyDescent="0.25">
      <c r="B498" s="85" t="str">
        <f t="shared" si="42"/>
        <v>1</v>
      </c>
      <c r="C498" s="85" t="str">
        <f t="shared" si="43"/>
        <v>2</v>
      </c>
      <c r="D498" s="85" t="str">
        <f t="shared" si="44"/>
        <v>2</v>
      </c>
      <c r="E498" s="85" t="str">
        <f t="shared" si="45"/>
        <v>0</v>
      </c>
      <c r="F498" s="85" t="str">
        <f t="shared" si="46"/>
        <v>09</v>
      </c>
      <c r="G498" s="85" t="str">
        <f t="shared" si="47"/>
        <v>1</v>
      </c>
      <c r="H498" s="85" t="str">
        <f t="shared" si="48"/>
        <v>1</v>
      </c>
      <c r="I498" s="87">
        <v>12200911</v>
      </c>
      <c r="J498" s="85" t="s">
        <v>3420</v>
      </c>
      <c r="K498" s="85" t="s">
        <v>3421</v>
      </c>
      <c r="L498" s="84"/>
      <c r="M498" s="85" t="s">
        <v>3422</v>
      </c>
      <c r="N498" s="85" t="s">
        <v>2879</v>
      </c>
      <c r="O498" s="85" t="s">
        <v>3423</v>
      </c>
      <c r="P498" s="86" t="s">
        <v>2890</v>
      </c>
    </row>
    <row r="499" spans="2:16" ht="30" x14ac:dyDescent="0.25">
      <c r="B499" s="85" t="str">
        <f t="shared" si="42"/>
        <v>1</v>
      </c>
      <c r="C499" s="85" t="str">
        <f t="shared" si="43"/>
        <v>2</v>
      </c>
      <c r="D499" s="85" t="str">
        <f t="shared" si="44"/>
        <v>2</v>
      </c>
      <c r="E499" s="85" t="str">
        <f t="shared" si="45"/>
        <v>0</v>
      </c>
      <c r="F499" s="85" t="str">
        <f t="shared" si="46"/>
        <v>09</v>
      </c>
      <c r="G499" s="85" t="str">
        <f t="shared" si="47"/>
        <v>1</v>
      </c>
      <c r="H499" s="85" t="str">
        <f t="shared" si="48"/>
        <v>2</v>
      </c>
      <c r="I499" s="87">
        <v>12200912</v>
      </c>
      <c r="J499" s="85" t="s">
        <v>3424</v>
      </c>
      <c r="K499" s="85" t="s">
        <v>2892</v>
      </c>
      <c r="L499" s="84"/>
      <c r="M499" s="85" t="s">
        <v>2892</v>
      </c>
      <c r="N499" s="85" t="s">
        <v>1439</v>
      </c>
      <c r="O499" s="85" t="s">
        <v>2892</v>
      </c>
      <c r="P499" s="86" t="s">
        <v>2890</v>
      </c>
    </row>
    <row r="500" spans="2:16" ht="30" x14ac:dyDescent="0.25">
      <c r="B500" s="85" t="str">
        <f t="shared" si="42"/>
        <v>1</v>
      </c>
      <c r="C500" s="85" t="str">
        <f t="shared" si="43"/>
        <v>2</v>
      </c>
      <c r="D500" s="85" t="str">
        <f t="shared" si="44"/>
        <v>2</v>
      </c>
      <c r="E500" s="85" t="str">
        <f t="shared" si="45"/>
        <v>0</v>
      </c>
      <c r="F500" s="85" t="str">
        <f t="shared" si="46"/>
        <v>09</v>
      </c>
      <c r="G500" s="85" t="str">
        <f t="shared" si="47"/>
        <v>1</v>
      </c>
      <c r="H500" s="85" t="str">
        <f t="shared" si="48"/>
        <v>3</v>
      </c>
      <c r="I500" s="87">
        <v>12200913</v>
      </c>
      <c r="J500" s="85" t="s">
        <v>3425</v>
      </c>
      <c r="K500" s="85" t="s">
        <v>2892</v>
      </c>
      <c r="L500" s="84"/>
      <c r="M500" s="85" t="s">
        <v>2892</v>
      </c>
      <c r="N500" s="85" t="s">
        <v>1439</v>
      </c>
      <c r="O500" s="85" t="s">
        <v>2892</v>
      </c>
      <c r="P500" s="86" t="s">
        <v>2890</v>
      </c>
    </row>
    <row r="501" spans="2:16" ht="30" x14ac:dyDescent="0.25">
      <c r="B501" s="85" t="str">
        <f t="shared" ref="B501:B564" si="49">MID($I501,1,1)</f>
        <v>1</v>
      </c>
      <c r="C501" s="85" t="str">
        <f t="shared" ref="C501:C564" si="50">MID($I501,2,1)</f>
        <v>2</v>
      </c>
      <c r="D501" s="85" t="str">
        <f t="shared" ref="D501:D564" si="51">MID($I501,3,1)</f>
        <v>2</v>
      </c>
      <c r="E501" s="85" t="str">
        <f t="shared" ref="E501:E564" si="52">MID($I501,4,1)</f>
        <v>0</v>
      </c>
      <c r="F501" s="85" t="str">
        <f t="shared" ref="F501:F564" si="53">MID($I501,5,2)</f>
        <v>09</v>
      </c>
      <c r="G501" s="85" t="str">
        <f t="shared" ref="G501:G564" si="54">MID($I501,7,1)</f>
        <v>1</v>
      </c>
      <c r="H501" s="85" t="str">
        <f t="shared" ref="H501:H564" si="55">MID($I501,8,1)</f>
        <v>4</v>
      </c>
      <c r="I501" s="87">
        <v>12200914</v>
      </c>
      <c r="J501" s="85" t="s">
        <v>3426</v>
      </c>
      <c r="K501" s="85" t="s">
        <v>2892</v>
      </c>
      <c r="L501" s="84"/>
      <c r="M501" s="85" t="s">
        <v>2892</v>
      </c>
      <c r="N501" s="85" t="s">
        <v>1439</v>
      </c>
      <c r="O501" s="85" t="s">
        <v>2892</v>
      </c>
      <c r="P501" s="86" t="s">
        <v>2890</v>
      </c>
    </row>
    <row r="502" spans="2:16" ht="135" x14ac:dyDescent="0.25">
      <c r="B502" s="114" t="str">
        <f t="shared" si="49"/>
        <v>1</v>
      </c>
      <c r="C502" s="114" t="str">
        <f t="shared" si="50"/>
        <v>2</v>
      </c>
      <c r="D502" s="114" t="str">
        <f t="shared" si="51"/>
        <v>2</v>
      </c>
      <c r="E502" s="114" t="str">
        <f t="shared" si="52"/>
        <v>0</v>
      </c>
      <c r="F502" s="114" t="str">
        <f t="shared" si="53"/>
        <v>09</v>
      </c>
      <c r="G502" s="114" t="str">
        <f t="shared" si="54"/>
        <v>2</v>
      </c>
      <c r="H502" s="114" t="str">
        <f t="shared" si="55"/>
        <v>0</v>
      </c>
      <c r="I502" s="115">
        <v>12200920</v>
      </c>
      <c r="J502" s="114" t="s">
        <v>523</v>
      </c>
      <c r="K502" s="114" t="s">
        <v>3427</v>
      </c>
      <c r="L502" s="116"/>
      <c r="M502" s="114" t="s">
        <v>2878</v>
      </c>
      <c r="N502" s="114" t="s">
        <v>2879</v>
      </c>
      <c r="O502" s="114" t="s">
        <v>2878</v>
      </c>
      <c r="P502" s="117" t="s">
        <v>2880</v>
      </c>
    </row>
    <row r="503" spans="2:16" ht="150" x14ac:dyDescent="0.25">
      <c r="B503" s="85" t="str">
        <f t="shared" si="49"/>
        <v>1</v>
      </c>
      <c r="C503" s="85" t="str">
        <f t="shared" si="50"/>
        <v>2</v>
      </c>
      <c r="D503" s="85" t="str">
        <f t="shared" si="51"/>
        <v>2</v>
      </c>
      <c r="E503" s="85" t="str">
        <f t="shared" si="52"/>
        <v>0</v>
      </c>
      <c r="F503" s="85" t="str">
        <f t="shared" si="53"/>
        <v>09</v>
      </c>
      <c r="G503" s="85" t="str">
        <f t="shared" si="54"/>
        <v>2</v>
      </c>
      <c r="H503" s="85" t="str">
        <f t="shared" si="55"/>
        <v>1</v>
      </c>
      <c r="I503" s="87">
        <v>12200921</v>
      </c>
      <c r="J503" s="85" t="s">
        <v>3428</v>
      </c>
      <c r="K503" s="85" t="s">
        <v>3429</v>
      </c>
      <c r="L503" s="84"/>
      <c r="M503" s="85" t="s">
        <v>3430</v>
      </c>
      <c r="N503" s="85" t="s">
        <v>2879</v>
      </c>
      <c r="O503" s="85" t="s">
        <v>3431</v>
      </c>
      <c r="P503" s="86" t="s">
        <v>2890</v>
      </c>
    </row>
    <row r="504" spans="2:16" ht="30" x14ac:dyDescent="0.25">
      <c r="B504" s="85" t="str">
        <f t="shared" si="49"/>
        <v>1</v>
      </c>
      <c r="C504" s="85" t="str">
        <f t="shared" si="50"/>
        <v>2</v>
      </c>
      <c r="D504" s="85" t="str">
        <f t="shared" si="51"/>
        <v>2</v>
      </c>
      <c r="E504" s="85" t="str">
        <f t="shared" si="52"/>
        <v>0</v>
      </c>
      <c r="F504" s="85" t="str">
        <f t="shared" si="53"/>
        <v>09</v>
      </c>
      <c r="G504" s="85" t="str">
        <f t="shared" si="54"/>
        <v>2</v>
      </c>
      <c r="H504" s="85" t="str">
        <f t="shared" si="55"/>
        <v>2</v>
      </c>
      <c r="I504" s="87">
        <v>12200922</v>
      </c>
      <c r="J504" s="85" t="s">
        <v>3432</v>
      </c>
      <c r="K504" s="85" t="s">
        <v>2892</v>
      </c>
      <c r="L504" s="84"/>
      <c r="M504" s="85" t="s">
        <v>2892</v>
      </c>
      <c r="N504" s="85" t="s">
        <v>2879</v>
      </c>
      <c r="O504" s="85" t="s">
        <v>2892</v>
      </c>
      <c r="P504" s="86" t="s">
        <v>2890</v>
      </c>
    </row>
    <row r="505" spans="2:16" ht="30" x14ac:dyDescent="0.25">
      <c r="B505" s="85" t="str">
        <f t="shared" si="49"/>
        <v>1</v>
      </c>
      <c r="C505" s="85" t="str">
        <f t="shared" si="50"/>
        <v>2</v>
      </c>
      <c r="D505" s="85" t="str">
        <f t="shared" si="51"/>
        <v>2</v>
      </c>
      <c r="E505" s="85" t="str">
        <f t="shared" si="52"/>
        <v>0</v>
      </c>
      <c r="F505" s="85" t="str">
        <f t="shared" si="53"/>
        <v>09</v>
      </c>
      <c r="G505" s="85" t="str">
        <f t="shared" si="54"/>
        <v>2</v>
      </c>
      <c r="H505" s="85" t="str">
        <f t="shared" si="55"/>
        <v>3</v>
      </c>
      <c r="I505" s="87">
        <v>12200923</v>
      </c>
      <c r="J505" s="85" t="s">
        <v>3433</v>
      </c>
      <c r="K505" s="85" t="s">
        <v>2892</v>
      </c>
      <c r="L505" s="84"/>
      <c r="M505" s="85" t="s">
        <v>2892</v>
      </c>
      <c r="N505" s="85" t="s">
        <v>2879</v>
      </c>
      <c r="O505" s="85" t="s">
        <v>2892</v>
      </c>
      <c r="P505" s="86" t="s">
        <v>2890</v>
      </c>
    </row>
    <row r="506" spans="2:16" ht="30" x14ac:dyDescent="0.25">
      <c r="B506" s="85" t="str">
        <f t="shared" si="49"/>
        <v>1</v>
      </c>
      <c r="C506" s="85" t="str">
        <f t="shared" si="50"/>
        <v>2</v>
      </c>
      <c r="D506" s="85" t="str">
        <f t="shared" si="51"/>
        <v>2</v>
      </c>
      <c r="E506" s="85" t="str">
        <f t="shared" si="52"/>
        <v>0</v>
      </c>
      <c r="F506" s="85" t="str">
        <f t="shared" si="53"/>
        <v>09</v>
      </c>
      <c r="G506" s="85" t="str">
        <f t="shared" si="54"/>
        <v>2</v>
      </c>
      <c r="H506" s="85" t="str">
        <f t="shared" si="55"/>
        <v>4</v>
      </c>
      <c r="I506" s="87">
        <v>12200924</v>
      </c>
      <c r="J506" s="85" t="s">
        <v>3434</v>
      </c>
      <c r="K506" s="85" t="s">
        <v>2892</v>
      </c>
      <c r="L506" s="84"/>
      <c r="M506" s="85" t="s">
        <v>2892</v>
      </c>
      <c r="N506" s="85" t="s">
        <v>2879</v>
      </c>
      <c r="O506" s="85" t="s">
        <v>2892</v>
      </c>
      <c r="P506" s="86" t="s">
        <v>2890</v>
      </c>
    </row>
    <row r="507" spans="2:16" ht="30" x14ac:dyDescent="0.25">
      <c r="B507" s="108" t="str">
        <f t="shared" si="49"/>
        <v>1</v>
      </c>
      <c r="C507" s="108" t="str">
        <f t="shared" si="50"/>
        <v>2</v>
      </c>
      <c r="D507" s="108" t="str">
        <f t="shared" si="51"/>
        <v>2</v>
      </c>
      <c r="E507" s="108" t="str">
        <f t="shared" si="52"/>
        <v>0</v>
      </c>
      <c r="F507" s="108" t="str">
        <f t="shared" si="53"/>
        <v>10</v>
      </c>
      <c r="G507" s="108" t="str">
        <f t="shared" si="54"/>
        <v>0</v>
      </c>
      <c r="H507" s="108" t="str">
        <f t="shared" si="55"/>
        <v>0</v>
      </c>
      <c r="I507" s="109">
        <v>12201000</v>
      </c>
      <c r="J507" s="108" t="s">
        <v>533</v>
      </c>
      <c r="K507" s="108" t="s">
        <v>3435</v>
      </c>
      <c r="L507" s="110"/>
      <c r="M507" s="108" t="s">
        <v>2878</v>
      </c>
      <c r="N507" s="108" t="s">
        <v>2879</v>
      </c>
      <c r="O507" s="108" t="s">
        <v>2878</v>
      </c>
      <c r="P507" s="111" t="s">
        <v>2880</v>
      </c>
    </row>
    <row r="508" spans="2:16" ht="30" x14ac:dyDescent="0.25">
      <c r="B508" s="114" t="str">
        <f t="shared" si="49"/>
        <v>1</v>
      </c>
      <c r="C508" s="114" t="str">
        <f t="shared" si="50"/>
        <v>2</v>
      </c>
      <c r="D508" s="114" t="str">
        <f t="shared" si="51"/>
        <v>2</v>
      </c>
      <c r="E508" s="114" t="str">
        <f t="shared" si="52"/>
        <v>0</v>
      </c>
      <c r="F508" s="114" t="str">
        <f t="shared" si="53"/>
        <v>10</v>
      </c>
      <c r="G508" s="114" t="str">
        <f t="shared" si="54"/>
        <v>1</v>
      </c>
      <c r="H508" s="114" t="str">
        <f t="shared" si="55"/>
        <v>0</v>
      </c>
      <c r="I508" s="115">
        <v>12201010</v>
      </c>
      <c r="J508" s="114" t="s">
        <v>533</v>
      </c>
      <c r="K508" s="114" t="s">
        <v>3435</v>
      </c>
      <c r="L508" s="116"/>
      <c r="M508" s="114" t="s">
        <v>2878</v>
      </c>
      <c r="N508" s="114" t="s">
        <v>2879</v>
      </c>
      <c r="O508" s="114" t="s">
        <v>2878</v>
      </c>
      <c r="P508" s="117" t="s">
        <v>2880</v>
      </c>
    </row>
    <row r="509" spans="2:16" ht="180" x14ac:dyDescent="0.25">
      <c r="B509" s="85" t="str">
        <f t="shared" si="49"/>
        <v>1</v>
      </c>
      <c r="C509" s="85" t="str">
        <f t="shared" si="50"/>
        <v>2</v>
      </c>
      <c r="D509" s="85" t="str">
        <f t="shared" si="51"/>
        <v>2</v>
      </c>
      <c r="E509" s="85" t="str">
        <f t="shared" si="52"/>
        <v>0</v>
      </c>
      <c r="F509" s="85" t="str">
        <f t="shared" si="53"/>
        <v>10</v>
      </c>
      <c r="G509" s="85" t="str">
        <f t="shared" si="54"/>
        <v>1</v>
      </c>
      <c r="H509" s="85" t="str">
        <f t="shared" si="55"/>
        <v>1</v>
      </c>
      <c r="I509" s="87">
        <v>12201011</v>
      </c>
      <c r="J509" s="85" t="s">
        <v>3436</v>
      </c>
      <c r="K509" s="85" t="s">
        <v>3437</v>
      </c>
      <c r="L509" s="84"/>
      <c r="M509" s="85" t="s">
        <v>3438</v>
      </c>
      <c r="N509" s="85" t="s">
        <v>2879</v>
      </c>
      <c r="O509" s="85" t="s">
        <v>3439</v>
      </c>
      <c r="P509" s="86" t="s">
        <v>2890</v>
      </c>
    </row>
    <row r="510" spans="2:16" ht="15.75" x14ac:dyDescent="0.25">
      <c r="B510" s="85" t="str">
        <f t="shared" si="49"/>
        <v>1</v>
      </c>
      <c r="C510" s="85" t="str">
        <f t="shared" si="50"/>
        <v>2</v>
      </c>
      <c r="D510" s="85" t="str">
        <f t="shared" si="51"/>
        <v>2</v>
      </c>
      <c r="E510" s="85" t="str">
        <f t="shared" si="52"/>
        <v>0</v>
      </c>
      <c r="F510" s="85" t="str">
        <f t="shared" si="53"/>
        <v>10</v>
      </c>
      <c r="G510" s="85" t="str">
        <f t="shared" si="54"/>
        <v>1</v>
      </c>
      <c r="H510" s="85" t="str">
        <f t="shared" si="55"/>
        <v>2</v>
      </c>
      <c r="I510" s="87">
        <v>12201012</v>
      </c>
      <c r="J510" s="85" t="s">
        <v>3440</v>
      </c>
      <c r="K510" s="85" t="s">
        <v>2892</v>
      </c>
      <c r="L510" s="84"/>
      <c r="M510" s="85" t="s">
        <v>2892</v>
      </c>
      <c r="N510" s="85" t="s">
        <v>1439</v>
      </c>
      <c r="O510" s="85" t="s">
        <v>2892</v>
      </c>
      <c r="P510" s="86" t="s">
        <v>2890</v>
      </c>
    </row>
    <row r="511" spans="2:16" ht="15.75" x14ac:dyDescent="0.25">
      <c r="B511" s="85" t="str">
        <f t="shared" si="49"/>
        <v>1</v>
      </c>
      <c r="C511" s="85" t="str">
        <f t="shared" si="50"/>
        <v>2</v>
      </c>
      <c r="D511" s="85" t="str">
        <f t="shared" si="51"/>
        <v>2</v>
      </c>
      <c r="E511" s="85" t="str">
        <f t="shared" si="52"/>
        <v>0</v>
      </c>
      <c r="F511" s="85" t="str">
        <f t="shared" si="53"/>
        <v>10</v>
      </c>
      <c r="G511" s="85" t="str">
        <f t="shared" si="54"/>
        <v>1</v>
      </c>
      <c r="H511" s="85" t="str">
        <f t="shared" si="55"/>
        <v>3</v>
      </c>
      <c r="I511" s="87">
        <v>12201013</v>
      </c>
      <c r="J511" s="85" t="s">
        <v>3441</v>
      </c>
      <c r="K511" s="85" t="s">
        <v>2892</v>
      </c>
      <c r="L511" s="84"/>
      <c r="M511" s="85" t="s">
        <v>2892</v>
      </c>
      <c r="N511" s="85" t="s">
        <v>1439</v>
      </c>
      <c r="O511" s="85" t="s">
        <v>2892</v>
      </c>
      <c r="P511" s="86" t="s">
        <v>2890</v>
      </c>
    </row>
    <row r="512" spans="2:16" ht="30" x14ac:dyDescent="0.25">
      <c r="B512" s="85" t="str">
        <f t="shared" si="49"/>
        <v>1</v>
      </c>
      <c r="C512" s="85" t="str">
        <f t="shared" si="50"/>
        <v>2</v>
      </c>
      <c r="D512" s="85" t="str">
        <f t="shared" si="51"/>
        <v>2</v>
      </c>
      <c r="E512" s="85" t="str">
        <f t="shared" si="52"/>
        <v>0</v>
      </c>
      <c r="F512" s="85" t="str">
        <f t="shared" si="53"/>
        <v>10</v>
      </c>
      <c r="G512" s="85" t="str">
        <f t="shared" si="54"/>
        <v>1</v>
      </c>
      <c r="H512" s="85" t="str">
        <f t="shared" si="55"/>
        <v>4</v>
      </c>
      <c r="I512" s="87">
        <v>12201014</v>
      </c>
      <c r="J512" s="85" t="s">
        <v>3442</v>
      </c>
      <c r="K512" s="85" t="s">
        <v>2892</v>
      </c>
      <c r="L512" s="84"/>
      <c r="M512" s="85" t="s">
        <v>2892</v>
      </c>
      <c r="N512" s="85" t="s">
        <v>1439</v>
      </c>
      <c r="O512" s="85" t="s">
        <v>2892</v>
      </c>
      <c r="P512" s="86" t="s">
        <v>2890</v>
      </c>
    </row>
    <row r="513" spans="2:16" ht="15.75" x14ac:dyDescent="0.25">
      <c r="B513" s="108" t="str">
        <f t="shared" si="49"/>
        <v>1</v>
      </c>
      <c r="C513" s="108" t="str">
        <f t="shared" si="50"/>
        <v>2</v>
      </c>
      <c r="D513" s="108" t="str">
        <f t="shared" si="51"/>
        <v>2</v>
      </c>
      <c r="E513" s="108" t="str">
        <f t="shared" si="52"/>
        <v>0</v>
      </c>
      <c r="F513" s="108" t="str">
        <f t="shared" si="53"/>
        <v>11</v>
      </c>
      <c r="G513" s="108" t="str">
        <f t="shared" si="54"/>
        <v>0</v>
      </c>
      <c r="H513" s="108" t="str">
        <f t="shared" si="55"/>
        <v>0</v>
      </c>
      <c r="I513" s="109">
        <v>12201100</v>
      </c>
      <c r="J513" s="108" t="s">
        <v>535</v>
      </c>
      <c r="K513" s="108"/>
      <c r="L513" s="110"/>
      <c r="M513" s="108"/>
      <c r="N513" s="108"/>
      <c r="O513" s="108" t="s">
        <v>5092</v>
      </c>
      <c r="P513" s="111" t="s">
        <v>2880</v>
      </c>
    </row>
    <row r="514" spans="2:16" ht="30" x14ac:dyDescent="0.25">
      <c r="B514" s="114" t="str">
        <f t="shared" si="49"/>
        <v>1</v>
      </c>
      <c r="C514" s="114" t="str">
        <f t="shared" si="50"/>
        <v>2</v>
      </c>
      <c r="D514" s="114" t="str">
        <f t="shared" si="51"/>
        <v>2</v>
      </c>
      <c r="E514" s="114" t="str">
        <f t="shared" si="52"/>
        <v>0</v>
      </c>
      <c r="F514" s="114" t="str">
        <f t="shared" si="53"/>
        <v>11</v>
      </c>
      <c r="G514" s="114" t="str">
        <f t="shared" si="54"/>
        <v>1</v>
      </c>
      <c r="H514" s="114" t="str">
        <f t="shared" si="55"/>
        <v>0</v>
      </c>
      <c r="I514" s="115">
        <v>12201110</v>
      </c>
      <c r="J514" s="114" t="s">
        <v>5093</v>
      </c>
      <c r="K514" s="114"/>
      <c r="L514" s="116"/>
      <c r="M514" s="114"/>
      <c r="N514" s="114"/>
      <c r="O514" s="114" t="s">
        <v>5092</v>
      </c>
      <c r="P514" s="117" t="s">
        <v>2890</v>
      </c>
    </row>
    <row r="515" spans="2:16" ht="30" x14ac:dyDescent="0.25">
      <c r="B515" s="114" t="str">
        <f t="shared" si="49"/>
        <v>1</v>
      </c>
      <c r="C515" s="114" t="str">
        <f t="shared" si="50"/>
        <v>2</v>
      </c>
      <c r="D515" s="114" t="str">
        <f t="shared" si="51"/>
        <v>2</v>
      </c>
      <c r="E515" s="114" t="str">
        <f t="shared" si="52"/>
        <v>0</v>
      </c>
      <c r="F515" s="114" t="str">
        <f t="shared" si="53"/>
        <v>11</v>
      </c>
      <c r="G515" s="114" t="str">
        <f t="shared" si="54"/>
        <v>2</v>
      </c>
      <c r="H515" s="114" t="str">
        <f t="shared" si="55"/>
        <v>0</v>
      </c>
      <c r="I515" s="115">
        <v>12201120</v>
      </c>
      <c r="J515" s="114" t="s">
        <v>5094</v>
      </c>
      <c r="K515" s="114"/>
      <c r="L515" s="116"/>
      <c r="M515" s="114"/>
      <c r="N515" s="114"/>
      <c r="O515" s="114" t="s">
        <v>5092</v>
      </c>
      <c r="P515" s="117" t="s">
        <v>2890</v>
      </c>
    </row>
    <row r="516" spans="2:16" ht="30" x14ac:dyDescent="0.25">
      <c r="B516" s="108" t="str">
        <f t="shared" si="49"/>
        <v>1</v>
      </c>
      <c r="C516" s="108" t="str">
        <f t="shared" si="50"/>
        <v>2</v>
      </c>
      <c r="D516" s="108" t="str">
        <f t="shared" si="51"/>
        <v>2</v>
      </c>
      <c r="E516" s="108" t="str">
        <f t="shared" si="52"/>
        <v>0</v>
      </c>
      <c r="F516" s="108" t="str">
        <f t="shared" si="53"/>
        <v>99</v>
      </c>
      <c r="G516" s="108" t="str">
        <f t="shared" si="54"/>
        <v>0</v>
      </c>
      <c r="H516" s="108" t="str">
        <f t="shared" si="55"/>
        <v>0</v>
      </c>
      <c r="I516" s="109">
        <v>12209900</v>
      </c>
      <c r="J516" s="108" t="s">
        <v>557</v>
      </c>
      <c r="K516" s="108" t="s">
        <v>3443</v>
      </c>
      <c r="L516" s="110"/>
      <c r="M516" s="108" t="s">
        <v>2878</v>
      </c>
      <c r="N516" s="108" t="s">
        <v>2879</v>
      </c>
      <c r="O516" s="108" t="s">
        <v>2878</v>
      </c>
      <c r="P516" s="111" t="s">
        <v>2880</v>
      </c>
    </row>
    <row r="517" spans="2:16" ht="30" x14ac:dyDescent="0.25">
      <c r="B517" s="114" t="str">
        <f t="shared" si="49"/>
        <v>1</v>
      </c>
      <c r="C517" s="114" t="str">
        <f t="shared" si="50"/>
        <v>2</v>
      </c>
      <c r="D517" s="114" t="str">
        <f t="shared" si="51"/>
        <v>2</v>
      </c>
      <c r="E517" s="114" t="str">
        <f t="shared" si="52"/>
        <v>0</v>
      </c>
      <c r="F517" s="114" t="str">
        <f t="shared" si="53"/>
        <v>99</v>
      </c>
      <c r="G517" s="114" t="str">
        <f t="shared" si="54"/>
        <v>1</v>
      </c>
      <c r="H517" s="114" t="str">
        <f t="shared" si="55"/>
        <v>0</v>
      </c>
      <c r="I517" s="115">
        <v>12209910</v>
      </c>
      <c r="J517" s="114" t="s">
        <v>557</v>
      </c>
      <c r="K517" s="114" t="s">
        <v>3443</v>
      </c>
      <c r="L517" s="116"/>
      <c r="M517" s="114" t="s">
        <v>2878</v>
      </c>
      <c r="N517" s="114" t="s">
        <v>2879</v>
      </c>
      <c r="O517" s="114" t="s">
        <v>2878</v>
      </c>
      <c r="P517" s="117" t="s">
        <v>2880</v>
      </c>
    </row>
    <row r="518" spans="2:16" ht="30" x14ac:dyDescent="0.25">
      <c r="B518" s="85" t="str">
        <f t="shared" si="49"/>
        <v>1</v>
      </c>
      <c r="C518" s="85" t="str">
        <f t="shared" si="50"/>
        <v>2</v>
      </c>
      <c r="D518" s="85" t="str">
        <f t="shared" si="51"/>
        <v>2</v>
      </c>
      <c r="E518" s="85" t="str">
        <f t="shared" si="52"/>
        <v>0</v>
      </c>
      <c r="F518" s="85" t="str">
        <f t="shared" si="53"/>
        <v>99</v>
      </c>
      <c r="G518" s="85" t="str">
        <f t="shared" si="54"/>
        <v>1</v>
      </c>
      <c r="H518" s="85" t="str">
        <f t="shared" si="55"/>
        <v>1</v>
      </c>
      <c r="I518" s="87">
        <v>12209911</v>
      </c>
      <c r="J518" s="85" t="s">
        <v>3444</v>
      </c>
      <c r="K518" s="85" t="s">
        <v>3445</v>
      </c>
      <c r="L518" s="84"/>
      <c r="M518" s="85" t="s">
        <v>3033</v>
      </c>
      <c r="N518" s="85" t="s">
        <v>2879</v>
      </c>
      <c r="O518" s="85" t="s">
        <v>3329</v>
      </c>
      <c r="P518" s="86" t="s">
        <v>2890</v>
      </c>
    </row>
    <row r="519" spans="2:16" ht="15.75" x14ac:dyDescent="0.25">
      <c r="B519" s="85" t="str">
        <f t="shared" si="49"/>
        <v>1</v>
      </c>
      <c r="C519" s="85" t="str">
        <f t="shared" si="50"/>
        <v>2</v>
      </c>
      <c r="D519" s="85" t="str">
        <f t="shared" si="51"/>
        <v>2</v>
      </c>
      <c r="E519" s="85" t="str">
        <f t="shared" si="52"/>
        <v>0</v>
      </c>
      <c r="F519" s="85" t="str">
        <f t="shared" si="53"/>
        <v>99</v>
      </c>
      <c r="G519" s="85" t="str">
        <f t="shared" si="54"/>
        <v>1</v>
      </c>
      <c r="H519" s="85" t="str">
        <f t="shared" si="55"/>
        <v>2</v>
      </c>
      <c r="I519" s="87">
        <v>12209912</v>
      </c>
      <c r="J519" s="85" t="s">
        <v>3446</v>
      </c>
      <c r="K519" s="85" t="s">
        <v>2892</v>
      </c>
      <c r="L519" s="84"/>
      <c r="M519" s="85" t="s">
        <v>2892</v>
      </c>
      <c r="N519" s="85" t="s">
        <v>2879</v>
      </c>
      <c r="O519" s="85" t="s">
        <v>2892</v>
      </c>
      <c r="P519" s="86" t="s">
        <v>2890</v>
      </c>
    </row>
    <row r="520" spans="2:16" ht="15.75" x14ac:dyDescent="0.25">
      <c r="B520" s="85" t="str">
        <f t="shared" si="49"/>
        <v>1</v>
      </c>
      <c r="C520" s="85" t="str">
        <f t="shared" si="50"/>
        <v>2</v>
      </c>
      <c r="D520" s="85" t="str">
        <f t="shared" si="51"/>
        <v>2</v>
      </c>
      <c r="E520" s="85" t="str">
        <f t="shared" si="52"/>
        <v>0</v>
      </c>
      <c r="F520" s="85" t="str">
        <f t="shared" si="53"/>
        <v>99</v>
      </c>
      <c r="G520" s="85" t="str">
        <f t="shared" si="54"/>
        <v>1</v>
      </c>
      <c r="H520" s="85" t="str">
        <f t="shared" si="55"/>
        <v>3</v>
      </c>
      <c r="I520" s="87">
        <v>12209913</v>
      </c>
      <c r="J520" s="85" t="s">
        <v>3447</v>
      </c>
      <c r="K520" s="85" t="s">
        <v>2892</v>
      </c>
      <c r="L520" s="84"/>
      <c r="M520" s="85" t="s">
        <v>2892</v>
      </c>
      <c r="N520" s="85" t="s">
        <v>2879</v>
      </c>
      <c r="O520" s="85" t="s">
        <v>2892</v>
      </c>
      <c r="P520" s="86" t="s">
        <v>2890</v>
      </c>
    </row>
    <row r="521" spans="2:16" ht="15.75" x14ac:dyDescent="0.25">
      <c r="B521" s="85" t="str">
        <f t="shared" si="49"/>
        <v>1</v>
      </c>
      <c r="C521" s="85" t="str">
        <f t="shared" si="50"/>
        <v>2</v>
      </c>
      <c r="D521" s="85" t="str">
        <f t="shared" si="51"/>
        <v>2</v>
      </c>
      <c r="E521" s="85" t="str">
        <f t="shared" si="52"/>
        <v>0</v>
      </c>
      <c r="F521" s="85" t="str">
        <f t="shared" si="53"/>
        <v>99</v>
      </c>
      <c r="G521" s="85" t="str">
        <f t="shared" si="54"/>
        <v>1</v>
      </c>
      <c r="H521" s="85" t="str">
        <f t="shared" si="55"/>
        <v>4</v>
      </c>
      <c r="I521" s="87">
        <v>12209914</v>
      </c>
      <c r="J521" s="85" t="s">
        <v>3448</v>
      </c>
      <c r="K521" s="85" t="s">
        <v>2892</v>
      </c>
      <c r="L521" s="84"/>
      <c r="M521" s="85" t="s">
        <v>2892</v>
      </c>
      <c r="N521" s="85" t="s">
        <v>2879</v>
      </c>
      <c r="O521" s="85" t="s">
        <v>2892</v>
      </c>
      <c r="P521" s="86" t="s">
        <v>2890</v>
      </c>
    </row>
    <row r="522" spans="2:16" s="153" customFormat="1" ht="30" x14ac:dyDescent="0.25">
      <c r="B522" s="155" t="str">
        <f t="shared" si="49"/>
        <v>1</v>
      </c>
      <c r="C522" s="155" t="str">
        <f t="shared" si="50"/>
        <v>2</v>
      </c>
      <c r="D522" s="155" t="str">
        <f t="shared" si="51"/>
        <v>2</v>
      </c>
      <c r="E522" s="155" t="str">
        <f t="shared" si="52"/>
        <v>8</v>
      </c>
      <c r="F522" s="155" t="str">
        <f t="shared" si="53"/>
        <v>00</v>
      </c>
      <c r="G522" s="155" t="str">
        <f t="shared" si="54"/>
        <v>0</v>
      </c>
      <c r="H522" s="155" t="str">
        <f t="shared" si="55"/>
        <v>0</v>
      </c>
      <c r="I522" s="161">
        <v>12280000</v>
      </c>
      <c r="J522" s="155" t="s">
        <v>5095</v>
      </c>
      <c r="K522" s="155" t="s">
        <v>5096</v>
      </c>
      <c r="L522" s="106"/>
      <c r="M522" s="155"/>
      <c r="N522" s="155"/>
      <c r="O522" s="155" t="s">
        <v>5018</v>
      </c>
      <c r="P522" s="162" t="s">
        <v>2880</v>
      </c>
    </row>
    <row r="523" spans="2:16" s="153" customFormat="1" ht="30" x14ac:dyDescent="0.25">
      <c r="B523" s="113" t="str">
        <f t="shared" si="49"/>
        <v>1</v>
      </c>
      <c r="C523" s="113" t="str">
        <f t="shared" si="50"/>
        <v>2</v>
      </c>
      <c r="D523" s="113" t="str">
        <f t="shared" si="51"/>
        <v>2</v>
      </c>
      <c r="E523" s="113" t="str">
        <f t="shared" si="52"/>
        <v>8</v>
      </c>
      <c r="F523" s="113" t="str">
        <f t="shared" si="53"/>
        <v>01</v>
      </c>
      <c r="G523" s="113" t="str">
        <f t="shared" si="54"/>
        <v>0</v>
      </c>
      <c r="H523" s="113" t="str">
        <f t="shared" si="55"/>
        <v>0</v>
      </c>
      <c r="I523" s="112">
        <v>12280100</v>
      </c>
      <c r="J523" s="113" t="s">
        <v>5097</v>
      </c>
      <c r="K523" s="113" t="s">
        <v>5098</v>
      </c>
      <c r="L523" s="110"/>
      <c r="M523" s="113" t="s">
        <v>2878</v>
      </c>
      <c r="N523" s="113"/>
      <c r="O523" s="113" t="s">
        <v>2878</v>
      </c>
      <c r="P523" s="163" t="s">
        <v>2880</v>
      </c>
    </row>
    <row r="524" spans="2:16" s="153" customFormat="1" ht="30" x14ac:dyDescent="0.25">
      <c r="B524" s="130" t="str">
        <f t="shared" si="49"/>
        <v>1</v>
      </c>
      <c r="C524" s="130" t="str">
        <f t="shared" si="50"/>
        <v>2</v>
      </c>
      <c r="D524" s="130" t="str">
        <f t="shared" si="51"/>
        <v>2</v>
      </c>
      <c r="E524" s="130" t="str">
        <f t="shared" si="52"/>
        <v>8</v>
      </c>
      <c r="F524" s="130" t="str">
        <f t="shared" si="53"/>
        <v>01</v>
      </c>
      <c r="G524" s="130" t="str">
        <f t="shared" si="54"/>
        <v>1</v>
      </c>
      <c r="H524" s="130" t="str">
        <f t="shared" si="55"/>
        <v>0</v>
      </c>
      <c r="I524" s="129">
        <v>12280110</v>
      </c>
      <c r="J524" s="130" t="s">
        <v>5099</v>
      </c>
      <c r="K524" s="130" t="s">
        <v>5100</v>
      </c>
      <c r="L524" s="116"/>
      <c r="M524" s="130" t="s">
        <v>2878</v>
      </c>
      <c r="N524" s="130"/>
      <c r="O524" s="130" t="s">
        <v>5101</v>
      </c>
      <c r="P524" s="152" t="s">
        <v>2880</v>
      </c>
    </row>
    <row r="525" spans="2:16" s="153" customFormat="1" ht="30" x14ac:dyDescent="0.25">
      <c r="B525" s="93" t="str">
        <f t="shared" si="49"/>
        <v>1</v>
      </c>
      <c r="C525" s="93" t="str">
        <f t="shared" si="50"/>
        <v>2</v>
      </c>
      <c r="D525" s="93" t="str">
        <f t="shared" si="51"/>
        <v>2</v>
      </c>
      <c r="E525" s="93" t="str">
        <f t="shared" si="52"/>
        <v>8</v>
      </c>
      <c r="F525" s="93" t="str">
        <f t="shared" si="53"/>
        <v>01</v>
      </c>
      <c r="G525" s="93" t="str">
        <f t="shared" si="54"/>
        <v>1</v>
      </c>
      <c r="H525" s="93" t="str">
        <f t="shared" si="55"/>
        <v>1</v>
      </c>
      <c r="I525" s="135">
        <v>12280111</v>
      </c>
      <c r="J525" s="93" t="s">
        <v>5102</v>
      </c>
      <c r="K525" s="93" t="s">
        <v>5103</v>
      </c>
      <c r="L525" s="84"/>
      <c r="M525" s="93" t="s">
        <v>3033</v>
      </c>
      <c r="N525" s="93"/>
      <c r="O525" s="93" t="s">
        <v>5104</v>
      </c>
      <c r="P525" s="154" t="s">
        <v>2890</v>
      </c>
    </row>
    <row r="526" spans="2:16" ht="45" x14ac:dyDescent="0.25">
      <c r="B526" s="126" t="str">
        <f t="shared" si="49"/>
        <v>1</v>
      </c>
      <c r="C526" s="126" t="str">
        <f t="shared" si="50"/>
        <v>2</v>
      </c>
      <c r="D526" s="126" t="str">
        <f t="shared" si="51"/>
        <v>3</v>
      </c>
      <c r="E526" s="126" t="str">
        <f t="shared" si="52"/>
        <v>0</v>
      </c>
      <c r="F526" s="126" t="str">
        <f t="shared" si="53"/>
        <v>00</v>
      </c>
      <c r="G526" s="126" t="str">
        <f t="shared" si="54"/>
        <v>0</v>
      </c>
      <c r="H526" s="126" t="str">
        <f t="shared" si="55"/>
        <v>0</v>
      </c>
      <c r="I526" s="127">
        <v>12300000</v>
      </c>
      <c r="J526" s="126" t="s">
        <v>3449</v>
      </c>
      <c r="K526" s="126" t="s">
        <v>3450</v>
      </c>
      <c r="L526" s="122"/>
      <c r="M526" s="126" t="s">
        <v>2878</v>
      </c>
      <c r="N526" s="126" t="s">
        <v>5016</v>
      </c>
      <c r="O526" s="126" t="s">
        <v>2878</v>
      </c>
      <c r="P526" s="128" t="s">
        <v>2880</v>
      </c>
    </row>
    <row r="527" spans="2:16" ht="45" x14ac:dyDescent="0.25">
      <c r="B527" s="108" t="str">
        <f t="shared" si="49"/>
        <v>1</v>
      </c>
      <c r="C527" s="108" t="str">
        <f t="shared" si="50"/>
        <v>2</v>
      </c>
      <c r="D527" s="108" t="str">
        <f t="shared" si="51"/>
        <v>3</v>
      </c>
      <c r="E527" s="108" t="str">
        <f t="shared" si="52"/>
        <v>0</v>
      </c>
      <c r="F527" s="108" t="str">
        <f t="shared" si="53"/>
        <v>01</v>
      </c>
      <c r="G527" s="108" t="str">
        <f t="shared" si="54"/>
        <v>0</v>
      </c>
      <c r="H527" s="108" t="str">
        <f t="shared" si="55"/>
        <v>0</v>
      </c>
      <c r="I527" s="109">
        <v>12300100</v>
      </c>
      <c r="J527" s="108" t="s">
        <v>3449</v>
      </c>
      <c r="K527" s="108" t="s">
        <v>3450</v>
      </c>
      <c r="L527" s="110"/>
      <c r="M527" s="108" t="s">
        <v>2878</v>
      </c>
      <c r="N527" s="108" t="s">
        <v>2879</v>
      </c>
      <c r="O527" s="108" t="s">
        <v>2878</v>
      </c>
      <c r="P527" s="111" t="s">
        <v>2880</v>
      </c>
    </row>
    <row r="528" spans="2:16" ht="45" x14ac:dyDescent="0.25">
      <c r="B528" s="114" t="str">
        <f t="shared" si="49"/>
        <v>1</v>
      </c>
      <c r="C528" s="114" t="str">
        <f t="shared" si="50"/>
        <v>2</v>
      </c>
      <c r="D528" s="114" t="str">
        <f t="shared" si="51"/>
        <v>3</v>
      </c>
      <c r="E528" s="114" t="str">
        <f t="shared" si="52"/>
        <v>0</v>
      </c>
      <c r="F528" s="114" t="str">
        <f t="shared" si="53"/>
        <v>01</v>
      </c>
      <c r="G528" s="114" t="str">
        <f t="shared" si="54"/>
        <v>1</v>
      </c>
      <c r="H528" s="114" t="str">
        <f t="shared" si="55"/>
        <v>0</v>
      </c>
      <c r="I528" s="115">
        <v>12300110</v>
      </c>
      <c r="J528" s="114" t="s">
        <v>3449</v>
      </c>
      <c r="K528" s="114" t="s">
        <v>3450</v>
      </c>
      <c r="L528" s="116"/>
      <c r="M528" s="114" t="s">
        <v>2878</v>
      </c>
      <c r="N528" s="114" t="s">
        <v>2879</v>
      </c>
      <c r="O528" s="114" t="s">
        <v>2878</v>
      </c>
      <c r="P528" s="117" t="s">
        <v>2880</v>
      </c>
    </row>
    <row r="529" spans="2:16" ht="80.25" customHeight="1" x14ac:dyDescent="0.25">
      <c r="B529" s="85" t="str">
        <f t="shared" si="49"/>
        <v>1</v>
      </c>
      <c r="C529" s="85" t="str">
        <f t="shared" si="50"/>
        <v>2</v>
      </c>
      <c r="D529" s="85" t="str">
        <f t="shared" si="51"/>
        <v>3</v>
      </c>
      <c r="E529" s="85" t="str">
        <f t="shared" si="52"/>
        <v>0</v>
      </c>
      <c r="F529" s="85" t="str">
        <f t="shared" si="53"/>
        <v>01</v>
      </c>
      <c r="G529" s="85" t="str">
        <f t="shared" si="54"/>
        <v>1</v>
      </c>
      <c r="H529" s="85" t="str">
        <f t="shared" si="55"/>
        <v>1</v>
      </c>
      <c r="I529" s="87">
        <v>12300111</v>
      </c>
      <c r="J529" s="85" t="s">
        <v>3451</v>
      </c>
      <c r="K529" s="85" t="s">
        <v>3452</v>
      </c>
      <c r="L529" s="84"/>
      <c r="M529" s="85" t="s">
        <v>3453</v>
      </c>
      <c r="N529" s="85" t="s">
        <v>2879</v>
      </c>
      <c r="O529" s="85" t="s">
        <v>3454</v>
      </c>
      <c r="P529" s="86" t="s">
        <v>2890</v>
      </c>
    </row>
    <row r="530" spans="2:16" ht="31.5" x14ac:dyDescent="0.25">
      <c r="B530" s="126" t="str">
        <f t="shared" si="49"/>
        <v>1</v>
      </c>
      <c r="C530" s="126" t="str">
        <f t="shared" si="50"/>
        <v>2</v>
      </c>
      <c r="D530" s="126" t="str">
        <f t="shared" si="51"/>
        <v>4</v>
      </c>
      <c r="E530" s="126" t="str">
        <f t="shared" si="52"/>
        <v>0</v>
      </c>
      <c r="F530" s="126" t="str">
        <f t="shared" si="53"/>
        <v>00</v>
      </c>
      <c r="G530" s="126" t="str">
        <f t="shared" si="54"/>
        <v>0</v>
      </c>
      <c r="H530" s="126" t="str">
        <f t="shared" si="55"/>
        <v>0</v>
      </c>
      <c r="I530" s="127">
        <v>12400000</v>
      </c>
      <c r="J530" s="126" t="s">
        <v>563</v>
      </c>
      <c r="K530" s="126" t="s">
        <v>564</v>
      </c>
      <c r="L530" s="122" t="s">
        <v>5017</v>
      </c>
      <c r="M530" s="126"/>
      <c r="N530" s="126"/>
      <c r="O530" s="126"/>
      <c r="P530" s="128" t="s">
        <v>2880</v>
      </c>
    </row>
    <row r="531" spans="2:16" ht="30" x14ac:dyDescent="0.25">
      <c r="B531" s="114" t="str">
        <f t="shared" si="49"/>
        <v>1</v>
      </c>
      <c r="C531" s="114" t="str">
        <f t="shared" si="50"/>
        <v>2</v>
      </c>
      <c r="D531" s="114" t="str">
        <f t="shared" si="51"/>
        <v>4</v>
      </c>
      <c r="E531" s="114" t="str">
        <f t="shared" si="52"/>
        <v>0</v>
      </c>
      <c r="F531" s="114" t="str">
        <f t="shared" si="53"/>
        <v>00</v>
      </c>
      <c r="G531" s="114" t="str">
        <f t="shared" si="54"/>
        <v>1</v>
      </c>
      <c r="H531" s="114" t="str">
        <f t="shared" si="55"/>
        <v>0</v>
      </c>
      <c r="I531" s="115">
        <v>12400010</v>
      </c>
      <c r="J531" s="114" t="s">
        <v>563</v>
      </c>
      <c r="K531" s="114" t="s">
        <v>564</v>
      </c>
      <c r="L531" s="116"/>
      <c r="M531" s="114"/>
      <c r="N531" s="114"/>
      <c r="O531" s="114"/>
      <c r="P531" s="117" t="s">
        <v>2880</v>
      </c>
    </row>
    <row r="532" spans="2:16" ht="30" x14ac:dyDescent="0.25">
      <c r="B532" s="85" t="str">
        <f t="shared" si="49"/>
        <v>1</v>
      </c>
      <c r="C532" s="85" t="str">
        <f t="shared" si="50"/>
        <v>2</v>
      </c>
      <c r="D532" s="85" t="str">
        <f t="shared" si="51"/>
        <v>4</v>
      </c>
      <c r="E532" s="85" t="str">
        <f t="shared" si="52"/>
        <v>0</v>
      </c>
      <c r="F532" s="85" t="str">
        <f t="shared" si="53"/>
        <v>00</v>
      </c>
      <c r="G532" s="85" t="str">
        <f t="shared" si="54"/>
        <v>1</v>
      </c>
      <c r="H532" s="85" t="str">
        <f t="shared" si="55"/>
        <v>1</v>
      </c>
      <c r="I532" s="87">
        <v>12400011</v>
      </c>
      <c r="J532" s="85" t="s">
        <v>4788</v>
      </c>
      <c r="K532" s="85" t="s">
        <v>564</v>
      </c>
      <c r="L532" s="84"/>
      <c r="M532" s="85"/>
      <c r="N532" s="85"/>
      <c r="O532" s="85"/>
      <c r="P532" s="86" t="s">
        <v>2890</v>
      </c>
    </row>
    <row r="533" spans="2:16" ht="30" x14ac:dyDescent="0.25">
      <c r="B533" s="123" t="str">
        <f t="shared" si="49"/>
        <v>1</v>
      </c>
      <c r="C533" s="123" t="str">
        <f t="shared" si="50"/>
        <v>3</v>
      </c>
      <c r="D533" s="123" t="str">
        <f t="shared" si="51"/>
        <v>0</v>
      </c>
      <c r="E533" s="123" t="str">
        <f t="shared" si="52"/>
        <v>0</v>
      </c>
      <c r="F533" s="123" t="str">
        <f t="shared" si="53"/>
        <v>00</v>
      </c>
      <c r="G533" s="123" t="str">
        <f t="shared" si="54"/>
        <v>0</v>
      </c>
      <c r="H533" s="123" t="str">
        <f t="shared" si="55"/>
        <v>0</v>
      </c>
      <c r="I533" s="124">
        <v>13000000</v>
      </c>
      <c r="J533" s="123" t="s">
        <v>565</v>
      </c>
      <c r="K533" s="123" t="s">
        <v>3455</v>
      </c>
      <c r="L533" s="103"/>
      <c r="M533" s="123" t="s">
        <v>2878</v>
      </c>
      <c r="N533" s="123" t="s">
        <v>5016</v>
      </c>
      <c r="O533" s="123" t="s">
        <v>2878</v>
      </c>
      <c r="P533" s="125" t="s">
        <v>2880</v>
      </c>
    </row>
    <row r="534" spans="2:16" ht="30" x14ac:dyDescent="0.25">
      <c r="B534" s="126" t="str">
        <f t="shared" si="49"/>
        <v>1</v>
      </c>
      <c r="C534" s="126" t="str">
        <f t="shared" si="50"/>
        <v>3</v>
      </c>
      <c r="D534" s="126" t="str">
        <f t="shared" si="51"/>
        <v>1</v>
      </c>
      <c r="E534" s="126" t="str">
        <f t="shared" si="52"/>
        <v>0</v>
      </c>
      <c r="F534" s="126" t="str">
        <f t="shared" si="53"/>
        <v>00</v>
      </c>
      <c r="G534" s="126" t="str">
        <f t="shared" si="54"/>
        <v>0</v>
      </c>
      <c r="H534" s="126" t="str">
        <f t="shared" si="55"/>
        <v>0</v>
      </c>
      <c r="I534" s="127">
        <v>13100000</v>
      </c>
      <c r="J534" s="126" t="s">
        <v>3456</v>
      </c>
      <c r="K534" s="126" t="s">
        <v>3457</v>
      </c>
      <c r="L534" s="122"/>
      <c r="M534" s="126" t="s">
        <v>2878</v>
      </c>
      <c r="N534" s="126" t="s">
        <v>5016</v>
      </c>
      <c r="O534" s="126" t="s">
        <v>2878</v>
      </c>
      <c r="P534" s="128" t="s">
        <v>2880</v>
      </c>
    </row>
    <row r="535" spans="2:16" ht="60" x14ac:dyDescent="0.25">
      <c r="B535" s="108" t="str">
        <f t="shared" si="49"/>
        <v>1</v>
      </c>
      <c r="C535" s="108" t="str">
        <f t="shared" si="50"/>
        <v>3</v>
      </c>
      <c r="D535" s="108" t="str">
        <f t="shared" si="51"/>
        <v>1</v>
      </c>
      <c r="E535" s="108" t="str">
        <f t="shared" si="52"/>
        <v>0</v>
      </c>
      <c r="F535" s="108" t="str">
        <f t="shared" si="53"/>
        <v>01</v>
      </c>
      <c r="G535" s="108" t="str">
        <f t="shared" si="54"/>
        <v>0</v>
      </c>
      <c r="H535" s="108" t="str">
        <f t="shared" si="55"/>
        <v>0</v>
      </c>
      <c r="I535" s="109">
        <v>13100100</v>
      </c>
      <c r="J535" s="108" t="s">
        <v>3458</v>
      </c>
      <c r="K535" s="108" t="s">
        <v>3459</v>
      </c>
      <c r="L535" s="110"/>
      <c r="M535" s="108" t="s">
        <v>2878</v>
      </c>
      <c r="N535" s="108" t="s">
        <v>2879</v>
      </c>
      <c r="O535" s="108" t="s">
        <v>2878</v>
      </c>
      <c r="P535" s="111" t="s">
        <v>2880</v>
      </c>
    </row>
    <row r="536" spans="2:16" ht="45" x14ac:dyDescent="0.25">
      <c r="B536" s="114" t="str">
        <f t="shared" si="49"/>
        <v>1</v>
      </c>
      <c r="C536" s="114" t="str">
        <f t="shared" si="50"/>
        <v>3</v>
      </c>
      <c r="D536" s="114" t="str">
        <f t="shared" si="51"/>
        <v>1</v>
      </c>
      <c r="E536" s="114" t="str">
        <f t="shared" si="52"/>
        <v>0</v>
      </c>
      <c r="F536" s="114" t="str">
        <f t="shared" si="53"/>
        <v>01</v>
      </c>
      <c r="G536" s="114" t="str">
        <f t="shared" si="54"/>
        <v>1</v>
      </c>
      <c r="H536" s="114" t="str">
        <f t="shared" si="55"/>
        <v>0</v>
      </c>
      <c r="I536" s="115">
        <v>13100110</v>
      </c>
      <c r="J536" s="114" t="s">
        <v>3460</v>
      </c>
      <c r="K536" s="114" t="s">
        <v>3461</v>
      </c>
      <c r="L536" s="116"/>
      <c r="M536" s="114" t="s">
        <v>2878</v>
      </c>
      <c r="N536" s="114" t="s">
        <v>3462</v>
      </c>
      <c r="O536" s="114" t="s">
        <v>2878</v>
      </c>
      <c r="P536" s="117" t="s">
        <v>2880</v>
      </c>
    </row>
    <row r="537" spans="2:16" ht="120" x14ac:dyDescent="0.25">
      <c r="B537" s="85" t="str">
        <f t="shared" si="49"/>
        <v>1</v>
      </c>
      <c r="C537" s="85" t="str">
        <f t="shared" si="50"/>
        <v>3</v>
      </c>
      <c r="D537" s="85" t="str">
        <f t="shared" si="51"/>
        <v>1</v>
      </c>
      <c r="E537" s="85" t="str">
        <f t="shared" si="52"/>
        <v>0</v>
      </c>
      <c r="F537" s="85" t="str">
        <f t="shared" si="53"/>
        <v>01</v>
      </c>
      <c r="G537" s="85" t="str">
        <f t="shared" si="54"/>
        <v>1</v>
      </c>
      <c r="H537" s="85" t="str">
        <f t="shared" si="55"/>
        <v>1</v>
      </c>
      <c r="I537" s="87">
        <v>13100111</v>
      </c>
      <c r="J537" s="85" t="s">
        <v>3463</v>
      </c>
      <c r="K537" s="85" t="s">
        <v>3464</v>
      </c>
      <c r="L537" s="84"/>
      <c r="M537" s="85" t="s">
        <v>3465</v>
      </c>
      <c r="N537" s="85" t="s">
        <v>3462</v>
      </c>
      <c r="O537" s="85" t="s">
        <v>3466</v>
      </c>
      <c r="P537" s="86" t="s">
        <v>2890</v>
      </c>
    </row>
    <row r="538" spans="2:16" ht="15.75" x14ac:dyDescent="0.25">
      <c r="B538" s="85" t="str">
        <f t="shared" si="49"/>
        <v>1</v>
      </c>
      <c r="C538" s="85" t="str">
        <f t="shared" si="50"/>
        <v>3</v>
      </c>
      <c r="D538" s="85" t="str">
        <f t="shared" si="51"/>
        <v>1</v>
      </c>
      <c r="E538" s="85" t="str">
        <f t="shared" si="52"/>
        <v>0</v>
      </c>
      <c r="F538" s="85" t="str">
        <f t="shared" si="53"/>
        <v>01</v>
      </c>
      <c r="G538" s="85" t="str">
        <f t="shared" si="54"/>
        <v>1</v>
      </c>
      <c r="H538" s="85" t="str">
        <f t="shared" si="55"/>
        <v>2</v>
      </c>
      <c r="I538" s="87">
        <v>13100112</v>
      </c>
      <c r="J538" s="85" t="s">
        <v>3467</v>
      </c>
      <c r="K538" s="85" t="s">
        <v>2892</v>
      </c>
      <c r="L538" s="84"/>
      <c r="M538" s="85" t="s">
        <v>2892</v>
      </c>
      <c r="N538" s="85" t="s">
        <v>3462</v>
      </c>
      <c r="O538" s="85" t="s">
        <v>2892</v>
      </c>
      <c r="P538" s="86" t="s">
        <v>2890</v>
      </c>
    </row>
    <row r="539" spans="2:16" ht="15.75" x14ac:dyDescent="0.25">
      <c r="B539" s="85" t="str">
        <f t="shared" si="49"/>
        <v>1</v>
      </c>
      <c r="C539" s="85" t="str">
        <f t="shared" si="50"/>
        <v>3</v>
      </c>
      <c r="D539" s="85" t="str">
        <f t="shared" si="51"/>
        <v>1</v>
      </c>
      <c r="E539" s="85" t="str">
        <f t="shared" si="52"/>
        <v>0</v>
      </c>
      <c r="F539" s="85" t="str">
        <f t="shared" si="53"/>
        <v>01</v>
      </c>
      <c r="G539" s="85" t="str">
        <f t="shared" si="54"/>
        <v>1</v>
      </c>
      <c r="H539" s="85" t="str">
        <f t="shared" si="55"/>
        <v>3</v>
      </c>
      <c r="I539" s="87">
        <v>13100113</v>
      </c>
      <c r="J539" s="85" t="s">
        <v>3468</v>
      </c>
      <c r="K539" s="85" t="s">
        <v>2892</v>
      </c>
      <c r="L539" s="84"/>
      <c r="M539" s="85" t="s">
        <v>2892</v>
      </c>
      <c r="N539" s="85" t="s">
        <v>3462</v>
      </c>
      <c r="O539" s="85" t="s">
        <v>2892</v>
      </c>
      <c r="P539" s="86" t="s">
        <v>2890</v>
      </c>
    </row>
    <row r="540" spans="2:16" ht="15.75" x14ac:dyDescent="0.25">
      <c r="B540" s="85" t="str">
        <f t="shared" si="49"/>
        <v>1</v>
      </c>
      <c r="C540" s="85" t="str">
        <f t="shared" si="50"/>
        <v>3</v>
      </c>
      <c r="D540" s="85" t="str">
        <f t="shared" si="51"/>
        <v>1</v>
      </c>
      <c r="E540" s="85" t="str">
        <f t="shared" si="52"/>
        <v>0</v>
      </c>
      <c r="F540" s="85" t="str">
        <f t="shared" si="53"/>
        <v>01</v>
      </c>
      <c r="G540" s="85" t="str">
        <f t="shared" si="54"/>
        <v>1</v>
      </c>
      <c r="H540" s="85" t="str">
        <f t="shared" si="55"/>
        <v>4</v>
      </c>
      <c r="I540" s="87">
        <v>13100114</v>
      </c>
      <c r="J540" s="85" t="s">
        <v>3469</v>
      </c>
      <c r="K540" s="85" t="s">
        <v>2892</v>
      </c>
      <c r="L540" s="84"/>
      <c r="M540" s="85" t="s">
        <v>2892</v>
      </c>
      <c r="N540" s="85" t="s">
        <v>3462</v>
      </c>
      <c r="O540" s="85" t="s">
        <v>2892</v>
      </c>
      <c r="P540" s="86" t="s">
        <v>2890</v>
      </c>
    </row>
    <row r="541" spans="2:16" ht="45" x14ac:dyDescent="0.25">
      <c r="B541" s="114" t="str">
        <f t="shared" si="49"/>
        <v>1</v>
      </c>
      <c r="C541" s="114" t="str">
        <f t="shared" si="50"/>
        <v>3</v>
      </c>
      <c r="D541" s="114" t="str">
        <f t="shared" si="51"/>
        <v>1</v>
      </c>
      <c r="E541" s="114" t="str">
        <f t="shared" si="52"/>
        <v>0</v>
      </c>
      <c r="F541" s="114" t="str">
        <f t="shared" si="53"/>
        <v>01</v>
      </c>
      <c r="G541" s="114" t="str">
        <f t="shared" si="54"/>
        <v>2</v>
      </c>
      <c r="H541" s="114" t="str">
        <f t="shared" si="55"/>
        <v>0</v>
      </c>
      <c r="I541" s="115">
        <v>13100120</v>
      </c>
      <c r="J541" s="114" t="s">
        <v>3470</v>
      </c>
      <c r="K541" s="114" t="s">
        <v>3471</v>
      </c>
      <c r="L541" s="116"/>
      <c r="M541" s="114" t="s">
        <v>2878</v>
      </c>
      <c r="N541" s="114" t="s">
        <v>3462</v>
      </c>
      <c r="O541" s="114" t="s">
        <v>2878</v>
      </c>
      <c r="P541" s="117" t="s">
        <v>2880</v>
      </c>
    </row>
    <row r="542" spans="2:16" ht="135" x14ac:dyDescent="0.25">
      <c r="B542" s="85" t="str">
        <f t="shared" si="49"/>
        <v>1</v>
      </c>
      <c r="C542" s="85" t="str">
        <f t="shared" si="50"/>
        <v>3</v>
      </c>
      <c r="D542" s="85" t="str">
        <f t="shared" si="51"/>
        <v>1</v>
      </c>
      <c r="E542" s="85" t="str">
        <f t="shared" si="52"/>
        <v>0</v>
      </c>
      <c r="F542" s="85" t="str">
        <f t="shared" si="53"/>
        <v>01</v>
      </c>
      <c r="G542" s="85" t="str">
        <f t="shared" si="54"/>
        <v>2</v>
      </c>
      <c r="H542" s="85" t="str">
        <f t="shared" si="55"/>
        <v>1</v>
      </c>
      <c r="I542" s="87">
        <v>13100121</v>
      </c>
      <c r="J542" s="85" t="s">
        <v>3472</v>
      </c>
      <c r="K542" s="85" t="s">
        <v>3473</v>
      </c>
      <c r="L542" s="84"/>
      <c r="M542" s="85" t="s">
        <v>3474</v>
      </c>
      <c r="N542" s="85" t="s">
        <v>3462</v>
      </c>
      <c r="O542" s="85" t="s">
        <v>3475</v>
      </c>
      <c r="P542" s="86" t="s">
        <v>2890</v>
      </c>
    </row>
    <row r="543" spans="2:16" ht="15.75" x14ac:dyDescent="0.25">
      <c r="B543" s="85" t="str">
        <f t="shared" si="49"/>
        <v>1</v>
      </c>
      <c r="C543" s="85" t="str">
        <f t="shared" si="50"/>
        <v>3</v>
      </c>
      <c r="D543" s="85" t="str">
        <f t="shared" si="51"/>
        <v>1</v>
      </c>
      <c r="E543" s="85" t="str">
        <f t="shared" si="52"/>
        <v>0</v>
      </c>
      <c r="F543" s="85" t="str">
        <f t="shared" si="53"/>
        <v>01</v>
      </c>
      <c r="G543" s="85" t="str">
        <f t="shared" si="54"/>
        <v>2</v>
      </c>
      <c r="H543" s="85" t="str">
        <f t="shared" si="55"/>
        <v>2</v>
      </c>
      <c r="I543" s="87">
        <v>13100122</v>
      </c>
      <c r="J543" s="85" t="s">
        <v>3476</v>
      </c>
      <c r="K543" s="85" t="s">
        <v>2892</v>
      </c>
      <c r="L543" s="84"/>
      <c r="M543" s="85" t="s">
        <v>2892</v>
      </c>
      <c r="N543" s="85" t="s">
        <v>3462</v>
      </c>
      <c r="O543" s="85" t="s">
        <v>2892</v>
      </c>
      <c r="P543" s="86" t="s">
        <v>2890</v>
      </c>
    </row>
    <row r="544" spans="2:16" ht="15.75" x14ac:dyDescent="0.25">
      <c r="B544" s="85" t="str">
        <f t="shared" si="49"/>
        <v>1</v>
      </c>
      <c r="C544" s="85" t="str">
        <f t="shared" si="50"/>
        <v>3</v>
      </c>
      <c r="D544" s="85" t="str">
        <f t="shared" si="51"/>
        <v>1</v>
      </c>
      <c r="E544" s="85" t="str">
        <f t="shared" si="52"/>
        <v>0</v>
      </c>
      <c r="F544" s="85" t="str">
        <f t="shared" si="53"/>
        <v>01</v>
      </c>
      <c r="G544" s="85" t="str">
        <f t="shared" si="54"/>
        <v>2</v>
      </c>
      <c r="H544" s="85" t="str">
        <f t="shared" si="55"/>
        <v>3</v>
      </c>
      <c r="I544" s="87">
        <v>13100123</v>
      </c>
      <c r="J544" s="85" t="s">
        <v>3477</v>
      </c>
      <c r="K544" s="85" t="s">
        <v>2892</v>
      </c>
      <c r="L544" s="84"/>
      <c r="M544" s="85" t="s">
        <v>2892</v>
      </c>
      <c r="N544" s="85" t="s">
        <v>3462</v>
      </c>
      <c r="O544" s="85" t="s">
        <v>2892</v>
      </c>
      <c r="P544" s="86" t="s">
        <v>2890</v>
      </c>
    </row>
    <row r="545" spans="2:16" ht="15.75" x14ac:dyDescent="0.25">
      <c r="B545" s="85" t="str">
        <f t="shared" si="49"/>
        <v>1</v>
      </c>
      <c r="C545" s="85" t="str">
        <f t="shared" si="50"/>
        <v>3</v>
      </c>
      <c r="D545" s="85" t="str">
        <f t="shared" si="51"/>
        <v>1</v>
      </c>
      <c r="E545" s="85" t="str">
        <f t="shared" si="52"/>
        <v>0</v>
      </c>
      <c r="F545" s="85" t="str">
        <f t="shared" si="53"/>
        <v>01</v>
      </c>
      <c r="G545" s="85" t="str">
        <f t="shared" si="54"/>
        <v>2</v>
      </c>
      <c r="H545" s="85" t="str">
        <f t="shared" si="55"/>
        <v>4</v>
      </c>
      <c r="I545" s="87">
        <v>13100124</v>
      </c>
      <c r="J545" s="85" t="s">
        <v>3478</v>
      </c>
      <c r="K545" s="85" t="s">
        <v>2892</v>
      </c>
      <c r="L545" s="84"/>
      <c r="M545" s="85" t="s">
        <v>2892</v>
      </c>
      <c r="N545" s="85" t="s">
        <v>3462</v>
      </c>
      <c r="O545" s="85" t="s">
        <v>2892</v>
      </c>
      <c r="P545" s="86" t="s">
        <v>2890</v>
      </c>
    </row>
    <row r="546" spans="2:16" ht="60" x14ac:dyDescent="0.25">
      <c r="B546" s="108" t="str">
        <f t="shared" si="49"/>
        <v>1</v>
      </c>
      <c r="C546" s="108" t="str">
        <f t="shared" si="50"/>
        <v>3</v>
      </c>
      <c r="D546" s="108" t="str">
        <f t="shared" si="51"/>
        <v>1</v>
      </c>
      <c r="E546" s="108" t="str">
        <f t="shared" si="52"/>
        <v>0</v>
      </c>
      <c r="F546" s="108" t="str">
        <f t="shared" si="53"/>
        <v>02</v>
      </c>
      <c r="G546" s="108" t="str">
        <f t="shared" si="54"/>
        <v>0</v>
      </c>
      <c r="H546" s="108" t="str">
        <f t="shared" si="55"/>
        <v>0</v>
      </c>
      <c r="I546" s="109">
        <v>13100200</v>
      </c>
      <c r="J546" s="108" t="s">
        <v>3479</v>
      </c>
      <c r="K546" s="108" t="s">
        <v>3480</v>
      </c>
      <c r="L546" s="110"/>
      <c r="M546" s="108" t="s">
        <v>2878</v>
      </c>
      <c r="N546" s="108" t="s">
        <v>2879</v>
      </c>
      <c r="O546" s="108" t="s">
        <v>2878</v>
      </c>
      <c r="P546" s="111" t="s">
        <v>2880</v>
      </c>
    </row>
    <row r="547" spans="2:16" ht="60" x14ac:dyDescent="0.25">
      <c r="B547" s="114" t="str">
        <f t="shared" si="49"/>
        <v>1</v>
      </c>
      <c r="C547" s="114" t="str">
        <f t="shared" si="50"/>
        <v>3</v>
      </c>
      <c r="D547" s="114" t="str">
        <f t="shared" si="51"/>
        <v>1</v>
      </c>
      <c r="E547" s="114" t="str">
        <f t="shared" si="52"/>
        <v>0</v>
      </c>
      <c r="F547" s="114" t="str">
        <f t="shared" si="53"/>
        <v>02</v>
      </c>
      <c r="G547" s="114" t="str">
        <f t="shared" si="54"/>
        <v>1</v>
      </c>
      <c r="H547" s="114" t="str">
        <f t="shared" si="55"/>
        <v>0</v>
      </c>
      <c r="I547" s="115">
        <v>13100210</v>
      </c>
      <c r="J547" s="114" t="s">
        <v>3479</v>
      </c>
      <c r="K547" s="114" t="s">
        <v>3480</v>
      </c>
      <c r="L547" s="116"/>
      <c r="M547" s="114" t="s">
        <v>2878</v>
      </c>
      <c r="N547" s="114" t="s">
        <v>2879</v>
      </c>
      <c r="O547" s="114" t="s">
        <v>2878</v>
      </c>
      <c r="P547" s="117" t="s">
        <v>2880</v>
      </c>
    </row>
    <row r="548" spans="2:16" ht="165" x14ac:dyDescent="0.25">
      <c r="B548" s="85" t="str">
        <f t="shared" si="49"/>
        <v>1</v>
      </c>
      <c r="C548" s="85" t="str">
        <f t="shared" si="50"/>
        <v>3</v>
      </c>
      <c r="D548" s="85" t="str">
        <f t="shared" si="51"/>
        <v>1</v>
      </c>
      <c r="E548" s="85" t="str">
        <f t="shared" si="52"/>
        <v>0</v>
      </c>
      <c r="F548" s="85" t="str">
        <f t="shared" si="53"/>
        <v>02</v>
      </c>
      <c r="G548" s="85" t="str">
        <f t="shared" si="54"/>
        <v>1</v>
      </c>
      <c r="H548" s="85" t="str">
        <f t="shared" si="55"/>
        <v>1</v>
      </c>
      <c r="I548" s="87">
        <v>13100211</v>
      </c>
      <c r="J548" s="85" t="s">
        <v>3481</v>
      </c>
      <c r="K548" s="85" t="s">
        <v>3482</v>
      </c>
      <c r="L548" s="84"/>
      <c r="M548" s="85" t="s">
        <v>3483</v>
      </c>
      <c r="N548" s="85" t="s">
        <v>2879</v>
      </c>
      <c r="O548" s="85" t="s">
        <v>3484</v>
      </c>
      <c r="P548" s="86" t="s">
        <v>2890</v>
      </c>
    </row>
    <row r="549" spans="2:16" ht="30" x14ac:dyDescent="0.25">
      <c r="B549" s="85" t="str">
        <f t="shared" si="49"/>
        <v>1</v>
      </c>
      <c r="C549" s="85" t="str">
        <f t="shared" si="50"/>
        <v>3</v>
      </c>
      <c r="D549" s="85" t="str">
        <f t="shared" si="51"/>
        <v>1</v>
      </c>
      <c r="E549" s="85" t="str">
        <f t="shared" si="52"/>
        <v>0</v>
      </c>
      <c r="F549" s="85" t="str">
        <f t="shared" si="53"/>
        <v>02</v>
      </c>
      <c r="G549" s="85" t="str">
        <f t="shared" si="54"/>
        <v>1</v>
      </c>
      <c r="H549" s="85" t="str">
        <f t="shared" si="55"/>
        <v>2</v>
      </c>
      <c r="I549" s="87">
        <v>13100212</v>
      </c>
      <c r="J549" s="85" t="s">
        <v>3485</v>
      </c>
      <c r="K549" s="85" t="s">
        <v>2892</v>
      </c>
      <c r="L549" s="84"/>
      <c r="M549" s="85" t="s">
        <v>2892</v>
      </c>
      <c r="N549" s="85" t="s">
        <v>2879</v>
      </c>
      <c r="O549" s="85" t="s">
        <v>2892</v>
      </c>
      <c r="P549" s="86" t="s">
        <v>2890</v>
      </c>
    </row>
    <row r="550" spans="2:16" ht="30" x14ac:dyDescent="0.25">
      <c r="B550" s="85" t="str">
        <f t="shared" si="49"/>
        <v>1</v>
      </c>
      <c r="C550" s="85" t="str">
        <f t="shared" si="50"/>
        <v>3</v>
      </c>
      <c r="D550" s="85" t="str">
        <f t="shared" si="51"/>
        <v>1</v>
      </c>
      <c r="E550" s="85" t="str">
        <f t="shared" si="52"/>
        <v>0</v>
      </c>
      <c r="F550" s="85" t="str">
        <f t="shared" si="53"/>
        <v>02</v>
      </c>
      <c r="G550" s="85" t="str">
        <f t="shared" si="54"/>
        <v>1</v>
      </c>
      <c r="H550" s="85" t="str">
        <f t="shared" si="55"/>
        <v>3</v>
      </c>
      <c r="I550" s="87">
        <v>13100213</v>
      </c>
      <c r="J550" s="85" t="s">
        <v>3486</v>
      </c>
      <c r="K550" s="85" t="s">
        <v>2892</v>
      </c>
      <c r="L550" s="84"/>
      <c r="M550" s="85" t="s">
        <v>2892</v>
      </c>
      <c r="N550" s="85" t="s">
        <v>2879</v>
      </c>
      <c r="O550" s="85" t="s">
        <v>2892</v>
      </c>
      <c r="P550" s="86" t="s">
        <v>2890</v>
      </c>
    </row>
    <row r="551" spans="2:16" ht="30" x14ac:dyDescent="0.25">
      <c r="B551" s="85" t="str">
        <f t="shared" si="49"/>
        <v>1</v>
      </c>
      <c r="C551" s="85" t="str">
        <f t="shared" si="50"/>
        <v>3</v>
      </c>
      <c r="D551" s="85" t="str">
        <f t="shared" si="51"/>
        <v>1</v>
      </c>
      <c r="E551" s="85" t="str">
        <f t="shared" si="52"/>
        <v>0</v>
      </c>
      <c r="F551" s="85" t="str">
        <f t="shared" si="53"/>
        <v>02</v>
      </c>
      <c r="G551" s="85" t="str">
        <f t="shared" si="54"/>
        <v>1</v>
      </c>
      <c r="H551" s="85" t="str">
        <f t="shared" si="55"/>
        <v>4</v>
      </c>
      <c r="I551" s="87">
        <v>13100214</v>
      </c>
      <c r="J551" s="85" t="s">
        <v>3487</v>
      </c>
      <c r="K551" s="85" t="s">
        <v>2892</v>
      </c>
      <c r="L551" s="84"/>
      <c r="M551" s="85" t="s">
        <v>2892</v>
      </c>
      <c r="N551" s="85" t="s">
        <v>2879</v>
      </c>
      <c r="O551" s="85" t="s">
        <v>2892</v>
      </c>
      <c r="P551" s="86" t="s">
        <v>2890</v>
      </c>
    </row>
    <row r="552" spans="2:16" ht="30" x14ac:dyDescent="0.25">
      <c r="B552" s="108" t="str">
        <f t="shared" si="49"/>
        <v>1</v>
      </c>
      <c r="C552" s="108" t="str">
        <f t="shared" si="50"/>
        <v>3</v>
      </c>
      <c r="D552" s="108" t="str">
        <f t="shared" si="51"/>
        <v>1</v>
      </c>
      <c r="E552" s="108" t="str">
        <f t="shared" si="52"/>
        <v>0</v>
      </c>
      <c r="F552" s="108" t="str">
        <f t="shared" si="53"/>
        <v>99</v>
      </c>
      <c r="G552" s="108" t="str">
        <f t="shared" si="54"/>
        <v>0</v>
      </c>
      <c r="H552" s="108" t="str">
        <f t="shared" si="55"/>
        <v>0</v>
      </c>
      <c r="I552" s="109">
        <v>13109900</v>
      </c>
      <c r="J552" s="108" t="s">
        <v>585</v>
      </c>
      <c r="K552" s="108" t="s">
        <v>3488</v>
      </c>
      <c r="L552" s="110"/>
      <c r="M552" s="108" t="s">
        <v>2878</v>
      </c>
      <c r="N552" s="108" t="s">
        <v>2879</v>
      </c>
      <c r="O552" s="108" t="s">
        <v>2878</v>
      </c>
      <c r="P552" s="111" t="s">
        <v>2880</v>
      </c>
    </row>
    <row r="553" spans="2:16" ht="30" x14ac:dyDescent="0.25">
      <c r="B553" s="114" t="str">
        <f t="shared" si="49"/>
        <v>1</v>
      </c>
      <c r="C553" s="114" t="str">
        <f t="shared" si="50"/>
        <v>3</v>
      </c>
      <c r="D553" s="114" t="str">
        <f t="shared" si="51"/>
        <v>1</v>
      </c>
      <c r="E553" s="114" t="str">
        <f t="shared" si="52"/>
        <v>0</v>
      </c>
      <c r="F553" s="114" t="str">
        <f t="shared" si="53"/>
        <v>99</v>
      </c>
      <c r="G553" s="114" t="str">
        <f t="shared" si="54"/>
        <v>1</v>
      </c>
      <c r="H553" s="114" t="str">
        <f t="shared" si="55"/>
        <v>0</v>
      </c>
      <c r="I553" s="115">
        <v>13109910</v>
      </c>
      <c r="J553" s="114" t="s">
        <v>585</v>
      </c>
      <c r="K553" s="114" t="s">
        <v>3488</v>
      </c>
      <c r="L553" s="116"/>
      <c r="M553" s="114" t="s">
        <v>2878</v>
      </c>
      <c r="N553" s="114" t="s">
        <v>2879</v>
      </c>
      <c r="O553" s="114" t="s">
        <v>2878</v>
      </c>
      <c r="P553" s="117" t="s">
        <v>2880</v>
      </c>
    </row>
    <row r="554" spans="2:16" ht="30" x14ac:dyDescent="0.25">
      <c r="B554" s="85" t="str">
        <f t="shared" si="49"/>
        <v>1</v>
      </c>
      <c r="C554" s="85" t="str">
        <f t="shared" si="50"/>
        <v>3</v>
      </c>
      <c r="D554" s="85" t="str">
        <f t="shared" si="51"/>
        <v>1</v>
      </c>
      <c r="E554" s="85" t="str">
        <f t="shared" si="52"/>
        <v>0</v>
      </c>
      <c r="F554" s="85" t="str">
        <f t="shared" si="53"/>
        <v>99</v>
      </c>
      <c r="G554" s="85" t="str">
        <f t="shared" si="54"/>
        <v>1</v>
      </c>
      <c r="H554" s="85" t="str">
        <f t="shared" si="55"/>
        <v>1</v>
      </c>
      <c r="I554" s="87">
        <v>13109911</v>
      </c>
      <c r="J554" s="85" t="s">
        <v>3489</v>
      </c>
      <c r="K554" s="85" t="s">
        <v>3490</v>
      </c>
      <c r="L554" s="84"/>
      <c r="M554" s="85" t="s">
        <v>3044</v>
      </c>
      <c r="N554" s="85" t="s">
        <v>2879</v>
      </c>
      <c r="O554" s="85" t="s">
        <v>3491</v>
      </c>
      <c r="P554" s="86" t="s">
        <v>2890</v>
      </c>
    </row>
    <row r="555" spans="2:16" ht="15.75" x14ac:dyDescent="0.25">
      <c r="B555" s="85" t="str">
        <f t="shared" si="49"/>
        <v>1</v>
      </c>
      <c r="C555" s="85" t="str">
        <f t="shared" si="50"/>
        <v>3</v>
      </c>
      <c r="D555" s="85" t="str">
        <f t="shared" si="51"/>
        <v>1</v>
      </c>
      <c r="E555" s="85" t="str">
        <f t="shared" si="52"/>
        <v>0</v>
      </c>
      <c r="F555" s="85" t="str">
        <f t="shared" si="53"/>
        <v>99</v>
      </c>
      <c r="G555" s="85" t="str">
        <f t="shared" si="54"/>
        <v>1</v>
      </c>
      <c r="H555" s="85" t="str">
        <f t="shared" si="55"/>
        <v>2</v>
      </c>
      <c r="I555" s="87">
        <v>13109912</v>
      </c>
      <c r="J555" s="85" t="s">
        <v>3492</v>
      </c>
      <c r="K555" s="85" t="s">
        <v>2892</v>
      </c>
      <c r="L555" s="84"/>
      <c r="M555" s="85" t="s">
        <v>2892</v>
      </c>
      <c r="N555" s="85" t="s">
        <v>2879</v>
      </c>
      <c r="O555" s="85" t="s">
        <v>2892</v>
      </c>
      <c r="P555" s="86" t="s">
        <v>2890</v>
      </c>
    </row>
    <row r="556" spans="2:16" ht="15.75" x14ac:dyDescent="0.25">
      <c r="B556" s="85" t="str">
        <f t="shared" si="49"/>
        <v>1</v>
      </c>
      <c r="C556" s="85" t="str">
        <f t="shared" si="50"/>
        <v>3</v>
      </c>
      <c r="D556" s="85" t="str">
        <f t="shared" si="51"/>
        <v>1</v>
      </c>
      <c r="E556" s="85" t="str">
        <f t="shared" si="52"/>
        <v>0</v>
      </c>
      <c r="F556" s="85" t="str">
        <f t="shared" si="53"/>
        <v>99</v>
      </c>
      <c r="G556" s="85" t="str">
        <f t="shared" si="54"/>
        <v>1</v>
      </c>
      <c r="H556" s="85" t="str">
        <f t="shared" si="55"/>
        <v>3</v>
      </c>
      <c r="I556" s="87">
        <v>13109913</v>
      </c>
      <c r="J556" s="85" t="s">
        <v>3493</v>
      </c>
      <c r="K556" s="85" t="s">
        <v>2892</v>
      </c>
      <c r="L556" s="84"/>
      <c r="M556" s="85" t="s">
        <v>2892</v>
      </c>
      <c r="N556" s="85" t="s">
        <v>2879</v>
      </c>
      <c r="O556" s="85" t="s">
        <v>2892</v>
      </c>
      <c r="P556" s="86" t="s">
        <v>2890</v>
      </c>
    </row>
    <row r="557" spans="2:16" ht="15.75" x14ac:dyDescent="0.25">
      <c r="B557" s="85" t="str">
        <f t="shared" si="49"/>
        <v>1</v>
      </c>
      <c r="C557" s="85" t="str">
        <f t="shared" si="50"/>
        <v>3</v>
      </c>
      <c r="D557" s="85" t="str">
        <f t="shared" si="51"/>
        <v>1</v>
      </c>
      <c r="E557" s="85" t="str">
        <f t="shared" si="52"/>
        <v>0</v>
      </c>
      <c r="F557" s="85" t="str">
        <f t="shared" si="53"/>
        <v>99</v>
      </c>
      <c r="G557" s="85" t="str">
        <f t="shared" si="54"/>
        <v>1</v>
      </c>
      <c r="H557" s="85" t="str">
        <f t="shared" si="55"/>
        <v>4</v>
      </c>
      <c r="I557" s="87">
        <v>13109914</v>
      </c>
      <c r="J557" s="85" t="s">
        <v>3494</v>
      </c>
      <c r="K557" s="85" t="s">
        <v>2892</v>
      </c>
      <c r="L557" s="84"/>
      <c r="M557" s="85" t="s">
        <v>2892</v>
      </c>
      <c r="N557" s="85" t="s">
        <v>2879</v>
      </c>
      <c r="O557" s="85" t="s">
        <v>2892</v>
      </c>
      <c r="P557" s="86" t="s">
        <v>2890</v>
      </c>
    </row>
    <row r="558" spans="2:16" ht="30" x14ac:dyDescent="0.25">
      <c r="B558" s="126" t="str">
        <f t="shared" si="49"/>
        <v>1</v>
      </c>
      <c r="C558" s="126" t="str">
        <f t="shared" si="50"/>
        <v>3</v>
      </c>
      <c r="D558" s="126" t="str">
        <f t="shared" si="51"/>
        <v>2</v>
      </c>
      <c r="E558" s="126" t="str">
        <f t="shared" si="52"/>
        <v>0</v>
      </c>
      <c r="F558" s="126" t="str">
        <f t="shared" si="53"/>
        <v>00</v>
      </c>
      <c r="G558" s="126" t="str">
        <f t="shared" si="54"/>
        <v>0</v>
      </c>
      <c r="H558" s="126" t="str">
        <f t="shared" si="55"/>
        <v>0</v>
      </c>
      <c r="I558" s="127">
        <v>13200000</v>
      </c>
      <c r="J558" s="126" t="s">
        <v>3495</v>
      </c>
      <c r="K558" s="126" t="s">
        <v>3496</v>
      </c>
      <c r="L558" s="122"/>
      <c r="M558" s="126" t="s">
        <v>2878</v>
      </c>
      <c r="N558" s="126" t="s">
        <v>5016</v>
      </c>
      <c r="O558" s="126" t="s">
        <v>2878</v>
      </c>
      <c r="P558" s="128" t="s">
        <v>2880</v>
      </c>
    </row>
    <row r="559" spans="2:16" ht="30" x14ac:dyDescent="0.25">
      <c r="B559" s="104" t="str">
        <f t="shared" si="49"/>
        <v>1</v>
      </c>
      <c r="C559" s="104" t="str">
        <f t="shared" si="50"/>
        <v>3</v>
      </c>
      <c r="D559" s="104" t="str">
        <f t="shared" si="51"/>
        <v>2</v>
      </c>
      <c r="E559" s="104" t="str">
        <f t="shared" si="52"/>
        <v>1</v>
      </c>
      <c r="F559" s="104" t="str">
        <f t="shared" si="53"/>
        <v>00</v>
      </c>
      <c r="G559" s="104" t="str">
        <f t="shared" si="54"/>
        <v>0</v>
      </c>
      <c r="H559" s="104" t="str">
        <f t="shared" si="55"/>
        <v>0</v>
      </c>
      <c r="I559" s="105">
        <v>13210000</v>
      </c>
      <c r="J559" s="104" t="s">
        <v>3497</v>
      </c>
      <c r="K559" s="104" t="s">
        <v>3498</v>
      </c>
      <c r="L559" s="106"/>
      <c r="M559" s="104" t="s">
        <v>2878</v>
      </c>
      <c r="N559" s="104" t="s">
        <v>2879</v>
      </c>
      <c r="O559" s="104" t="s">
        <v>2878</v>
      </c>
      <c r="P559" s="107" t="s">
        <v>2880</v>
      </c>
    </row>
    <row r="560" spans="2:16" ht="30" x14ac:dyDescent="0.25">
      <c r="B560" s="114" t="str">
        <f t="shared" si="49"/>
        <v>1</v>
      </c>
      <c r="C560" s="114" t="str">
        <f t="shared" si="50"/>
        <v>3</v>
      </c>
      <c r="D560" s="114" t="str">
        <f t="shared" si="51"/>
        <v>2</v>
      </c>
      <c r="E560" s="114" t="str">
        <f t="shared" si="52"/>
        <v>1</v>
      </c>
      <c r="F560" s="114" t="str">
        <f t="shared" si="53"/>
        <v>00</v>
      </c>
      <c r="G560" s="114" t="str">
        <f t="shared" si="54"/>
        <v>1</v>
      </c>
      <c r="H560" s="114" t="str">
        <f t="shared" si="55"/>
        <v>0</v>
      </c>
      <c r="I560" s="115">
        <v>13210010</v>
      </c>
      <c r="J560" s="114" t="s">
        <v>603</v>
      </c>
      <c r="K560" s="114" t="s">
        <v>3499</v>
      </c>
      <c r="L560" s="116"/>
      <c r="M560" s="114" t="s">
        <v>2878</v>
      </c>
      <c r="N560" s="114" t="s">
        <v>2879</v>
      </c>
      <c r="O560" s="114" t="s">
        <v>2878</v>
      </c>
      <c r="P560" s="117" t="s">
        <v>2880</v>
      </c>
    </row>
    <row r="561" spans="2:16" ht="45" x14ac:dyDescent="0.25">
      <c r="B561" s="85" t="str">
        <f t="shared" si="49"/>
        <v>1</v>
      </c>
      <c r="C561" s="85" t="str">
        <f t="shared" si="50"/>
        <v>3</v>
      </c>
      <c r="D561" s="85" t="str">
        <f t="shared" si="51"/>
        <v>2</v>
      </c>
      <c r="E561" s="85" t="str">
        <f t="shared" si="52"/>
        <v>1</v>
      </c>
      <c r="F561" s="85" t="str">
        <f t="shared" si="53"/>
        <v>00</v>
      </c>
      <c r="G561" s="85" t="str">
        <f t="shared" si="54"/>
        <v>1</v>
      </c>
      <c r="H561" s="85" t="str">
        <f t="shared" si="55"/>
        <v>1</v>
      </c>
      <c r="I561" s="87">
        <v>13210011</v>
      </c>
      <c r="J561" s="85" t="s">
        <v>3500</v>
      </c>
      <c r="K561" s="85" t="s">
        <v>3501</v>
      </c>
      <c r="L561" s="84"/>
      <c r="M561" s="85" t="s">
        <v>3044</v>
      </c>
      <c r="N561" s="85" t="s">
        <v>2879</v>
      </c>
      <c r="O561" s="85" t="s">
        <v>3502</v>
      </c>
      <c r="P561" s="86" t="s">
        <v>2890</v>
      </c>
    </row>
    <row r="562" spans="2:16" ht="45" x14ac:dyDescent="0.25">
      <c r="B562" s="114" t="str">
        <f t="shared" si="49"/>
        <v>1</v>
      </c>
      <c r="C562" s="114" t="str">
        <f t="shared" si="50"/>
        <v>3</v>
      </c>
      <c r="D562" s="114" t="str">
        <f t="shared" si="51"/>
        <v>2</v>
      </c>
      <c r="E562" s="114" t="str">
        <f t="shared" si="52"/>
        <v>1</v>
      </c>
      <c r="F562" s="114" t="str">
        <f t="shared" si="53"/>
        <v>00</v>
      </c>
      <c r="G562" s="114" t="str">
        <f t="shared" si="54"/>
        <v>2</v>
      </c>
      <c r="H562" s="114" t="str">
        <f t="shared" si="55"/>
        <v>0</v>
      </c>
      <c r="I562" s="115">
        <v>13210020</v>
      </c>
      <c r="J562" s="114" t="s">
        <v>605</v>
      </c>
      <c r="K562" s="114" t="s">
        <v>3503</v>
      </c>
      <c r="L562" s="116"/>
      <c r="M562" s="114" t="s">
        <v>3044</v>
      </c>
      <c r="N562" s="114" t="s">
        <v>2879</v>
      </c>
      <c r="O562" s="114" t="s">
        <v>3502</v>
      </c>
      <c r="P562" s="117" t="s">
        <v>2880</v>
      </c>
    </row>
    <row r="563" spans="2:16" ht="45" x14ac:dyDescent="0.25">
      <c r="B563" s="85" t="str">
        <f t="shared" si="49"/>
        <v>1</v>
      </c>
      <c r="C563" s="85" t="str">
        <f t="shared" si="50"/>
        <v>3</v>
      </c>
      <c r="D563" s="85" t="str">
        <f t="shared" si="51"/>
        <v>2</v>
      </c>
      <c r="E563" s="85" t="str">
        <f t="shared" si="52"/>
        <v>1</v>
      </c>
      <c r="F563" s="85" t="str">
        <f t="shared" si="53"/>
        <v>00</v>
      </c>
      <c r="G563" s="85" t="str">
        <f t="shared" si="54"/>
        <v>2</v>
      </c>
      <c r="H563" s="85" t="str">
        <f t="shared" si="55"/>
        <v>1</v>
      </c>
      <c r="I563" s="87">
        <v>13210021</v>
      </c>
      <c r="J563" s="85" t="s">
        <v>3504</v>
      </c>
      <c r="K563" s="85" t="s">
        <v>3503</v>
      </c>
      <c r="L563" s="84"/>
      <c r="M563" s="85" t="s">
        <v>3044</v>
      </c>
      <c r="N563" s="85" t="s">
        <v>2879</v>
      </c>
      <c r="O563" s="85" t="s">
        <v>3502</v>
      </c>
      <c r="P563" s="86" t="s">
        <v>2890</v>
      </c>
    </row>
    <row r="564" spans="2:16" ht="45" x14ac:dyDescent="0.25">
      <c r="B564" s="114" t="str">
        <f t="shared" si="49"/>
        <v>1</v>
      </c>
      <c r="C564" s="114" t="str">
        <f t="shared" si="50"/>
        <v>3</v>
      </c>
      <c r="D564" s="114" t="str">
        <f t="shared" si="51"/>
        <v>2</v>
      </c>
      <c r="E564" s="114" t="str">
        <f t="shared" si="52"/>
        <v>1</v>
      </c>
      <c r="F564" s="114" t="str">
        <f t="shared" si="53"/>
        <v>00</v>
      </c>
      <c r="G564" s="114" t="str">
        <f t="shared" si="54"/>
        <v>3</v>
      </c>
      <c r="H564" s="114" t="str">
        <f t="shared" si="55"/>
        <v>0</v>
      </c>
      <c r="I564" s="115">
        <v>13210030</v>
      </c>
      <c r="J564" s="114" t="s">
        <v>3505</v>
      </c>
      <c r="K564" s="114" t="s">
        <v>3506</v>
      </c>
      <c r="L564" s="116"/>
      <c r="M564" s="114" t="s">
        <v>3044</v>
      </c>
      <c r="N564" s="114" t="s">
        <v>2879</v>
      </c>
      <c r="O564" s="114" t="s">
        <v>3502</v>
      </c>
      <c r="P564" s="117" t="s">
        <v>2880</v>
      </c>
    </row>
    <row r="565" spans="2:16" ht="45" x14ac:dyDescent="0.25">
      <c r="B565" s="85" t="str">
        <f t="shared" ref="B565:B628" si="56">MID($I565,1,1)</f>
        <v>1</v>
      </c>
      <c r="C565" s="85" t="str">
        <f t="shared" ref="C565:C628" si="57">MID($I565,2,1)</f>
        <v>3</v>
      </c>
      <c r="D565" s="85" t="str">
        <f t="shared" ref="D565:D628" si="58">MID($I565,3,1)</f>
        <v>2</v>
      </c>
      <c r="E565" s="85" t="str">
        <f t="shared" ref="E565:E628" si="59">MID($I565,4,1)</f>
        <v>1</v>
      </c>
      <c r="F565" s="85" t="str">
        <f t="shared" ref="F565:F628" si="60">MID($I565,5,2)</f>
        <v>00</v>
      </c>
      <c r="G565" s="85" t="str">
        <f t="shared" ref="G565:G628" si="61">MID($I565,7,1)</f>
        <v>3</v>
      </c>
      <c r="H565" s="85" t="str">
        <f t="shared" ref="H565:H628" si="62">MID($I565,8,1)</f>
        <v>1</v>
      </c>
      <c r="I565" s="87">
        <v>13210031</v>
      </c>
      <c r="J565" s="85" t="s">
        <v>3507</v>
      </c>
      <c r="K565" s="85" t="s">
        <v>3506</v>
      </c>
      <c r="L565" s="84"/>
      <c r="M565" s="85" t="s">
        <v>3044</v>
      </c>
      <c r="N565" s="85" t="s">
        <v>2879</v>
      </c>
      <c r="O565" s="85" t="s">
        <v>3502</v>
      </c>
      <c r="P565" s="86" t="s">
        <v>2890</v>
      </c>
    </row>
    <row r="566" spans="2:16" ht="45" x14ac:dyDescent="0.25">
      <c r="B566" s="114" t="str">
        <f t="shared" si="56"/>
        <v>1</v>
      </c>
      <c r="C566" s="114" t="str">
        <f t="shared" si="57"/>
        <v>3</v>
      </c>
      <c r="D566" s="114" t="str">
        <f t="shared" si="58"/>
        <v>2</v>
      </c>
      <c r="E566" s="114" t="str">
        <f t="shared" si="59"/>
        <v>1</v>
      </c>
      <c r="F566" s="114" t="str">
        <f t="shared" si="60"/>
        <v>00</v>
      </c>
      <c r="G566" s="114" t="str">
        <f t="shared" si="61"/>
        <v>4</v>
      </c>
      <c r="H566" s="114" t="str">
        <f t="shared" si="62"/>
        <v>0</v>
      </c>
      <c r="I566" s="115">
        <v>13210040</v>
      </c>
      <c r="J566" s="114" t="s">
        <v>3508</v>
      </c>
      <c r="K566" s="114" t="s">
        <v>3509</v>
      </c>
      <c r="L566" s="116"/>
      <c r="M566" s="114" t="s">
        <v>2878</v>
      </c>
      <c r="N566" s="114" t="s">
        <v>2879</v>
      </c>
      <c r="O566" s="114" t="s">
        <v>2878</v>
      </c>
      <c r="P566" s="117" t="s">
        <v>2880</v>
      </c>
    </row>
    <row r="567" spans="2:16" ht="60" x14ac:dyDescent="0.25">
      <c r="B567" s="85" t="str">
        <f t="shared" si="56"/>
        <v>1</v>
      </c>
      <c r="C567" s="85" t="str">
        <f t="shared" si="57"/>
        <v>3</v>
      </c>
      <c r="D567" s="85" t="str">
        <f t="shared" si="58"/>
        <v>2</v>
      </c>
      <c r="E567" s="85" t="str">
        <f t="shared" si="59"/>
        <v>1</v>
      </c>
      <c r="F567" s="85" t="str">
        <f t="shared" si="60"/>
        <v>00</v>
      </c>
      <c r="G567" s="85" t="str">
        <f t="shared" si="61"/>
        <v>4</v>
      </c>
      <c r="H567" s="85" t="str">
        <f t="shared" si="62"/>
        <v>1</v>
      </c>
      <c r="I567" s="87">
        <v>13210041</v>
      </c>
      <c r="J567" s="85" t="s">
        <v>3510</v>
      </c>
      <c r="K567" s="85" t="s">
        <v>3511</v>
      </c>
      <c r="L567" s="84"/>
      <c r="M567" s="85" t="s">
        <v>3512</v>
      </c>
      <c r="N567" s="85" t="s">
        <v>2879</v>
      </c>
      <c r="O567" s="85" t="s">
        <v>3513</v>
      </c>
      <c r="P567" s="86" t="s">
        <v>2890</v>
      </c>
    </row>
    <row r="568" spans="2:16" ht="30" x14ac:dyDescent="0.25">
      <c r="B568" s="114" t="str">
        <f t="shared" si="56"/>
        <v>1</v>
      </c>
      <c r="C568" s="114" t="str">
        <f t="shared" si="57"/>
        <v>3</v>
      </c>
      <c r="D568" s="114" t="str">
        <f t="shared" si="58"/>
        <v>2</v>
      </c>
      <c r="E568" s="114" t="str">
        <f t="shared" si="59"/>
        <v>1</v>
      </c>
      <c r="F568" s="114" t="str">
        <f t="shared" si="60"/>
        <v>00</v>
      </c>
      <c r="G568" s="114" t="str">
        <f t="shared" si="61"/>
        <v>5</v>
      </c>
      <c r="H568" s="114" t="str">
        <f t="shared" si="62"/>
        <v>0</v>
      </c>
      <c r="I568" s="115">
        <v>13210050</v>
      </c>
      <c r="J568" s="114" t="s">
        <v>589</v>
      </c>
      <c r="K568" s="114" t="s">
        <v>3514</v>
      </c>
      <c r="L568" s="116"/>
      <c r="M568" s="114" t="s">
        <v>2878</v>
      </c>
      <c r="N568" s="114" t="s">
        <v>2879</v>
      </c>
      <c r="O568" s="114" t="s">
        <v>2878</v>
      </c>
      <c r="P568" s="117" t="s">
        <v>2880</v>
      </c>
    </row>
    <row r="569" spans="2:16" ht="30" x14ac:dyDescent="0.25">
      <c r="B569" s="85" t="str">
        <f t="shared" si="56"/>
        <v>1</v>
      </c>
      <c r="C569" s="85" t="str">
        <f t="shared" si="57"/>
        <v>3</v>
      </c>
      <c r="D569" s="85" t="str">
        <f t="shared" si="58"/>
        <v>2</v>
      </c>
      <c r="E569" s="85" t="str">
        <f t="shared" si="59"/>
        <v>1</v>
      </c>
      <c r="F569" s="85" t="str">
        <f t="shared" si="60"/>
        <v>00</v>
      </c>
      <c r="G569" s="85" t="str">
        <f t="shared" si="61"/>
        <v>5</v>
      </c>
      <c r="H569" s="85" t="str">
        <f t="shared" si="62"/>
        <v>1</v>
      </c>
      <c r="I569" s="87">
        <v>13210051</v>
      </c>
      <c r="J569" s="85" t="s">
        <v>3515</v>
      </c>
      <c r="K569" s="85" t="s">
        <v>3516</v>
      </c>
      <c r="L569" s="84"/>
      <c r="M569" s="85" t="s">
        <v>3044</v>
      </c>
      <c r="N569" s="85" t="s">
        <v>2879</v>
      </c>
      <c r="O569" s="85" t="s">
        <v>3517</v>
      </c>
      <c r="P569" s="86" t="s">
        <v>2890</v>
      </c>
    </row>
    <row r="570" spans="2:16" s="153" customFormat="1" ht="60" x14ac:dyDescent="0.25">
      <c r="B570" s="130" t="str">
        <f t="shared" si="56"/>
        <v>1</v>
      </c>
      <c r="C570" s="130" t="str">
        <f t="shared" si="57"/>
        <v>3</v>
      </c>
      <c r="D570" s="130" t="str">
        <f t="shared" si="58"/>
        <v>2</v>
      </c>
      <c r="E570" s="130" t="str">
        <f t="shared" si="59"/>
        <v>1</v>
      </c>
      <c r="F570" s="130" t="str">
        <f t="shared" si="60"/>
        <v>00</v>
      </c>
      <c r="G570" s="130" t="str">
        <f t="shared" si="61"/>
        <v>6</v>
      </c>
      <c r="H570" s="130" t="str">
        <f t="shared" si="62"/>
        <v>0</v>
      </c>
      <c r="I570" s="129">
        <v>13210060</v>
      </c>
      <c r="J570" s="130" t="s">
        <v>599</v>
      </c>
      <c r="K570" s="130" t="s">
        <v>3518</v>
      </c>
      <c r="L570" s="116"/>
      <c r="M570" s="130" t="s">
        <v>2878</v>
      </c>
      <c r="N570" s="130" t="s">
        <v>2879</v>
      </c>
      <c r="O570" s="130" t="s">
        <v>2878</v>
      </c>
      <c r="P570" s="152" t="s">
        <v>2880</v>
      </c>
    </row>
    <row r="571" spans="2:16" s="153" customFormat="1" ht="60" x14ac:dyDescent="0.25">
      <c r="B571" s="93" t="str">
        <f t="shared" si="56"/>
        <v>1</v>
      </c>
      <c r="C571" s="93" t="str">
        <f t="shared" si="57"/>
        <v>3</v>
      </c>
      <c r="D571" s="93" t="str">
        <f t="shared" si="58"/>
        <v>2</v>
      </c>
      <c r="E571" s="93" t="str">
        <f t="shared" si="59"/>
        <v>1</v>
      </c>
      <c r="F571" s="93" t="str">
        <f t="shared" si="60"/>
        <v>00</v>
      </c>
      <c r="G571" s="93" t="str">
        <f t="shared" si="61"/>
        <v>6</v>
      </c>
      <c r="H571" s="93" t="str">
        <f t="shared" si="62"/>
        <v>1</v>
      </c>
      <c r="I571" s="135">
        <v>13210061</v>
      </c>
      <c r="J571" s="93" t="s">
        <v>3519</v>
      </c>
      <c r="K571" s="93" t="s">
        <v>600</v>
      </c>
      <c r="L571" s="84"/>
      <c r="M571" s="93" t="s">
        <v>3520</v>
      </c>
      <c r="N571" s="93" t="s">
        <v>596</v>
      </c>
      <c r="O571" s="93" t="s">
        <v>3521</v>
      </c>
      <c r="P571" s="154" t="s">
        <v>2890</v>
      </c>
    </row>
    <row r="572" spans="2:16" ht="30" x14ac:dyDescent="0.25">
      <c r="B572" s="104" t="str">
        <f t="shared" si="56"/>
        <v>1</v>
      </c>
      <c r="C572" s="104" t="str">
        <f t="shared" si="57"/>
        <v>3</v>
      </c>
      <c r="D572" s="104" t="str">
        <f t="shared" si="58"/>
        <v>2</v>
      </c>
      <c r="E572" s="104" t="str">
        <f t="shared" si="59"/>
        <v>2</v>
      </c>
      <c r="F572" s="104" t="str">
        <f t="shared" si="60"/>
        <v>00</v>
      </c>
      <c r="G572" s="104" t="str">
        <f t="shared" si="61"/>
        <v>0</v>
      </c>
      <c r="H572" s="104" t="str">
        <f t="shared" si="62"/>
        <v>0</v>
      </c>
      <c r="I572" s="105">
        <v>13220000</v>
      </c>
      <c r="J572" s="104" t="s">
        <v>594</v>
      </c>
      <c r="K572" s="104" t="s">
        <v>3522</v>
      </c>
      <c r="L572" s="106"/>
      <c r="M572" s="104" t="s">
        <v>2878</v>
      </c>
      <c r="N572" s="104" t="s">
        <v>2879</v>
      </c>
      <c r="O572" s="104" t="s">
        <v>2878</v>
      </c>
      <c r="P572" s="107" t="s">
        <v>2880</v>
      </c>
    </row>
    <row r="573" spans="2:16" ht="30" x14ac:dyDescent="0.25">
      <c r="B573" s="114" t="str">
        <f t="shared" si="56"/>
        <v>1</v>
      </c>
      <c r="C573" s="114" t="str">
        <f t="shared" si="57"/>
        <v>3</v>
      </c>
      <c r="D573" s="114" t="str">
        <f t="shared" si="58"/>
        <v>2</v>
      </c>
      <c r="E573" s="114" t="str">
        <f t="shared" si="59"/>
        <v>2</v>
      </c>
      <c r="F573" s="114" t="str">
        <f t="shared" si="60"/>
        <v>00</v>
      </c>
      <c r="G573" s="114" t="str">
        <f t="shared" si="61"/>
        <v>1</v>
      </c>
      <c r="H573" s="114" t="str">
        <f t="shared" si="62"/>
        <v>0</v>
      </c>
      <c r="I573" s="115">
        <v>13220010</v>
      </c>
      <c r="J573" s="114" t="s">
        <v>594</v>
      </c>
      <c r="K573" s="114" t="s">
        <v>3522</v>
      </c>
      <c r="L573" s="116"/>
      <c r="M573" s="114" t="s">
        <v>2878</v>
      </c>
      <c r="N573" s="114" t="s">
        <v>2879</v>
      </c>
      <c r="O573" s="114" t="s">
        <v>2878</v>
      </c>
      <c r="P573" s="117" t="s">
        <v>2880</v>
      </c>
    </row>
    <row r="574" spans="2:16" ht="45" x14ac:dyDescent="0.25">
      <c r="B574" s="85" t="str">
        <f t="shared" si="56"/>
        <v>1</v>
      </c>
      <c r="C574" s="85" t="str">
        <f t="shared" si="57"/>
        <v>3</v>
      </c>
      <c r="D574" s="85" t="str">
        <f t="shared" si="58"/>
        <v>2</v>
      </c>
      <c r="E574" s="85" t="str">
        <f t="shared" si="59"/>
        <v>2</v>
      </c>
      <c r="F574" s="85" t="str">
        <f t="shared" si="60"/>
        <v>00</v>
      </c>
      <c r="G574" s="85" t="str">
        <f t="shared" si="61"/>
        <v>1</v>
      </c>
      <c r="H574" s="85" t="str">
        <f t="shared" si="62"/>
        <v>1</v>
      </c>
      <c r="I574" s="87">
        <v>13220011</v>
      </c>
      <c r="J574" s="85" t="s">
        <v>3523</v>
      </c>
      <c r="K574" s="85" t="s">
        <v>3524</v>
      </c>
      <c r="L574" s="84"/>
      <c r="M574" s="85" t="s">
        <v>3525</v>
      </c>
      <c r="N574" s="85" t="s">
        <v>596</v>
      </c>
      <c r="O574" s="85" t="s">
        <v>3526</v>
      </c>
      <c r="P574" s="86" t="s">
        <v>2890</v>
      </c>
    </row>
    <row r="575" spans="2:16" ht="15.75" x14ac:dyDescent="0.25">
      <c r="B575" s="85" t="str">
        <f t="shared" si="56"/>
        <v>1</v>
      </c>
      <c r="C575" s="85" t="str">
        <f t="shared" si="57"/>
        <v>3</v>
      </c>
      <c r="D575" s="85" t="str">
        <f t="shared" si="58"/>
        <v>2</v>
      </c>
      <c r="E575" s="85" t="str">
        <f t="shared" si="59"/>
        <v>2</v>
      </c>
      <c r="F575" s="85" t="str">
        <f t="shared" si="60"/>
        <v>00</v>
      </c>
      <c r="G575" s="85" t="str">
        <f t="shared" si="61"/>
        <v>1</v>
      </c>
      <c r="H575" s="85" t="str">
        <f t="shared" si="62"/>
        <v>2</v>
      </c>
      <c r="I575" s="87">
        <v>13220012</v>
      </c>
      <c r="J575" s="85" t="s">
        <v>3527</v>
      </c>
      <c r="K575" s="85" t="s">
        <v>2892</v>
      </c>
      <c r="L575" s="84"/>
      <c r="M575" s="85" t="s">
        <v>2892</v>
      </c>
      <c r="N575" s="85" t="s">
        <v>2879</v>
      </c>
      <c r="O575" s="85" t="s">
        <v>2892</v>
      </c>
      <c r="P575" s="86" t="s">
        <v>2890</v>
      </c>
    </row>
    <row r="576" spans="2:16" ht="15.75" x14ac:dyDescent="0.25">
      <c r="B576" s="85" t="str">
        <f t="shared" si="56"/>
        <v>1</v>
      </c>
      <c r="C576" s="85" t="str">
        <f t="shared" si="57"/>
        <v>3</v>
      </c>
      <c r="D576" s="85" t="str">
        <f t="shared" si="58"/>
        <v>2</v>
      </c>
      <c r="E576" s="85" t="str">
        <f t="shared" si="59"/>
        <v>2</v>
      </c>
      <c r="F576" s="85" t="str">
        <f t="shared" si="60"/>
        <v>00</v>
      </c>
      <c r="G576" s="85" t="str">
        <f t="shared" si="61"/>
        <v>1</v>
      </c>
      <c r="H576" s="85" t="str">
        <f t="shared" si="62"/>
        <v>3</v>
      </c>
      <c r="I576" s="87">
        <v>13220013</v>
      </c>
      <c r="J576" s="85" t="s">
        <v>3528</v>
      </c>
      <c r="K576" s="85" t="s">
        <v>2892</v>
      </c>
      <c r="L576" s="84"/>
      <c r="M576" s="85" t="s">
        <v>2892</v>
      </c>
      <c r="N576" s="85" t="s">
        <v>2879</v>
      </c>
      <c r="O576" s="85" t="s">
        <v>2892</v>
      </c>
      <c r="P576" s="86" t="s">
        <v>2890</v>
      </c>
    </row>
    <row r="577" spans="2:16" ht="15.75" x14ac:dyDescent="0.25">
      <c r="B577" s="85" t="str">
        <f t="shared" si="56"/>
        <v>1</v>
      </c>
      <c r="C577" s="85" t="str">
        <f t="shared" si="57"/>
        <v>3</v>
      </c>
      <c r="D577" s="85" t="str">
        <f t="shared" si="58"/>
        <v>2</v>
      </c>
      <c r="E577" s="85" t="str">
        <f t="shared" si="59"/>
        <v>2</v>
      </c>
      <c r="F577" s="85" t="str">
        <f t="shared" si="60"/>
        <v>00</v>
      </c>
      <c r="G577" s="85" t="str">
        <f t="shared" si="61"/>
        <v>1</v>
      </c>
      <c r="H577" s="85" t="str">
        <f t="shared" si="62"/>
        <v>4</v>
      </c>
      <c r="I577" s="87">
        <v>13220014</v>
      </c>
      <c r="J577" s="85" t="s">
        <v>3529</v>
      </c>
      <c r="K577" s="85" t="s">
        <v>2892</v>
      </c>
      <c r="L577" s="84"/>
      <c r="M577" s="85" t="s">
        <v>2892</v>
      </c>
      <c r="N577" s="85" t="s">
        <v>2879</v>
      </c>
      <c r="O577" s="85" t="s">
        <v>2892</v>
      </c>
      <c r="P577" s="86" t="s">
        <v>2890</v>
      </c>
    </row>
    <row r="578" spans="2:16" s="153" customFormat="1" ht="30" x14ac:dyDescent="0.25">
      <c r="B578" s="155" t="str">
        <f t="shared" si="56"/>
        <v>1</v>
      </c>
      <c r="C578" s="155" t="str">
        <f t="shared" si="57"/>
        <v>3</v>
      </c>
      <c r="D578" s="155" t="str">
        <f t="shared" si="58"/>
        <v>2</v>
      </c>
      <c r="E578" s="155" t="str">
        <f t="shared" si="59"/>
        <v>3</v>
      </c>
      <c r="F578" s="155" t="str">
        <f t="shared" si="60"/>
        <v>00</v>
      </c>
      <c r="G578" s="155" t="str">
        <f t="shared" si="61"/>
        <v>0</v>
      </c>
      <c r="H578" s="155" t="str">
        <f t="shared" si="62"/>
        <v>0</v>
      </c>
      <c r="I578" s="161">
        <v>13230000</v>
      </c>
      <c r="J578" s="155" t="s">
        <v>597</v>
      </c>
      <c r="K578" s="155" t="s">
        <v>3530</v>
      </c>
      <c r="L578" s="106"/>
      <c r="M578" s="155" t="s">
        <v>2878</v>
      </c>
      <c r="N578" s="155" t="s">
        <v>2879</v>
      </c>
      <c r="O578" s="155" t="s">
        <v>2878</v>
      </c>
      <c r="P578" s="162" t="s">
        <v>2880</v>
      </c>
    </row>
    <row r="579" spans="2:16" s="153" customFormat="1" ht="30" x14ac:dyDescent="0.25">
      <c r="B579" s="130" t="str">
        <f t="shared" si="56"/>
        <v>1</v>
      </c>
      <c r="C579" s="130" t="str">
        <f t="shared" si="57"/>
        <v>3</v>
      </c>
      <c r="D579" s="130" t="str">
        <f t="shared" si="58"/>
        <v>2</v>
      </c>
      <c r="E579" s="130" t="str">
        <f t="shared" si="59"/>
        <v>3</v>
      </c>
      <c r="F579" s="130" t="str">
        <f t="shared" si="60"/>
        <v>00</v>
      </c>
      <c r="G579" s="130" t="str">
        <f t="shared" si="61"/>
        <v>1</v>
      </c>
      <c r="H579" s="130" t="str">
        <f t="shared" si="62"/>
        <v>0</v>
      </c>
      <c r="I579" s="129">
        <v>13230010</v>
      </c>
      <c r="J579" s="130" t="s">
        <v>597</v>
      </c>
      <c r="K579" s="130" t="s">
        <v>3530</v>
      </c>
      <c r="L579" s="116"/>
      <c r="M579" s="130" t="s">
        <v>2878</v>
      </c>
      <c r="N579" s="130" t="s">
        <v>2879</v>
      </c>
      <c r="O579" s="130" t="s">
        <v>2878</v>
      </c>
      <c r="P579" s="152" t="s">
        <v>2880</v>
      </c>
    </row>
    <row r="580" spans="2:16" s="153" customFormat="1" ht="45" x14ac:dyDescent="0.25">
      <c r="B580" s="93" t="str">
        <f t="shared" si="56"/>
        <v>1</v>
      </c>
      <c r="C580" s="93" t="str">
        <f t="shared" si="57"/>
        <v>3</v>
      </c>
      <c r="D580" s="93" t="str">
        <f t="shared" si="58"/>
        <v>2</v>
      </c>
      <c r="E580" s="93" t="str">
        <f t="shared" si="59"/>
        <v>3</v>
      </c>
      <c r="F580" s="93" t="str">
        <f t="shared" si="60"/>
        <v>00</v>
      </c>
      <c r="G580" s="93" t="str">
        <f t="shared" si="61"/>
        <v>1</v>
      </c>
      <c r="H580" s="93" t="str">
        <f t="shared" si="62"/>
        <v>1</v>
      </c>
      <c r="I580" s="135">
        <v>13230011</v>
      </c>
      <c r="J580" s="93" t="s">
        <v>3531</v>
      </c>
      <c r="K580" s="93" t="s">
        <v>3532</v>
      </c>
      <c r="L580" s="84"/>
      <c r="M580" s="93" t="s">
        <v>3533</v>
      </c>
      <c r="N580" s="93" t="s">
        <v>596</v>
      </c>
      <c r="O580" s="93" t="s">
        <v>3526</v>
      </c>
      <c r="P580" s="154" t="s">
        <v>2890</v>
      </c>
    </row>
    <row r="581" spans="2:16" s="153" customFormat="1" ht="15.75" x14ac:dyDescent="0.25">
      <c r="B581" s="93" t="str">
        <f t="shared" si="56"/>
        <v>1</v>
      </c>
      <c r="C581" s="93" t="str">
        <f t="shared" si="57"/>
        <v>3</v>
      </c>
      <c r="D581" s="93" t="str">
        <f t="shared" si="58"/>
        <v>2</v>
      </c>
      <c r="E581" s="93" t="str">
        <f t="shared" si="59"/>
        <v>3</v>
      </c>
      <c r="F581" s="93" t="str">
        <f t="shared" si="60"/>
        <v>00</v>
      </c>
      <c r="G581" s="93" t="str">
        <f t="shared" si="61"/>
        <v>1</v>
      </c>
      <c r="H581" s="93" t="str">
        <f t="shared" si="62"/>
        <v>2</v>
      </c>
      <c r="I581" s="135">
        <v>13230012</v>
      </c>
      <c r="J581" s="93" t="s">
        <v>3534</v>
      </c>
      <c r="K581" s="93" t="s">
        <v>2892</v>
      </c>
      <c r="L581" s="84"/>
      <c r="M581" s="93" t="s">
        <v>2892</v>
      </c>
      <c r="N581" s="93" t="s">
        <v>2879</v>
      </c>
      <c r="O581" s="93" t="s">
        <v>2892</v>
      </c>
      <c r="P581" s="154" t="s">
        <v>2890</v>
      </c>
    </row>
    <row r="582" spans="2:16" s="153" customFormat="1" ht="15.75" x14ac:dyDescent="0.25">
      <c r="B582" s="93" t="str">
        <f t="shared" si="56"/>
        <v>1</v>
      </c>
      <c r="C582" s="93" t="str">
        <f t="shared" si="57"/>
        <v>3</v>
      </c>
      <c r="D582" s="93" t="str">
        <f t="shared" si="58"/>
        <v>2</v>
      </c>
      <c r="E582" s="93" t="str">
        <f t="shared" si="59"/>
        <v>3</v>
      </c>
      <c r="F582" s="93" t="str">
        <f t="shared" si="60"/>
        <v>00</v>
      </c>
      <c r="G582" s="93" t="str">
        <f t="shared" si="61"/>
        <v>1</v>
      </c>
      <c r="H582" s="93" t="str">
        <f t="shared" si="62"/>
        <v>3</v>
      </c>
      <c r="I582" s="135">
        <v>13230013</v>
      </c>
      <c r="J582" s="93" t="s">
        <v>3535</v>
      </c>
      <c r="K582" s="93" t="s">
        <v>2892</v>
      </c>
      <c r="L582" s="84"/>
      <c r="M582" s="93" t="s">
        <v>2892</v>
      </c>
      <c r="N582" s="93" t="s">
        <v>2879</v>
      </c>
      <c r="O582" s="93" t="s">
        <v>2892</v>
      </c>
      <c r="P582" s="154" t="s">
        <v>2890</v>
      </c>
    </row>
    <row r="583" spans="2:16" s="153" customFormat="1" ht="15.75" x14ac:dyDescent="0.25">
      <c r="B583" s="93" t="str">
        <f t="shared" si="56"/>
        <v>1</v>
      </c>
      <c r="C583" s="93" t="str">
        <f t="shared" si="57"/>
        <v>3</v>
      </c>
      <c r="D583" s="93" t="str">
        <f t="shared" si="58"/>
        <v>2</v>
      </c>
      <c r="E583" s="93" t="str">
        <f t="shared" si="59"/>
        <v>3</v>
      </c>
      <c r="F583" s="93" t="str">
        <f t="shared" si="60"/>
        <v>00</v>
      </c>
      <c r="G583" s="93" t="str">
        <f t="shared" si="61"/>
        <v>1</v>
      </c>
      <c r="H583" s="93" t="str">
        <f t="shared" si="62"/>
        <v>4</v>
      </c>
      <c r="I583" s="135">
        <v>13230014</v>
      </c>
      <c r="J583" s="93" t="s">
        <v>3536</v>
      </c>
      <c r="K583" s="93" t="s">
        <v>2892</v>
      </c>
      <c r="L583" s="84"/>
      <c r="M583" s="93" t="s">
        <v>2892</v>
      </c>
      <c r="N583" s="93" t="s">
        <v>2879</v>
      </c>
      <c r="O583" s="93" t="s">
        <v>2892</v>
      </c>
      <c r="P583" s="154" t="s">
        <v>2890</v>
      </c>
    </row>
    <row r="584" spans="2:16" ht="30" x14ac:dyDescent="0.25">
      <c r="B584" s="104" t="str">
        <f t="shared" si="56"/>
        <v>1</v>
      </c>
      <c r="C584" s="104" t="str">
        <f t="shared" si="57"/>
        <v>3</v>
      </c>
      <c r="D584" s="104" t="str">
        <f t="shared" si="58"/>
        <v>2</v>
      </c>
      <c r="E584" s="104" t="str">
        <f t="shared" si="59"/>
        <v>9</v>
      </c>
      <c r="F584" s="104" t="str">
        <f t="shared" si="60"/>
        <v>00</v>
      </c>
      <c r="G584" s="104" t="str">
        <f t="shared" si="61"/>
        <v>0</v>
      </c>
      <c r="H584" s="104" t="str">
        <f t="shared" si="62"/>
        <v>0</v>
      </c>
      <c r="I584" s="105">
        <v>13290000</v>
      </c>
      <c r="J584" s="104" t="s">
        <v>3537</v>
      </c>
      <c r="K584" s="104" t="s">
        <v>3538</v>
      </c>
      <c r="L584" s="106"/>
      <c r="M584" s="104" t="s">
        <v>2878</v>
      </c>
      <c r="N584" s="104" t="s">
        <v>2879</v>
      </c>
      <c r="O584" s="104" t="s">
        <v>2878</v>
      </c>
      <c r="P584" s="107" t="s">
        <v>2880</v>
      </c>
    </row>
    <row r="585" spans="2:16" ht="30" x14ac:dyDescent="0.25">
      <c r="B585" s="114" t="str">
        <f t="shared" si="56"/>
        <v>1</v>
      </c>
      <c r="C585" s="114" t="str">
        <f t="shared" si="57"/>
        <v>3</v>
      </c>
      <c r="D585" s="114" t="str">
        <f t="shared" si="58"/>
        <v>2</v>
      </c>
      <c r="E585" s="114" t="str">
        <f t="shared" si="59"/>
        <v>9</v>
      </c>
      <c r="F585" s="114" t="str">
        <f t="shared" si="60"/>
        <v>00</v>
      </c>
      <c r="G585" s="114" t="str">
        <f t="shared" si="61"/>
        <v>1</v>
      </c>
      <c r="H585" s="114" t="str">
        <f t="shared" si="62"/>
        <v>0</v>
      </c>
      <c r="I585" s="115">
        <v>13290010</v>
      </c>
      <c r="J585" s="114" t="s">
        <v>3537</v>
      </c>
      <c r="K585" s="114" t="s">
        <v>3538</v>
      </c>
      <c r="L585" s="116"/>
      <c r="M585" s="114" t="s">
        <v>2878</v>
      </c>
      <c r="N585" s="114" t="s">
        <v>2879</v>
      </c>
      <c r="O585" s="114" t="s">
        <v>2878</v>
      </c>
      <c r="P585" s="117" t="s">
        <v>2880</v>
      </c>
    </row>
    <row r="586" spans="2:16" ht="30" x14ac:dyDescent="0.25">
      <c r="B586" s="85" t="str">
        <f t="shared" si="56"/>
        <v>1</v>
      </c>
      <c r="C586" s="85" t="str">
        <f t="shared" si="57"/>
        <v>3</v>
      </c>
      <c r="D586" s="85" t="str">
        <f t="shared" si="58"/>
        <v>2</v>
      </c>
      <c r="E586" s="85" t="str">
        <f t="shared" si="59"/>
        <v>9</v>
      </c>
      <c r="F586" s="85" t="str">
        <f t="shared" si="60"/>
        <v>00</v>
      </c>
      <c r="G586" s="85" t="str">
        <f t="shared" si="61"/>
        <v>1</v>
      </c>
      <c r="H586" s="85" t="str">
        <f t="shared" si="62"/>
        <v>1</v>
      </c>
      <c r="I586" s="87">
        <v>13290011</v>
      </c>
      <c r="J586" s="85" t="s">
        <v>3539</v>
      </c>
      <c r="K586" s="85" t="s">
        <v>3540</v>
      </c>
      <c r="L586" s="84"/>
      <c r="M586" s="85" t="s">
        <v>3044</v>
      </c>
      <c r="N586" s="85" t="s">
        <v>2879</v>
      </c>
      <c r="O586" s="85" t="s">
        <v>3517</v>
      </c>
      <c r="P586" s="86" t="s">
        <v>2890</v>
      </c>
    </row>
    <row r="587" spans="2:16" ht="15.75" x14ac:dyDescent="0.25">
      <c r="B587" s="85" t="str">
        <f t="shared" si="56"/>
        <v>1</v>
      </c>
      <c r="C587" s="85" t="str">
        <f t="shared" si="57"/>
        <v>3</v>
      </c>
      <c r="D587" s="85" t="str">
        <f t="shared" si="58"/>
        <v>2</v>
      </c>
      <c r="E587" s="85" t="str">
        <f t="shared" si="59"/>
        <v>9</v>
      </c>
      <c r="F587" s="85" t="str">
        <f t="shared" si="60"/>
        <v>00</v>
      </c>
      <c r="G587" s="85" t="str">
        <f t="shared" si="61"/>
        <v>1</v>
      </c>
      <c r="H587" s="85" t="str">
        <f t="shared" si="62"/>
        <v>2</v>
      </c>
      <c r="I587" s="87">
        <v>13290012</v>
      </c>
      <c r="J587" s="85" t="s">
        <v>3541</v>
      </c>
      <c r="K587" s="85" t="s">
        <v>2892</v>
      </c>
      <c r="L587" s="84"/>
      <c r="M587" s="85" t="s">
        <v>2892</v>
      </c>
      <c r="N587" s="85" t="s">
        <v>2879</v>
      </c>
      <c r="O587" s="85" t="s">
        <v>2892</v>
      </c>
      <c r="P587" s="86" t="s">
        <v>2890</v>
      </c>
    </row>
    <row r="588" spans="2:16" ht="15.75" x14ac:dyDescent="0.25">
      <c r="B588" s="85" t="str">
        <f t="shared" si="56"/>
        <v>1</v>
      </c>
      <c r="C588" s="85" t="str">
        <f t="shared" si="57"/>
        <v>3</v>
      </c>
      <c r="D588" s="85" t="str">
        <f t="shared" si="58"/>
        <v>2</v>
      </c>
      <c r="E588" s="85" t="str">
        <f t="shared" si="59"/>
        <v>9</v>
      </c>
      <c r="F588" s="85" t="str">
        <f t="shared" si="60"/>
        <v>00</v>
      </c>
      <c r="G588" s="85" t="str">
        <f t="shared" si="61"/>
        <v>1</v>
      </c>
      <c r="H588" s="85" t="str">
        <f t="shared" si="62"/>
        <v>3</v>
      </c>
      <c r="I588" s="87">
        <v>13290013</v>
      </c>
      <c r="J588" s="85" t="s">
        <v>3542</v>
      </c>
      <c r="K588" s="85" t="s">
        <v>2892</v>
      </c>
      <c r="L588" s="84"/>
      <c r="M588" s="85" t="s">
        <v>2892</v>
      </c>
      <c r="N588" s="85" t="s">
        <v>2879</v>
      </c>
      <c r="O588" s="85" t="s">
        <v>2892</v>
      </c>
      <c r="P588" s="86" t="s">
        <v>2890</v>
      </c>
    </row>
    <row r="589" spans="2:16" ht="15.75" x14ac:dyDescent="0.25">
      <c r="B589" s="85" t="str">
        <f t="shared" si="56"/>
        <v>1</v>
      </c>
      <c r="C589" s="85" t="str">
        <f t="shared" si="57"/>
        <v>3</v>
      </c>
      <c r="D589" s="85" t="str">
        <f t="shared" si="58"/>
        <v>2</v>
      </c>
      <c r="E589" s="85" t="str">
        <f t="shared" si="59"/>
        <v>9</v>
      </c>
      <c r="F589" s="85" t="str">
        <f t="shared" si="60"/>
        <v>00</v>
      </c>
      <c r="G589" s="85" t="str">
        <f t="shared" si="61"/>
        <v>1</v>
      </c>
      <c r="H589" s="85" t="str">
        <f t="shared" si="62"/>
        <v>4</v>
      </c>
      <c r="I589" s="87">
        <v>13290014</v>
      </c>
      <c r="J589" s="85" t="s">
        <v>3543</v>
      </c>
      <c r="K589" s="85" t="s">
        <v>2892</v>
      </c>
      <c r="L589" s="84"/>
      <c r="M589" s="85" t="s">
        <v>2892</v>
      </c>
      <c r="N589" s="85" t="s">
        <v>2879</v>
      </c>
      <c r="O589" s="85" t="s">
        <v>2892</v>
      </c>
      <c r="P589" s="86" t="s">
        <v>2890</v>
      </c>
    </row>
    <row r="590" spans="2:16" ht="45" x14ac:dyDescent="0.25">
      <c r="B590" s="126" t="str">
        <f t="shared" si="56"/>
        <v>1</v>
      </c>
      <c r="C590" s="126" t="str">
        <f t="shared" si="57"/>
        <v>3</v>
      </c>
      <c r="D590" s="126" t="str">
        <f t="shared" si="58"/>
        <v>3</v>
      </c>
      <c r="E590" s="126" t="str">
        <f t="shared" si="59"/>
        <v>0</v>
      </c>
      <c r="F590" s="126" t="str">
        <f t="shared" si="60"/>
        <v>00</v>
      </c>
      <c r="G590" s="126" t="str">
        <f t="shared" si="61"/>
        <v>0</v>
      </c>
      <c r="H590" s="126" t="str">
        <f t="shared" si="62"/>
        <v>0</v>
      </c>
      <c r="I590" s="127">
        <v>13300000</v>
      </c>
      <c r="J590" s="126" t="s">
        <v>3544</v>
      </c>
      <c r="K590" s="126" t="s">
        <v>3545</v>
      </c>
      <c r="L590" s="122"/>
      <c r="M590" s="126" t="s">
        <v>2878</v>
      </c>
      <c r="N590" s="126" t="s">
        <v>5016</v>
      </c>
      <c r="O590" s="126" t="s">
        <v>2878</v>
      </c>
      <c r="P590" s="128" t="s">
        <v>2880</v>
      </c>
    </row>
    <row r="591" spans="2:16" ht="45" x14ac:dyDescent="0.25">
      <c r="B591" s="104" t="str">
        <f t="shared" si="56"/>
        <v>1</v>
      </c>
      <c r="C591" s="104" t="str">
        <f t="shared" si="57"/>
        <v>3</v>
      </c>
      <c r="D591" s="104" t="str">
        <f t="shared" si="58"/>
        <v>3</v>
      </c>
      <c r="E591" s="104" t="str">
        <f t="shared" si="59"/>
        <v>1</v>
      </c>
      <c r="F591" s="104" t="str">
        <f t="shared" si="60"/>
        <v>00</v>
      </c>
      <c r="G591" s="104" t="str">
        <f t="shared" si="61"/>
        <v>0</v>
      </c>
      <c r="H591" s="104" t="str">
        <f t="shared" si="62"/>
        <v>0</v>
      </c>
      <c r="I591" s="105">
        <v>13310000</v>
      </c>
      <c r="J591" s="104" t="s">
        <v>3546</v>
      </c>
      <c r="K591" s="104" t="s">
        <v>3547</v>
      </c>
      <c r="L591" s="106"/>
      <c r="M591" s="104" t="s">
        <v>2878</v>
      </c>
      <c r="N591" s="104" t="s">
        <v>2879</v>
      </c>
      <c r="O591" s="104" t="s">
        <v>2878</v>
      </c>
      <c r="P591" s="107" t="s">
        <v>2880</v>
      </c>
    </row>
    <row r="592" spans="2:16" ht="45" x14ac:dyDescent="0.25">
      <c r="B592" s="108" t="str">
        <f t="shared" si="56"/>
        <v>1</v>
      </c>
      <c r="C592" s="108" t="str">
        <f t="shared" si="57"/>
        <v>3</v>
      </c>
      <c r="D592" s="108" t="str">
        <f t="shared" si="58"/>
        <v>3</v>
      </c>
      <c r="E592" s="108" t="str">
        <f t="shared" si="59"/>
        <v>1</v>
      </c>
      <c r="F592" s="108" t="str">
        <f t="shared" si="60"/>
        <v>01</v>
      </c>
      <c r="G592" s="108" t="str">
        <f t="shared" si="61"/>
        <v>0</v>
      </c>
      <c r="H592" s="108" t="str">
        <f t="shared" si="62"/>
        <v>0</v>
      </c>
      <c r="I592" s="109">
        <v>13310100</v>
      </c>
      <c r="J592" s="108" t="s">
        <v>3548</v>
      </c>
      <c r="K592" s="108" t="s">
        <v>3549</v>
      </c>
      <c r="L592" s="110"/>
      <c r="M592" s="108" t="s">
        <v>2878</v>
      </c>
      <c r="N592" s="108" t="s">
        <v>2879</v>
      </c>
      <c r="O592" s="108" t="s">
        <v>2878</v>
      </c>
      <c r="P592" s="111" t="s">
        <v>2880</v>
      </c>
    </row>
    <row r="593" spans="2:16" ht="45" x14ac:dyDescent="0.25">
      <c r="B593" s="114" t="str">
        <f t="shared" si="56"/>
        <v>1</v>
      </c>
      <c r="C593" s="114" t="str">
        <f t="shared" si="57"/>
        <v>3</v>
      </c>
      <c r="D593" s="114" t="str">
        <f t="shared" si="58"/>
        <v>3</v>
      </c>
      <c r="E593" s="114" t="str">
        <f t="shared" si="59"/>
        <v>1</v>
      </c>
      <c r="F593" s="114" t="str">
        <f t="shared" si="60"/>
        <v>01</v>
      </c>
      <c r="G593" s="114" t="str">
        <f t="shared" si="61"/>
        <v>1</v>
      </c>
      <c r="H593" s="114" t="str">
        <f t="shared" si="62"/>
        <v>0</v>
      </c>
      <c r="I593" s="115">
        <v>13310110</v>
      </c>
      <c r="J593" s="114" t="s">
        <v>3548</v>
      </c>
      <c r="K593" s="114" t="s">
        <v>3549</v>
      </c>
      <c r="L593" s="116"/>
      <c r="M593" s="114" t="s">
        <v>2878</v>
      </c>
      <c r="N593" s="114" t="s">
        <v>2879</v>
      </c>
      <c r="O593" s="114" t="s">
        <v>2878</v>
      </c>
      <c r="P593" s="117" t="s">
        <v>2880</v>
      </c>
    </row>
    <row r="594" spans="2:16" ht="60" x14ac:dyDescent="0.25">
      <c r="B594" s="85" t="str">
        <f t="shared" si="56"/>
        <v>1</v>
      </c>
      <c r="C594" s="85" t="str">
        <f t="shared" si="57"/>
        <v>3</v>
      </c>
      <c r="D594" s="85" t="str">
        <f t="shared" si="58"/>
        <v>3</v>
      </c>
      <c r="E594" s="85" t="str">
        <f t="shared" si="59"/>
        <v>1</v>
      </c>
      <c r="F594" s="85" t="str">
        <f t="shared" si="60"/>
        <v>01</v>
      </c>
      <c r="G594" s="85" t="str">
        <f t="shared" si="61"/>
        <v>1</v>
      </c>
      <c r="H594" s="85" t="str">
        <f t="shared" si="62"/>
        <v>1</v>
      </c>
      <c r="I594" s="87">
        <v>13310111</v>
      </c>
      <c r="J594" s="85" t="s">
        <v>3550</v>
      </c>
      <c r="K594" s="85" t="s">
        <v>3551</v>
      </c>
      <c r="L594" s="84"/>
      <c r="M594" s="85" t="s">
        <v>3552</v>
      </c>
      <c r="N594" s="85" t="s">
        <v>2879</v>
      </c>
      <c r="O594" s="85" t="s">
        <v>3553</v>
      </c>
      <c r="P594" s="86" t="s">
        <v>2890</v>
      </c>
    </row>
    <row r="595" spans="2:16" ht="30" x14ac:dyDescent="0.25">
      <c r="B595" s="85" t="str">
        <f t="shared" si="56"/>
        <v>1</v>
      </c>
      <c r="C595" s="85" t="str">
        <f t="shared" si="57"/>
        <v>3</v>
      </c>
      <c r="D595" s="85" t="str">
        <f t="shared" si="58"/>
        <v>3</v>
      </c>
      <c r="E595" s="85" t="str">
        <f t="shared" si="59"/>
        <v>1</v>
      </c>
      <c r="F595" s="85" t="str">
        <f t="shared" si="60"/>
        <v>01</v>
      </c>
      <c r="G595" s="85" t="str">
        <f t="shared" si="61"/>
        <v>1</v>
      </c>
      <c r="H595" s="85" t="str">
        <f t="shared" si="62"/>
        <v>2</v>
      </c>
      <c r="I595" s="87">
        <v>13310112</v>
      </c>
      <c r="J595" s="85" t="s">
        <v>3554</v>
      </c>
      <c r="K595" s="85" t="s">
        <v>2892</v>
      </c>
      <c r="L595" s="84"/>
      <c r="M595" s="85" t="s">
        <v>2892</v>
      </c>
      <c r="N595" s="85" t="s">
        <v>2879</v>
      </c>
      <c r="O595" s="85" t="s">
        <v>2892</v>
      </c>
      <c r="P595" s="86" t="s">
        <v>2890</v>
      </c>
    </row>
    <row r="596" spans="2:16" ht="30" x14ac:dyDescent="0.25">
      <c r="B596" s="85" t="str">
        <f t="shared" si="56"/>
        <v>1</v>
      </c>
      <c r="C596" s="85" t="str">
        <f t="shared" si="57"/>
        <v>3</v>
      </c>
      <c r="D596" s="85" t="str">
        <f t="shared" si="58"/>
        <v>3</v>
      </c>
      <c r="E596" s="85" t="str">
        <f t="shared" si="59"/>
        <v>1</v>
      </c>
      <c r="F596" s="85" t="str">
        <f t="shared" si="60"/>
        <v>01</v>
      </c>
      <c r="G596" s="85" t="str">
        <f t="shared" si="61"/>
        <v>1</v>
      </c>
      <c r="H596" s="85" t="str">
        <f t="shared" si="62"/>
        <v>3</v>
      </c>
      <c r="I596" s="87">
        <v>13310113</v>
      </c>
      <c r="J596" s="85" t="s">
        <v>3555</v>
      </c>
      <c r="K596" s="85" t="s">
        <v>2892</v>
      </c>
      <c r="L596" s="84"/>
      <c r="M596" s="85" t="s">
        <v>2892</v>
      </c>
      <c r="N596" s="85" t="s">
        <v>2879</v>
      </c>
      <c r="O596" s="85" t="s">
        <v>2892</v>
      </c>
      <c r="P596" s="86" t="s">
        <v>2890</v>
      </c>
    </row>
    <row r="597" spans="2:16" ht="30" x14ac:dyDescent="0.25">
      <c r="B597" s="85" t="str">
        <f t="shared" si="56"/>
        <v>1</v>
      </c>
      <c r="C597" s="85" t="str">
        <f t="shared" si="57"/>
        <v>3</v>
      </c>
      <c r="D597" s="85" t="str">
        <f t="shared" si="58"/>
        <v>3</v>
      </c>
      <c r="E597" s="85" t="str">
        <f t="shared" si="59"/>
        <v>1</v>
      </c>
      <c r="F597" s="85" t="str">
        <f t="shared" si="60"/>
        <v>01</v>
      </c>
      <c r="G597" s="85" t="str">
        <f t="shared" si="61"/>
        <v>1</v>
      </c>
      <c r="H597" s="85" t="str">
        <f t="shared" si="62"/>
        <v>4</v>
      </c>
      <c r="I597" s="87">
        <v>13310114</v>
      </c>
      <c r="J597" s="85" t="s">
        <v>3556</v>
      </c>
      <c r="K597" s="85" t="s">
        <v>2892</v>
      </c>
      <c r="L597" s="84"/>
      <c r="M597" s="85" t="s">
        <v>2892</v>
      </c>
      <c r="N597" s="85" t="s">
        <v>2879</v>
      </c>
      <c r="O597" s="85" t="s">
        <v>2892</v>
      </c>
      <c r="P597" s="86" t="s">
        <v>2890</v>
      </c>
    </row>
    <row r="598" spans="2:16" ht="45" x14ac:dyDescent="0.25">
      <c r="B598" s="108" t="str">
        <f t="shared" si="56"/>
        <v>1</v>
      </c>
      <c r="C598" s="108" t="str">
        <f t="shared" si="57"/>
        <v>3</v>
      </c>
      <c r="D598" s="108" t="str">
        <f t="shared" si="58"/>
        <v>3</v>
      </c>
      <c r="E598" s="108" t="str">
        <f t="shared" si="59"/>
        <v>1</v>
      </c>
      <c r="F598" s="108" t="str">
        <f t="shared" si="60"/>
        <v>02</v>
      </c>
      <c r="G598" s="108" t="str">
        <f t="shared" si="61"/>
        <v>0</v>
      </c>
      <c r="H598" s="108" t="str">
        <f t="shared" si="62"/>
        <v>0</v>
      </c>
      <c r="I598" s="109">
        <v>13310200</v>
      </c>
      <c r="J598" s="108" t="s">
        <v>3557</v>
      </c>
      <c r="K598" s="108" t="s">
        <v>3558</v>
      </c>
      <c r="L598" s="110"/>
      <c r="M598" s="108" t="s">
        <v>2878</v>
      </c>
      <c r="N598" s="108" t="s">
        <v>2879</v>
      </c>
      <c r="O598" s="108" t="s">
        <v>2878</v>
      </c>
      <c r="P598" s="111" t="s">
        <v>2880</v>
      </c>
    </row>
    <row r="599" spans="2:16" ht="45" x14ac:dyDescent="0.25">
      <c r="B599" s="114" t="str">
        <f t="shared" si="56"/>
        <v>1</v>
      </c>
      <c r="C599" s="114" t="str">
        <f t="shared" si="57"/>
        <v>3</v>
      </c>
      <c r="D599" s="114" t="str">
        <f t="shared" si="58"/>
        <v>3</v>
      </c>
      <c r="E599" s="114" t="str">
        <f t="shared" si="59"/>
        <v>1</v>
      </c>
      <c r="F599" s="114" t="str">
        <f t="shared" si="60"/>
        <v>02</v>
      </c>
      <c r="G599" s="114" t="str">
        <f t="shared" si="61"/>
        <v>1</v>
      </c>
      <c r="H599" s="114" t="str">
        <f t="shared" si="62"/>
        <v>0</v>
      </c>
      <c r="I599" s="115">
        <v>13310210</v>
      </c>
      <c r="J599" s="114" t="s">
        <v>3557</v>
      </c>
      <c r="K599" s="114" t="s">
        <v>3558</v>
      </c>
      <c r="L599" s="116"/>
      <c r="M599" s="114" t="s">
        <v>2878</v>
      </c>
      <c r="N599" s="114" t="s">
        <v>2879</v>
      </c>
      <c r="O599" s="114" t="s">
        <v>2878</v>
      </c>
      <c r="P599" s="117" t="s">
        <v>2880</v>
      </c>
    </row>
    <row r="600" spans="2:16" ht="60" x14ac:dyDescent="0.25">
      <c r="B600" s="85" t="str">
        <f t="shared" si="56"/>
        <v>1</v>
      </c>
      <c r="C600" s="85" t="str">
        <f t="shared" si="57"/>
        <v>3</v>
      </c>
      <c r="D600" s="85" t="str">
        <f t="shared" si="58"/>
        <v>3</v>
      </c>
      <c r="E600" s="85" t="str">
        <f t="shared" si="59"/>
        <v>1</v>
      </c>
      <c r="F600" s="85" t="str">
        <f t="shared" si="60"/>
        <v>02</v>
      </c>
      <c r="G600" s="85" t="str">
        <f t="shared" si="61"/>
        <v>1</v>
      </c>
      <c r="H600" s="85" t="str">
        <f t="shared" si="62"/>
        <v>1</v>
      </c>
      <c r="I600" s="87">
        <v>13310211</v>
      </c>
      <c r="J600" s="85" t="s">
        <v>3559</v>
      </c>
      <c r="K600" s="85" t="s">
        <v>3560</v>
      </c>
      <c r="L600" s="84"/>
      <c r="M600" s="85" t="s">
        <v>3552</v>
      </c>
      <c r="N600" s="85" t="s">
        <v>2879</v>
      </c>
      <c r="O600" s="85" t="s">
        <v>3561</v>
      </c>
      <c r="P600" s="86" t="s">
        <v>2890</v>
      </c>
    </row>
    <row r="601" spans="2:16" ht="30" x14ac:dyDescent="0.25">
      <c r="B601" s="85" t="str">
        <f t="shared" si="56"/>
        <v>1</v>
      </c>
      <c r="C601" s="85" t="str">
        <f t="shared" si="57"/>
        <v>3</v>
      </c>
      <c r="D601" s="85" t="str">
        <f t="shared" si="58"/>
        <v>3</v>
      </c>
      <c r="E601" s="85" t="str">
        <f t="shared" si="59"/>
        <v>1</v>
      </c>
      <c r="F601" s="85" t="str">
        <f t="shared" si="60"/>
        <v>02</v>
      </c>
      <c r="G601" s="85" t="str">
        <f t="shared" si="61"/>
        <v>1</v>
      </c>
      <c r="H601" s="85" t="str">
        <f t="shared" si="62"/>
        <v>2</v>
      </c>
      <c r="I601" s="87">
        <v>13310212</v>
      </c>
      <c r="J601" s="85" t="s">
        <v>3562</v>
      </c>
      <c r="K601" s="85" t="s">
        <v>2892</v>
      </c>
      <c r="L601" s="84"/>
      <c r="M601" s="85" t="s">
        <v>2892</v>
      </c>
      <c r="N601" s="85" t="s">
        <v>2879</v>
      </c>
      <c r="O601" s="85" t="s">
        <v>2892</v>
      </c>
      <c r="P601" s="86" t="s">
        <v>2890</v>
      </c>
    </row>
    <row r="602" spans="2:16" ht="30" x14ac:dyDescent="0.25">
      <c r="B602" s="85" t="str">
        <f t="shared" si="56"/>
        <v>1</v>
      </c>
      <c r="C602" s="85" t="str">
        <f t="shared" si="57"/>
        <v>3</v>
      </c>
      <c r="D602" s="85" t="str">
        <f t="shared" si="58"/>
        <v>3</v>
      </c>
      <c r="E602" s="85" t="str">
        <f t="shared" si="59"/>
        <v>1</v>
      </c>
      <c r="F602" s="85" t="str">
        <f t="shared" si="60"/>
        <v>02</v>
      </c>
      <c r="G602" s="85" t="str">
        <f t="shared" si="61"/>
        <v>1</v>
      </c>
      <c r="H602" s="85" t="str">
        <f t="shared" si="62"/>
        <v>3</v>
      </c>
      <c r="I602" s="87">
        <v>13310213</v>
      </c>
      <c r="J602" s="85" t="s">
        <v>3563</v>
      </c>
      <c r="K602" s="85" t="s">
        <v>2892</v>
      </c>
      <c r="L602" s="84"/>
      <c r="M602" s="85" t="s">
        <v>2892</v>
      </c>
      <c r="N602" s="85" t="s">
        <v>2879</v>
      </c>
      <c r="O602" s="85" t="s">
        <v>2892</v>
      </c>
      <c r="P602" s="86" t="s">
        <v>2890</v>
      </c>
    </row>
    <row r="603" spans="2:16" ht="30" x14ac:dyDescent="0.25">
      <c r="B603" s="85" t="str">
        <f t="shared" si="56"/>
        <v>1</v>
      </c>
      <c r="C603" s="85" t="str">
        <f t="shared" si="57"/>
        <v>3</v>
      </c>
      <c r="D603" s="85" t="str">
        <f t="shared" si="58"/>
        <v>3</v>
      </c>
      <c r="E603" s="85" t="str">
        <f t="shared" si="59"/>
        <v>1</v>
      </c>
      <c r="F603" s="85" t="str">
        <f t="shared" si="60"/>
        <v>02</v>
      </c>
      <c r="G603" s="85" t="str">
        <f t="shared" si="61"/>
        <v>1</v>
      </c>
      <c r="H603" s="85" t="str">
        <f t="shared" si="62"/>
        <v>4</v>
      </c>
      <c r="I603" s="87">
        <v>13310214</v>
      </c>
      <c r="J603" s="85" t="s">
        <v>3564</v>
      </c>
      <c r="K603" s="85" t="s">
        <v>2892</v>
      </c>
      <c r="L603" s="84"/>
      <c r="M603" s="85" t="s">
        <v>2892</v>
      </c>
      <c r="N603" s="85" t="s">
        <v>2879</v>
      </c>
      <c r="O603" s="85" t="s">
        <v>2892</v>
      </c>
      <c r="P603" s="86" t="s">
        <v>2890</v>
      </c>
    </row>
    <row r="604" spans="2:16" ht="45" x14ac:dyDescent="0.25">
      <c r="B604" s="108" t="str">
        <f t="shared" si="56"/>
        <v>1</v>
      </c>
      <c r="C604" s="108" t="str">
        <f t="shared" si="57"/>
        <v>3</v>
      </c>
      <c r="D604" s="108" t="str">
        <f t="shared" si="58"/>
        <v>3</v>
      </c>
      <c r="E604" s="108" t="str">
        <f t="shared" si="59"/>
        <v>1</v>
      </c>
      <c r="F604" s="108" t="str">
        <f t="shared" si="60"/>
        <v>03</v>
      </c>
      <c r="G604" s="108" t="str">
        <f t="shared" si="61"/>
        <v>0</v>
      </c>
      <c r="H604" s="108" t="str">
        <f t="shared" si="62"/>
        <v>0</v>
      </c>
      <c r="I604" s="109">
        <v>13310300</v>
      </c>
      <c r="J604" s="108" t="s">
        <v>3565</v>
      </c>
      <c r="K604" s="108" t="s">
        <v>3566</v>
      </c>
      <c r="L604" s="110"/>
      <c r="M604" s="108" t="s">
        <v>2878</v>
      </c>
      <c r="N604" s="108" t="s">
        <v>2879</v>
      </c>
      <c r="O604" s="108" t="s">
        <v>2878</v>
      </c>
      <c r="P604" s="111" t="s">
        <v>2880</v>
      </c>
    </row>
    <row r="605" spans="2:16" ht="45" x14ac:dyDescent="0.25">
      <c r="B605" s="114" t="str">
        <f t="shared" si="56"/>
        <v>1</v>
      </c>
      <c r="C605" s="114" t="str">
        <f t="shared" si="57"/>
        <v>3</v>
      </c>
      <c r="D605" s="114" t="str">
        <f t="shared" si="58"/>
        <v>3</v>
      </c>
      <c r="E605" s="114" t="str">
        <f t="shared" si="59"/>
        <v>1</v>
      </c>
      <c r="F605" s="114" t="str">
        <f t="shared" si="60"/>
        <v>03</v>
      </c>
      <c r="G605" s="114" t="str">
        <f t="shared" si="61"/>
        <v>1</v>
      </c>
      <c r="H605" s="114" t="str">
        <f t="shared" si="62"/>
        <v>0</v>
      </c>
      <c r="I605" s="115">
        <v>13310310</v>
      </c>
      <c r="J605" s="114" t="s">
        <v>3565</v>
      </c>
      <c r="K605" s="114" t="s">
        <v>3566</v>
      </c>
      <c r="L605" s="116"/>
      <c r="M605" s="114" t="s">
        <v>2878</v>
      </c>
      <c r="N605" s="114" t="s">
        <v>2879</v>
      </c>
      <c r="O605" s="114" t="s">
        <v>2878</v>
      </c>
      <c r="P605" s="117" t="s">
        <v>2880</v>
      </c>
    </row>
    <row r="606" spans="2:16" ht="60" x14ac:dyDescent="0.25">
      <c r="B606" s="85" t="str">
        <f t="shared" si="56"/>
        <v>1</v>
      </c>
      <c r="C606" s="85" t="str">
        <f t="shared" si="57"/>
        <v>3</v>
      </c>
      <c r="D606" s="85" t="str">
        <f t="shared" si="58"/>
        <v>3</v>
      </c>
      <c r="E606" s="85" t="str">
        <f t="shared" si="59"/>
        <v>1</v>
      </c>
      <c r="F606" s="85" t="str">
        <f t="shared" si="60"/>
        <v>03</v>
      </c>
      <c r="G606" s="85" t="str">
        <f t="shared" si="61"/>
        <v>1</v>
      </c>
      <c r="H606" s="85" t="str">
        <f t="shared" si="62"/>
        <v>1</v>
      </c>
      <c r="I606" s="87">
        <v>13310311</v>
      </c>
      <c r="J606" s="85" t="s">
        <v>3567</v>
      </c>
      <c r="K606" s="85" t="s">
        <v>3568</v>
      </c>
      <c r="L606" s="84"/>
      <c r="M606" s="85" t="s">
        <v>3552</v>
      </c>
      <c r="N606" s="85" t="s">
        <v>2879</v>
      </c>
      <c r="O606" s="85" t="s">
        <v>3561</v>
      </c>
      <c r="P606" s="86" t="s">
        <v>2890</v>
      </c>
    </row>
    <row r="607" spans="2:16" ht="30" x14ac:dyDescent="0.25">
      <c r="B607" s="85" t="str">
        <f t="shared" si="56"/>
        <v>1</v>
      </c>
      <c r="C607" s="85" t="str">
        <f t="shared" si="57"/>
        <v>3</v>
      </c>
      <c r="D607" s="85" t="str">
        <f t="shared" si="58"/>
        <v>3</v>
      </c>
      <c r="E607" s="85" t="str">
        <f t="shared" si="59"/>
        <v>1</v>
      </c>
      <c r="F607" s="85" t="str">
        <f t="shared" si="60"/>
        <v>03</v>
      </c>
      <c r="G607" s="85" t="str">
        <f t="shared" si="61"/>
        <v>1</v>
      </c>
      <c r="H607" s="85" t="str">
        <f t="shared" si="62"/>
        <v>2</v>
      </c>
      <c r="I607" s="87">
        <v>13310312</v>
      </c>
      <c r="J607" s="85" t="s">
        <v>3569</v>
      </c>
      <c r="K607" s="85" t="s">
        <v>2892</v>
      </c>
      <c r="L607" s="84"/>
      <c r="M607" s="85" t="s">
        <v>2892</v>
      </c>
      <c r="N607" s="85" t="s">
        <v>2879</v>
      </c>
      <c r="O607" s="85" t="s">
        <v>2892</v>
      </c>
      <c r="P607" s="86" t="s">
        <v>2890</v>
      </c>
    </row>
    <row r="608" spans="2:16" ht="30" x14ac:dyDescent="0.25">
      <c r="B608" s="85" t="str">
        <f t="shared" si="56"/>
        <v>1</v>
      </c>
      <c r="C608" s="85" t="str">
        <f t="shared" si="57"/>
        <v>3</v>
      </c>
      <c r="D608" s="85" t="str">
        <f t="shared" si="58"/>
        <v>3</v>
      </c>
      <c r="E608" s="85" t="str">
        <f t="shared" si="59"/>
        <v>1</v>
      </c>
      <c r="F608" s="85" t="str">
        <f t="shared" si="60"/>
        <v>03</v>
      </c>
      <c r="G608" s="85" t="str">
        <f t="shared" si="61"/>
        <v>1</v>
      </c>
      <c r="H608" s="85" t="str">
        <f t="shared" si="62"/>
        <v>3</v>
      </c>
      <c r="I608" s="87">
        <v>13310313</v>
      </c>
      <c r="J608" s="85" t="s">
        <v>3570</v>
      </c>
      <c r="K608" s="85" t="s">
        <v>2892</v>
      </c>
      <c r="L608" s="84"/>
      <c r="M608" s="85" t="s">
        <v>2892</v>
      </c>
      <c r="N608" s="85" t="s">
        <v>2879</v>
      </c>
      <c r="O608" s="85" t="s">
        <v>2892</v>
      </c>
      <c r="P608" s="86" t="s">
        <v>2890</v>
      </c>
    </row>
    <row r="609" spans="2:16" ht="30" x14ac:dyDescent="0.25">
      <c r="B609" s="85" t="str">
        <f t="shared" si="56"/>
        <v>1</v>
      </c>
      <c r="C609" s="85" t="str">
        <f t="shared" si="57"/>
        <v>3</v>
      </c>
      <c r="D609" s="85" t="str">
        <f t="shared" si="58"/>
        <v>3</v>
      </c>
      <c r="E609" s="85" t="str">
        <f t="shared" si="59"/>
        <v>1</v>
      </c>
      <c r="F609" s="85" t="str">
        <f t="shared" si="60"/>
        <v>03</v>
      </c>
      <c r="G609" s="85" t="str">
        <f t="shared" si="61"/>
        <v>1</v>
      </c>
      <c r="H609" s="85" t="str">
        <f t="shared" si="62"/>
        <v>4</v>
      </c>
      <c r="I609" s="87">
        <v>13310314</v>
      </c>
      <c r="J609" s="85" t="s">
        <v>3571</v>
      </c>
      <c r="K609" s="85" t="s">
        <v>2892</v>
      </c>
      <c r="L609" s="84"/>
      <c r="M609" s="85" t="s">
        <v>2892</v>
      </c>
      <c r="N609" s="85" t="s">
        <v>2879</v>
      </c>
      <c r="O609" s="85" t="s">
        <v>2892</v>
      </c>
      <c r="P609" s="86" t="s">
        <v>2890</v>
      </c>
    </row>
    <row r="610" spans="2:16" ht="45" x14ac:dyDescent="0.25">
      <c r="B610" s="108" t="str">
        <f t="shared" si="56"/>
        <v>1</v>
      </c>
      <c r="C610" s="108" t="str">
        <f t="shared" si="57"/>
        <v>3</v>
      </c>
      <c r="D610" s="108" t="str">
        <f t="shared" si="58"/>
        <v>3</v>
      </c>
      <c r="E610" s="108" t="str">
        <f t="shared" si="59"/>
        <v>1</v>
      </c>
      <c r="F610" s="108" t="str">
        <f t="shared" si="60"/>
        <v>04</v>
      </c>
      <c r="G610" s="108" t="str">
        <f t="shared" si="61"/>
        <v>0</v>
      </c>
      <c r="H610" s="108" t="str">
        <f t="shared" si="62"/>
        <v>0</v>
      </c>
      <c r="I610" s="109">
        <v>13310400</v>
      </c>
      <c r="J610" s="108" t="s">
        <v>3572</v>
      </c>
      <c r="K610" s="108" t="s">
        <v>3573</v>
      </c>
      <c r="L610" s="110"/>
      <c r="M610" s="108" t="s">
        <v>2878</v>
      </c>
      <c r="N610" s="108" t="s">
        <v>2879</v>
      </c>
      <c r="O610" s="108" t="s">
        <v>2878</v>
      </c>
      <c r="P610" s="111" t="s">
        <v>2880</v>
      </c>
    </row>
    <row r="611" spans="2:16" ht="45" x14ac:dyDescent="0.25">
      <c r="B611" s="114" t="str">
        <f t="shared" si="56"/>
        <v>1</v>
      </c>
      <c r="C611" s="114" t="str">
        <f t="shared" si="57"/>
        <v>3</v>
      </c>
      <c r="D611" s="114" t="str">
        <f t="shared" si="58"/>
        <v>3</v>
      </c>
      <c r="E611" s="114" t="str">
        <f t="shared" si="59"/>
        <v>1</v>
      </c>
      <c r="F611" s="114" t="str">
        <f t="shared" si="60"/>
        <v>04</v>
      </c>
      <c r="G611" s="114" t="str">
        <f t="shared" si="61"/>
        <v>1</v>
      </c>
      <c r="H611" s="114" t="str">
        <f t="shared" si="62"/>
        <v>0</v>
      </c>
      <c r="I611" s="115">
        <v>13310410</v>
      </c>
      <c r="J611" s="114" t="s">
        <v>3572</v>
      </c>
      <c r="K611" s="114" t="s">
        <v>3573</v>
      </c>
      <c r="L611" s="116"/>
      <c r="M611" s="114" t="s">
        <v>2878</v>
      </c>
      <c r="N611" s="114" t="s">
        <v>2879</v>
      </c>
      <c r="O611" s="114" t="s">
        <v>2878</v>
      </c>
      <c r="P611" s="117" t="s">
        <v>2880</v>
      </c>
    </row>
    <row r="612" spans="2:16" ht="60" x14ac:dyDescent="0.25">
      <c r="B612" s="85" t="str">
        <f t="shared" si="56"/>
        <v>1</v>
      </c>
      <c r="C612" s="85" t="str">
        <f t="shared" si="57"/>
        <v>3</v>
      </c>
      <c r="D612" s="85" t="str">
        <f t="shared" si="58"/>
        <v>3</v>
      </c>
      <c r="E612" s="85" t="str">
        <f t="shared" si="59"/>
        <v>1</v>
      </c>
      <c r="F612" s="85" t="str">
        <f t="shared" si="60"/>
        <v>04</v>
      </c>
      <c r="G612" s="85" t="str">
        <f t="shared" si="61"/>
        <v>1</v>
      </c>
      <c r="H612" s="85" t="str">
        <f t="shared" si="62"/>
        <v>1</v>
      </c>
      <c r="I612" s="87">
        <v>13310411</v>
      </c>
      <c r="J612" s="85" t="s">
        <v>3574</v>
      </c>
      <c r="K612" s="85" t="s">
        <v>3575</v>
      </c>
      <c r="L612" s="84"/>
      <c r="M612" s="85" t="s">
        <v>3576</v>
      </c>
      <c r="N612" s="85" t="s">
        <v>2879</v>
      </c>
      <c r="O612" s="85" t="s">
        <v>3561</v>
      </c>
      <c r="P612" s="86" t="s">
        <v>2890</v>
      </c>
    </row>
    <row r="613" spans="2:16" ht="30" x14ac:dyDescent="0.25">
      <c r="B613" s="85" t="str">
        <f t="shared" si="56"/>
        <v>1</v>
      </c>
      <c r="C613" s="85" t="str">
        <f t="shared" si="57"/>
        <v>3</v>
      </c>
      <c r="D613" s="85" t="str">
        <f t="shared" si="58"/>
        <v>3</v>
      </c>
      <c r="E613" s="85" t="str">
        <f t="shared" si="59"/>
        <v>1</v>
      </c>
      <c r="F613" s="85" t="str">
        <f t="shared" si="60"/>
        <v>04</v>
      </c>
      <c r="G613" s="85" t="str">
        <f t="shared" si="61"/>
        <v>1</v>
      </c>
      <c r="H613" s="85" t="str">
        <f t="shared" si="62"/>
        <v>2</v>
      </c>
      <c r="I613" s="87">
        <v>13310412</v>
      </c>
      <c r="J613" s="85" t="s">
        <v>3577</v>
      </c>
      <c r="K613" s="85" t="s">
        <v>2892</v>
      </c>
      <c r="L613" s="84"/>
      <c r="M613" s="85" t="s">
        <v>2892</v>
      </c>
      <c r="N613" s="85" t="s">
        <v>2879</v>
      </c>
      <c r="O613" s="85" t="s">
        <v>2892</v>
      </c>
      <c r="P613" s="86" t="s">
        <v>2890</v>
      </c>
    </row>
    <row r="614" spans="2:16" ht="30" x14ac:dyDescent="0.25">
      <c r="B614" s="85" t="str">
        <f t="shared" si="56"/>
        <v>1</v>
      </c>
      <c r="C614" s="85" t="str">
        <f t="shared" si="57"/>
        <v>3</v>
      </c>
      <c r="D614" s="85" t="str">
        <f t="shared" si="58"/>
        <v>3</v>
      </c>
      <c r="E614" s="85" t="str">
        <f t="shared" si="59"/>
        <v>1</v>
      </c>
      <c r="F614" s="85" t="str">
        <f t="shared" si="60"/>
        <v>04</v>
      </c>
      <c r="G614" s="85" t="str">
        <f t="shared" si="61"/>
        <v>1</v>
      </c>
      <c r="H614" s="85" t="str">
        <f t="shared" si="62"/>
        <v>3</v>
      </c>
      <c r="I614" s="87">
        <v>13310413</v>
      </c>
      <c r="J614" s="85" t="s">
        <v>3578</v>
      </c>
      <c r="K614" s="85" t="s">
        <v>2892</v>
      </c>
      <c r="L614" s="84"/>
      <c r="M614" s="85" t="s">
        <v>2892</v>
      </c>
      <c r="N614" s="85" t="s">
        <v>2879</v>
      </c>
      <c r="O614" s="85" t="s">
        <v>2892</v>
      </c>
      <c r="P614" s="86" t="s">
        <v>2890</v>
      </c>
    </row>
    <row r="615" spans="2:16" ht="30" x14ac:dyDescent="0.25">
      <c r="B615" s="85" t="str">
        <f t="shared" si="56"/>
        <v>1</v>
      </c>
      <c r="C615" s="85" t="str">
        <f t="shared" si="57"/>
        <v>3</v>
      </c>
      <c r="D615" s="85" t="str">
        <f t="shared" si="58"/>
        <v>3</v>
      </c>
      <c r="E615" s="85" t="str">
        <f t="shared" si="59"/>
        <v>1</v>
      </c>
      <c r="F615" s="85" t="str">
        <f t="shared" si="60"/>
        <v>04</v>
      </c>
      <c r="G615" s="85" t="str">
        <f t="shared" si="61"/>
        <v>1</v>
      </c>
      <c r="H615" s="85" t="str">
        <f t="shared" si="62"/>
        <v>4</v>
      </c>
      <c r="I615" s="87">
        <v>13310414</v>
      </c>
      <c r="J615" s="85" t="s">
        <v>3579</v>
      </c>
      <c r="K615" s="85" t="s">
        <v>2892</v>
      </c>
      <c r="L615" s="84"/>
      <c r="M615" s="85" t="s">
        <v>2892</v>
      </c>
      <c r="N615" s="85" t="s">
        <v>2879</v>
      </c>
      <c r="O615" s="85" t="s">
        <v>2892</v>
      </c>
      <c r="P615" s="86" t="s">
        <v>2890</v>
      </c>
    </row>
    <row r="616" spans="2:16" ht="45" x14ac:dyDescent="0.25">
      <c r="B616" s="108" t="str">
        <f t="shared" si="56"/>
        <v>1</v>
      </c>
      <c r="C616" s="108" t="str">
        <f t="shared" si="57"/>
        <v>3</v>
      </c>
      <c r="D616" s="108" t="str">
        <f t="shared" si="58"/>
        <v>3</v>
      </c>
      <c r="E616" s="108" t="str">
        <f t="shared" si="59"/>
        <v>1</v>
      </c>
      <c r="F616" s="108" t="str">
        <f t="shared" si="60"/>
        <v>05</v>
      </c>
      <c r="G616" s="108" t="str">
        <f t="shared" si="61"/>
        <v>0</v>
      </c>
      <c r="H616" s="108" t="str">
        <f t="shared" si="62"/>
        <v>0</v>
      </c>
      <c r="I616" s="109">
        <v>13310500</v>
      </c>
      <c r="J616" s="108" t="s">
        <v>3580</v>
      </c>
      <c r="K616" s="108" t="s">
        <v>3581</v>
      </c>
      <c r="L616" s="110"/>
      <c r="M616" s="108" t="s">
        <v>2878</v>
      </c>
      <c r="N616" s="108" t="s">
        <v>2879</v>
      </c>
      <c r="O616" s="108" t="s">
        <v>2878</v>
      </c>
      <c r="P616" s="111" t="s">
        <v>2880</v>
      </c>
    </row>
    <row r="617" spans="2:16" ht="45" x14ac:dyDescent="0.25">
      <c r="B617" s="114" t="str">
        <f t="shared" si="56"/>
        <v>1</v>
      </c>
      <c r="C617" s="114" t="str">
        <f t="shared" si="57"/>
        <v>3</v>
      </c>
      <c r="D617" s="114" t="str">
        <f t="shared" si="58"/>
        <v>3</v>
      </c>
      <c r="E617" s="114" t="str">
        <f t="shared" si="59"/>
        <v>1</v>
      </c>
      <c r="F617" s="114" t="str">
        <f t="shared" si="60"/>
        <v>05</v>
      </c>
      <c r="G617" s="114" t="str">
        <f t="shared" si="61"/>
        <v>1</v>
      </c>
      <c r="H617" s="114" t="str">
        <f t="shared" si="62"/>
        <v>0</v>
      </c>
      <c r="I617" s="115">
        <v>13310510</v>
      </c>
      <c r="J617" s="114" t="s">
        <v>3580</v>
      </c>
      <c r="K617" s="114" t="s">
        <v>3581</v>
      </c>
      <c r="L617" s="116"/>
      <c r="M617" s="114" t="s">
        <v>2878</v>
      </c>
      <c r="N617" s="114" t="s">
        <v>2879</v>
      </c>
      <c r="O617" s="114" t="s">
        <v>2878</v>
      </c>
      <c r="P617" s="117" t="s">
        <v>2880</v>
      </c>
    </row>
    <row r="618" spans="2:16" ht="45" x14ac:dyDescent="0.25">
      <c r="B618" s="85" t="str">
        <f t="shared" si="56"/>
        <v>1</v>
      </c>
      <c r="C618" s="85" t="str">
        <f t="shared" si="57"/>
        <v>3</v>
      </c>
      <c r="D618" s="85" t="str">
        <f t="shared" si="58"/>
        <v>3</v>
      </c>
      <c r="E618" s="85" t="str">
        <f t="shared" si="59"/>
        <v>1</v>
      </c>
      <c r="F618" s="85" t="str">
        <f t="shared" si="60"/>
        <v>05</v>
      </c>
      <c r="G618" s="85" t="str">
        <f t="shared" si="61"/>
        <v>1</v>
      </c>
      <c r="H618" s="85" t="str">
        <f t="shared" si="62"/>
        <v>1</v>
      </c>
      <c r="I618" s="87">
        <v>13310511</v>
      </c>
      <c r="J618" s="85" t="s">
        <v>3582</v>
      </c>
      <c r="K618" s="85" t="s">
        <v>3583</v>
      </c>
      <c r="L618" s="84"/>
      <c r="M618" s="85" t="s">
        <v>3584</v>
      </c>
      <c r="N618" s="85" t="s">
        <v>2879</v>
      </c>
      <c r="O618" s="85" t="s">
        <v>3585</v>
      </c>
      <c r="P618" s="86" t="s">
        <v>2890</v>
      </c>
    </row>
    <row r="619" spans="2:16" ht="30" x14ac:dyDescent="0.25">
      <c r="B619" s="85" t="str">
        <f t="shared" si="56"/>
        <v>1</v>
      </c>
      <c r="C619" s="85" t="str">
        <f t="shared" si="57"/>
        <v>3</v>
      </c>
      <c r="D619" s="85" t="str">
        <f t="shared" si="58"/>
        <v>3</v>
      </c>
      <c r="E619" s="85" t="str">
        <f t="shared" si="59"/>
        <v>1</v>
      </c>
      <c r="F619" s="85" t="str">
        <f t="shared" si="60"/>
        <v>05</v>
      </c>
      <c r="G619" s="85" t="str">
        <f t="shared" si="61"/>
        <v>1</v>
      </c>
      <c r="H619" s="85" t="str">
        <f t="shared" si="62"/>
        <v>2</v>
      </c>
      <c r="I619" s="87">
        <v>13310512</v>
      </c>
      <c r="J619" s="85" t="s">
        <v>3586</v>
      </c>
      <c r="K619" s="85" t="s">
        <v>2892</v>
      </c>
      <c r="L619" s="84"/>
      <c r="M619" s="85" t="s">
        <v>2892</v>
      </c>
      <c r="N619" s="85" t="s">
        <v>2879</v>
      </c>
      <c r="O619" s="85" t="s">
        <v>2892</v>
      </c>
      <c r="P619" s="86" t="s">
        <v>2890</v>
      </c>
    </row>
    <row r="620" spans="2:16" ht="30" x14ac:dyDescent="0.25">
      <c r="B620" s="85" t="str">
        <f t="shared" si="56"/>
        <v>1</v>
      </c>
      <c r="C620" s="85" t="str">
        <f t="shared" si="57"/>
        <v>3</v>
      </c>
      <c r="D620" s="85" t="str">
        <f t="shared" si="58"/>
        <v>3</v>
      </c>
      <c r="E620" s="85" t="str">
        <f t="shared" si="59"/>
        <v>1</v>
      </c>
      <c r="F620" s="85" t="str">
        <f t="shared" si="60"/>
        <v>05</v>
      </c>
      <c r="G620" s="85" t="str">
        <f t="shared" si="61"/>
        <v>1</v>
      </c>
      <c r="H620" s="85" t="str">
        <f t="shared" si="62"/>
        <v>3</v>
      </c>
      <c r="I620" s="87">
        <v>13310513</v>
      </c>
      <c r="J620" s="85" t="s">
        <v>3587</v>
      </c>
      <c r="K620" s="85" t="s">
        <v>2892</v>
      </c>
      <c r="L620" s="84"/>
      <c r="M620" s="85" t="s">
        <v>2892</v>
      </c>
      <c r="N620" s="85" t="s">
        <v>2879</v>
      </c>
      <c r="O620" s="85" t="s">
        <v>2892</v>
      </c>
      <c r="P620" s="86" t="s">
        <v>2890</v>
      </c>
    </row>
    <row r="621" spans="2:16" ht="30" x14ac:dyDescent="0.25">
      <c r="B621" s="85" t="str">
        <f t="shared" si="56"/>
        <v>1</v>
      </c>
      <c r="C621" s="85" t="str">
        <f t="shared" si="57"/>
        <v>3</v>
      </c>
      <c r="D621" s="85" t="str">
        <f t="shared" si="58"/>
        <v>3</v>
      </c>
      <c r="E621" s="85" t="str">
        <f t="shared" si="59"/>
        <v>1</v>
      </c>
      <c r="F621" s="85" t="str">
        <f t="shared" si="60"/>
        <v>05</v>
      </c>
      <c r="G621" s="85" t="str">
        <f t="shared" si="61"/>
        <v>1</v>
      </c>
      <c r="H621" s="85" t="str">
        <f t="shared" si="62"/>
        <v>4</v>
      </c>
      <c r="I621" s="87">
        <v>13310514</v>
      </c>
      <c r="J621" s="85" t="s">
        <v>3588</v>
      </c>
      <c r="K621" s="85" t="s">
        <v>2892</v>
      </c>
      <c r="L621" s="84"/>
      <c r="M621" s="85" t="s">
        <v>2892</v>
      </c>
      <c r="N621" s="85" t="s">
        <v>2879</v>
      </c>
      <c r="O621" s="85" t="s">
        <v>2892</v>
      </c>
      <c r="P621" s="86" t="s">
        <v>2890</v>
      </c>
    </row>
    <row r="622" spans="2:16" ht="45" x14ac:dyDescent="0.25">
      <c r="B622" s="104" t="str">
        <f t="shared" si="56"/>
        <v>1</v>
      </c>
      <c r="C622" s="104" t="str">
        <f t="shared" si="57"/>
        <v>3</v>
      </c>
      <c r="D622" s="104" t="str">
        <f t="shared" si="58"/>
        <v>3</v>
      </c>
      <c r="E622" s="104" t="str">
        <f t="shared" si="59"/>
        <v>2</v>
      </c>
      <c r="F622" s="104" t="str">
        <f t="shared" si="60"/>
        <v>00</v>
      </c>
      <c r="G622" s="104" t="str">
        <f t="shared" si="61"/>
        <v>0</v>
      </c>
      <c r="H622" s="104" t="str">
        <f t="shared" si="62"/>
        <v>0</v>
      </c>
      <c r="I622" s="105">
        <v>13320000</v>
      </c>
      <c r="J622" s="104" t="s">
        <v>3589</v>
      </c>
      <c r="K622" s="104" t="s">
        <v>3590</v>
      </c>
      <c r="L622" s="106"/>
      <c r="M622" s="104" t="s">
        <v>2878</v>
      </c>
      <c r="N622" s="104" t="s">
        <v>2879</v>
      </c>
      <c r="O622" s="104" t="s">
        <v>2878</v>
      </c>
      <c r="P622" s="107" t="s">
        <v>2880</v>
      </c>
    </row>
    <row r="623" spans="2:16" ht="45" x14ac:dyDescent="0.25">
      <c r="B623" s="108" t="str">
        <f t="shared" si="56"/>
        <v>1</v>
      </c>
      <c r="C623" s="108" t="str">
        <f t="shared" si="57"/>
        <v>3</v>
      </c>
      <c r="D623" s="108" t="str">
        <f t="shared" si="58"/>
        <v>3</v>
      </c>
      <c r="E623" s="108" t="str">
        <f t="shared" si="59"/>
        <v>2</v>
      </c>
      <c r="F623" s="108" t="str">
        <f t="shared" si="60"/>
        <v>01</v>
      </c>
      <c r="G623" s="108" t="str">
        <f t="shared" si="61"/>
        <v>0</v>
      </c>
      <c r="H623" s="108" t="str">
        <f t="shared" si="62"/>
        <v>0</v>
      </c>
      <c r="I623" s="109">
        <v>13320100</v>
      </c>
      <c r="J623" s="108" t="s">
        <v>3591</v>
      </c>
      <c r="K623" s="108" t="s">
        <v>3592</v>
      </c>
      <c r="L623" s="110"/>
      <c r="M623" s="108" t="s">
        <v>2878</v>
      </c>
      <c r="N623" s="108" t="s">
        <v>2879</v>
      </c>
      <c r="O623" s="108" t="s">
        <v>2878</v>
      </c>
      <c r="P623" s="111" t="s">
        <v>2880</v>
      </c>
    </row>
    <row r="624" spans="2:16" ht="45" x14ac:dyDescent="0.25">
      <c r="B624" s="114" t="str">
        <f t="shared" si="56"/>
        <v>1</v>
      </c>
      <c r="C624" s="114" t="str">
        <f t="shared" si="57"/>
        <v>3</v>
      </c>
      <c r="D624" s="114" t="str">
        <f t="shared" si="58"/>
        <v>3</v>
      </c>
      <c r="E624" s="114" t="str">
        <f t="shared" si="59"/>
        <v>2</v>
      </c>
      <c r="F624" s="114" t="str">
        <f t="shared" si="60"/>
        <v>01</v>
      </c>
      <c r="G624" s="114" t="str">
        <f t="shared" si="61"/>
        <v>1</v>
      </c>
      <c r="H624" s="114" t="str">
        <f t="shared" si="62"/>
        <v>0</v>
      </c>
      <c r="I624" s="115">
        <v>13320110</v>
      </c>
      <c r="J624" s="114" t="s">
        <v>3593</v>
      </c>
      <c r="K624" s="114" t="s">
        <v>3592</v>
      </c>
      <c r="L624" s="116"/>
      <c r="M624" s="114" t="s">
        <v>2878</v>
      </c>
      <c r="N624" s="114" t="s">
        <v>2879</v>
      </c>
      <c r="O624" s="114" t="s">
        <v>2878</v>
      </c>
      <c r="P624" s="117" t="s">
        <v>2880</v>
      </c>
    </row>
    <row r="625" spans="2:16" ht="60" x14ac:dyDescent="0.25">
      <c r="B625" s="85" t="str">
        <f t="shared" si="56"/>
        <v>1</v>
      </c>
      <c r="C625" s="85" t="str">
        <f t="shared" si="57"/>
        <v>3</v>
      </c>
      <c r="D625" s="85" t="str">
        <f t="shared" si="58"/>
        <v>3</v>
      </c>
      <c r="E625" s="85" t="str">
        <f t="shared" si="59"/>
        <v>2</v>
      </c>
      <c r="F625" s="85" t="str">
        <f t="shared" si="60"/>
        <v>01</v>
      </c>
      <c r="G625" s="85" t="str">
        <f t="shared" si="61"/>
        <v>1</v>
      </c>
      <c r="H625" s="85" t="str">
        <f t="shared" si="62"/>
        <v>1</v>
      </c>
      <c r="I625" s="87">
        <v>13320111</v>
      </c>
      <c r="J625" s="85" t="s">
        <v>3594</v>
      </c>
      <c r="K625" s="85" t="s">
        <v>3595</v>
      </c>
      <c r="L625" s="84"/>
      <c r="M625" s="85" t="s">
        <v>3596</v>
      </c>
      <c r="N625" s="85" t="s">
        <v>639</v>
      </c>
      <c r="O625" s="85" t="s">
        <v>3597</v>
      </c>
      <c r="P625" s="86" t="s">
        <v>2890</v>
      </c>
    </row>
    <row r="626" spans="2:16" ht="30" x14ac:dyDescent="0.25">
      <c r="B626" s="85" t="str">
        <f t="shared" si="56"/>
        <v>1</v>
      </c>
      <c r="C626" s="85" t="str">
        <f t="shared" si="57"/>
        <v>3</v>
      </c>
      <c r="D626" s="85" t="str">
        <f t="shared" si="58"/>
        <v>3</v>
      </c>
      <c r="E626" s="85" t="str">
        <f t="shared" si="59"/>
        <v>2</v>
      </c>
      <c r="F626" s="85" t="str">
        <f t="shared" si="60"/>
        <v>01</v>
      </c>
      <c r="G626" s="85" t="str">
        <f t="shared" si="61"/>
        <v>1</v>
      </c>
      <c r="H626" s="85" t="str">
        <f t="shared" si="62"/>
        <v>2</v>
      </c>
      <c r="I626" s="87">
        <v>13320112</v>
      </c>
      <c r="J626" s="85" t="s">
        <v>3598</v>
      </c>
      <c r="K626" s="85" t="s">
        <v>2892</v>
      </c>
      <c r="L626" s="84"/>
      <c r="M626" s="85" t="s">
        <v>2892</v>
      </c>
      <c r="N626" s="85" t="s">
        <v>2879</v>
      </c>
      <c r="O626" s="85" t="s">
        <v>2892</v>
      </c>
      <c r="P626" s="86" t="s">
        <v>2890</v>
      </c>
    </row>
    <row r="627" spans="2:16" ht="30" x14ac:dyDescent="0.25">
      <c r="B627" s="85" t="str">
        <f t="shared" si="56"/>
        <v>1</v>
      </c>
      <c r="C627" s="85" t="str">
        <f t="shared" si="57"/>
        <v>3</v>
      </c>
      <c r="D627" s="85" t="str">
        <f t="shared" si="58"/>
        <v>3</v>
      </c>
      <c r="E627" s="85" t="str">
        <f t="shared" si="59"/>
        <v>2</v>
      </c>
      <c r="F627" s="85" t="str">
        <f t="shared" si="60"/>
        <v>01</v>
      </c>
      <c r="G627" s="85" t="str">
        <f t="shared" si="61"/>
        <v>1</v>
      </c>
      <c r="H627" s="85" t="str">
        <f t="shared" si="62"/>
        <v>3</v>
      </c>
      <c r="I627" s="87">
        <v>13320113</v>
      </c>
      <c r="J627" s="85" t="s">
        <v>3599</v>
      </c>
      <c r="K627" s="85" t="s">
        <v>2892</v>
      </c>
      <c r="L627" s="84"/>
      <c r="M627" s="85" t="s">
        <v>2892</v>
      </c>
      <c r="N627" s="85" t="s">
        <v>2879</v>
      </c>
      <c r="O627" s="85" t="s">
        <v>2892</v>
      </c>
      <c r="P627" s="86" t="s">
        <v>2890</v>
      </c>
    </row>
    <row r="628" spans="2:16" ht="30" x14ac:dyDescent="0.25">
      <c r="B628" s="85" t="str">
        <f t="shared" si="56"/>
        <v>1</v>
      </c>
      <c r="C628" s="85" t="str">
        <f t="shared" si="57"/>
        <v>3</v>
      </c>
      <c r="D628" s="85" t="str">
        <f t="shared" si="58"/>
        <v>3</v>
      </c>
      <c r="E628" s="85" t="str">
        <f t="shared" si="59"/>
        <v>2</v>
      </c>
      <c r="F628" s="85" t="str">
        <f t="shared" si="60"/>
        <v>01</v>
      </c>
      <c r="G628" s="85" t="str">
        <f t="shared" si="61"/>
        <v>1</v>
      </c>
      <c r="H628" s="85" t="str">
        <f t="shared" si="62"/>
        <v>4</v>
      </c>
      <c r="I628" s="87">
        <v>13320114</v>
      </c>
      <c r="J628" s="85" t="s">
        <v>3600</v>
      </c>
      <c r="K628" s="85" t="s">
        <v>2892</v>
      </c>
      <c r="L628" s="84"/>
      <c r="M628" s="85" t="s">
        <v>2892</v>
      </c>
      <c r="N628" s="85" t="s">
        <v>2879</v>
      </c>
      <c r="O628" s="85" t="s">
        <v>2892</v>
      </c>
      <c r="P628" s="86" t="s">
        <v>2890</v>
      </c>
    </row>
    <row r="629" spans="2:16" ht="75" x14ac:dyDescent="0.25">
      <c r="B629" s="114" t="str">
        <f t="shared" ref="B629:B692" si="63">MID($I629,1,1)</f>
        <v>1</v>
      </c>
      <c r="C629" s="114" t="str">
        <f t="shared" ref="C629:C692" si="64">MID($I629,2,1)</f>
        <v>3</v>
      </c>
      <c r="D629" s="114" t="str">
        <f t="shared" ref="D629:D692" si="65">MID($I629,3,1)</f>
        <v>3</v>
      </c>
      <c r="E629" s="114" t="str">
        <f t="shared" ref="E629:E692" si="66">MID($I629,4,1)</f>
        <v>2</v>
      </c>
      <c r="F629" s="114" t="str">
        <f t="shared" ref="F629:F692" si="67">MID($I629,5,2)</f>
        <v>01</v>
      </c>
      <c r="G629" s="114" t="str">
        <f t="shared" ref="G629:G692" si="68">MID($I629,7,1)</f>
        <v>2</v>
      </c>
      <c r="H629" s="114" t="str">
        <f t="shared" ref="H629:H692" si="69">MID($I629,8,1)</f>
        <v>0</v>
      </c>
      <c r="I629" s="115">
        <v>13320120</v>
      </c>
      <c r="J629" s="114" t="s">
        <v>3601</v>
      </c>
      <c r="K629" s="114" t="s">
        <v>3602</v>
      </c>
      <c r="L629" s="116"/>
      <c r="M629" s="114" t="s">
        <v>2878</v>
      </c>
      <c r="N629" s="114" t="s">
        <v>2879</v>
      </c>
      <c r="O629" s="114" t="s">
        <v>2878</v>
      </c>
      <c r="P629" s="117" t="s">
        <v>2880</v>
      </c>
    </row>
    <row r="630" spans="2:16" ht="120" x14ac:dyDescent="0.25">
      <c r="B630" s="85" t="str">
        <f t="shared" si="63"/>
        <v>1</v>
      </c>
      <c r="C630" s="85" t="str">
        <f t="shared" si="64"/>
        <v>3</v>
      </c>
      <c r="D630" s="85" t="str">
        <f t="shared" si="65"/>
        <v>3</v>
      </c>
      <c r="E630" s="85" t="str">
        <f t="shared" si="66"/>
        <v>2</v>
      </c>
      <c r="F630" s="85" t="str">
        <f t="shared" si="67"/>
        <v>01</v>
      </c>
      <c r="G630" s="85" t="str">
        <f t="shared" si="68"/>
        <v>2</v>
      </c>
      <c r="H630" s="85" t="str">
        <f t="shared" si="69"/>
        <v>1</v>
      </c>
      <c r="I630" s="87">
        <v>13320121</v>
      </c>
      <c r="J630" s="85" t="s">
        <v>3603</v>
      </c>
      <c r="K630" s="85" t="s">
        <v>3604</v>
      </c>
      <c r="L630" s="84"/>
      <c r="M630" s="85" t="s">
        <v>3605</v>
      </c>
      <c r="N630" s="85" t="s">
        <v>2879</v>
      </c>
      <c r="O630" s="85" t="s">
        <v>3606</v>
      </c>
      <c r="P630" s="86" t="s">
        <v>2890</v>
      </c>
    </row>
    <row r="631" spans="2:16" ht="30" x14ac:dyDescent="0.25">
      <c r="B631" s="85" t="str">
        <f t="shared" si="63"/>
        <v>1</v>
      </c>
      <c r="C631" s="85" t="str">
        <f t="shared" si="64"/>
        <v>3</v>
      </c>
      <c r="D631" s="85" t="str">
        <f t="shared" si="65"/>
        <v>3</v>
      </c>
      <c r="E631" s="85" t="str">
        <f t="shared" si="66"/>
        <v>2</v>
      </c>
      <c r="F631" s="85" t="str">
        <f t="shared" si="67"/>
        <v>01</v>
      </c>
      <c r="G631" s="85" t="str">
        <f t="shared" si="68"/>
        <v>2</v>
      </c>
      <c r="H631" s="85" t="str">
        <f t="shared" si="69"/>
        <v>2</v>
      </c>
      <c r="I631" s="87">
        <v>13320122</v>
      </c>
      <c r="J631" s="85" t="s">
        <v>3607</v>
      </c>
      <c r="K631" s="85" t="s">
        <v>2892</v>
      </c>
      <c r="L631" s="84"/>
      <c r="M631" s="85" t="s">
        <v>2892</v>
      </c>
      <c r="N631" s="85" t="s">
        <v>2879</v>
      </c>
      <c r="O631" s="85" t="s">
        <v>2892</v>
      </c>
      <c r="P631" s="86" t="s">
        <v>2890</v>
      </c>
    </row>
    <row r="632" spans="2:16" ht="30" x14ac:dyDescent="0.25">
      <c r="B632" s="85" t="str">
        <f t="shared" si="63"/>
        <v>1</v>
      </c>
      <c r="C632" s="85" t="str">
        <f t="shared" si="64"/>
        <v>3</v>
      </c>
      <c r="D632" s="85" t="str">
        <f t="shared" si="65"/>
        <v>3</v>
      </c>
      <c r="E632" s="85" t="str">
        <f t="shared" si="66"/>
        <v>2</v>
      </c>
      <c r="F632" s="85" t="str">
        <f t="shared" si="67"/>
        <v>01</v>
      </c>
      <c r="G632" s="85" t="str">
        <f t="shared" si="68"/>
        <v>2</v>
      </c>
      <c r="H632" s="85" t="str">
        <f t="shared" si="69"/>
        <v>3</v>
      </c>
      <c r="I632" s="87">
        <v>13320123</v>
      </c>
      <c r="J632" s="85" t="s">
        <v>3608</v>
      </c>
      <c r="K632" s="85" t="s">
        <v>2892</v>
      </c>
      <c r="L632" s="84"/>
      <c r="M632" s="85" t="s">
        <v>2892</v>
      </c>
      <c r="N632" s="85" t="s">
        <v>2879</v>
      </c>
      <c r="O632" s="85" t="s">
        <v>2892</v>
      </c>
      <c r="P632" s="86" t="s">
        <v>2890</v>
      </c>
    </row>
    <row r="633" spans="2:16" ht="30" x14ac:dyDescent="0.25">
      <c r="B633" s="85" t="str">
        <f t="shared" si="63"/>
        <v>1</v>
      </c>
      <c r="C633" s="85" t="str">
        <f t="shared" si="64"/>
        <v>3</v>
      </c>
      <c r="D633" s="85" t="str">
        <f t="shared" si="65"/>
        <v>3</v>
      </c>
      <c r="E633" s="85" t="str">
        <f t="shared" si="66"/>
        <v>2</v>
      </c>
      <c r="F633" s="85" t="str">
        <f t="shared" si="67"/>
        <v>01</v>
      </c>
      <c r="G633" s="85" t="str">
        <f t="shared" si="68"/>
        <v>2</v>
      </c>
      <c r="H633" s="85" t="str">
        <f t="shared" si="69"/>
        <v>4</v>
      </c>
      <c r="I633" s="87">
        <v>13320124</v>
      </c>
      <c r="J633" s="85" t="s">
        <v>3609</v>
      </c>
      <c r="K633" s="85" t="s">
        <v>2892</v>
      </c>
      <c r="L633" s="84"/>
      <c r="M633" s="85" t="s">
        <v>2892</v>
      </c>
      <c r="N633" s="85" t="s">
        <v>2879</v>
      </c>
      <c r="O633" s="85" t="s">
        <v>2892</v>
      </c>
      <c r="P633" s="86" t="s">
        <v>2890</v>
      </c>
    </row>
    <row r="634" spans="2:16" ht="45" x14ac:dyDescent="0.25">
      <c r="B634" s="108" t="str">
        <f t="shared" si="63"/>
        <v>1</v>
      </c>
      <c r="C634" s="108" t="str">
        <f t="shared" si="64"/>
        <v>3</v>
      </c>
      <c r="D634" s="108" t="str">
        <f t="shared" si="65"/>
        <v>3</v>
      </c>
      <c r="E634" s="108" t="str">
        <f t="shared" si="66"/>
        <v>2</v>
      </c>
      <c r="F634" s="108" t="str">
        <f t="shared" si="67"/>
        <v>02</v>
      </c>
      <c r="G634" s="108" t="str">
        <f t="shared" si="68"/>
        <v>0</v>
      </c>
      <c r="H634" s="108" t="str">
        <f t="shared" si="69"/>
        <v>0</v>
      </c>
      <c r="I634" s="109">
        <v>13320200</v>
      </c>
      <c r="J634" s="108" t="s">
        <v>3610</v>
      </c>
      <c r="K634" s="108" t="s">
        <v>3611</v>
      </c>
      <c r="L634" s="110"/>
      <c r="M634" s="108" t="s">
        <v>2878</v>
      </c>
      <c r="N634" s="108" t="s">
        <v>2879</v>
      </c>
      <c r="O634" s="108" t="s">
        <v>2878</v>
      </c>
      <c r="P634" s="111" t="s">
        <v>2880</v>
      </c>
    </row>
    <row r="635" spans="2:16" ht="45" x14ac:dyDescent="0.25">
      <c r="B635" s="114" t="str">
        <f t="shared" si="63"/>
        <v>1</v>
      </c>
      <c r="C635" s="114" t="str">
        <f t="shared" si="64"/>
        <v>3</v>
      </c>
      <c r="D635" s="114" t="str">
        <f t="shared" si="65"/>
        <v>3</v>
      </c>
      <c r="E635" s="114" t="str">
        <f t="shared" si="66"/>
        <v>2</v>
      </c>
      <c r="F635" s="114" t="str">
        <f t="shared" si="67"/>
        <v>02</v>
      </c>
      <c r="G635" s="114" t="str">
        <f t="shared" si="68"/>
        <v>1</v>
      </c>
      <c r="H635" s="114" t="str">
        <f t="shared" si="69"/>
        <v>0</v>
      </c>
      <c r="I635" s="115">
        <v>13320210</v>
      </c>
      <c r="J635" s="114" t="s">
        <v>3610</v>
      </c>
      <c r="K635" s="114" t="s">
        <v>3611</v>
      </c>
      <c r="L635" s="116"/>
      <c r="M635" s="114" t="s">
        <v>2878</v>
      </c>
      <c r="N635" s="114" t="s">
        <v>2879</v>
      </c>
      <c r="O635" s="114" t="s">
        <v>2878</v>
      </c>
      <c r="P635" s="117" t="s">
        <v>2880</v>
      </c>
    </row>
    <row r="636" spans="2:16" ht="45" x14ac:dyDescent="0.25">
      <c r="B636" s="85" t="str">
        <f t="shared" si="63"/>
        <v>1</v>
      </c>
      <c r="C636" s="85" t="str">
        <f t="shared" si="64"/>
        <v>3</v>
      </c>
      <c r="D636" s="85" t="str">
        <f t="shared" si="65"/>
        <v>3</v>
      </c>
      <c r="E636" s="85" t="str">
        <f t="shared" si="66"/>
        <v>2</v>
      </c>
      <c r="F636" s="85" t="str">
        <f t="shared" si="67"/>
        <v>02</v>
      </c>
      <c r="G636" s="85" t="str">
        <f t="shared" si="68"/>
        <v>1</v>
      </c>
      <c r="H636" s="85" t="str">
        <f t="shared" si="69"/>
        <v>1</v>
      </c>
      <c r="I636" s="87">
        <v>13320211</v>
      </c>
      <c r="J636" s="85" t="s">
        <v>3612</v>
      </c>
      <c r="K636" s="85" t="s">
        <v>3613</v>
      </c>
      <c r="L636" s="84"/>
      <c r="M636" s="85" t="s">
        <v>3584</v>
      </c>
      <c r="N636" s="85" t="s">
        <v>2879</v>
      </c>
      <c r="O636" s="85" t="s">
        <v>3614</v>
      </c>
      <c r="P636" s="86" t="s">
        <v>2890</v>
      </c>
    </row>
    <row r="637" spans="2:16" ht="30" x14ac:dyDescent="0.25">
      <c r="B637" s="85" t="str">
        <f t="shared" si="63"/>
        <v>1</v>
      </c>
      <c r="C637" s="85" t="str">
        <f t="shared" si="64"/>
        <v>3</v>
      </c>
      <c r="D637" s="85" t="str">
        <f t="shared" si="65"/>
        <v>3</v>
      </c>
      <c r="E637" s="85" t="str">
        <f t="shared" si="66"/>
        <v>2</v>
      </c>
      <c r="F637" s="85" t="str">
        <f t="shared" si="67"/>
        <v>02</v>
      </c>
      <c r="G637" s="85" t="str">
        <f t="shared" si="68"/>
        <v>1</v>
      </c>
      <c r="H637" s="85" t="str">
        <f t="shared" si="69"/>
        <v>2</v>
      </c>
      <c r="I637" s="87">
        <v>13320212</v>
      </c>
      <c r="J637" s="85" t="s">
        <v>3615</v>
      </c>
      <c r="K637" s="85" t="s">
        <v>2892</v>
      </c>
      <c r="L637" s="84"/>
      <c r="M637" s="85" t="s">
        <v>2892</v>
      </c>
      <c r="N637" s="85" t="s">
        <v>2879</v>
      </c>
      <c r="O637" s="85" t="s">
        <v>2892</v>
      </c>
      <c r="P637" s="86" t="s">
        <v>2890</v>
      </c>
    </row>
    <row r="638" spans="2:16" ht="30" x14ac:dyDescent="0.25">
      <c r="B638" s="85" t="str">
        <f t="shared" si="63"/>
        <v>1</v>
      </c>
      <c r="C638" s="85" t="str">
        <f t="shared" si="64"/>
        <v>3</v>
      </c>
      <c r="D638" s="85" t="str">
        <f t="shared" si="65"/>
        <v>3</v>
      </c>
      <c r="E638" s="85" t="str">
        <f t="shared" si="66"/>
        <v>2</v>
      </c>
      <c r="F638" s="85" t="str">
        <f t="shared" si="67"/>
        <v>02</v>
      </c>
      <c r="G638" s="85" t="str">
        <f t="shared" si="68"/>
        <v>1</v>
      </c>
      <c r="H638" s="85" t="str">
        <f t="shared" si="69"/>
        <v>3</v>
      </c>
      <c r="I638" s="87">
        <v>13320213</v>
      </c>
      <c r="J638" s="85" t="s">
        <v>3616</v>
      </c>
      <c r="K638" s="85" t="s">
        <v>2892</v>
      </c>
      <c r="L638" s="84"/>
      <c r="M638" s="85" t="s">
        <v>2892</v>
      </c>
      <c r="N638" s="85" t="s">
        <v>2879</v>
      </c>
      <c r="O638" s="85" t="s">
        <v>2892</v>
      </c>
      <c r="P638" s="86" t="s">
        <v>2890</v>
      </c>
    </row>
    <row r="639" spans="2:16" ht="30" x14ac:dyDescent="0.25">
      <c r="B639" s="85" t="str">
        <f t="shared" si="63"/>
        <v>1</v>
      </c>
      <c r="C639" s="85" t="str">
        <f t="shared" si="64"/>
        <v>3</v>
      </c>
      <c r="D639" s="85" t="str">
        <f t="shared" si="65"/>
        <v>3</v>
      </c>
      <c r="E639" s="85" t="str">
        <f t="shared" si="66"/>
        <v>2</v>
      </c>
      <c r="F639" s="85" t="str">
        <f t="shared" si="67"/>
        <v>02</v>
      </c>
      <c r="G639" s="85" t="str">
        <f t="shared" si="68"/>
        <v>1</v>
      </c>
      <c r="H639" s="85" t="str">
        <f t="shared" si="69"/>
        <v>4</v>
      </c>
      <c r="I639" s="87">
        <v>13320214</v>
      </c>
      <c r="J639" s="85" t="s">
        <v>3617</v>
      </c>
      <c r="K639" s="85" t="s">
        <v>2892</v>
      </c>
      <c r="L639" s="84"/>
      <c r="M639" s="85" t="s">
        <v>2892</v>
      </c>
      <c r="N639" s="85" t="s">
        <v>2879</v>
      </c>
      <c r="O639" s="85" t="s">
        <v>2892</v>
      </c>
      <c r="P639" s="86" t="s">
        <v>2890</v>
      </c>
    </row>
    <row r="640" spans="2:16" ht="45" x14ac:dyDescent="0.25">
      <c r="B640" s="108" t="str">
        <f t="shared" si="63"/>
        <v>1</v>
      </c>
      <c r="C640" s="108" t="str">
        <f t="shared" si="64"/>
        <v>3</v>
      </c>
      <c r="D640" s="108" t="str">
        <f t="shared" si="65"/>
        <v>3</v>
      </c>
      <c r="E640" s="108" t="str">
        <f t="shared" si="66"/>
        <v>2</v>
      </c>
      <c r="F640" s="108" t="str">
        <f t="shared" si="67"/>
        <v>03</v>
      </c>
      <c r="G640" s="108" t="str">
        <f t="shared" si="68"/>
        <v>0</v>
      </c>
      <c r="H640" s="108" t="str">
        <f t="shared" si="69"/>
        <v>0</v>
      </c>
      <c r="I640" s="109">
        <v>13320300</v>
      </c>
      <c r="J640" s="108" t="s">
        <v>3618</v>
      </c>
      <c r="K640" s="108" t="s">
        <v>3619</v>
      </c>
      <c r="L640" s="110"/>
      <c r="M640" s="108" t="s">
        <v>2878</v>
      </c>
      <c r="N640" s="108" t="s">
        <v>2879</v>
      </c>
      <c r="O640" s="108" t="s">
        <v>2878</v>
      </c>
      <c r="P640" s="111" t="s">
        <v>2880</v>
      </c>
    </row>
    <row r="641" spans="2:16" ht="45" x14ac:dyDescent="0.25">
      <c r="B641" s="114" t="str">
        <f t="shared" si="63"/>
        <v>1</v>
      </c>
      <c r="C641" s="114" t="str">
        <f t="shared" si="64"/>
        <v>3</v>
      </c>
      <c r="D641" s="114" t="str">
        <f t="shared" si="65"/>
        <v>3</v>
      </c>
      <c r="E641" s="114" t="str">
        <f t="shared" si="66"/>
        <v>2</v>
      </c>
      <c r="F641" s="114" t="str">
        <f t="shared" si="67"/>
        <v>03</v>
      </c>
      <c r="G641" s="114" t="str">
        <f t="shared" si="68"/>
        <v>1</v>
      </c>
      <c r="H641" s="114" t="str">
        <f t="shared" si="69"/>
        <v>0</v>
      </c>
      <c r="I641" s="115">
        <v>13320310</v>
      </c>
      <c r="J641" s="114" t="s">
        <v>3618</v>
      </c>
      <c r="K641" s="114" t="s">
        <v>3619</v>
      </c>
      <c r="L641" s="116"/>
      <c r="M641" s="114" t="s">
        <v>2878</v>
      </c>
      <c r="N641" s="114" t="s">
        <v>2879</v>
      </c>
      <c r="O641" s="114" t="s">
        <v>2878</v>
      </c>
      <c r="P641" s="117" t="s">
        <v>2880</v>
      </c>
    </row>
    <row r="642" spans="2:16" ht="45" x14ac:dyDescent="0.25">
      <c r="B642" s="85" t="str">
        <f t="shared" si="63"/>
        <v>1</v>
      </c>
      <c r="C642" s="85" t="str">
        <f t="shared" si="64"/>
        <v>3</v>
      </c>
      <c r="D642" s="85" t="str">
        <f t="shared" si="65"/>
        <v>3</v>
      </c>
      <c r="E642" s="85" t="str">
        <f t="shared" si="66"/>
        <v>2</v>
      </c>
      <c r="F642" s="85" t="str">
        <f t="shared" si="67"/>
        <v>03</v>
      </c>
      <c r="G642" s="85" t="str">
        <f t="shared" si="68"/>
        <v>1</v>
      </c>
      <c r="H642" s="85" t="str">
        <f t="shared" si="69"/>
        <v>1</v>
      </c>
      <c r="I642" s="87">
        <v>13320311</v>
      </c>
      <c r="J642" s="85" t="s">
        <v>3620</v>
      </c>
      <c r="K642" s="85" t="s">
        <v>3621</v>
      </c>
      <c r="L642" s="84"/>
      <c r="M642" s="85" t="s">
        <v>3044</v>
      </c>
      <c r="N642" s="85" t="s">
        <v>2879</v>
      </c>
      <c r="O642" s="85"/>
      <c r="P642" s="86" t="s">
        <v>2890</v>
      </c>
    </row>
    <row r="643" spans="2:16" ht="30" x14ac:dyDescent="0.25">
      <c r="B643" s="85" t="str">
        <f t="shared" si="63"/>
        <v>1</v>
      </c>
      <c r="C643" s="85" t="str">
        <f t="shared" si="64"/>
        <v>3</v>
      </c>
      <c r="D643" s="85" t="str">
        <f t="shared" si="65"/>
        <v>3</v>
      </c>
      <c r="E643" s="85" t="str">
        <f t="shared" si="66"/>
        <v>2</v>
      </c>
      <c r="F643" s="85" t="str">
        <f t="shared" si="67"/>
        <v>03</v>
      </c>
      <c r="G643" s="85" t="str">
        <f t="shared" si="68"/>
        <v>1</v>
      </c>
      <c r="H643" s="85" t="str">
        <f t="shared" si="69"/>
        <v>2</v>
      </c>
      <c r="I643" s="87">
        <v>13320312</v>
      </c>
      <c r="J643" s="85" t="s">
        <v>3622</v>
      </c>
      <c r="K643" s="85" t="s">
        <v>2892</v>
      </c>
      <c r="L643" s="84"/>
      <c r="M643" s="85" t="s">
        <v>2892</v>
      </c>
      <c r="N643" s="85" t="s">
        <v>2879</v>
      </c>
      <c r="O643" s="85" t="s">
        <v>2892</v>
      </c>
      <c r="P643" s="86" t="s">
        <v>2890</v>
      </c>
    </row>
    <row r="644" spans="2:16" ht="30" x14ac:dyDescent="0.25">
      <c r="B644" s="85" t="str">
        <f t="shared" si="63"/>
        <v>1</v>
      </c>
      <c r="C644" s="85" t="str">
        <f t="shared" si="64"/>
        <v>3</v>
      </c>
      <c r="D644" s="85" t="str">
        <f t="shared" si="65"/>
        <v>3</v>
      </c>
      <c r="E644" s="85" t="str">
        <f t="shared" si="66"/>
        <v>2</v>
      </c>
      <c r="F644" s="85" t="str">
        <f t="shared" si="67"/>
        <v>03</v>
      </c>
      <c r="G644" s="85" t="str">
        <f t="shared" si="68"/>
        <v>1</v>
      </c>
      <c r="H644" s="85" t="str">
        <f t="shared" si="69"/>
        <v>3</v>
      </c>
      <c r="I644" s="87">
        <v>13320313</v>
      </c>
      <c r="J644" s="85" t="s">
        <v>3623</v>
      </c>
      <c r="K644" s="85" t="s">
        <v>2892</v>
      </c>
      <c r="L644" s="84"/>
      <c r="M644" s="85" t="s">
        <v>2892</v>
      </c>
      <c r="N644" s="85" t="s">
        <v>2879</v>
      </c>
      <c r="O644" s="85" t="s">
        <v>2892</v>
      </c>
      <c r="P644" s="86" t="s">
        <v>2890</v>
      </c>
    </row>
    <row r="645" spans="2:16" ht="30" x14ac:dyDescent="0.25">
      <c r="B645" s="85" t="str">
        <f t="shared" si="63"/>
        <v>1</v>
      </c>
      <c r="C645" s="85" t="str">
        <f t="shared" si="64"/>
        <v>3</v>
      </c>
      <c r="D645" s="85" t="str">
        <f t="shared" si="65"/>
        <v>3</v>
      </c>
      <c r="E645" s="85" t="str">
        <f t="shared" si="66"/>
        <v>2</v>
      </c>
      <c r="F645" s="85" t="str">
        <f t="shared" si="67"/>
        <v>03</v>
      </c>
      <c r="G645" s="85" t="str">
        <f t="shared" si="68"/>
        <v>1</v>
      </c>
      <c r="H645" s="85" t="str">
        <f t="shared" si="69"/>
        <v>4</v>
      </c>
      <c r="I645" s="87">
        <v>13320314</v>
      </c>
      <c r="J645" s="85" t="s">
        <v>3624</v>
      </c>
      <c r="K645" s="85" t="s">
        <v>2892</v>
      </c>
      <c r="L645" s="84"/>
      <c r="M645" s="85" t="s">
        <v>2892</v>
      </c>
      <c r="N645" s="85" t="s">
        <v>2879</v>
      </c>
      <c r="O645" s="85" t="s">
        <v>2892</v>
      </c>
      <c r="P645" s="86" t="s">
        <v>2890</v>
      </c>
    </row>
    <row r="646" spans="2:16" ht="30" x14ac:dyDescent="0.25">
      <c r="B646" s="108" t="str">
        <f t="shared" si="63"/>
        <v>1</v>
      </c>
      <c r="C646" s="108" t="str">
        <f t="shared" si="64"/>
        <v>3</v>
      </c>
      <c r="D646" s="108" t="str">
        <f t="shared" si="65"/>
        <v>3</v>
      </c>
      <c r="E646" s="108" t="str">
        <f t="shared" si="66"/>
        <v>2</v>
      </c>
      <c r="F646" s="108" t="str">
        <f t="shared" si="67"/>
        <v>04</v>
      </c>
      <c r="G646" s="108" t="str">
        <f t="shared" si="68"/>
        <v>0</v>
      </c>
      <c r="H646" s="108" t="str">
        <f t="shared" si="69"/>
        <v>0</v>
      </c>
      <c r="I646" s="109">
        <v>13320400</v>
      </c>
      <c r="J646" s="108" t="s">
        <v>3625</v>
      </c>
      <c r="K646" s="108" t="s">
        <v>3626</v>
      </c>
      <c r="L646" s="110"/>
      <c r="M646" s="108" t="s">
        <v>2878</v>
      </c>
      <c r="N646" s="108" t="s">
        <v>2879</v>
      </c>
      <c r="O646" s="108" t="s">
        <v>2878</v>
      </c>
      <c r="P646" s="111" t="s">
        <v>2880</v>
      </c>
    </row>
    <row r="647" spans="2:16" ht="30" x14ac:dyDescent="0.25">
      <c r="B647" s="114" t="str">
        <f t="shared" si="63"/>
        <v>1</v>
      </c>
      <c r="C647" s="114" t="str">
        <f t="shared" si="64"/>
        <v>3</v>
      </c>
      <c r="D647" s="114" t="str">
        <f t="shared" si="65"/>
        <v>3</v>
      </c>
      <c r="E647" s="114" t="str">
        <f t="shared" si="66"/>
        <v>2</v>
      </c>
      <c r="F647" s="114" t="str">
        <f t="shared" si="67"/>
        <v>04</v>
      </c>
      <c r="G647" s="114" t="str">
        <f t="shared" si="68"/>
        <v>1</v>
      </c>
      <c r="H647" s="114" t="str">
        <f t="shared" si="69"/>
        <v>0</v>
      </c>
      <c r="I647" s="115">
        <v>13320410</v>
      </c>
      <c r="J647" s="114" t="s">
        <v>3625</v>
      </c>
      <c r="K647" s="114" t="s">
        <v>3626</v>
      </c>
      <c r="L647" s="116"/>
      <c r="M647" s="114" t="s">
        <v>2878</v>
      </c>
      <c r="N647" s="114" t="s">
        <v>2879</v>
      </c>
      <c r="O647" s="114" t="s">
        <v>2878</v>
      </c>
      <c r="P647" s="117" t="s">
        <v>2880</v>
      </c>
    </row>
    <row r="648" spans="2:16" ht="15.75" x14ac:dyDescent="0.25">
      <c r="B648" s="85" t="str">
        <f t="shared" si="63"/>
        <v>1</v>
      </c>
      <c r="C648" s="85" t="str">
        <f t="shared" si="64"/>
        <v>3</v>
      </c>
      <c r="D648" s="85" t="str">
        <f t="shared" si="65"/>
        <v>3</v>
      </c>
      <c r="E648" s="85" t="str">
        <f t="shared" si="66"/>
        <v>2</v>
      </c>
      <c r="F648" s="85" t="str">
        <f t="shared" si="67"/>
        <v>04</v>
      </c>
      <c r="G648" s="85" t="str">
        <f t="shared" si="68"/>
        <v>1</v>
      </c>
      <c r="H648" s="85" t="str">
        <f t="shared" si="69"/>
        <v>1</v>
      </c>
      <c r="I648" s="87">
        <v>13320411</v>
      </c>
      <c r="J648" s="85" t="s">
        <v>3627</v>
      </c>
      <c r="K648" s="85" t="s">
        <v>3628</v>
      </c>
      <c r="L648" s="84"/>
      <c r="M648" s="85" t="s">
        <v>3629</v>
      </c>
      <c r="N648" s="85" t="s">
        <v>2879</v>
      </c>
      <c r="O648" s="85" t="s">
        <v>3630</v>
      </c>
      <c r="P648" s="86" t="s">
        <v>2890</v>
      </c>
    </row>
    <row r="649" spans="2:16" ht="15.75" x14ac:dyDescent="0.25">
      <c r="B649" s="85" t="str">
        <f t="shared" si="63"/>
        <v>1</v>
      </c>
      <c r="C649" s="85" t="str">
        <f t="shared" si="64"/>
        <v>3</v>
      </c>
      <c r="D649" s="85" t="str">
        <f t="shared" si="65"/>
        <v>3</v>
      </c>
      <c r="E649" s="85" t="str">
        <f t="shared" si="66"/>
        <v>2</v>
      </c>
      <c r="F649" s="85" t="str">
        <f t="shared" si="67"/>
        <v>04</v>
      </c>
      <c r="G649" s="85" t="str">
        <f t="shared" si="68"/>
        <v>1</v>
      </c>
      <c r="H649" s="85" t="str">
        <f t="shared" si="69"/>
        <v>2</v>
      </c>
      <c r="I649" s="87">
        <v>13320412</v>
      </c>
      <c r="J649" s="85" t="s">
        <v>3631</v>
      </c>
      <c r="K649" s="85" t="s">
        <v>2892</v>
      </c>
      <c r="L649" s="84"/>
      <c r="M649" s="85" t="s">
        <v>2892</v>
      </c>
      <c r="N649" s="85" t="s">
        <v>2879</v>
      </c>
      <c r="O649" s="85" t="s">
        <v>2892</v>
      </c>
      <c r="P649" s="86" t="s">
        <v>2890</v>
      </c>
    </row>
    <row r="650" spans="2:16" ht="15.75" x14ac:dyDescent="0.25">
      <c r="B650" s="85" t="str">
        <f t="shared" si="63"/>
        <v>1</v>
      </c>
      <c r="C650" s="85" t="str">
        <f t="shared" si="64"/>
        <v>3</v>
      </c>
      <c r="D650" s="85" t="str">
        <f t="shared" si="65"/>
        <v>3</v>
      </c>
      <c r="E650" s="85" t="str">
        <f t="shared" si="66"/>
        <v>2</v>
      </c>
      <c r="F650" s="85" t="str">
        <f t="shared" si="67"/>
        <v>04</v>
      </c>
      <c r="G650" s="85" t="str">
        <f t="shared" si="68"/>
        <v>1</v>
      </c>
      <c r="H650" s="85" t="str">
        <f t="shared" si="69"/>
        <v>3</v>
      </c>
      <c r="I650" s="87">
        <v>13320413</v>
      </c>
      <c r="J650" s="85" t="s">
        <v>3632</v>
      </c>
      <c r="K650" s="85" t="s">
        <v>2892</v>
      </c>
      <c r="L650" s="84"/>
      <c r="M650" s="85" t="s">
        <v>2892</v>
      </c>
      <c r="N650" s="85" t="s">
        <v>2879</v>
      </c>
      <c r="O650" s="85" t="s">
        <v>2892</v>
      </c>
      <c r="P650" s="86" t="s">
        <v>2890</v>
      </c>
    </row>
    <row r="651" spans="2:16" ht="30" x14ac:dyDescent="0.25">
      <c r="B651" s="85" t="str">
        <f t="shared" si="63"/>
        <v>1</v>
      </c>
      <c r="C651" s="85" t="str">
        <f t="shared" si="64"/>
        <v>3</v>
      </c>
      <c r="D651" s="85" t="str">
        <f t="shared" si="65"/>
        <v>3</v>
      </c>
      <c r="E651" s="85" t="str">
        <f t="shared" si="66"/>
        <v>2</v>
      </c>
      <c r="F651" s="85" t="str">
        <f t="shared" si="67"/>
        <v>04</v>
      </c>
      <c r="G651" s="85" t="str">
        <f t="shared" si="68"/>
        <v>1</v>
      </c>
      <c r="H651" s="85" t="str">
        <f t="shared" si="69"/>
        <v>4</v>
      </c>
      <c r="I651" s="87">
        <v>13320414</v>
      </c>
      <c r="J651" s="85" t="s">
        <v>3633</v>
      </c>
      <c r="K651" s="85" t="s">
        <v>2892</v>
      </c>
      <c r="L651" s="84"/>
      <c r="M651" s="85" t="s">
        <v>2892</v>
      </c>
      <c r="N651" s="85" t="s">
        <v>2879</v>
      </c>
      <c r="O651" s="85" t="s">
        <v>2892</v>
      </c>
      <c r="P651" s="86" t="s">
        <v>2890</v>
      </c>
    </row>
    <row r="652" spans="2:16" ht="30" x14ac:dyDescent="0.25">
      <c r="B652" s="104" t="str">
        <f t="shared" si="63"/>
        <v>1</v>
      </c>
      <c r="C652" s="104" t="str">
        <f t="shared" si="64"/>
        <v>3</v>
      </c>
      <c r="D652" s="104" t="str">
        <f t="shared" si="65"/>
        <v>3</v>
      </c>
      <c r="E652" s="104" t="str">
        <f t="shared" si="66"/>
        <v>3</v>
      </c>
      <c r="F652" s="104" t="str">
        <f t="shared" si="67"/>
        <v>00</v>
      </c>
      <c r="G652" s="104" t="str">
        <f t="shared" si="68"/>
        <v>0</v>
      </c>
      <c r="H652" s="104" t="str">
        <f t="shared" si="69"/>
        <v>0</v>
      </c>
      <c r="I652" s="105">
        <v>13330000</v>
      </c>
      <c r="J652" s="104" t="s">
        <v>3634</v>
      </c>
      <c r="K652" s="104" t="s">
        <v>3635</v>
      </c>
      <c r="L652" s="106"/>
      <c r="M652" s="104" t="s">
        <v>2878</v>
      </c>
      <c r="N652" s="104" t="s">
        <v>2879</v>
      </c>
      <c r="O652" s="104" t="s">
        <v>2878</v>
      </c>
      <c r="P652" s="107" t="s">
        <v>2880</v>
      </c>
    </row>
    <row r="653" spans="2:16" ht="120" x14ac:dyDescent="0.25">
      <c r="B653" s="114" t="str">
        <f t="shared" si="63"/>
        <v>1</v>
      </c>
      <c r="C653" s="114" t="str">
        <f t="shared" si="64"/>
        <v>3</v>
      </c>
      <c r="D653" s="114" t="str">
        <f t="shared" si="65"/>
        <v>3</v>
      </c>
      <c r="E653" s="114" t="str">
        <f t="shared" si="66"/>
        <v>3</v>
      </c>
      <c r="F653" s="114" t="str">
        <f t="shared" si="67"/>
        <v>00</v>
      </c>
      <c r="G653" s="114" t="str">
        <f t="shared" si="68"/>
        <v>1</v>
      </c>
      <c r="H653" s="114" t="str">
        <f t="shared" si="69"/>
        <v>0</v>
      </c>
      <c r="I653" s="115">
        <v>13330010</v>
      </c>
      <c r="J653" s="114" t="s">
        <v>3636</v>
      </c>
      <c r="K653" s="114" t="s">
        <v>3637</v>
      </c>
      <c r="L653" s="116"/>
      <c r="M653" s="114" t="s">
        <v>2878</v>
      </c>
      <c r="N653" s="114" t="s">
        <v>2879</v>
      </c>
      <c r="O653" s="114" t="s">
        <v>2878</v>
      </c>
      <c r="P653" s="117" t="s">
        <v>2880</v>
      </c>
    </row>
    <row r="654" spans="2:16" ht="120" x14ac:dyDescent="0.25">
      <c r="B654" s="85" t="str">
        <f t="shared" si="63"/>
        <v>1</v>
      </c>
      <c r="C654" s="85" t="str">
        <f t="shared" si="64"/>
        <v>3</v>
      </c>
      <c r="D654" s="85" t="str">
        <f t="shared" si="65"/>
        <v>3</v>
      </c>
      <c r="E654" s="85" t="str">
        <f t="shared" si="66"/>
        <v>3</v>
      </c>
      <c r="F654" s="85" t="str">
        <f t="shared" si="67"/>
        <v>00</v>
      </c>
      <c r="G654" s="85" t="str">
        <f t="shared" si="68"/>
        <v>1</v>
      </c>
      <c r="H654" s="85" t="str">
        <f t="shared" si="69"/>
        <v>1</v>
      </c>
      <c r="I654" s="87">
        <v>13330011</v>
      </c>
      <c r="J654" s="85" t="s">
        <v>3638</v>
      </c>
      <c r="K654" s="85" t="s">
        <v>3639</v>
      </c>
      <c r="L654" s="84"/>
      <c r="M654" s="85" t="s">
        <v>3640</v>
      </c>
      <c r="N654" s="85" t="s">
        <v>2879</v>
      </c>
      <c r="O654" s="85" t="s">
        <v>3641</v>
      </c>
      <c r="P654" s="86" t="s">
        <v>2890</v>
      </c>
    </row>
    <row r="655" spans="2:16" ht="30" x14ac:dyDescent="0.25">
      <c r="B655" s="85" t="str">
        <f t="shared" si="63"/>
        <v>1</v>
      </c>
      <c r="C655" s="85" t="str">
        <f t="shared" si="64"/>
        <v>3</v>
      </c>
      <c r="D655" s="85" t="str">
        <f t="shared" si="65"/>
        <v>3</v>
      </c>
      <c r="E655" s="85" t="str">
        <f t="shared" si="66"/>
        <v>3</v>
      </c>
      <c r="F655" s="85" t="str">
        <f t="shared" si="67"/>
        <v>00</v>
      </c>
      <c r="G655" s="85" t="str">
        <f t="shared" si="68"/>
        <v>1</v>
      </c>
      <c r="H655" s="85" t="str">
        <f t="shared" si="69"/>
        <v>2</v>
      </c>
      <c r="I655" s="87">
        <v>13330012</v>
      </c>
      <c r="J655" s="85" t="s">
        <v>3642</v>
      </c>
      <c r="K655" s="85" t="s">
        <v>2892</v>
      </c>
      <c r="L655" s="84"/>
      <c r="M655" s="85" t="s">
        <v>2892</v>
      </c>
      <c r="N655" s="85" t="s">
        <v>1439</v>
      </c>
      <c r="O655" s="85" t="s">
        <v>2892</v>
      </c>
      <c r="P655" s="86" t="s">
        <v>2890</v>
      </c>
    </row>
    <row r="656" spans="2:16" ht="30" x14ac:dyDescent="0.25">
      <c r="B656" s="85" t="str">
        <f t="shared" si="63"/>
        <v>1</v>
      </c>
      <c r="C656" s="85" t="str">
        <f t="shared" si="64"/>
        <v>3</v>
      </c>
      <c r="D656" s="85" t="str">
        <f t="shared" si="65"/>
        <v>3</v>
      </c>
      <c r="E656" s="85" t="str">
        <f t="shared" si="66"/>
        <v>3</v>
      </c>
      <c r="F656" s="85" t="str">
        <f t="shared" si="67"/>
        <v>00</v>
      </c>
      <c r="G656" s="85" t="str">
        <f t="shared" si="68"/>
        <v>1</v>
      </c>
      <c r="H656" s="85" t="str">
        <f t="shared" si="69"/>
        <v>3</v>
      </c>
      <c r="I656" s="87">
        <v>13330013</v>
      </c>
      <c r="J656" s="85" t="s">
        <v>3643</v>
      </c>
      <c r="K656" s="85" t="s">
        <v>2892</v>
      </c>
      <c r="L656" s="84"/>
      <c r="M656" s="85" t="s">
        <v>2892</v>
      </c>
      <c r="N656" s="85" t="s">
        <v>1439</v>
      </c>
      <c r="O656" s="85" t="s">
        <v>2892</v>
      </c>
      <c r="P656" s="86" t="s">
        <v>2890</v>
      </c>
    </row>
    <row r="657" spans="2:16" ht="30" x14ac:dyDescent="0.25">
      <c r="B657" s="85" t="str">
        <f t="shared" si="63"/>
        <v>1</v>
      </c>
      <c r="C657" s="85" t="str">
        <f t="shared" si="64"/>
        <v>3</v>
      </c>
      <c r="D657" s="85" t="str">
        <f t="shared" si="65"/>
        <v>3</v>
      </c>
      <c r="E657" s="85" t="str">
        <f t="shared" si="66"/>
        <v>3</v>
      </c>
      <c r="F657" s="85" t="str">
        <f t="shared" si="67"/>
        <v>00</v>
      </c>
      <c r="G657" s="85" t="str">
        <f t="shared" si="68"/>
        <v>1</v>
      </c>
      <c r="H657" s="85" t="str">
        <f t="shared" si="69"/>
        <v>4</v>
      </c>
      <c r="I657" s="87">
        <v>13330014</v>
      </c>
      <c r="J657" s="85" t="s">
        <v>3644</v>
      </c>
      <c r="K657" s="85" t="s">
        <v>2892</v>
      </c>
      <c r="L657" s="84"/>
      <c r="M657" s="85" t="s">
        <v>2892</v>
      </c>
      <c r="N657" s="85" t="s">
        <v>1439</v>
      </c>
      <c r="O657" s="85" t="s">
        <v>2892</v>
      </c>
      <c r="P657" s="86" t="s">
        <v>2890</v>
      </c>
    </row>
    <row r="658" spans="2:16" ht="105" x14ac:dyDescent="0.25">
      <c r="B658" s="114" t="str">
        <f t="shared" si="63"/>
        <v>1</v>
      </c>
      <c r="C658" s="114" t="str">
        <f t="shared" si="64"/>
        <v>3</v>
      </c>
      <c r="D658" s="114" t="str">
        <f t="shared" si="65"/>
        <v>3</v>
      </c>
      <c r="E658" s="114" t="str">
        <f t="shared" si="66"/>
        <v>3</v>
      </c>
      <c r="F658" s="114" t="str">
        <f t="shared" si="67"/>
        <v>00</v>
      </c>
      <c r="G658" s="114" t="str">
        <f t="shared" si="68"/>
        <v>2</v>
      </c>
      <c r="H658" s="114" t="str">
        <f t="shared" si="69"/>
        <v>0</v>
      </c>
      <c r="I658" s="115">
        <v>13330020</v>
      </c>
      <c r="J658" s="114" t="s">
        <v>3645</v>
      </c>
      <c r="K658" s="114" t="s">
        <v>3646</v>
      </c>
      <c r="L658" s="116"/>
      <c r="M658" s="114" t="s">
        <v>2878</v>
      </c>
      <c r="N658" s="114" t="s">
        <v>2879</v>
      </c>
      <c r="O658" s="114" t="s">
        <v>2878</v>
      </c>
      <c r="P658" s="117" t="s">
        <v>2880</v>
      </c>
    </row>
    <row r="659" spans="2:16" ht="120" x14ac:dyDescent="0.25">
      <c r="B659" s="85" t="str">
        <f t="shared" si="63"/>
        <v>1</v>
      </c>
      <c r="C659" s="85" t="str">
        <f t="shared" si="64"/>
        <v>3</v>
      </c>
      <c r="D659" s="85" t="str">
        <f t="shared" si="65"/>
        <v>3</v>
      </c>
      <c r="E659" s="85" t="str">
        <f t="shared" si="66"/>
        <v>3</v>
      </c>
      <c r="F659" s="85" t="str">
        <f t="shared" si="67"/>
        <v>00</v>
      </c>
      <c r="G659" s="85" t="str">
        <f t="shared" si="68"/>
        <v>2</v>
      </c>
      <c r="H659" s="85" t="str">
        <f t="shared" si="69"/>
        <v>1</v>
      </c>
      <c r="I659" s="87">
        <v>13330021</v>
      </c>
      <c r="J659" s="85" t="s">
        <v>3647</v>
      </c>
      <c r="K659" s="85" t="s">
        <v>3648</v>
      </c>
      <c r="L659" s="84"/>
      <c r="M659" s="85" t="s">
        <v>3640</v>
      </c>
      <c r="N659" s="85" t="s">
        <v>2879</v>
      </c>
      <c r="O659" s="85" t="s">
        <v>3649</v>
      </c>
      <c r="P659" s="86" t="s">
        <v>2890</v>
      </c>
    </row>
    <row r="660" spans="2:16" ht="30" x14ac:dyDescent="0.25">
      <c r="B660" s="85" t="str">
        <f t="shared" si="63"/>
        <v>1</v>
      </c>
      <c r="C660" s="85" t="str">
        <f t="shared" si="64"/>
        <v>3</v>
      </c>
      <c r="D660" s="85" t="str">
        <f t="shared" si="65"/>
        <v>3</v>
      </c>
      <c r="E660" s="85" t="str">
        <f t="shared" si="66"/>
        <v>3</v>
      </c>
      <c r="F660" s="85" t="str">
        <f t="shared" si="67"/>
        <v>00</v>
      </c>
      <c r="G660" s="85" t="str">
        <f t="shared" si="68"/>
        <v>2</v>
      </c>
      <c r="H660" s="85" t="str">
        <f t="shared" si="69"/>
        <v>2</v>
      </c>
      <c r="I660" s="87">
        <v>13330022</v>
      </c>
      <c r="J660" s="85" t="s">
        <v>3650</v>
      </c>
      <c r="K660" s="85" t="s">
        <v>2892</v>
      </c>
      <c r="L660" s="84"/>
      <c r="M660" s="85" t="s">
        <v>2892</v>
      </c>
      <c r="N660" s="85" t="s">
        <v>2879</v>
      </c>
      <c r="O660" s="85" t="s">
        <v>2892</v>
      </c>
      <c r="P660" s="86" t="s">
        <v>2890</v>
      </c>
    </row>
    <row r="661" spans="2:16" ht="30" x14ac:dyDescent="0.25">
      <c r="B661" s="85" t="str">
        <f t="shared" si="63"/>
        <v>1</v>
      </c>
      <c r="C661" s="85" t="str">
        <f t="shared" si="64"/>
        <v>3</v>
      </c>
      <c r="D661" s="85" t="str">
        <f t="shared" si="65"/>
        <v>3</v>
      </c>
      <c r="E661" s="85" t="str">
        <f t="shared" si="66"/>
        <v>3</v>
      </c>
      <c r="F661" s="85" t="str">
        <f t="shared" si="67"/>
        <v>00</v>
      </c>
      <c r="G661" s="85" t="str">
        <f t="shared" si="68"/>
        <v>2</v>
      </c>
      <c r="H661" s="85" t="str">
        <f t="shared" si="69"/>
        <v>3</v>
      </c>
      <c r="I661" s="87">
        <v>13330023</v>
      </c>
      <c r="J661" s="85" t="s">
        <v>3651</v>
      </c>
      <c r="K661" s="85" t="s">
        <v>2892</v>
      </c>
      <c r="L661" s="84"/>
      <c r="M661" s="85" t="s">
        <v>2892</v>
      </c>
      <c r="N661" s="85" t="s">
        <v>2879</v>
      </c>
      <c r="O661" s="85" t="s">
        <v>2892</v>
      </c>
      <c r="P661" s="86" t="s">
        <v>2890</v>
      </c>
    </row>
    <row r="662" spans="2:16" ht="30" x14ac:dyDescent="0.25">
      <c r="B662" s="85" t="str">
        <f t="shared" si="63"/>
        <v>1</v>
      </c>
      <c r="C662" s="85" t="str">
        <f t="shared" si="64"/>
        <v>3</v>
      </c>
      <c r="D662" s="85" t="str">
        <f t="shared" si="65"/>
        <v>3</v>
      </c>
      <c r="E662" s="85" t="str">
        <f t="shared" si="66"/>
        <v>3</v>
      </c>
      <c r="F662" s="85" t="str">
        <f t="shared" si="67"/>
        <v>00</v>
      </c>
      <c r="G662" s="85" t="str">
        <f t="shared" si="68"/>
        <v>2</v>
      </c>
      <c r="H662" s="85" t="str">
        <f t="shared" si="69"/>
        <v>4</v>
      </c>
      <c r="I662" s="87">
        <v>13330024</v>
      </c>
      <c r="J662" s="85" t="s">
        <v>3652</v>
      </c>
      <c r="K662" s="85" t="s">
        <v>2892</v>
      </c>
      <c r="L662" s="84"/>
      <c r="M662" s="85" t="s">
        <v>2892</v>
      </c>
      <c r="N662" s="85" t="s">
        <v>2879</v>
      </c>
      <c r="O662" s="85" t="s">
        <v>2892</v>
      </c>
      <c r="P662" s="86" t="s">
        <v>2890</v>
      </c>
    </row>
    <row r="663" spans="2:16" ht="45" x14ac:dyDescent="0.25">
      <c r="B663" s="114" t="str">
        <f t="shared" si="63"/>
        <v>1</v>
      </c>
      <c r="C663" s="114" t="str">
        <f t="shared" si="64"/>
        <v>3</v>
      </c>
      <c r="D663" s="114" t="str">
        <f t="shared" si="65"/>
        <v>3</v>
      </c>
      <c r="E663" s="114" t="str">
        <f t="shared" si="66"/>
        <v>3</v>
      </c>
      <c r="F663" s="114" t="str">
        <f t="shared" si="67"/>
        <v>00</v>
      </c>
      <c r="G663" s="114" t="str">
        <f t="shared" si="68"/>
        <v>3</v>
      </c>
      <c r="H663" s="114" t="str">
        <f t="shared" si="69"/>
        <v>0</v>
      </c>
      <c r="I663" s="115">
        <v>13330030</v>
      </c>
      <c r="J663" s="114" t="s">
        <v>3653</v>
      </c>
      <c r="K663" s="114" t="s">
        <v>3654</v>
      </c>
      <c r="L663" s="116"/>
      <c r="M663" s="114" t="s">
        <v>2878</v>
      </c>
      <c r="N663" s="114" t="s">
        <v>2879</v>
      </c>
      <c r="O663" s="114" t="s">
        <v>2878</v>
      </c>
      <c r="P663" s="117" t="s">
        <v>2880</v>
      </c>
    </row>
    <row r="664" spans="2:16" ht="120" x14ac:dyDescent="0.25">
      <c r="B664" s="85" t="str">
        <f t="shared" si="63"/>
        <v>1</v>
      </c>
      <c r="C664" s="85" t="str">
        <f t="shared" si="64"/>
        <v>3</v>
      </c>
      <c r="D664" s="85" t="str">
        <f t="shared" si="65"/>
        <v>3</v>
      </c>
      <c r="E664" s="85" t="str">
        <f t="shared" si="66"/>
        <v>3</v>
      </c>
      <c r="F664" s="85" t="str">
        <f t="shared" si="67"/>
        <v>00</v>
      </c>
      <c r="G664" s="85" t="str">
        <f t="shared" si="68"/>
        <v>3</v>
      </c>
      <c r="H664" s="85" t="str">
        <f t="shared" si="69"/>
        <v>1</v>
      </c>
      <c r="I664" s="87">
        <v>13330031</v>
      </c>
      <c r="J664" s="85" t="s">
        <v>3655</v>
      </c>
      <c r="K664" s="85" t="s">
        <v>3656</v>
      </c>
      <c r="L664" s="84"/>
      <c r="M664" s="85" t="s">
        <v>3640</v>
      </c>
      <c r="N664" s="85" t="s">
        <v>2879</v>
      </c>
      <c r="O664" s="85" t="s">
        <v>3657</v>
      </c>
      <c r="P664" s="86" t="s">
        <v>2890</v>
      </c>
    </row>
    <row r="665" spans="2:16" ht="30" x14ac:dyDescent="0.25">
      <c r="B665" s="85" t="str">
        <f t="shared" si="63"/>
        <v>1</v>
      </c>
      <c r="C665" s="85" t="str">
        <f t="shared" si="64"/>
        <v>3</v>
      </c>
      <c r="D665" s="85" t="str">
        <f t="shared" si="65"/>
        <v>3</v>
      </c>
      <c r="E665" s="85" t="str">
        <f t="shared" si="66"/>
        <v>3</v>
      </c>
      <c r="F665" s="85" t="str">
        <f t="shared" si="67"/>
        <v>00</v>
      </c>
      <c r="G665" s="85" t="str">
        <f t="shared" si="68"/>
        <v>3</v>
      </c>
      <c r="H665" s="85" t="str">
        <f t="shared" si="69"/>
        <v>2</v>
      </c>
      <c r="I665" s="87">
        <v>13330032</v>
      </c>
      <c r="J665" s="85" t="s">
        <v>3658</v>
      </c>
      <c r="K665" s="85" t="s">
        <v>2892</v>
      </c>
      <c r="L665" s="84"/>
      <c r="M665" s="85" t="s">
        <v>2892</v>
      </c>
      <c r="N665" s="85" t="s">
        <v>1439</v>
      </c>
      <c r="O665" s="85" t="s">
        <v>2892</v>
      </c>
      <c r="P665" s="86" t="s">
        <v>2890</v>
      </c>
    </row>
    <row r="666" spans="2:16" ht="30" x14ac:dyDescent="0.25">
      <c r="B666" s="85" t="str">
        <f t="shared" si="63"/>
        <v>1</v>
      </c>
      <c r="C666" s="85" t="str">
        <f t="shared" si="64"/>
        <v>3</v>
      </c>
      <c r="D666" s="85" t="str">
        <f t="shared" si="65"/>
        <v>3</v>
      </c>
      <c r="E666" s="85" t="str">
        <f t="shared" si="66"/>
        <v>3</v>
      </c>
      <c r="F666" s="85" t="str">
        <f t="shared" si="67"/>
        <v>00</v>
      </c>
      <c r="G666" s="85" t="str">
        <f t="shared" si="68"/>
        <v>3</v>
      </c>
      <c r="H666" s="85" t="str">
        <f t="shared" si="69"/>
        <v>3</v>
      </c>
      <c r="I666" s="87">
        <v>13330033</v>
      </c>
      <c r="J666" s="85" t="s">
        <v>3659</v>
      </c>
      <c r="K666" s="85" t="s">
        <v>2892</v>
      </c>
      <c r="L666" s="84"/>
      <c r="M666" s="85" t="s">
        <v>2892</v>
      </c>
      <c r="N666" s="85" t="s">
        <v>1439</v>
      </c>
      <c r="O666" s="85" t="s">
        <v>2892</v>
      </c>
      <c r="P666" s="86" t="s">
        <v>2890</v>
      </c>
    </row>
    <row r="667" spans="2:16" ht="30" x14ac:dyDescent="0.25">
      <c r="B667" s="85" t="str">
        <f t="shared" si="63"/>
        <v>1</v>
      </c>
      <c r="C667" s="85" t="str">
        <f t="shared" si="64"/>
        <v>3</v>
      </c>
      <c r="D667" s="85" t="str">
        <f t="shared" si="65"/>
        <v>3</v>
      </c>
      <c r="E667" s="85" t="str">
        <f t="shared" si="66"/>
        <v>3</v>
      </c>
      <c r="F667" s="85" t="str">
        <f t="shared" si="67"/>
        <v>00</v>
      </c>
      <c r="G667" s="85" t="str">
        <f t="shared" si="68"/>
        <v>3</v>
      </c>
      <c r="H667" s="85" t="str">
        <f t="shared" si="69"/>
        <v>4</v>
      </c>
      <c r="I667" s="87">
        <v>13330034</v>
      </c>
      <c r="J667" s="85" t="s">
        <v>3660</v>
      </c>
      <c r="K667" s="85" t="s">
        <v>2892</v>
      </c>
      <c r="L667" s="84"/>
      <c r="M667" s="85" t="s">
        <v>2892</v>
      </c>
      <c r="N667" s="85" t="s">
        <v>1439</v>
      </c>
      <c r="O667" s="85" t="s">
        <v>2892</v>
      </c>
      <c r="P667" s="86" t="s">
        <v>2890</v>
      </c>
    </row>
    <row r="668" spans="2:16" ht="90" x14ac:dyDescent="0.25">
      <c r="B668" s="114" t="str">
        <f t="shared" si="63"/>
        <v>1</v>
      </c>
      <c r="C668" s="114" t="str">
        <f t="shared" si="64"/>
        <v>3</v>
      </c>
      <c r="D668" s="114" t="str">
        <f t="shared" si="65"/>
        <v>3</v>
      </c>
      <c r="E668" s="114" t="str">
        <f t="shared" si="66"/>
        <v>3</v>
      </c>
      <c r="F668" s="114" t="str">
        <f t="shared" si="67"/>
        <v>00</v>
      </c>
      <c r="G668" s="114" t="str">
        <f t="shared" si="68"/>
        <v>4</v>
      </c>
      <c r="H668" s="114" t="str">
        <f t="shared" si="69"/>
        <v>0</v>
      </c>
      <c r="I668" s="115">
        <v>13330040</v>
      </c>
      <c r="J668" s="114" t="s">
        <v>3661</v>
      </c>
      <c r="K668" s="114" t="s">
        <v>3662</v>
      </c>
      <c r="L668" s="116"/>
      <c r="M668" s="114" t="s">
        <v>2878</v>
      </c>
      <c r="N668" s="114" t="s">
        <v>2879</v>
      </c>
      <c r="O668" s="114" t="s">
        <v>2878</v>
      </c>
      <c r="P668" s="117" t="s">
        <v>2880</v>
      </c>
    </row>
    <row r="669" spans="2:16" ht="120" x14ac:dyDescent="0.25">
      <c r="B669" s="85" t="str">
        <f t="shared" si="63"/>
        <v>1</v>
      </c>
      <c r="C669" s="85" t="str">
        <f t="shared" si="64"/>
        <v>3</v>
      </c>
      <c r="D669" s="85" t="str">
        <f t="shared" si="65"/>
        <v>3</v>
      </c>
      <c r="E669" s="85" t="str">
        <f t="shared" si="66"/>
        <v>3</v>
      </c>
      <c r="F669" s="85" t="str">
        <f t="shared" si="67"/>
        <v>00</v>
      </c>
      <c r="G669" s="85" t="str">
        <f t="shared" si="68"/>
        <v>4</v>
      </c>
      <c r="H669" s="85" t="str">
        <f t="shared" si="69"/>
        <v>1</v>
      </c>
      <c r="I669" s="87">
        <v>13330041</v>
      </c>
      <c r="J669" s="85" t="s">
        <v>3663</v>
      </c>
      <c r="K669" s="85" t="s">
        <v>3664</v>
      </c>
      <c r="L669" s="84"/>
      <c r="M669" s="85" t="s">
        <v>3665</v>
      </c>
      <c r="N669" s="85" t="s">
        <v>2879</v>
      </c>
      <c r="O669" s="85" t="s">
        <v>3666</v>
      </c>
      <c r="P669" s="86" t="s">
        <v>2890</v>
      </c>
    </row>
    <row r="670" spans="2:16" ht="15.75" x14ac:dyDescent="0.25">
      <c r="B670" s="85" t="str">
        <f t="shared" si="63"/>
        <v>1</v>
      </c>
      <c r="C670" s="85" t="str">
        <f t="shared" si="64"/>
        <v>3</v>
      </c>
      <c r="D670" s="85" t="str">
        <f t="shared" si="65"/>
        <v>3</v>
      </c>
      <c r="E670" s="85" t="str">
        <f t="shared" si="66"/>
        <v>3</v>
      </c>
      <c r="F670" s="85" t="str">
        <f t="shared" si="67"/>
        <v>00</v>
      </c>
      <c r="G670" s="85" t="str">
        <f t="shared" si="68"/>
        <v>4</v>
      </c>
      <c r="H670" s="85" t="str">
        <f t="shared" si="69"/>
        <v>2</v>
      </c>
      <c r="I670" s="87">
        <v>13330042</v>
      </c>
      <c r="J670" s="85" t="s">
        <v>3667</v>
      </c>
      <c r="K670" s="85" t="s">
        <v>2892</v>
      </c>
      <c r="L670" s="84"/>
      <c r="M670" s="85" t="s">
        <v>2892</v>
      </c>
      <c r="N670" s="85" t="s">
        <v>1439</v>
      </c>
      <c r="O670" s="85" t="s">
        <v>2892</v>
      </c>
      <c r="P670" s="86" t="s">
        <v>2890</v>
      </c>
    </row>
    <row r="671" spans="2:16" ht="15.75" x14ac:dyDescent="0.25">
      <c r="B671" s="85" t="str">
        <f t="shared" si="63"/>
        <v>1</v>
      </c>
      <c r="C671" s="85" t="str">
        <f t="shared" si="64"/>
        <v>3</v>
      </c>
      <c r="D671" s="85" t="str">
        <f t="shared" si="65"/>
        <v>3</v>
      </c>
      <c r="E671" s="85" t="str">
        <f t="shared" si="66"/>
        <v>3</v>
      </c>
      <c r="F671" s="85" t="str">
        <f t="shared" si="67"/>
        <v>00</v>
      </c>
      <c r="G671" s="85" t="str">
        <f t="shared" si="68"/>
        <v>4</v>
      </c>
      <c r="H671" s="85" t="str">
        <f t="shared" si="69"/>
        <v>3</v>
      </c>
      <c r="I671" s="87">
        <v>13330043</v>
      </c>
      <c r="J671" s="85" t="s">
        <v>3668</v>
      </c>
      <c r="K671" s="85" t="s">
        <v>2892</v>
      </c>
      <c r="L671" s="84"/>
      <c r="M671" s="85" t="s">
        <v>2892</v>
      </c>
      <c r="N671" s="85" t="s">
        <v>1439</v>
      </c>
      <c r="O671" s="85" t="s">
        <v>2892</v>
      </c>
      <c r="P671" s="86" t="s">
        <v>2890</v>
      </c>
    </row>
    <row r="672" spans="2:16" ht="15.75" x14ac:dyDescent="0.25">
      <c r="B672" s="85" t="str">
        <f t="shared" si="63"/>
        <v>1</v>
      </c>
      <c r="C672" s="85" t="str">
        <f t="shared" si="64"/>
        <v>3</v>
      </c>
      <c r="D672" s="85" t="str">
        <f t="shared" si="65"/>
        <v>3</v>
      </c>
      <c r="E672" s="85" t="str">
        <f t="shared" si="66"/>
        <v>3</v>
      </c>
      <c r="F672" s="85" t="str">
        <f t="shared" si="67"/>
        <v>00</v>
      </c>
      <c r="G672" s="85" t="str">
        <f t="shared" si="68"/>
        <v>4</v>
      </c>
      <c r="H672" s="85" t="str">
        <f t="shared" si="69"/>
        <v>4</v>
      </c>
      <c r="I672" s="87">
        <v>13330044</v>
      </c>
      <c r="J672" s="85" t="s">
        <v>3669</v>
      </c>
      <c r="K672" s="85" t="s">
        <v>2892</v>
      </c>
      <c r="L672" s="84"/>
      <c r="M672" s="85" t="s">
        <v>2892</v>
      </c>
      <c r="N672" s="85" t="s">
        <v>1439</v>
      </c>
      <c r="O672" s="85" t="s">
        <v>2892</v>
      </c>
      <c r="P672" s="86" t="s">
        <v>2890</v>
      </c>
    </row>
    <row r="673" spans="2:16" ht="165" x14ac:dyDescent="0.25">
      <c r="B673" s="114" t="str">
        <f t="shared" si="63"/>
        <v>1</v>
      </c>
      <c r="C673" s="114" t="str">
        <f t="shared" si="64"/>
        <v>3</v>
      </c>
      <c r="D673" s="114" t="str">
        <f t="shared" si="65"/>
        <v>3</v>
      </c>
      <c r="E673" s="114" t="str">
        <f t="shared" si="66"/>
        <v>3</v>
      </c>
      <c r="F673" s="114" t="str">
        <f t="shared" si="67"/>
        <v>00</v>
      </c>
      <c r="G673" s="114" t="str">
        <f t="shared" si="68"/>
        <v>5</v>
      </c>
      <c r="H673" s="114" t="str">
        <f t="shared" si="69"/>
        <v>0</v>
      </c>
      <c r="I673" s="115">
        <v>13330050</v>
      </c>
      <c r="J673" s="114" t="s">
        <v>3670</v>
      </c>
      <c r="K673" s="114" t="s">
        <v>3671</v>
      </c>
      <c r="L673" s="116"/>
      <c r="M673" s="114" t="s">
        <v>2878</v>
      </c>
      <c r="N673" s="114" t="s">
        <v>2879</v>
      </c>
      <c r="O673" s="114" t="s">
        <v>2878</v>
      </c>
      <c r="P673" s="117" t="s">
        <v>2880</v>
      </c>
    </row>
    <row r="674" spans="2:16" ht="165" x14ac:dyDescent="0.25">
      <c r="B674" s="85" t="str">
        <f t="shared" si="63"/>
        <v>1</v>
      </c>
      <c r="C674" s="85" t="str">
        <f t="shared" si="64"/>
        <v>3</v>
      </c>
      <c r="D674" s="85" t="str">
        <f t="shared" si="65"/>
        <v>3</v>
      </c>
      <c r="E674" s="85" t="str">
        <f t="shared" si="66"/>
        <v>3</v>
      </c>
      <c r="F674" s="85" t="str">
        <f t="shared" si="67"/>
        <v>00</v>
      </c>
      <c r="G674" s="85" t="str">
        <f t="shared" si="68"/>
        <v>5</v>
      </c>
      <c r="H674" s="85" t="str">
        <f t="shared" si="69"/>
        <v>1</v>
      </c>
      <c r="I674" s="87">
        <v>13330051</v>
      </c>
      <c r="J674" s="85" t="s">
        <v>3672</v>
      </c>
      <c r="K674" s="85" t="s">
        <v>3673</v>
      </c>
      <c r="L674" s="84"/>
      <c r="M674" s="85" t="s">
        <v>3674</v>
      </c>
      <c r="N674" s="85" t="s">
        <v>656</v>
      </c>
      <c r="O674" s="85" t="s">
        <v>3675</v>
      </c>
      <c r="P674" s="86" t="s">
        <v>2890</v>
      </c>
    </row>
    <row r="675" spans="2:16" ht="15.75" x14ac:dyDescent="0.25">
      <c r="B675" s="85" t="str">
        <f t="shared" si="63"/>
        <v>1</v>
      </c>
      <c r="C675" s="85" t="str">
        <f t="shared" si="64"/>
        <v>3</v>
      </c>
      <c r="D675" s="85" t="str">
        <f t="shared" si="65"/>
        <v>3</v>
      </c>
      <c r="E675" s="85" t="str">
        <f t="shared" si="66"/>
        <v>3</v>
      </c>
      <c r="F675" s="85" t="str">
        <f t="shared" si="67"/>
        <v>00</v>
      </c>
      <c r="G675" s="85" t="str">
        <f t="shared" si="68"/>
        <v>5</v>
      </c>
      <c r="H675" s="85" t="str">
        <f t="shared" si="69"/>
        <v>2</v>
      </c>
      <c r="I675" s="87">
        <v>13330052</v>
      </c>
      <c r="J675" s="85" t="s">
        <v>3676</v>
      </c>
      <c r="K675" s="85" t="s">
        <v>2892</v>
      </c>
      <c r="L675" s="84"/>
      <c r="M675" s="85" t="s">
        <v>2892</v>
      </c>
      <c r="N675" s="85" t="s">
        <v>1439</v>
      </c>
      <c r="O675" s="85" t="s">
        <v>2892</v>
      </c>
      <c r="P675" s="86" t="s">
        <v>2890</v>
      </c>
    </row>
    <row r="676" spans="2:16" ht="15.75" x14ac:dyDescent="0.25">
      <c r="B676" s="85" t="str">
        <f t="shared" si="63"/>
        <v>1</v>
      </c>
      <c r="C676" s="85" t="str">
        <f t="shared" si="64"/>
        <v>3</v>
      </c>
      <c r="D676" s="85" t="str">
        <f t="shared" si="65"/>
        <v>3</v>
      </c>
      <c r="E676" s="85" t="str">
        <f t="shared" si="66"/>
        <v>3</v>
      </c>
      <c r="F676" s="85" t="str">
        <f t="shared" si="67"/>
        <v>00</v>
      </c>
      <c r="G676" s="85" t="str">
        <f t="shared" si="68"/>
        <v>5</v>
      </c>
      <c r="H676" s="85" t="str">
        <f t="shared" si="69"/>
        <v>3</v>
      </c>
      <c r="I676" s="87">
        <v>13330053</v>
      </c>
      <c r="J676" s="85" t="s">
        <v>3677</v>
      </c>
      <c r="K676" s="85" t="s">
        <v>2892</v>
      </c>
      <c r="L676" s="84"/>
      <c r="M676" s="85" t="s">
        <v>2892</v>
      </c>
      <c r="N676" s="85" t="s">
        <v>1439</v>
      </c>
      <c r="O676" s="85" t="s">
        <v>2892</v>
      </c>
      <c r="P676" s="86" t="s">
        <v>2890</v>
      </c>
    </row>
    <row r="677" spans="2:16" ht="30" x14ac:dyDescent="0.25">
      <c r="B677" s="85" t="str">
        <f t="shared" si="63"/>
        <v>1</v>
      </c>
      <c r="C677" s="85" t="str">
        <f t="shared" si="64"/>
        <v>3</v>
      </c>
      <c r="D677" s="85" t="str">
        <f t="shared" si="65"/>
        <v>3</v>
      </c>
      <c r="E677" s="85" t="str">
        <f t="shared" si="66"/>
        <v>3</v>
      </c>
      <c r="F677" s="85" t="str">
        <f t="shared" si="67"/>
        <v>00</v>
      </c>
      <c r="G677" s="85" t="str">
        <f t="shared" si="68"/>
        <v>5</v>
      </c>
      <c r="H677" s="85" t="str">
        <f t="shared" si="69"/>
        <v>4</v>
      </c>
      <c r="I677" s="87">
        <v>13330054</v>
      </c>
      <c r="J677" s="85" t="s">
        <v>3678</v>
      </c>
      <c r="K677" s="85" t="s">
        <v>2892</v>
      </c>
      <c r="L677" s="84"/>
      <c r="M677" s="85" t="s">
        <v>2892</v>
      </c>
      <c r="N677" s="85" t="s">
        <v>1439</v>
      </c>
      <c r="O677" s="85" t="s">
        <v>2892</v>
      </c>
      <c r="P677" s="86" t="s">
        <v>2890</v>
      </c>
    </row>
    <row r="678" spans="2:16" ht="75" x14ac:dyDescent="0.25">
      <c r="B678" s="114" t="str">
        <f t="shared" si="63"/>
        <v>1</v>
      </c>
      <c r="C678" s="114" t="str">
        <f t="shared" si="64"/>
        <v>3</v>
      </c>
      <c r="D678" s="114" t="str">
        <f t="shared" si="65"/>
        <v>3</v>
      </c>
      <c r="E678" s="114" t="str">
        <f t="shared" si="66"/>
        <v>3</v>
      </c>
      <c r="F678" s="114" t="str">
        <f t="shared" si="67"/>
        <v>00</v>
      </c>
      <c r="G678" s="114" t="str">
        <f t="shared" si="68"/>
        <v>6</v>
      </c>
      <c r="H678" s="114" t="str">
        <f t="shared" si="69"/>
        <v>0</v>
      </c>
      <c r="I678" s="115">
        <v>13330060</v>
      </c>
      <c r="J678" s="114" t="s">
        <v>3679</v>
      </c>
      <c r="K678" s="114" t="s">
        <v>3680</v>
      </c>
      <c r="L678" s="116"/>
      <c r="M678" s="114" t="s">
        <v>2878</v>
      </c>
      <c r="N678" s="114" t="s">
        <v>2879</v>
      </c>
      <c r="O678" s="114" t="s">
        <v>2878</v>
      </c>
      <c r="P678" s="117" t="s">
        <v>2880</v>
      </c>
    </row>
    <row r="679" spans="2:16" ht="75" x14ac:dyDescent="0.25">
      <c r="B679" s="85" t="str">
        <f t="shared" si="63"/>
        <v>1</v>
      </c>
      <c r="C679" s="85" t="str">
        <f t="shared" si="64"/>
        <v>3</v>
      </c>
      <c r="D679" s="85" t="str">
        <f t="shared" si="65"/>
        <v>3</v>
      </c>
      <c r="E679" s="85" t="str">
        <f t="shared" si="66"/>
        <v>3</v>
      </c>
      <c r="F679" s="85" t="str">
        <f t="shared" si="67"/>
        <v>00</v>
      </c>
      <c r="G679" s="85" t="str">
        <f t="shared" si="68"/>
        <v>6</v>
      </c>
      <c r="H679" s="85" t="str">
        <f t="shared" si="69"/>
        <v>1</v>
      </c>
      <c r="I679" s="87">
        <v>13330061</v>
      </c>
      <c r="J679" s="85" t="s">
        <v>3681</v>
      </c>
      <c r="K679" s="85" t="s">
        <v>3682</v>
      </c>
      <c r="L679" s="84"/>
      <c r="M679" s="85" t="s">
        <v>3683</v>
      </c>
      <c r="N679" s="85" t="s">
        <v>2879</v>
      </c>
      <c r="O679" s="85" t="s">
        <v>3684</v>
      </c>
      <c r="P679" s="86" t="s">
        <v>2890</v>
      </c>
    </row>
    <row r="680" spans="2:16" ht="30" x14ac:dyDescent="0.25">
      <c r="B680" s="85" t="str">
        <f t="shared" si="63"/>
        <v>1</v>
      </c>
      <c r="C680" s="85" t="str">
        <f t="shared" si="64"/>
        <v>3</v>
      </c>
      <c r="D680" s="85" t="str">
        <f t="shared" si="65"/>
        <v>3</v>
      </c>
      <c r="E680" s="85" t="str">
        <f t="shared" si="66"/>
        <v>3</v>
      </c>
      <c r="F680" s="85" t="str">
        <f t="shared" si="67"/>
        <v>00</v>
      </c>
      <c r="G680" s="85" t="str">
        <f t="shared" si="68"/>
        <v>6</v>
      </c>
      <c r="H680" s="85" t="str">
        <f t="shared" si="69"/>
        <v>2</v>
      </c>
      <c r="I680" s="87">
        <v>13330062</v>
      </c>
      <c r="J680" s="85" t="s">
        <v>3685</v>
      </c>
      <c r="K680" s="85" t="s">
        <v>2892</v>
      </c>
      <c r="L680" s="84"/>
      <c r="M680" s="85" t="s">
        <v>2892</v>
      </c>
      <c r="N680" s="85" t="s">
        <v>1439</v>
      </c>
      <c r="O680" s="85" t="s">
        <v>2892</v>
      </c>
      <c r="P680" s="86" t="s">
        <v>2890</v>
      </c>
    </row>
    <row r="681" spans="2:16" ht="30" x14ac:dyDescent="0.25">
      <c r="B681" s="85" t="str">
        <f t="shared" si="63"/>
        <v>1</v>
      </c>
      <c r="C681" s="85" t="str">
        <f t="shared" si="64"/>
        <v>3</v>
      </c>
      <c r="D681" s="85" t="str">
        <f t="shared" si="65"/>
        <v>3</v>
      </c>
      <c r="E681" s="85" t="str">
        <f t="shared" si="66"/>
        <v>3</v>
      </c>
      <c r="F681" s="85" t="str">
        <f t="shared" si="67"/>
        <v>00</v>
      </c>
      <c r="G681" s="85" t="str">
        <f t="shared" si="68"/>
        <v>6</v>
      </c>
      <c r="H681" s="85" t="str">
        <f t="shared" si="69"/>
        <v>3</v>
      </c>
      <c r="I681" s="87">
        <v>13330063</v>
      </c>
      <c r="J681" s="85" t="s">
        <v>3686</v>
      </c>
      <c r="K681" s="85" t="s">
        <v>2892</v>
      </c>
      <c r="L681" s="84"/>
      <c r="M681" s="85" t="s">
        <v>2892</v>
      </c>
      <c r="N681" s="85" t="s">
        <v>1439</v>
      </c>
      <c r="O681" s="85" t="s">
        <v>2892</v>
      </c>
      <c r="P681" s="86" t="s">
        <v>2890</v>
      </c>
    </row>
    <row r="682" spans="2:16" ht="30" x14ac:dyDescent="0.25">
      <c r="B682" s="85" t="str">
        <f t="shared" si="63"/>
        <v>1</v>
      </c>
      <c r="C682" s="85" t="str">
        <f t="shared" si="64"/>
        <v>3</v>
      </c>
      <c r="D682" s="85" t="str">
        <f t="shared" si="65"/>
        <v>3</v>
      </c>
      <c r="E682" s="85" t="str">
        <f t="shared" si="66"/>
        <v>3</v>
      </c>
      <c r="F682" s="85" t="str">
        <f t="shared" si="67"/>
        <v>00</v>
      </c>
      <c r="G682" s="85" t="str">
        <f t="shared" si="68"/>
        <v>6</v>
      </c>
      <c r="H682" s="85" t="str">
        <f t="shared" si="69"/>
        <v>4</v>
      </c>
      <c r="I682" s="87">
        <v>13330064</v>
      </c>
      <c r="J682" s="85" t="s">
        <v>3687</v>
      </c>
      <c r="K682" s="85" t="s">
        <v>2892</v>
      </c>
      <c r="L682" s="84"/>
      <c r="M682" s="85" t="s">
        <v>2892</v>
      </c>
      <c r="N682" s="85" t="s">
        <v>1439</v>
      </c>
      <c r="O682" s="85" t="s">
        <v>2892</v>
      </c>
      <c r="P682" s="86" t="s">
        <v>2890</v>
      </c>
    </row>
    <row r="683" spans="2:16" ht="30" x14ac:dyDescent="0.25">
      <c r="B683" s="114" t="str">
        <f t="shared" si="63"/>
        <v>1</v>
      </c>
      <c r="C683" s="114" t="str">
        <f t="shared" si="64"/>
        <v>3</v>
      </c>
      <c r="D683" s="114" t="str">
        <f t="shared" si="65"/>
        <v>3</v>
      </c>
      <c r="E683" s="114" t="str">
        <f t="shared" si="66"/>
        <v>3</v>
      </c>
      <c r="F683" s="114" t="str">
        <f t="shared" si="67"/>
        <v>00</v>
      </c>
      <c r="G683" s="114" t="str">
        <f t="shared" si="68"/>
        <v>7</v>
      </c>
      <c r="H683" s="114" t="str">
        <f t="shared" si="69"/>
        <v>0</v>
      </c>
      <c r="I683" s="115">
        <v>13330070</v>
      </c>
      <c r="J683" s="114" t="s">
        <v>3688</v>
      </c>
      <c r="K683" s="114" t="s">
        <v>3689</v>
      </c>
      <c r="L683" s="116"/>
      <c r="M683" s="114" t="s">
        <v>2878</v>
      </c>
      <c r="N683" s="114" t="s">
        <v>2879</v>
      </c>
      <c r="O683" s="114" t="s">
        <v>2878</v>
      </c>
      <c r="P683" s="117" t="s">
        <v>2880</v>
      </c>
    </row>
    <row r="684" spans="2:16" ht="60" x14ac:dyDescent="0.25">
      <c r="B684" s="85" t="str">
        <f t="shared" si="63"/>
        <v>1</v>
      </c>
      <c r="C684" s="85" t="str">
        <f t="shared" si="64"/>
        <v>3</v>
      </c>
      <c r="D684" s="85" t="str">
        <f t="shared" si="65"/>
        <v>3</v>
      </c>
      <c r="E684" s="85" t="str">
        <f t="shared" si="66"/>
        <v>3</v>
      </c>
      <c r="F684" s="85" t="str">
        <f t="shared" si="67"/>
        <v>00</v>
      </c>
      <c r="G684" s="85" t="str">
        <f t="shared" si="68"/>
        <v>7</v>
      </c>
      <c r="H684" s="85" t="str">
        <f t="shared" si="69"/>
        <v>1</v>
      </c>
      <c r="I684" s="87">
        <v>13330071</v>
      </c>
      <c r="J684" s="85" t="s">
        <v>3690</v>
      </c>
      <c r="K684" s="85" t="s">
        <v>3691</v>
      </c>
      <c r="L684" s="84"/>
      <c r="M684" s="85" t="s">
        <v>3692</v>
      </c>
      <c r="N684" s="85" t="s">
        <v>2879</v>
      </c>
      <c r="O684" s="85" t="s">
        <v>2892</v>
      </c>
      <c r="P684" s="86" t="s">
        <v>2890</v>
      </c>
    </row>
    <row r="685" spans="2:16" ht="30" x14ac:dyDescent="0.25">
      <c r="B685" s="85" t="str">
        <f t="shared" si="63"/>
        <v>1</v>
      </c>
      <c r="C685" s="85" t="str">
        <f t="shared" si="64"/>
        <v>3</v>
      </c>
      <c r="D685" s="85" t="str">
        <f t="shared" si="65"/>
        <v>3</v>
      </c>
      <c r="E685" s="85" t="str">
        <f t="shared" si="66"/>
        <v>3</v>
      </c>
      <c r="F685" s="85" t="str">
        <f t="shared" si="67"/>
        <v>00</v>
      </c>
      <c r="G685" s="85" t="str">
        <f t="shared" si="68"/>
        <v>7</v>
      </c>
      <c r="H685" s="85" t="str">
        <f t="shared" si="69"/>
        <v>2</v>
      </c>
      <c r="I685" s="87">
        <v>13330072</v>
      </c>
      <c r="J685" s="85" t="s">
        <v>3693</v>
      </c>
      <c r="K685" s="85" t="s">
        <v>2892</v>
      </c>
      <c r="L685" s="84"/>
      <c r="M685" s="85" t="s">
        <v>2892</v>
      </c>
      <c r="N685" s="85" t="s">
        <v>2879</v>
      </c>
      <c r="O685" s="85" t="s">
        <v>2892</v>
      </c>
      <c r="P685" s="86" t="s">
        <v>2890</v>
      </c>
    </row>
    <row r="686" spans="2:16" ht="30" x14ac:dyDescent="0.25">
      <c r="B686" s="85" t="str">
        <f t="shared" si="63"/>
        <v>1</v>
      </c>
      <c r="C686" s="85" t="str">
        <f t="shared" si="64"/>
        <v>3</v>
      </c>
      <c r="D686" s="85" t="str">
        <f t="shared" si="65"/>
        <v>3</v>
      </c>
      <c r="E686" s="85" t="str">
        <f t="shared" si="66"/>
        <v>3</v>
      </c>
      <c r="F686" s="85" t="str">
        <f t="shared" si="67"/>
        <v>00</v>
      </c>
      <c r="G686" s="85" t="str">
        <f t="shared" si="68"/>
        <v>7</v>
      </c>
      <c r="H686" s="85" t="str">
        <f t="shared" si="69"/>
        <v>3</v>
      </c>
      <c r="I686" s="87">
        <v>13330073</v>
      </c>
      <c r="J686" s="85" t="s">
        <v>3694</v>
      </c>
      <c r="K686" s="85" t="s">
        <v>2892</v>
      </c>
      <c r="L686" s="84"/>
      <c r="M686" s="85" t="s">
        <v>2892</v>
      </c>
      <c r="N686" s="85" t="s">
        <v>2879</v>
      </c>
      <c r="O686" s="85" t="s">
        <v>2892</v>
      </c>
      <c r="P686" s="86" t="s">
        <v>2890</v>
      </c>
    </row>
    <row r="687" spans="2:16" ht="30" x14ac:dyDescent="0.25">
      <c r="B687" s="85" t="str">
        <f t="shared" si="63"/>
        <v>1</v>
      </c>
      <c r="C687" s="85" t="str">
        <f t="shared" si="64"/>
        <v>3</v>
      </c>
      <c r="D687" s="85" t="str">
        <f t="shared" si="65"/>
        <v>3</v>
      </c>
      <c r="E687" s="85" t="str">
        <f t="shared" si="66"/>
        <v>3</v>
      </c>
      <c r="F687" s="85" t="str">
        <f t="shared" si="67"/>
        <v>00</v>
      </c>
      <c r="G687" s="85" t="str">
        <f t="shared" si="68"/>
        <v>7</v>
      </c>
      <c r="H687" s="85" t="str">
        <f t="shared" si="69"/>
        <v>4</v>
      </c>
      <c r="I687" s="87">
        <v>13330074</v>
      </c>
      <c r="J687" s="85" t="s">
        <v>3695</v>
      </c>
      <c r="K687" s="85" t="s">
        <v>2892</v>
      </c>
      <c r="L687" s="84"/>
      <c r="M687" s="85" t="s">
        <v>2892</v>
      </c>
      <c r="N687" s="85" t="s">
        <v>2879</v>
      </c>
      <c r="O687" s="85" t="s">
        <v>2892</v>
      </c>
      <c r="P687" s="86" t="s">
        <v>2890</v>
      </c>
    </row>
    <row r="688" spans="2:16" ht="45" x14ac:dyDescent="0.25">
      <c r="B688" s="114" t="str">
        <f t="shared" si="63"/>
        <v>1</v>
      </c>
      <c r="C688" s="114" t="str">
        <f t="shared" si="64"/>
        <v>3</v>
      </c>
      <c r="D688" s="114" t="str">
        <f t="shared" si="65"/>
        <v>3</v>
      </c>
      <c r="E688" s="114" t="str">
        <f t="shared" si="66"/>
        <v>3</v>
      </c>
      <c r="F688" s="114" t="str">
        <f t="shared" si="67"/>
        <v>00</v>
      </c>
      <c r="G688" s="114" t="str">
        <f t="shared" si="68"/>
        <v>9</v>
      </c>
      <c r="H688" s="114" t="str">
        <f t="shared" si="69"/>
        <v>0</v>
      </c>
      <c r="I688" s="115">
        <v>13330090</v>
      </c>
      <c r="J688" s="114" t="s">
        <v>3696</v>
      </c>
      <c r="K688" s="114" t="s">
        <v>3697</v>
      </c>
      <c r="L688" s="116"/>
      <c r="M688" s="114" t="s">
        <v>2878</v>
      </c>
      <c r="N688" s="114" t="s">
        <v>2879</v>
      </c>
      <c r="O688" s="114" t="s">
        <v>2878</v>
      </c>
      <c r="P688" s="117" t="s">
        <v>2880</v>
      </c>
    </row>
    <row r="689" spans="2:16" ht="120" x14ac:dyDescent="0.25">
      <c r="B689" s="85" t="str">
        <f t="shared" si="63"/>
        <v>1</v>
      </c>
      <c r="C689" s="85" t="str">
        <f t="shared" si="64"/>
        <v>3</v>
      </c>
      <c r="D689" s="85" t="str">
        <f t="shared" si="65"/>
        <v>3</v>
      </c>
      <c r="E689" s="85" t="str">
        <f t="shared" si="66"/>
        <v>3</v>
      </c>
      <c r="F689" s="85" t="str">
        <f t="shared" si="67"/>
        <v>00</v>
      </c>
      <c r="G689" s="85" t="str">
        <f t="shared" si="68"/>
        <v>9</v>
      </c>
      <c r="H689" s="85" t="str">
        <f t="shared" si="69"/>
        <v>1</v>
      </c>
      <c r="I689" s="87">
        <v>13330091</v>
      </c>
      <c r="J689" s="85" t="s">
        <v>3698</v>
      </c>
      <c r="K689" s="85" t="s">
        <v>3699</v>
      </c>
      <c r="L689" s="84"/>
      <c r="M689" s="85" t="s">
        <v>3700</v>
      </c>
      <c r="N689" s="85" t="s">
        <v>2879</v>
      </c>
      <c r="O689" s="85" t="s">
        <v>3701</v>
      </c>
      <c r="P689" s="86" t="s">
        <v>2890</v>
      </c>
    </row>
    <row r="690" spans="2:16" ht="15.75" x14ac:dyDescent="0.25">
      <c r="B690" s="85" t="str">
        <f t="shared" si="63"/>
        <v>1</v>
      </c>
      <c r="C690" s="85" t="str">
        <f t="shared" si="64"/>
        <v>3</v>
      </c>
      <c r="D690" s="85" t="str">
        <f t="shared" si="65"/>
        <v>3</v>
      </c>
      <c r="E690" s="85" t="str">
        <f t="shared" si="66"/>
        <v>3</v>
      </c>
      <c r="F690" s="85" t="str">
        <f t="shared" si="67"/>
        <v>00</v>
      </c>
      <c r="G690" s="85" t="str">
        <f t="shared" si="68"/>
        <v>9</v>
      </c>
      <c r="H690" s="85" t="str">
        <f t="shared" si="69"/>
        <v>2</v>
      </c>
      <c r="I690" s="87">
        <v>13330092</v>
      </c>
      <c r="J690" s="85" t="s">
        <v>3702</v>
      </c>
      <c r="K690" s="85" t="s">
        <v>2892</v>
      </c>
      <c r="L690" s="84"/>
      <c r="M690" s="85" t="s">
        <v>2892</v>
      </c>
      <c r="N690" s="85" t="s">
        <v>1439</v>
      </c>
      <c r="O690" s="85" t="s">
        <v>2892</v>
      </c>
      <c r="P690" s="86" t="s">
        <v>2890</v>
      </c>
    </row>
    <row r="691" spans="2:16" ht="15.75" x14ac:dyDescent="0.25">
      <c r="B691" s="85" t="str">
        <f t="shared" si="63"/>
        <v>1</v>
      </c>
      <c r="C691" s="85" t="str">
        <f t="shared" si="64"/>
        <v>3</v>
      </c>
      <c r="D691" s="85" t="str">
        <f t="shared" si="65"/>
        <v>3</v>
      </c>
      <c r="E691" s="85" t="str">
        <f t="shared" si="66"/>
        <v>3</v>
      </c>
      <c r="F691" s="85" t="str">
        <f t="shared" si="67"/>
        <v>00</v>
      </c>
      <c r="G691" s="85" t="str">
        <f t="shared" si="68"/>
        <v>9</v>
      </c>
      <c r="H691" s="85" t="str">
        <f t="shared" si="69"/>
        <v>3</v>
      </c>
      <c r="I691" s="87">
        <v>13330093</v>
      </c>
      <c r="J691" s="85" t="s">
        <v>3703</v>
      </c>
      <c r="K691" s="85" t="s">
        <v>2892</v>
      </c>
      <c r="L691" s="84"/>
      <c r="M691" s="85" t="s">
        <v>2892</v>
      </c>
      <c r="N691" s="85" t="s">
        <v>1439</v>
      </c>
      <c r="O691" s="85" t="s">
        <v>2892</v>
      </c>
      <c r="P691" s="86" t="s">
        <v>2890</v>
      </c>
    </row>
    <row r="692" spans="2:16" ht="30" x14ac:dyDescent="0.25">
      <c r="B692" s="85" t="str">
        <f t="shared" si="63"/>
        <v>1</v>
      </c>
      <c r="C692" s="85" t="str">
        <f t="shared" si="64"/>
        <v>3</v>
      </c>
      <c r="D692" s="85" t="str">
        <f t="shared" si="65"/>
        <v>3</v>
      </c>
      <c r="E692" s="85" t="str">
        <f t="shared" si="66"/>
        <v>3</v>
      </c>
      <c r="F692" s="85" t="str">
        <f t="shared" si="67"/>
        <v>00</v>
      </c>
      <c r="G692" s="85" t="str">
        <f t="shared" si="68"/>
        <v>9</v>
      </c>
      <c r="H692" s="85" t="str">
        <f t="shared" si="69"/>
        <v>4</v>
      </c>
      <c r="I692" s="87">
        <v>13330094</v>
      </c>
      <c r="J692" s="85" t="s">
        <v>3704</v>
      </c>
      <c r="K692" s="85" t="s">
        <v>2892</v>
      </c>
      <c r="L692" s="84"/>
      <c r="M692" s="85" t="s">
        <v>2892</v>
      </c>
      <c r="N692" s="85" t="s">
        <v>1439</v>
      </c>
      <c r="O692" s="85" t="s">
        <v>2892</v>
      </c>
      <c r="P692" s="86" t="s">
        <v>2890</v>
      </c>
    </row>
    <row r="693" spans="2:16" ht="30" x14ac:dyDescent="0.25">
      <c r="B693" s="104" t="str">
        <f t="shared" ref="B693:B756" si="70">MID($I693,1,1)</f>
        <v>1</v>
      </c>
      <c r="C693" s="104" t="str">
        <f t="shared" ref="C693:C756" si="71">MID($I693,2,1)</f>
        <v>3</v>
      </c>
      <c r="D693" s="104" t="str">
        <f t="shared" ref="D693:D756" si="72">MID($I693,3,1)</f>
        <v>3</v>
      </c>
      <c r="E693" s="104" t="str">
        <f t="shared" ref="E693:E756" si="73">MID($I693,4,1)</f>
        <v>9</v>
      </c>
      <c r="F693" s="104" t="str">
        <f t="shared" ref="F693:F756" si="74">MID($I693,5,2)</f>
        <v>00</v>
      </c>
      <c r="G693" s="104" t="str">
        <f t="shared" ref="G693:G756" si="75">MID($I693,7,1)</f>
        <v>0</v>
      </c>
      <c r="H693" s="104" t="str">
        <f t="shared" ref="H693:H756" si="76">MID($I693,8,1)</f>
        <v>0</v>
      </c>
      <c r="I693" s="105">
        <v>13390000</v>
      </c>
      <c r="J693" s="104" t="s">
        <v>3705</v>
      </c>
      <c r="K693" s="104" t="s">
        <v>3706</v>
      </c>
      <c r="L693" s="106"/>
      <c r="M693" s="104" t="s">
        <v>2878</v>
      </c>
      <c r="N693" s="104" t="s">
        <v>2879</v>
      </c>
      <c r="O693" s="104" t="s">
        <v>2878</v>
      </c>
      <c r="P693" s="107" t="s">
        <v>2880</v>
      </c>
    </row>
    <row r="694" spans="2:16" ht="30" x14ac:dyDescent="0.25">
      <c r="B694" s="108" t="str">
        <f t="shared" si="70"/>
        <v>1</v>
      </c>
      <c r="C694" s="108" t="str">
        <f t="shared" si="71"/>
        <v>3</v>
      </c>
      <c r="D694" s="108" t="str">
        <f t="shared" si="72"/>
        <v>3</v>
      </c>
      <c r="E694" s="108" t="str">
        <f t="shared" si="73"/>
        <v>9</v>
      </c>
      <c r="F694" s="108" t="str">
        <f t="shared" si="74"/>
        <v>01</v>
      </c>
      <c r="G694" s="108" t="str">
        <f t="shared" si="75"/>
        <v>0</v>
      </c>
      <c r="H694" s="108" t="str">
        <f t="shared" si="76"/>
        <v>0</v>
      </c>
      <c r="I694" s="109">
        <v>13390100</v>
      </c>
      <c r="J694" s="108" t="s">
        <v>3705</v>
      </c>
      <c r="K694" s="108" t="s">
        <v>3706</v>
      </c>
      <c r="L694" s="110"/>
      <c r="M694" s="108" t="s">
        <v>2878</v>
      </c>
      <c r="N694" s="108" t="s">
        <v>2879</v>
      </c>
      <c r="O694" s="108" t="s">
        <v>2878</v>
      </c>
      <c r="P694" s="111" t="s">
        <v>2880</v>
      </c>
    </row>
    <row r="695" spans="2:16" ht="30" x14ac:dyDescent="0.25">
      <c r="B695" s="114" t="str">
        <f t="shared" si="70"/>
        <v>1</v>
      </c>
      <c r="C695" s="114" t="str">
        <f t="shared" si="71"/>
        <v>3</v>
      </c>
      <c r="D695" s="114" t="str">
        <f t="shared" si="72"/>
        <v>3</v>
      </c>
      <c r="E695" s="114" t="str">
        <f t="shared" si="73"/>
        <v>9</v>
      </c>
      <c r="F695" s="114" t="str">
        <f t="shared" si="74"/>
        <v>01</v>
      </c>
      <c r="G695" s="114" t="str">
        <f t="shared" si="75"/>
        <v>1</v>
      </c>
      <c r="H695" s="114" t="str">
        <f t="shared" si="76"/>
        <v>0</v>
      </c>
      <c r="I695" s="115">
        <v>13390110</v>
      </c>
      <c r="J695" s="114" t="s">
        <v>3705</v>
      </c>
      <c r="K695" s="114" t="s">
        <v>3706</v>
      </c>
      <c r="L695" s="116"/>
      <c r="M695" s="114" t="s">
        <v>2878</v>
      </c>
      <c r="N695" s="114" t="s">
        <v>2879</v>
      </c>
      <c r="O695" s="114" t="s">
        <v>2878</v>
      </c>
      <c r="P695" s="117" t="s">
        <v>2880</v>
      </c>
    </row>
    <row r="696" spans="2:16" ht="30" x14ac:dyDescent="0.25">
      <c r="B696" s="85" t="str">
        <f t="shared" si="70"/>
        <v>1</v>
      </c>
      <c r="C696" s="85" t="str">
        <f t="shared" si="71"/>
        <v>3</v>
      </c>
      <c r="D696" s="85" t="str">
        <f t="shared" si="72"/>
        <v>3</v>
      </c>
      <c r="E696" s="85" t="str">
        <f t="shared" si="73"/>
        <v>9</v>
      </c>
      <c r="F696" s="85" t="str">
        <f t="shared" si="74"/>
        <v>01</v>
      </c>
      <c r="G696" s="85" t="str">
        <f t="shared" si="75"/>
        <v>1</v>
      </c>
      <c r="H696" s="85" t="str">
        <f t="shared" si="76"/>
        <v>1</v>
      </c>
      <c r="I696" s="87">
        <v>13390111</v>
      </c>
      <c r="J696" s="85" t="s">
        <v>3707</v>
      </c>
      <c r="K696" s="85" t="s">
        <v>3706</v>
      </c>
      <c r="L696" s="84"/>
      <c r="M696" s="85" t="s">
        <v>2878</v>
      </c>
      <c r="N696" s="85" t="s">
        <v>2879</v>
      </c>
      <c r="O696" s="85" t="s">
        <v>2878</v>
      </c>
      <c r="P696" s="86" t="s">
        <v>2890</v>
      </c>
    </row>
    <row r="697" spans="2:16" ht="15.75" x14ac:dyDescent="0.25">
      <c r="B697" s="85" t="str">
        <f t="shared" si="70"/>
        <v>1</v>
      </c>
      <c r="C697" s="85" t="str">
        <f t="shared" si="71"/>
        <v>3</v>
      </c>
      <c r="D697" s="85" t="str">
        <f t="shared" si="72"/>
        <v>3</v>
      </c>
      <c r="E697" s="85" t="str">
        <f t="shared" si="73"/>
        <v>9</v>
      </c>
      <c r="F697" s="85" t="str">
        <f t="shared" si="74"/>
        <v>01</v>
      </c>
      <c r="G697" s="85" t="str">
        <f t="shared" si="75"/>
        <v>1</v>
      </c>
      <c r="H697" s="85" t="str">
        <f t="shared" si="76"/>
        <v>2</v>
      </c>
      <c r="I697" s="87">
        <v>13390112</v>
      </c>
      <c r="J697" s="85" t="s">
        <v>3708</v>
      </c>
      <c r="K697" s="85" t="s">
        <v>2892</v>
      </c>
      <c r="L697" s="84"/>
      <c r="M697" s="85" t="s">
        <v>2892</v>
      </c>
      <c r="N697" s="85" t="s">
        <v>2879</v>
      </c>
      <c r="O697" s="85" t="s">
        <v>2892</v>
      </c>
      <c r="P697" s="86" t="s">
        <v>2890</v>
      </c>
    </row>
    <row r="698" spans="2:16" ht="15.75" x14ac:dyDescent="0.25">
      <c r="B698" s="85" t="str">
        <f t="shared" si="70"/>
        <v>1</v>
      </c>
      <c r="C698" s="85" t="str">
        <f t="shared" si="71"/>
        <v>3</v>
      </c>
      <c r="D698" s="85" t="str">
        <f t="shared" si="72"/>
        <v>3</v>
      </c>
      <c r="E698" s="85" t="str">
        <f t="shared" si="73"/>
        <v>9</v>
      </c>
      <c r="F698" s="85" t="str">
        <f t="shared" si="74"/>
        <v>01</v>
      </c>
      <c r="G698" s="85" t="str">
        <f t="shared" si="75"/>
        <v>1</v>
      </c>
      <c r="H698" s="85" t="str">
        <f t="shared" si="76"/>
        <v>3</v>
      </c>
      <c r="I698" s="87">
        <v>13390113</v>
      </c>
      <c r="J698" s="85" t="s">
        <v>3709</v>
      </c>
      <c r="K698" s="85" t="s">
        <v>2892</v>
      </c>
      <c r="L698" s="84"/>
      <c r="M698" s="85" t="s">
        <v>2892</v>
      </c>
      <c r="N698" s="85" t="s">
        <v>2879</v>
      </c>
      <c r="O698" s="85" t="s">
        <v>2892</v>
      </c>
      <c r="P698" s="86" t="s">
        <v>2890</v>
      </c>
    </row>
    <row r="699" spans="2:16" ht="15.75" x14ac:dyDescent="0.25">
      <c r="B699" s="85" t="str">
        <f t="shared" si="70"/>
        <v>1</v>
      </c>
      <c r="C699" s="85" t="str">
        <f t="shared" si="71"/>
        <v>3</v>
      </c>
      <c r="D699" s="85" t="str">
        <f t="shared" si="72"/>
        <v>3</v>
      </c>
      <c r="E699" s="85" t="str">
        <f t="shared" si="73"/>
        <v>9</v>
      </c>
      <c r="F699" s="85" t="str">
        <f t="shared" si="74"/>
        <v>01</v>
      </c>
      <c r="G699" s="85" t="str">
        <f t="shared" si="75"/>
        <v>1</v>
      </c>
      <c r="H699" s="85" t="str">
        <f t="shared" si="76"/>
        <v>4</v>
      </c>
      <c r="I699" s="87">
        <v>13390114</v>
      </c>
      <c r="J699" s="85" t="s">
        <v>3710</v>
      </c>
      <c r="K699" s="85" t="s">
        <v>2892</v>
      </c>
      <c r="L699" s="84"/>
      <c r="M699" s="85" t="s">
        <v>2892</v>
      </c>
      <c r="N699" s="85" t="s">
        <v>2879</v>
      </c>
      <c r="O699" s="85" t="s">
        <v>2892</v>
      </c>
      <c r="P699" s="86" t="s">
        <v>2890</v>
      </c>
    </row>
    <row r="700" spans="2:16" ht="30" x14ac:dyDescent="0.25">
      <c r="B700" s="108" t="str">
        <f t="shared" si="70"/>
        <v>1</v>
      </c>
      <c r="C700" s="108" t="str">
        <f t="shared" si="71"/>
        <v>3</v>
      </c>
      <c r="D700" s="108" t="str">
        <f t="shared" si="72"/>
        <v>3</v>
      </c>
      <c r="E700" s="108" t="str">
        <f t="shared" si="73"/>
        <v>9</v>
      </c>
      <c r="F700" s="108" t="str">
        <f t="shared" si="74"/>
        <v>99</v>
      </c>
      <c r="G700" s="108" t="str">
        <f t="shared" si="75"/>
        <v>0</v>
      </c>
      <c r="H700" s="108" t="str">
        <f t="shared" si="76"/>
        <v>0</v>
      </c>
      <c r="I700" s="109">
        <v>13399900</v>
      </c>
      <c r="J700" s="108" t="s">
        <v>3711</v>
      </c>
      <c r="K700" s="108" t="s">
        <v>3712</v>
      </c>
      <c r="L700" s="110"/>
      <c r="M700" s="108" t="s">
        <v>2878</v>
      </c>
      <c r="N700" s="108" t="s">
        <v>2879</v>
      </c>
      <c r="O700" s="108" t="s">
        <v>2878</v>
      </c>
      <c r="P700" s="111" t="s">
        <v>2880</v>
      </c>
    </row>
    <row r="701" spans="2:16" ht="30" x14ac:dyDescent="0.25">
      <c r="B701" s="114" t="str">
        <f t="shared" si="70"/>
        <v>1</v>
      </c>
      <c r="C701" s="114" t="str">
        <f t="shared" si="71"/>
        <v>3</v>
      </c>
      <c r="D701" s="114" t="str">
        <f t="shared" si="72"/>
        <v>3</v>
      </c>
      <c r="E701" s="114" t="str">
        <f t="shared" si="73"/>
        <v>9</v>
      </c>
      <c r="F701" s="114" t="str">
        <f t="shared" si="74"/>
        <v>99</v>
      </c>
      <c r="G701" s="114" t="str">
        <f t="shared" si="75"/>
        <v>1</v>
      </c>
      <c r="H701" s="114" t="str">
        <f t="shared" si="76"/>
        <v>0</v>
      </c>
      <c r="I701" s="115">
        <v>13399910</v>
      </c>
      <c r="J701" s="114" t="s">
        <v>3711</v>
      </c>
      <c r="K701" s="114" t="s">
        <v>3712</v>
      </c>
      <c r="L701" s="116"/>
      <c r="M701" s="114" t="s">
        <v>2878</v>
      </c>
      <c r="N701" s="114" t="s">
        <v>2879</v>
      </c>
      <c r="O701" s="114" t="s">
        <v>2878</v>
      </c>
      <c r="P701" s="117" t="s">
        <v>2880</v>
      </c>
    </row>
    <row r="702" spans="2:16" ht="30" x14ac:dyDescent="0.25">
      <c r="B702" s="85" t="str">
        <f t="shared" si="70"/>
        <v>1</v>
      </c>
      <c r="C702" s="85" t="str">
        <f t="shared" si="71"/>
        <v>3</v>
      </c>
      <c r="D702" s="85" t="str">
        <f t="shared" si="72"/>
        <v>3</v>
      </c>
      <c r="E702" s="85" t="str">
        <f t="shared" si="73"/>
        <v>9</v>
      </c>
      <c r="F702" s="85" t="str">
        <f t="shared" si="74"/>
        <v>99</v>
      </c>
      <c r="G702" s="85" t="str">
        <f t="shared" si="75"/>
        <v>1</v>
      </c>
      <c r="H702" s="85" t="str">
        <f t="shared" si="76"/>
        <v>1</v>
      </c>
      <c r="I702" s="87">
        <v>13399911</v>
      </c>
      <c r="J702" s="85" t="s">
        <v>3713</v>
      </c>
      <c r="K702" s="85" t="s">
        <v>3714</v>
      </c>
      <c r="L702" s="84"/>
      <c r="M702" s="85" t="s">
        <v>3044</v>
      </c>
      <c r="N702" s="85" t="s">
        <v>2879</v>
      </c>
      <c r="O702" s="85" t="s">
        <v>3714</v>
      </c>
      <c r="P702" s="86" t="s">
        <v>2890</v>
      </c>
    </row>
    <row r="703" spans="2:16" ht="15.75" x14ac:dyDescent="0.25">
      <c r="B703" s="85" t="str">
        <f t="shared" si="70"/>
        <v>1</v>
      </c>
      <c r="C703" s="85" t="str">
        <f t="shared" si="71"/>
        <v>3</v>
      </c>
      <c r="D703" s="85" t="str">
        <f t="shared" si="72"/>
        <v>3</v>
      </c>
      <c r="E703" s="85" t="str">
        <f t="shared" si="73"/>
        <v>9</v>
      </c>
      <c r="F703" s="85" t="str">
        <f t="shared" si="74"/>
        <v>99</v>
      </c>
      <c r="G703" s="85" t="str">
        <f t="shared" si="75"/>
        <v>1</v>
      </c>
      <c r="H703" s="85" t="str">
        <f t="shared" si="76"/>
        <v>2</v>
      </c>
      <c r="I703" s="87">
        <v>13399912</v>
      </c>
      <c r="J703" s="85" t="s">
        <v>3715</v>
      </c>
      <c r="K703" s="85" t="s">
        <v>2892</v>
      </c>
      <c r="L703" s="84"/>
      <c r="M703" s="85" t="s">
        <v>2892</v>
      </c>
      <c r="N703" s="85" t="s">
        <v>2879</v>
      </c>
      <c r="O703" s="85" t="s">
        <v>2892</v>
      </c>
      <c r="P703" s="86" t="s">
        <v>2890</v>
      </c>
    </row>
    <row r="704" spans="2:16" ht="15.75" x14ac:dyDescent="0.25">
      <c r="B704" s="85" t="str">
        <f t="shared" si="70"/>
        <v>1</v>
      </c>
      <c r="C704" s="85" t="str">
        <f t="shared" si="71"/>
        <v>3</v>
      </c>
      <c r="D704" s="85" t="str">
        <f t="shared" si="72"/>
        <v>3</v>
      </c>
      <c r="E704" s="85" t="str">
        <f t="shared" si="73"/>
        <v>9</v>
      </c>
      <c r="F704" s="85" t="str">
        <f t="shared" si="74"/>
        <v>99</v>
      </c>
      <c r="G704" s="85" t="str">
        <f t="shared" si="75"/>
        <v>1</v>
      </c>
      <c r="H704" s="85" t="str">
        <f t="shared" si="76"/>
        <v>3</v>
      </c>
      <c r="I704" s="87">
        <v>13399913</v>
      </c>
      <c r="J704" s="85" t="s">
        <v>3716</v>
      </c>
      <c r="K704" s="85" t="s">
        <v>2892</v>
      </c>
      <c r="L704" s="84"/>
      <c r="M704" s="85" t="s">
        <v>2892</v>
      </c>
      <c r="N704" s="85" t="s">
        <v>2879</v>
      </c>
      <c r="O704" s="85" t="s">
        <v>2892</v>
      </c>
      <c r="P704" s="86" t="s">
        <v>2890</v>
      </c>
    </row>
    <row r="705" spans="2:16" ht="15.75" x14ac:dyDescent="0.25">
      <c r="B705" s="85" t="str">
        <f t="shared" si="70"/>
        <v>1</v>
      </c>
      <c r="C705" s="85" t="str">
        <f t="shared" si="71"/>
        <v>3</v>
      </c>
      <c r="D705" s="85" t="str">
        <f t="shared" si="72"/>
        <v>3</v>
      </c>
      <c r="E705" s="85" t="str">
        <f t="shared" si="73"/>
        <v>9</v>
      </c>
      <c r="F705" s="85" t="str">
        <f t="shared" si="74"/>
        <v>99</v>
      </c>
      <c r="G705" s="85" t="str">
        <f t="shared" si="75"/>
        <v>1</v>
      </c>
      <c r="H705" s="85" t="str">
        <f t="shared" si="76"/>
        <v>4</v>
      </c>
      <c r="I705" s="87">
        <v>13399914</v>
      </c>
      <c r="J705" s="85" t="s">
        <v>3717</v>
      </c>
      <c r="K705" s="85" t="s">
        <v>2892</v>
      </c>
      <c r="L705" s="84"/>
      <c r="M705" s="85" t="s">
        <v>2892</v>
      </c>
      <c r="N705" s="85" t="s">
        <v>2879</v>
      </c>
      <c r="O705" s="85" t="s">
        <v>2892</v>
      </c>
      <c r="P705" s="86" t="s">
        <v>2890</v>
      </c>
    </row>
    <row r="706" spans="2:16" ht="30" x14ac:dyDescent="0.25">
      <c r="B706" s="126" t="str">
        <f t="shared" si="70"/>
        <v>1</v>
      </c>
      <c r="C706" s="126" t="str">
        <f t="shared" si="71"/>
        <v>3</v>
      </c>
      <c r="D706" s="126" t="str">
        <f t="shared" si="72"/>
        <v>4</v>
      </c>
      <c r="E706" s="126" t="str">
        <f t="shared" si="73"/>
        <v>0</v>
      </c>
      <c r="F706" s="126" t="str">
        <f t="shared" si="74"/>
        <v>00</v>
      </c>
      <c r="G706" s="126" t="str">
        <f t="shared" si="75"/>
        <v>0</v>
      </c>
      <c r="H706" s="126" t="str">
        <f t="shared" si="76"/>
        <v>0</v>
      </c>
      <c r="I706" s="127">
        <v>13400000</v>
      </c>
      <c r="J706" s="126" t="s">
        <v>3718</v>
      </c>
      <c r="K706" s="126" t="s">
        <v>3719</v>
      </c>
      <c r="L706" s="122"/>
      <c r="M706" s="126" t="s">
        <v>2878</v>
      </c>
      <c r="N706" s="126" t="s">
        <v>5016</v>
      </c>
      <c r="O706" s="126" t="s">
        <v>2878</v>
      </c>
      <c r="P706" s="128" t="s">
        <v>2880</v>
      </c>
    </row>
    <row r="707" spans="2:16" ht="30" x14ac:dyDescent="0.25">
      <c r="B707" s="104" t="str">
        <f t="shared" si="70"/>
        <v>1</v>
      </c>
      <c r="C707" s="104" t="str">
        <f t="shared" si="71"/>
        <v>3</v>
      </c>
      <c r="D707" s="104" t="str">
        <f t="shared" si="72"/>
        <v>4</v>
      </c>
      <c r="E707" s="104" t="str">
        <f t="shared" si="73"/>
        <v>1</v>
      </c>
      <c r="F707" s="104" t="str">
        <f t="shared" si="74"/>
        <v>00</v>
      </c>
      <c r="G707" s="104" t="str">
        <f t="shared" si="75"/>
        <v>0</v>
      </c>
      <c r="H707" s="104" t="str">
        <f t="shared" si="76"/>
        <v>0</v>
      </c>
      <c r="I707" s="105">
        <v>13410000</v>
      </c>
      <c r="J707" s="104" t="s">
        <v>3720</v>
      </c>
      <c r="K707" s="104" t="s">
        <v>3721</v>
      </c>
      <c r="L707" s="106"/>
      <c r="M707" s="104" t="s">
        <v>2878</v>
      </c>
      <c r="N707" s="104" t="s">
        <v>856</v>
      </c>
      <c r="O707" s="104" t="s">
        <v>2878</v>
      </c>
      <c r="P707" s="107" t="s">
        <v>2880</v>
      </c>
    </row>
    <row r="708" spans="2:16" ht="30" x14ac:dyDescent="0.25">
      <c r="B708" s="108" t="str">
        <f t="shared" si="70"/>
        <v>1</v>
      </c>
      <c r="C708" s="108" t="str">
        <f t="shared" si="71"/>
        <v>3</v>
      </c>
      <c r="D708" s="108" t="str">
        <f t="shared" si="72"/>
        <v>4</v>
      </c>
      <c r="E708" s="108" t="str">
        <f t="shared" si="73"/>
        <v>1</v>
      </c>
      <c r="F708" s="108" t="str">
        <f t="shared" si="74"/>
        <v>01</v>
      </c>
      <c r="G708" s="108" t="str">
        <f t="shared" si="75"/>
        <v>0</v>
      </c>
      <c r="H708" s="108" t="str">
        <f t="shared" si="76"/>
        <v>0</v>
      </c>
      <c r="I708" s="109">
        <v>13410100</v>
      </c>
      <c r="J708" s="108" t="s">
        <v>3722</v>
      </c>
      <c r="K708" s="108" t="s">
        <v>3723</v>
      </c>
      <c r="L708" s="110"/>
      <c r="M708" s="108" t="s">
        <v>2878</v>
      </c>
      <c r="N708" s="108" t="s">
        <v>2879</v>
      </c>
      <c r="O708" s="108" t="s">
        <v>2878</v>
      </c>
      <c r="P708" s="111" t="s">
        <v>2880</v>
      </c>
    </row>
    <row r="709" spans="2:16" ht="45" x14ac:dyDescent="0.25">
      <c r="B709" s="114" t="str">
        <f t="shared" si="70"/>
        <v>1</v>
      </c>
      <c r="C709" s="114" t="str">
        <f t="shared" si="71"/>
        <v>3</v>
      </c>
      <c r="D709" s="114" t="str">
        <f t="shared" si="72"/>
        <v>4</v>
      </c>
      <c r="E709" s="114" t="str">
        <f t="shared" si="73"/>
        <v>1</v>
      </c>
      <c r="F709" s="114" t="str">
        <f t="shared" si="74"/>
        <v>01</v>
      </c>
      <c r="G709" s="114" t="str">
        <f t="shared" si="75"/>
        <v>1</v>
      </c>
      <c r="H709" s="114" t="str">
        <f t="shared" si="76"/>
        <v>0</v>
      </c>
      <c r="I709" s="115">
        <v>13410110</v>
      </c>
      <c r="J709" s="114" t="s">
        <v>3724</v>
      </c>
      <c r="K709" s="114" t="s">
        <v>3725</v>
      </c>
      <c r="L709" s="116"/>
      <c r="M709" s="114" t="s">
        <v>2878</v>
      </c>
      <c r="N709" s="114" t="s">
        <v>2879</v>
      </c>
      <c r="O709" s="114" t="s">
        <v>2878</v>
      </c>
      <c r="P709" s="117" t="s">
        <v>2880</v>
      </c>
    </row>
    <row r="710" spans="2:16" ht="45" x14ac:dyDescent="0.25">
      <c r="B710" s="85" t="str">
        <f t="shared" si="70"/>
        <v>1</v>
      </c>
      <c r="C710" s="85" t="str">
        <f t="shared" si="71"/>
        <v>3</v>
      </c>
      <c r="D710" s="85" t="str">
        <f t="shared" si="72"/>
        <v>4</v>
      </c>
      <c r="E710" s="85" t="str">
        <f t="shared" si="73"/>
        <v>1</v>
      </c>
      <c r="F710" s="85" t="str">
        <f t="shared" si="74"/>
        <v>01</v>
      </c>
      <c r="G710" s="85" t="str">
        <f t="shared" si="75"/>
        <v>1</v>
      </c>
      <c r="H710" s="85" t="str">
        <f t="shared" si="76"/>
        <v>1</v>
      </c>
      <c r="I710" s="87">
        <v>13410111</v>
      </c>
      <c r="J710" s="85" t="s">
        <v>3726</v>
      </c>
      <c r="K710" s="85" t="s">
        <v>3727</v>
      </c>
      <c r="L710" s="84"/>
      <c r="M710" s="85" t="s">
        <v>3728</v>
      </c>
      <c r="N710" s="85" t="s">
        <v>2879</v>
      </c>
      <c r="O710" s="85" t="s">
        <v>3729</v>
      </c>
      <c r="P710" s="86" t="s">
        <v>2890</v>
      </c>
    </row>
    <row r="711" spans="2:16" ht="30" x14ac:dyDescent="0.25">
      <c r="B711" s="114" t="str">
        <f t="shared" si="70"/>
        <v>1</v>
      </c>
      <c r="C711" s="114" t="str">
        <f t="shared" si="71"/>
        <v>3</v>
      </c>
      <c r="D711" s="114" t="str">
        <f t="shared" si="72"/>
        <v>4</v>
      </c>
      <c r="E711" s="114" t="str">
        <f t="shared" si="73"/>
        <v>1</v>
      </c>
      <c r="F711" s="114" t="str">
        <f t="shared" si="74"/>
        <v>01</v>
      </c>
      <c r="G711" s="114" t="str">
        <f t="shared" si="75"/>
        <v>2</v>
      </c>
      <c r="H711" s="114" t="str">
        <f t="shared" si="76"/>
        <v>0</v>
      </c>
      <c r="I711" s="115">
        <v>13410120</v>
      </c>
      <c r="J711" s="114" t="s">
        <v>671</v>
      </c>
      <c r="K711" s="114" t="s">
        <v>3730</v>
      </c>
      <c r="L711" s="116"/>
      <c r="M711" s="114" t="s">
        <v>2878</v>
      </c>
      <c r="N711" s="114" t="s">
        <v>2879</v>
      </c>
      <c r="O711" s="114" t="s">
        <v>2878</v>
      </c>
      <c r="P711" s="117" t="s">
        <v>2880</v>
      </c>
    </row>
    <row r="712" spans="2:16" ht="45" x14ac:dyDescent="0.25">
      <c r="B712" s="85" t="str">
        <f t="shared" si="70"/>
        <v>1</v>
      </c>
      <c r="C712" s="85" t="str">
        <f t="shared" si="71"/>
        <v>3</v>
      </c>
      <c r="D712" s="85" t="str">
        <f t="shared" si="72"/>
        <v>4</v>
      </c>
      <c r="E712" s="85" t="str">
        <f t="shared" si="73"/>
        <v>1</v>
      </c>
      <c r="F712" s="85" t="str">
        <f t="shared" si="74"/>
        <v>01</v>
      </c>
      <c r="G712" s="85" t="str">
        <f t="shared" si="75"/>
        <v>2</v>
      </c>
      <c r="H712" s="85" t="str">
        <f t="shared" si="76"/>
        <v>1</v>
      </c>
      <c r="I712" s="87">
        <v>13410121</v>
      </c>
      <c r="J712" s="85" t="s">
        <v>3731</v>
      </c>
      <c r="K712" s="85" t="s">
        <v>3732</v>
      </c>
      <c r="L712" s="84"/>
      <c r="M712" s="85" t="s">
        <v>3733</v>
      </c>
      <c r="N712" s="85" t="s">
        <v>2879</v>
      </c>
      <c r="O712" s="85" t="s">
        <v>3734</v>
      </c>
      <c r="P712" s="86" t="s">
        <v>2890</v>
      </c>
    </row>
    <row r="713" spans="2:16" ht="30" x14ac:dyDescent="0.25">
      <c r="B713" s="108" t="str">
        <f t="shared" si="70"/>
        <v>1</v>
      </c>
      <c r="C713" s="108" t="str">
        <f t="shared" si="71"/>
        <v>3</v>
      </c>
      <c r="D713" s="108" t="str">
        <f t="shared" si="72"/>
        <v>4</v>
      </c>
      <c r="E713" s="108" t="str">
        <f t="shared" si="73"/>
        <v>1</v>
      </c>
      <c r="F713" s="108" t="str">
        <f t="shared" si="74"/>
        <v>02</v>
      </c>
      <c r="G713" s="108" t="str">
        <f t="shared" si="75"/>
        <v>0</v>
      </c>
      <c r="H713" s="108" t="str">
        <f t="shared" si="76"/>
        <v>0</v>
      </c>
      <c r="I713" s="109">
        <v>13410200</v>
      </c>
      <c r="J713" s="108" t="s">
        <v>3735</v>
      </c>
      <c r="K713" s="108" t="s">
        <v>3721</v>
      </c>
      <c r="L713" s="110"/>
      <c r="M713" s="108" t="s">
        <v>2878</v>
      </c>
      <c r="N713" s="108" t="s">
        <v>856</v>
      </c>
      <c r="O713" s="108" t="s">
        <v>2878</v>
      </c>
      <c r="P713" s="111" t="s">
        <v>2880</v>
      </c>
    </row>
    <row r="714" spans="2:16" ht="45" x14ac:dyDescent="0.25">
      <c r="B714" s="114" t="str">
        <f t="shared" si="70"/>
        <v>1</v>
      </c>
      <c r="C714" s="114" t="str">
        <f t="shared" si="71"/>
        <v>3</v>
      </c>
      <c r="D714" s="114" t="str">
        <f t="shared" si="72"/>
        <v>4</v>
      </c>
      <c r="E714" s="114" t="str">
        <f t="shared" si="73"/>
        <v>1</v>
      </c>
      <c r="F714" s="114" t="str">
        <f t="shared" si="74"/>
        <v>02</v>
      </c>
      <c r="G714" s="114" t="str">
        <f t="shared" si="75"/>
        <v>1</v>
      </c>
      <c r="H714" s="114" t="str">
        <f t="shared" si="76"/>
        <v>0</v>
      </c>
      <c r="I714" s="115">
        <v>13410210</v>
      </c>
      <c r="J714" s="114" t="s">
        <v>857</v>
      </c>
      <c r="K714" s="114" t="s">
        <v>3736</v>
      </c>
      <c r="L714" s="116"/>
      <c r="M714" s="114" t="s">
        <v>2878</v>
      </c>
      <c r="N714" s="114" t="s">
        <v>2879</v>
      </c>
      <c r="O714" s="114" t="s">
        <v>2878</v>
      </c>
      <c r="P714" s="117" t="s">
        <v>2880</v>
      </c>
    </row>
    <row r="715" spans="2:16" ht="45" x14ac:dyDescent="0.25">
      <c r="B715" s="85" t="str">
        <f t="shared" si="70"/>
        <v>1</v>
      </c>
      <c r="C715" s="85" t="str">
        <f t="shared" si="71"/>
        <v>3</v>
      </c>
      <c r="D715" s="85" t="str">
        <f t="shared" si="72"/>
        <v>4</v>
      </c>
      <c r="E715" s="85" t="str">
        <f t="shared" si="73"/>
        <v>1</v>
      </c>
      <c r="F715" s="85" t="str">
        <f t="shared" si="74"/>
        <v>02</v>
      </c>
      <c r="G715" s="85" t="str">
        <f t="shared" si="75"/>
        <v>1</v>
      </c>
      <c r="H715" s="85" t="str">
        <f t="shared" si="76"/>
        <v>1</v>
      </c>
      <c r="I715" s="87">
        <v>13410211</v>
      </c>
      <c r="J715" s="85" t="s">
        <v>3737</v>
      </c>
      <c r="K715" s="85" t="s">
        <v>3738</v>
      </c>
      <c r="L715" s="84"/>
      <c r="M715" s="85" t="s">
        <v>3739</v>
      </c>
      <c r="N715" s="85" t="s">
        <v>856</v>
      </c>
      <c r="O715" s="85" t="s">
        <v>3740</v>
      </c>
      <c r="P715" s="86" t="s">
        <v>2890</v>
      </c>
    </row>
    <row r="716" spans="2:16" ht="97.5" customHeight="1" x14ac:dyDescent="0.25">
      <c r="B716" s="114" t="str">
        <f t="shared" si="70"/>
        <v>1</v>
      </c>
      <c r="C716" s="114" t="str">
        <f t="shared" si="71"/>
        <v>3</v>
      </c>
      <c r="D716" s="114" t="str">
        <f t="shared" si="72"/>
        <v>4</v>
      </c>
      <c r="E716" s="114" t="str">
        <f t="shared" si="73"/>
        <v>1</v>
      </c>
      <c r="F716" s="114" t="str">
        <f t="shared" si="74"/>
        <v>02</v>
      </c>
      <c r="G716" s="114" t="str">
        <f t="shared" si="75"/>
        <v>2</v>
      </c>
      <c r="H716" s="114" t="str">
        <f t="shared" si="76"/>
        <v>0</v>
      </c>
      <c r="I716" s="115">
        <v>13410220</v>
      </c>
      <c r="J716" s="114" t="s">
        <v>861</v>
      </c>
      <c r="K716" s="114" t="s">
        <v>3741</v>
      </c>
      <c r="L716" s="116"/>
      <c r="M716" s="114" t="s">
        <v>2878</v>
      </c>
      <c r="N716" s="114" t="s">
        <v>2879</v>
      </c>
      <c r="O716" s="114" t="s">
        <v>2878</v>
      </c>
      <c r="P716" s="117" t="s">
        <v>2880</v>
      </c>
    </row>
    <row r="717" spans="2:16" ht="60" customHeight="1" x14ac:dyDescent="0.25">
      <c r="B717" s="85" t="str">
        <f t="shared" si="70"/>
        <v>1</v>
      </c>
      <c r="C717" s="85" t="str">
        <f t="shared" si="71"/>
        <v>3</v>
      </c>
      <c r="D717" s="85" t="str">
        <f t="shared" si="72"/>
        <v>4</v>
      </c>
      <c r="E717" s="85" t="str">
        <f t="shared" si="73"/>
        <v>1</v>
      </c>
      <c r="F717" s="85" t="str">
        <f t="shared" si="74"/>
        <v>02</v>
      </c>
      <c r="G717" s="85" t="str">
        <f t="shared" si="75"/>
        <v>2</v>
      </c>
      <c r="H717" s="85" t="str">
        <f t="shared" si="76"/>
        <v>1</v>
      </c>
      <c r="I717" s="87">
        <v>13410221</v>
      </c>
      <c r="J717" s="85" t="s">
        <v>3742</v>
      </c>
      <c r="K717" s="85" t="s">
        <v>3743</v>
      </c>
      <c r="L717" s="84"/>
      <c r="M717" s="85" t="s">
        <v>3744</v>
      </c>
      <c r="N717" s="85" t="s">
        <v>856</v>
      </c>
      <c r="O717" s="85" t="s">
        <v>3745</v>
      </c>
      <c r="P717" s="86" t="s">
        <v>2890</v>
      </c>
    </row>
    <row r="718" spans="2:16" ht="92.25" customHeight="1" x14ac:dyDescent="0.25">
      <c r="B718" s="114" t="str">
        <f t="shared" si="70"/>
        <v>1</v>
      </c>
      <c r="C718" s="114" t="str">
        <f t="shared" si="71"/>
        <v>3</v>
      </c>
      <c r="D718" s="114" t="str">
        <f t="shared" si="72"/>
        <v>4</v>
      </c>
      <c r="E718" s="114" t="str">
        <f t="shared" si="73"/>
        <v>1</v>
      </c>
      <c r="F718" s="114" t="str">
        <f t="shared" si="74"/>
        <v>02</v>
      </c>
      <c r="G718" s="114" t="str">
        <f t="shared" si="75"/>
        <v>3</v>
      </c>
      <c r="H718" s="114" t="str">
        <f t="shared" si="76"/>
        <v>0</v>
      </c>
      <c r="I718" s="115">
        <v>13410230</v>
      </c>
      <c r="J718" s="114" t="s">
        <v>3746</v>
      </c>
      <c r="K718" s="114" t="s">
        <v>3747</v>
      </c>
      <c r="L718" s="116"/>
      <c r="M718" s="114" t="s">
        <v>2878</v>
      </c>
      <c r="N718" s="114" t="s">
        <v>2879</v>
      </c>
      <c r="O718" s="114" t="s">
        <v>2878</v>
      </c>
      <c r="P718" s="117" t="s">
        <v>2880</v>
      </c>
    </row>
    <row r="719" spans="2:16" ht="114.75" customHeight="1" x14ac:dyDescent="0.25">
      <c r="B719" s="85" t="str">
        <f t="shared" si="70"/>
        <v>1</v>
      </c>
      <c r="C719" s="85" t="str">
        <f t="shared" si="71"/>
        <v>3</v>
      </c>
      <c r="D719" s="85" t="str">
        <f t="shared" si="72"/>
        <v>4</v>
      </c>
      <c r="E719" s="85" t="str">
        <f t="shared" si="73"/>
        <v>1</v>
      </c>
      <c r="F719" s="85" t="str">
        <f t="shared" si="74"/>
        <v>02</v>
      </c>
      <c r="G719" s="85" t="str">
        <f t="shared" si="75"/>
        <v>3</v>
      </c>
      <c r="H719" s="85" t="str">
        <f t="shared" si="76"/>
        <v>1</v>
      </c>
      <c r="I719" s="87">
        <v>13410231</v>
      </c>
      <c r="J719" s="85" t="s">
        <v>3748</v>
      </c>
      <c r="K719" s="85" t="s">
        <v>3749</v>
      </c>
      <c r="L719" s="84"/>
      <c r="M719" s="85" t="s">
        <v>3744</v>
      </c>
      <c r="N719" s="85" t="s">
        <v>856</v>
      </c>
      <c r="O719" s="85" t="s">
        <v>3750</v>
      </c>
      <c r="P719" s="86" t="s">
        <v>2890</v>
      </c>
    </row>
    <row r="720" spans="2:16" ht="75" x14ac:dyDescent="0.25">
      <c r="B720" s="114" t="str">
        <f t="shared" si="70"/>
        <v>1</v>
      </c>
      <c r="C720" s="114" t="str">
        <f t="shared" si="71"/>
        <v>3</v>
      </c>
      <c r="D720" s="114" t="str">
        <f t="shared" si="72"/>
        <v>4</v>
      </c>
      <c r="E720" s="114" t="str">
        <f t="shared" si="73"/>
        <v>1</v>
      </c>
      <c r="F720" s="114" t="str">
        <f t="shared" si="74"/>
        <v>02</v>
      </c>
      <c r="G720" s="114" t="str">
        <f t="shared" si="75"/>
        <v>4</v>
      </c>
      <c r="H720" s="114" t="str">
        <f t="shared" si="76"/>
        <v>0</v>
      </c>
      <c r="I720" s="115">
        <v>13410240</v>
      </c>
      <c r="J720" s="114" t="s">
        <v>865</v>
      </c>
      <c r="K720" s="114" t="s">
        <v>3751</v>
      </c>
      <c r="L720" s="116"/>
      <c r="M720" s="114" t="s">
        <v>2878</v>
      </c>
      <c r="N720" s="114" t="s">
        <v>2879</v>
      </c>
      <c r="O720" s="114" t="s">
        <v>2878</v>
      </c>
      <c r="P720" s="117" t="s">
        <v>2880</v>
      </c>
    </row>
    <row r="721" spans="2:16" ht="119.25" customHeight="1" x14ac:dyDescent="0.25">
      <c r="B721" s="85" t="str">
        <f t="shared" si="70"/>
        <v>1</v>
      </c>
      <c r="C721" s="85" t="str">
        <f t="shared" si="71"/>
        <v>3</v>
      </c>
      <c r="D721" s="85" t="str">
        <f t="shared" si="72"/>
        <v>4</v>
      </c>
      <c r="E721" s="85" t="str">
        <f t="shared" si="73"/>
        <v>1</v>
      </c>
      <c r="F721" s="85" t="str">
        <f t="shared" si="74"/>
        <v>02</v>
      </c>
      <c r="G721" s="85" t="str">
        <f t="shared" si="75"/>
        <v>4</v>
      </c>
      <c r="H721" s="85" t="str">
        <f t="shared" si="76"/>
        <v>1</v>
      </c>
      <c r="I721" s="87">
        <v>13410241</v>
      </c>
      <c r="J721" s="85" t="s">
        <v>3752</v>
      </c>
      <c r="K721" s="85" t="s">
        <v>3753</v>
      </c>
      <c r="L721" s="84"/>
      <c r="M721" s="85" t="s">
        <v>3744</v>
      </c>
      <c r="N721" s="85" t="s">
        <v>856</v>
      </c>
      <c r="O721" s="85" t="s">
        <v>3754</v>
      </c>
      <c r="P721" s="86" t="s">
        <v>2890</v>
      </c>
    </row>
    <row r="722" spans="2:16" ht="30" x14ac:dyDescent="0.25">
      <c r="B722" s="108" t="str">
        <f t="shared" si="70"/>
        <v>1</v>
      </c>
      <c r="C722" s="108" t="str">
        <f t="shared" si="71"/>
        <v>3</v>
      </c>
      <c r="D722" s="108" t="str">
        <f t="shared" si="72"/>
        <v>4</v>
      </c>
      <c r="E722" s="108" t="str">
        <f t="shared" si="73"/>
        <v>1</v>
      </c>
      <c r="F722" s="108" t="str">
        <f t="shared" si="74"/>
        <v>03</v>
      </c>
      <c r="G722" s="108" t="str">
        <f t="shared" si="75"/>
        <v>0</v>
      </c>
      <c r="H722" s="108" t="str">
        <f t="shared" si="76"/>
        <v>0</v>
      </c>
      <c r="I722" s="109">
        <v>13410300</v>
      </c>
      <c r="J722" s="108" t="s">
        <v>3755</v>
      </c>
      <c r="K722" s="108" t="s">
        <v>3721</v>
      </c>
      <c r="L722" s="110"/>
      <c r="M722" s="108" t="s">
        <v>2878</v>
      </c>
      <c r="N722" s="108" t="s">
        <v>856</v>
      </c>
      <c r="O722" s="108" t="s">
        <v>2878</v>
      </c>
      <c r="P722" s="111" t="s">
        <v>2880</v>
      </c>
    </row>
    <row r="723" spans="2:16" ht="45" x14ac:dyDescent="0.25">
      <c r="B723" s="114" t="str">
        <f t="shared" si="70"/>
        <v>1</v>
      </c>
      <c r="C723" s="114" t="str">
        <f t="shared" si="71"/>
        <v>3</v>
      </c>
      <c r="D723" s="114" t="str">
        <f t="shared" si="72"/>
        <v>4</v>
      </c>
      <c r="E723" s="114" t="str">
        <f t="shared" si="73"/>
        <v>1</v>
      </c>
      <c r="F723" s="114" t="str">
        <f t="shared" si="74"/>
        <v>03</v>
      </c>
      <c r="G723" s="114" t="str">
        <f t="shared" si="75"/>
        <v>1</v>
      </c>
      <c r="H723" s="114" t="str">
        <f t="shared" si="76"/>
        <v>0</v>
      </c>
      <c r="I723" s="115">
        <v>13410310</v>
      </c>
      <c r="J723" s="114" t="s">
        <v>867</v>
      </c>
      <c r="K723" s="114" t="s">
        <v>3756</v>
      </c>
      <c r="L723" s="116"/>
      <c r="M723" s="114" t="s">
        <v>2878</v>
      </c>
      <c r="N723" s="114" t="s">
        <v>2879</v>
      </c>
      <c r="O723" s="114" t="s">
        <v>2878</v>
      </c>
      <c r="P723" s="117" t="s">
        <v>2880</v>
      </c>
    </row>
    <row r="724" spans="2:16" ht="60" x14ac:dyDescent="0.25">
      <c r="B724" s="85" t="str">
        <f t="shared" si="70"/>
        <v>1</v>
      </c>
      <c r="C724" s="85" t="str">
        <f t="shared" si="71"/>
        <v>3</v>
      </c>
      <c r="D724" s="85" t="str">
        <f t="shared" si="72"/>
        <v>4</v>
      </c>
      <c r="E724" s="85" t="str">
        <f t="shared" si="73"/>
        <v>1</v>
      </c>
      <c r="F724" s="85" t="str">
        <f t="shared" si="74"/>
        <v>03</v>
      </c>
      <c r="G724" s="85" t="str">
        <f t="shared" si="75"/>
        <v>1</v>
      </c>
      <c r="H724" s="85" t="str">
        <f t="shared" si="76"/>
        <v>1</v>
      </c>
      <c r="I724" s="87">
        <v>13410311</v>
      </c>
      <c r="J724" s="85" t="s">
        <v>3757</v>
      </c>
      <c r="K724" s="85" t="s">
        <v>3758</v>
      </c>
      <c r="L724" s="84"/>
      <c r="M724" s="85" t="s">
        <v>3759</v>
      </c>
      <c r="N724" s="85" t="s">
        <v>856</v>
      </c>
      <c r="O724" s="85" t="s">
        <v>3760</v>
      </c>
      <c r="P724" s="86" t="s">
        <v>2890</v>
      </c>
    </row>
    <row r="725" spans="2:16" ht="150" x14ac:dyDescent="0.25">
      <c r="B725" s="114" t="str">
        <f t="shared" si="70"/>
        <v>1</v>
      </c>
      <c r="C725" s="114" t="str">
        <f t="shared" si="71"/>
        <v>3</v>
      </c>
      <c r="D725" s="114" t="str">
        <f t="shared" si="72"/>
        <v>4</v>
      </c>
      <c r="E725" s="114" t="str">
        <f t="shared" si="73"/>
        <v>1</v>
      </c>
      <c r="F725" s="114" t="str">
        <f t="shared" si="74"/>
        <v>03</v>
      </c>
      <c r="G725" s="114" t="str">
        <f t="shared" si="75"/>
        <v>2</v>
      </c>
      <c r="H725" s="114" t="str">
        <f t="shared" si="76"/>
        <v>0</v>
      </c>
      <c r="I725" s="115">
        <v>13410320</v>
      </c>
      <c r="J725" s="114" t="s">
        <v>3761</v>
      </c>
      <c r="K725" s="114" t="s">
        <v>3762</v>
      </c>
      <c r="L725" s="116"/>
      <c r="M725" s="114" t="s">
        <v>2878</v>
      </c>
      <c r="N725" s="114" t="s">
        <v>2879</v>
      </c>
      <c r="O725" s="114" t="s">
        <v>2878</v>
      </c>
      <c r="P725" s="117" t="s">
        <v>2880</v>
      </c>
    </row>
    <row r="726" spans="2:16" ht="150" x14ac:dyDescent="0.25">
      <c r="B726" s="85" t="str">
        <f t="shared" si="70"/>
        <v>1</v>
      </c>
      <c r="C726" s="85" t="str">
        <f t="shared" si="71"/>
        <v>3</v>
      </c>
      <c r="D726" s="85" t="str">
        <f t="shared" si="72"/>
        <v>4</v>
      </c>
      <c r="E726" s="85" t="str">
        <f t="shared" si="73"/>
        <v>1</v>
      </c>
      <c r="F726" s="85" t="str">
        <f t="shared" si="74"/>
        <v>03</v>
      </c>
      <c r="G726" s="85" t="str">
        <f t="shared" si="75"/>
        <v>2</v>
      </c>
      <c r="H726" s="85" t="str">
        <f t="shared" si="76"/>
        <v>1</v>
      </c>
      <c r="I726" s="87">
        <v>13410321</v>
      </c>
      <c r="J726" s="85" t="s">
        <v>3763</v>
      </c>
      <c r="K726" s="85" t="s">
        <v>3764</v>
      </c>
      <c r="L726" s="84"/>
      <c r="M726" s="85" t="s">
        <v>3765</v>
      </c>
      <c r="N726" s="85" t="s">
        <v>856</v>
      </c>
      <c r="O726" s="85" t="s">
        <v>3766</v>
      </c>
      <c r="P726" s="86" t="s">
        <v>2890</v>
      </c>
    </row>
    <row r="727" spans="2:16" ht="93.75" customHeight="1" x14ac:dyDescent="0.25">
      <c r="B727" s="114" t="str">
        <f t="shared" si="70"/>
        <v>1</v>
      </c>
      <c r="C727" s="114" t="str">
        <f t="shared" si="71"/>
        <v>3</v>
      </c>
      <c r="D727" s="114" t="str">
        <f t="shared" si="72"/>
        <v>4</v>
      </c>
      <c r="E727" s="114" t="str">
        <f t="shared" si="73"/>
        <v>1</v>
      </c>
      <c r="F727" s="114" t="str">
        <f t="shared" si="74"/>
        <v>03</v>
      </c>
      <c r="G727" s="114" t="str">
        <f t="shared" si="75"/>
        <v>3</v>
      </c>
      <c r="H727" s="114" t="str">
        <f t="shared" si="76"/>
        <v>0</v>
      </c>
      <c r="I727" s="115">
        <v>13410330</v>
      </c>
      <c r="J727" s="114" t="s">
        <v>873</v>
      </c>
      <c r="K727" s="114" t="s">
        <v>3767</v>
      </c>
      <c r="L727" s="116"/>
      <c r="M727" s="114" t="s">
        <v>2878</v>
      </c>
      <c r="N727" s="114" t="s">
        <v>2879</v>
      </c>
      <c r="O727" s="114" t="s">
        <v>2878</v>
      </c>
      <c r="P727" s="117" t="s">
        <v>2880</v>
      </c>
    </row>
    <row r="728" spans="2:16" ht="89.25" customHeight="1" x14ac:dyDescent="0.25">
      <c r="B728" s="85" t="str">
        <f t="shared" si="70"/>
        <v>1</v>
      </c>
      <c r="C728" s="85" t="str">
        <f t="shared" si="71"/>
        <v>3</v>
      </c>
      <c r="D728" s="85" t="str">
        <f t="shared" si="72"/>
        <v>4</v>
      </c>
      <c r="E728" s="85" t="str">
        <f t="shared" si="73"/>
        <v>1</v>
      </c>
      <c r="F728" s="85" t="str">
        <f t="shared" si="74"/>
        <v>03</v>
      </c>
      <c r="G728" s="85" t="str">
        <f t="shared" si="75"/>
        <v>3</v>
      </c>
      <c r="H728" s="85" t="str">
        <f t="shared" si="76"/>
        <v>1</v>
      </c>
      <c r="I728" s="87">
        <v>13410331</v>
      </c>
      <c r="J728" s="85" t="s">
        <v>3768</v>
      </c>
      <c r="K728" s="85" t="s">
        <v>3769</v>
      </c>
      <c r="L728" s="84"/>
      <c r="M728" s="85" t="s">
        <v>3765</v>
      </c>
      <c r="N728" s="85" t="s">
        <v>856</v>
      </c>
      <c r="O728" s="85" t="s">
        <v>3770</v>
      </c>
      <c r="P728" s="86" t="s">
        <v>2890</v>
      </c>
    </row>
    <row r="729" spans="2:16" ht="75" x14ac:dyDescent="0.25">
      <c r="B729" s="114" t="str">
        <f t="shared" si="70"/>
        <v>1</v>
      </c>
      <c r="C729" s="114" t="str">
        <f t="shared" si="71"/>
        <v>3</v>
      </c>
      <c r="D729" s="114" t="str">
        <f t="shared" si="72"/>
        <v>4</v>
      </c>
      <c r="E729" s="114" t="str">
        <f t="shared" si="73"/>
        <v>1</v>
      </c>
      <c r="F729" s="114" t="str">
        <f t="shared" si="74"/>
        <v>03</v>
      </c>
      <c r="G729" s="114" t="str">
        <f t="shared" si="75"/>
        <v>4</v>
      </c>
      <c r="H729" s="114" t="str">
        <f t="shared" si="76"/>
        <v>0</v>
      </c>
      <c r="I729" s="115">
        <v>13410340</v>
      </c>
      <c r="J729" s="114" t="s">
        <v>875</v>
      </c>
      <c r="K729" s="114" t="s">
        <v>3771</v>
      </c>
      <c r="L729" s="116"/>
      <c r="M729" s="114" t="s">
        <v>2878</v>
      </c>
      <c r="N729" s="114" t="s">
        <v>2879</v>
      </c>
      <c r="O729" s="114" t="s">
        <v>2878</v>
      </c>
      <c r="P729" s="117" t="s">
        <v>2880</v>
      </c>
    </row>
    <row r="730" spans="2:16" ht="120" x14ac:dyDescent="0.25">
      <c r="B730" s="85" t="str">
        <f t="shared" si="70"/>
        <v>1</v>
      </c>
      <c r="C730" s="85" t="str">
        <f t="shared" si="71"/>
        <v>3</v>
      </c>
      <c r="D730" s="85" t="str">
        <f t="shared" si="72"/>
        <v>4</v>
      </c>
      <c r="E730" s="85" t="str">
        <f t="shared" si="73"/>
        <v>1</v>
      </c>
      <c r="F730" s="85" t="str">
        <f t="shared" si="74"/>
        <v>03</v>
      </c>
      <c r="G730" s="85" t="str">
        <f t="shared" si="75"/>
        <v>4</v>
      </c>
      <c r="H730" s="85" t="str">
        <f t="shared" si="76"/>
        <v>1</v>
      </c>
      <c r="I730" s="87">
        <v>13410341</v>
      </c>
      <c r="J730" s="85" t="s">
        <v>3772</v>
      </c>
      <c r="K730" s="85" t="s">
        <v>3773</v>
      </c>
      <c r="L730" s="84"/>
      <c r="M730" s="85" t="s">
        <v>3765</v>
      </c>
      <c r="N730" s="85" t="s">
        <v>856</v>
      </c>
      <c r="O730" s="85" t="s">
        <v>3774</v>
      </c>
      <c r="P730" s="86" t="s">
        <v>2890</v>
      </c>
    </row>
    <row r="731" spans="2:16" ht="45" x14ac:dyDescent="0.25">
      <c r="B731" s="108" t="str">
        <f t="shared" si="70"/>
        <v>1</v>
      </c>
      <c r="C731" s="108" t="str">
        <f t="shared" si="71"/>
        <v>3</v>
      </c>
      <c r="D731" s="108" t="str">
        <f t="shared" si="72"/>
        <v>4</v>
      </c>
      <c r="E731" s="108" t="str">
        <f t="shared" si="73"/>
        <v>1</v>
      </c>
      <c r="F731" s="108" t="str">
        <f t="shared" si="74"/>
        <v>04</v>
      </c>
      <c r="G731" s="108" t="str">
        <f t="shared" si="75"/>
        <v>0</v>
      </c>
      <c r="H731" s="108" t="str">
        <f t="shared" si="76"/>
        <v>0</v>
      </c>
      <c r="I731" s="109">
        <v>13410400</v>
      </c>
      <c r="J731" s="108" t="s">
        <v>3775</v>
      </c>
      <c r="K731" s="108" t="s">
        <v>3776</v>
      </c>
      <c r="L731" s="110"/>
      <c r="M731" s="108" t="s">
        <v>2878</v>
      </c>
      <c r="N731" s="108" t="s">
        <v>856</v>
      </c>
      <c r="O731" s="108" t="s">
        <v>2878</v>
      </c>
      <c r="P731" s="111" t="s">
        <v>2880</v>
      </c>
    </row>
    <row r="732" spans="2:16" ht="83.25" customHeight="1" x14ac:dyDescent="0.25">
      <c r="B732" s="114" t="str">
        <f t="shared" si="70"/>
        <v>1</v>
      </c>
      <c r="C732" s="114" t="str">
        <f t="shared" si="71"/>
        <v>3</v>
      </c>
      <c r="D732" s="114" t="str">
        <f t="shared" si="72"/>
        <v>4</v>
      </c>
      <c r="E732" s="114" t="str">
        <f t="shared" si="73"/>
        <v>1</v>
      </c>
      <c r="F732" s="114" t="str">
        <f t="shared" si="74"/>
        <v>04</v>
      </c>
      <c r="G732" s="114" t="str">
        <f t="shared" si="75"/>
        <v>1</v>
      </c>
      <c r="H732" s="114" t="str">
        <f t="shared" si="76"/>
        <v>0</v>
      </c>
      <c r="I732" s="115">
        <v>13410410</v>
      </c>
      <c r="J732" s="114" t="s">
        <v>877</v>
      </c>
      <c r="K732" s="114" t="s">
        <v>3777</v>
      </c>
      <c r="L732" s="116"/>
      <c r="M732" s="114" t="s">
        <v>2878</v>
      </c>
      <c r="N732" s="114" t="s">
        <v>2879</v>
      </c>
      <c r="O732" s="114" t="s">
        <v>2878</v>
      </c>
      <c r="P732" s="117" t="s">
        <v>2880</v>
      </c>
    </row>
    <row r="733" spans="2:16" ht="91.5" customHeight="1" x14ac:dyDescent="0.25">
      <c r="B733" s="85" t="str">
        <f t="shared" si="70"/>
        <v>1</v>
      </c>
      <c r="C733" s="85" t="str">
        <f t="shared" si="71"/>
        <v>3</v>
      </c>
      <c r="D733" s="85" t="str">
        <f t="shared" si="72"/>
        <v>4</v>
      </c>
      <c r="E733" s="85" t="str">
        <f t="shared" si="73"/>
        <v>1</v>
      </c>
      <c r="F733" s="85" t="str">
        <f t="shared" si="74"/>
        <v>04</v>
      </c>
      <c r="G733" s="85" t="str">
        <f t="shared" si="75"/>
        <v>1</v>
      </c>
      <c r="H733" s="85" t="str">
        <f t="shared" si="76"/>
        <v>1</v>
      </c>
      <c r="I733" s="87">
        <v>13410411</v>
      </c>
      <c r="J733" s="85" t="s">
        <v>3778</v>
      </c>
      <c r="K733" s="85" t="s">
        <v>3779</v>
      </c>
      <c r="L733" s="84"/>
      <c r="M733" s="85" t="s">
        <v>3780</v>
      </c>
      <c r="N733" s="85" t="s">
        <v>856</v>
      </c>
      <c r="O733" s="85" t="s">
        <v>3781</v>
      </c>
      <c r="P733" s="86" t="s">
        <v>2890</v>
      </c>
    </row>
    <row r="734" spans="2:16" ht="114" customHeight="1" x14ac:dyDescent="0.25">
      <c r="B734" s="114" t="str">
        <f t="shared" si="70"/>
        <v>1</v>
      </c>
      <c r="C734" s="114" t="str">
        <f t="shared" si="71"/>
        <v>3</v>
      </c>
      <c r="D734" s="114" t="str">
        <f t="shared" si="72"/>
        <v>4</v>
      </c>
      <c r="E734" s="114" t="str">
        <f t="shared" si="73"/>
        <v>1</v>
      </c>
      <c r="F734" s="114" t="str">
        <f t="shared" si="74"/>
        <v>04</v>
      </c>
      <c r="G734" s="114" t="str">
        <f t="shared" si="75"/>
        <v>2</v>
      </c>
      <c r="H734" s="114" t="str">
        <f t="shared" si="76"/>
        <v>0</v>
      </c>
      <c r="I734" s="115">
        <v>13410420</v>
      </c>
      <c r="J734" s="114" t="s">
        <v>881</v>
      </c>
      <c r="K734" s="114" t="s">
        <v>3782</v>
      </c>
      <c r="L734" s="116"/>
      <c r="M734" s="114" t="s">
        <v>2878</v>
      </c>
      <c r="N734" s="114" t="s">
        <v>2879</v>
      </c>
      <c r="O734" s="114" t="s">
        <v>2878</v>
      </c>
      <c r="P734" s="117" t="s">
        <v>2880</v>
      </c>
    </row>
    <row r="735" spans="2:16" ht="63.75" customHeight="1" x14ac:dyDescent="0.25">
      <c r="B735" s="85" t="str">
        <f t="shared" si="70"/>
        <v>1</v>
      </c>
      <c r="C735" s="85" t="str">
        <f t="shared" si="71"/>
        <v>3</v>
      </c>
      <c r="D735" s="85" t="str">
        <f t="shared" si="72"/>
        <v>4</v>
      </c>
      <c r="E735" s="85" t="str">
        <f t="shared" si="73"/>
        <v>1</v>
      </c>
      <c r="F735" s="85" t="str">
        <f t="shared" si="74"/>
        <v>04</v>
      </c>
      <c r="G735" s="85" t="str">
        <f t="shared" si="75"/>
        <v>2</v>
      </c>
      <c r="H735" s="85" t="str">
        <f t="shared" si="76"/>
        <v>1</v>
      </c>
      <c r="I735" s="87">
        <v>13410421</v>
      </c>
      <c r="J735" s="85" t="s">
        <v>3783</v>
      </c>
      <c r="K735" s="85" t="s">
        <v>3784</v>
      </c>
      <c r="L735" s="84"/>
      <c r="M735" s="85" t="s">
        <v>3780</v>
      </c>
      <c r="N735" s="85" t="s">
        <v>856</v>
      </c>
      <c r="O735" s="85" t="s">
        <v>3785</v>
      </c>
      <c r="P735" s="86" t="s">
        <v>2890</v>
      </c>
    </row>
    <row r="736" spans="2:16" ht="73.5" customHeight="1" x14ac:dyDescent="0.25">
      <c r="B736" s="114" t="str">
        <f t="shared" si="70"/>
        <v>1</v>
      </c>
      <c r="C736" s="114" t="str">
        <f t="shared" si="71"/>
        <v>3</v>
      </c>
      <c r="D736" s="114" t="str">
        <f t="shared" si="72"/>
        <v>4</v>
      </c>
      <c r="E736" s="114" t="str">
        <f t="shared" si="73"/>
        <v>1</v>
      </c>
      <c r="F736" s="114" t="str">
        <f t="shared" si="74"/>
        <v>04</v>
      </c>
      <c r="G736" s="114" t="str">
        <f t="shared" si="75"/>
        <v>3</v>
      </c>
      <c r="H736" s="114" t="str">
        <f t="shared" si="76"/>
        <v>0</v>
      </c>
      <c r="I736" s="115">
        <v>13410430</v>
      </c>
      <c r="J736" s="114" t="s">
        <v>3786</v>
      </c>
      <c r="K736" s="114" t="s">
        <v>3787</v>
      </c>
      <c r="L736" s="116"/>
      <c r="M736" s="114" t="s">
        <v>2878</v>
      </c>
      <c r="N736" s="114" t="s">
        <v>2879</v>
      </c>
      <c r="O736" s="114" t="s">
        <v>2878</v>
      </c>
      <c r="P736" s="117" t="s">
        <v>2880</v>
      </c>
    </row>
    <row r="737" spans="2:16" ht="60" customHeight="1" x14ac:dyDescent="0.25">
      <c r="B737" s="85" t="str">
        <f t="shared" si="70"/>
        <v>1</v>
      </c>
      <c r="C737" s="85" t="str">
        <f t="shared" si="71"/>
        <v>3</v>
      </c>
      <c r="D737" s="85" t="str">
        <f t="shared" si="72"/>
        <v>4</v>
      </c>
      <c r="E737" s="85" t="str">
        <f t="shared" si="73"/>
        <v>1</v>
      </c>
      <c r="F737" s="85" t="str">
        <f t="shared" si="74"/>
        <v>04</v>
      </c>
      <c r="G737" s="85" t="str">
        <f t="shared" si="75"/>
        <v>3</v>
      </c>
      <c r="H737" s="85" t="str">
        <f t="shared" si="76"/>
        <v>1</v>
      </c>
      <c r="I737" s="87">
        <v>13410431</v>
      </c>
      <c r="J737" s="85" t="s">
        <v>3788</v>
      </c>
      <c r="K737" s="85" t="s">
        <v>3789</v>
      </c>
      <c r="L737" s="84"/>
      <c r="M737" s="85" t="s">
        <v>3780</v>
      </c>
      <c r="N737" s="85" t="s">
        <v>856</v>
      </c>
      <c r="O737" s="85" t="s">
        <v>3790</v>
      </c>
      <c r="P737" s="86" t="s">
        <v>2890</v>
      </c>
    </row>
    <row r="738" spans="2:16" ht="72" customHeight="1" x14ac:dyDescent="0.25">
      <c r="B738" s="114" t="str">
        <f t="shared" si="70"/>
        <v>1</v>
      </c>
      <c r="C738" s="114" t="str">
        <f t="shared" si="71"/>
        <v>3</v>
      </c>
      <c r="D738" s="114" t="str">
        <f t="shared" si="72"/>
        <v>4</v>
      </c>
      <c r="E738" s="114" t="str">
        <f t="shared" si="73"/>
        <v>1</v>
      </c>
      <c r="F738" s="114" t="str">
        <f t="shared" si="74"/>
        <v>04</v>
      </c>
      <c r="G738" s="114" t="str">
        <f t="shared" si="75"/>
        <v>4</v>
      </c>
      <c r="H738" s="114" t="str">
        <f t="shared" si="76"/>
        <v>0</v>
      </c>
      <c r="I738" s="115">
        <v>13410440</v>
      </c>
      <c r="J738" s="114" t="s">
        <v>3791</v>
      </c>
      <c r="K738" s="114" t="s">
        <v>3792</v>
      </c>
      <c r="L738" s="116"/>
      <c r="M738" s="114" t="s">
        <v>2878</v>
      </c>
      <c r="N738" s="114" t="s">
        <v>2879</v>
      </c>
      <c r="O738" s="114" t="s">
        <v>2878</v>
      </c>
      <c r="P738" s="117" t="s">
        <v>2880</v>
      </c>
    </row>
    <row r="739" spans="2:16" ht="93.75" customHeight="1" x14ac:dyDescent="0.25">
      <c r="B739" s="85" t="str">
        <f t="shared" si="70"/>
        <v>1</v>
      </c>
      <c r="C739" s="85" t="str">
        <f t="shared" si="71"/>
        <v>3</v>
      </c>
      <c r="D739" s="85" t="str">
        <f t="shared" si="72"/>
        <v>4</v>
      </c>
      <c r="E739" s="85" t="str">
        <f t="shared" si="73"/>
        <v>1</v>
      </c>
      <c r="F739" s="85" t="str">
        <f t="shared" si="74"/>
        <v>04</v>
      </c>
      <c r="G739" s="85" t="str">
        <f t="shared" si="75"/>
        <v>4</v>
      </c>
      <c r="H739" s="85" t="str">
        <f t="shared" si="76"/>
        <v>1</v>
      </c>
      <c r="I739" s="87">
        <v>13410441</v>
      </c>
      <c r="J739" s="85" t="s">
        <v>3793</v>
      </c>
      <c r="K739" s="85" t="s">
        <v>3794</v>
      </c>
      <c r="L739" s="84"/>
      <c r="M739" s="85" t="s">
        <v>3780</v>
      </c>
      <c r="N739" s="85" t="s">
        <v>856</v>
      </c>
      <c r="O739" s="85" t="s">
        <v>3795</v>
      </c>
      <c r="P739" s="86" t="s">
        <v>2890</v>
      </c>
    </row>
    <row r="740" spans="2:16" ht="45" x14ac:dyDescent="0.25">
      <c r="B740" s="104" t="str">
        <f t="shared" si="70"/>
        <v>1</v>
      </c>
      <c r="C740" s="104" t="str">
        <f t="shared" si="71"/>
        <v>3</v>
      </c>
      <c r="D740" s="104" t="str">
        <f t="shared" si="72"/>
        <v>4</v>
      </c>
      <c r="E740" s="104" t="str">
        <f t="shared" si="73"/>
        <v>2</v>
      </c>
      <c r="F740" s="104" t="str">
        <f t="shared" si="74"/>
        <v>00</v>
      </c>
      <c r="G740" s="104" t="str">
        <f t="shared" si="75"/>
        <v>0</v>
      </c>
      <c r="H740" s="104" t="str">
        <f t="shared" si="76"/>
        <v>0</v>
      </c>
      <c r="I740" s="105">
        <v>13420000</v>
      </c>
      <c r="J740" s="104" t="s">
        <v>3796</v>
      </c>
      <c r="K740" s="104" t="s">
        <v>3797</v>
      </c>
      <c r="L740" s="106"/>
      <c r="M740" s="104" t="s">
        <v>2878</v>
      </c>
      <c r="N740" s="104" t="s">
        <v>834</v>
      </c>
      <c r="O740" s="104" t="s">
        <v>2878</v>
      </c>
      <c r="P740" s="107" t="s">
        <v>2880</v>
      </c>
    </row>
    <row r="741" spans="2:16" ht="45" x14ac:dyDescent="0.25">
      <c r="B741" s="108" t="str">
        <f t="shared" si="70"/>
        <v>1</v>
      </c>
      <c r="C741" s="108" t="str">
        <f t="shared" si="71"/>
        <v>3</v>
      </c>
      <c r="D741" s="108" t="str">
        <f t="shared" si="72"/>
        <v>4</v>
      </c>
      <c r="E741" s="108" t="str">
        <f t="shared" si="73"/>
        <v>2</v>
      </c>
      <c r="F741" s="108" t="str">
        <f t="shared" si="74"/>
        <v>02</v>
      </c>
      <c r="G741" s="108" t="str">
        <f t="shared" si="75"/>
        <v>0</v>
      </c>
      <c r="H741" s="108" t="str">
        <f t="shared" si="76"/>
        <v>0</v>
      </c>
      <c r="I741" s="109">
        <v>13420200</v>
      </c>
      <c r="J741" s="108" t="s">
        <v>3798</v>
      </c>
      <c r="K741" s="108" t="s">
        <v>3799</v>
      </c>
      <c r="L741" s="110"/>
      <c r="M741" s="108" t="s">
        <v>2878</v>
      </c>
      <c r="N741" s="108" t="s">
        <v>834</v>
      </c>
      <c r="O741" s="108" t="s">
        <v>2878</v>
      </c>
      <c r="P741" s="111" t="s">
        <v>2880</v>
      </c>
    </row>
    <row r="742" spans="2:16" ht="60" x14ac:dyDescent="0.25">
      <c r="B742" s="114" t="str">
        <f t="shared" si="70"/>
        <v>1</v>
      </c>
      <c r="C742" s="114" t="str">
        <f t="shared" si="71"/>
        <v>3</v>
      </c>
      <c r="D742" s="114" t="str">
        <f t="shared" si="72"/>
        <v>4</v>
      </c>
      <c r="E742" s="114" t="str">
        <f t="shared" si="73"/>
        <v>2</v>
      </c>
      <c r="F742" s="114" t="str">
        <f t="shared" si="74"/>
        <v>02</v>
      </c>
      <c r="G742" s="114" t="str">
        <f t="shared" si="75"/>
        <v>1</v>
      </c>
      <c r="H742" s="114" t="str">
        <f t="shared" si="76"/>
        <v>0</v>
      </c>
      <c r="I742" s="115">
        <v>13420210</v>
      </c>
      <c r="J742" s="114" t="s">
        <v>3800</v>
      </c>
      <c r="K742" s="114" t="s">
        <v>3801</v>
      </c>
      <c r="L742" s="116"/>
      <c r="M742" s="114" t="s">
        <v>2878</v>
      </c>
      <c r="N742" s="114" t="s">
        <v>2879</v>
      </c>
      <c r="O742" s="114" t="s">
        <v>2878</v>
      </c>
      <c r="P742" s="117" t="s">
        <v>2880</v>
      </c>
    </row>
    <row r="743" spans="2:16" ht="60" x14ac:dyDescent="0.25">
      <c r="B743" s="85" t="str">
        <f t="shared" si="70"/>
        <v>1</v>
      </c>
      <c r="C743" s="85" t="str">
        <f t="shared" si="71"/>
        <v>3</v>
      </c>
      <c r="D743" s="85" t="str">
        <f t="shared" si="72"/>
        <v>4</v>
      </c>
      <c r="E743" s="85" t="str">
        <f t="shared" si="73"/>
        <v>2</v>
      </c>
      <c r="F743" s="85" t="str">
        <f t="shared" si="74"/>
        <v>02</v>
      </c>
      <c r="G743" s="85" t="str">
        <f t="shared" si="75"/>
        <v>1</v>
      </c>
      <c r="H743" s="85" t="str">
        <f t="shared" si="76"/>
        <v>1</v>
      </c>
      <c r="I743" s="87">
        <v>13420211</v>
      </c>
      <c r="J743" s="85" t="s">
        <v>3802</v>
      </c>
      <c r="K743" s="85" t="s">
        <v>3803</v>
      </c>
      <c r="L743" s="84"/>
      <c r="M743" s="85" t="s">
        <v>3804</v>
      </c>
      <c r="N743" s="85" t="s">
        <v>834</v>
      </c>
      <c r="O743" s="85" t="s">
        <v>3805</v>
      </c>
      <c r="P743" s="86" t="s">
        <v>2890</v>
      </c>
    </row>
    <row r="744" spans="2:16" ht="60" x14ac:dyDescent="0.25">
      <c r="B744" s="114" t="str">
        <f t="shared" si="70"/>
        <v>1</v>
      </c>
      <c r="C744" s="114" t="str">
        <f t="shared" si="71"/>
        <v>3</v>
      </c>
      <c r="D744" s="114" t="str">
        <f t="shared" si="72"/>
        <v>4</v>
      </c>
      <c r="E744" s="114" t="str">
        <f t="shared" si="73"/>
        <v>2</v>
      </c>
      <c r="F744" s="114" t="str">
        <f t="shared" si="74"/>
        <v>02</v>
      </c>
      <c r="G744" s="114" t="str">
        <f t="shared" si="75"/>
        <v>4</v>
      </c>
      <c r="H744" s="114" t="str">
        <f t="shared" si="76"/>
        <v>0</v>
      </c>
      <c r="I744" s="115">
        <v>13420240</v>
      </c>
      <c r="J744" s="114" t="s">
        <v>3806</v>
      </c>
      <c r="K744" s="114" t="s">
        <v>3807</v>
      </c>
      <c r="L744" s="116"/>
      <c r="M744" s="114" t="s">
        <v>2878</v>
      </c>
      <c r="N744" s="114" t="s">
        <v>834</v>
      </c>
      <c r="O744" s="114" t="s">
        <v>2878</v>
      </c>
      <c r="P744" s="117" t="s">
        <v>2880</v>
      </c>
    </row>
    <row r="745" spans="2:16" ht="60" x14ac:dyDescent="0.25">
      <c r="B745" s="85" t="str">
        <f t="shared" si="70"/>
        <v>1</v>
      </c>
      <c r="C745" s="85" t="str">
        <f t="shared" si="71"/>
        <v>3</v>
      </c>
      <c r="D745" s="85" t="str">
        <f t="shared" si="72"/>
        <v>4</v>
      </c>
      <c r="E745" s="85" t="str">
        <f t="shared" si="73"/>
        <v>2</v>
      </c>
      <c r="F745" s="85" t="str">
        <f t="shared" si="74"/>
        <v>02</v>
      </c>
      <c r="G745" s="85" t="str">
        <f t="shared" si="75"/>
        <v>4</v>
      </c>
      <c r="H745" s="85" t="str">
        <f t="shared" si="76"/>
        <v>1</v>
      </c>
      <c r="I745" s="87">
        <v>13420241</v>
      </c>
      <c r="J745" s="85" t="s">
        <v>3808</v>
      </c>
      <c r="K745" s="85" t="s">
        <v>3809</v>
      </c>
      <c r="L745" s="84"/>
      <c r="M745" s="85" t="s">
        <v>3810</v>
      </c>
      <c r="N745" s="85" t="s">
        <v>834</v>
      </c>
      <c r="O745" s="85" t="s">
        <v>3811</v>
      </c>
      <c r="P745" s="86" t="s">
        <v>2890</v>
      </c>
    </row>
    <row r="746" spans="2:16" ht="45" x14ac:dyDescent="0.25">
      <c r="B746" s="108" t="str">
        <f t="shared" si="70"/>
        <v>1</v>
      </c>
      <c r="C746" s="108" t="str">
        <f t="shared" si="71"/>
        <v>3</v>
      </c>
      <c r="D746" s="108" t="str">
        <f t="shared" si="72"/>
        <v>4</v>
      </c>
      <c r="E746" s="108" t="str">
        <f t="shared" si="73"/>
        <v>2</v>
      </c>
      <c r="F746" s="108" t="str">
        <f t="shared" si="74"/>
        <v>03</v>
      </c>
      <c r="G746" s="108" t="str">
        <f t="shared" si="75"/>
        <v>0</v>
      </c>
      <c r="H746" s="108" t="str">
        <f t="shared" si="76"/>
        <v>0</v>
      </c>
      <c r="I746" s="109">
        <v>13420300</v>
      </c>
      <c r="J746" s="108" t="s">
        <v>3812</v>
      </c>
      <c r="K746" s="108" t="s">
        <v>3813</v>
      </c>
      <c r="L746" s="110"/>
      <c r="M746" s="108" t="s">
        <v>2878</v>
      </c>
      <c r="N746" s="108" t="s">
        <v>834</v>
      </c>
      <c r="O746" s="108" t="s">
        <v>2878</v>
      </c>
      <c r="P746" s="111" t="s">
        <v>2880</v>
      </c>
    </row>
    <row r="747" spans="2:16" ht="60" x14ac:dyDescent="0.25">
      <c r="B747" s="114" t="str">
        <f t="shared" si="70"/>
        <v>1</v>
      </c>
      <c r="C747" s="114" t="str">
        <f t="shared" si="71"/>
        <v>3</v>
      </c>
      <c r="D747" s="114" t="str">
        <f t="shared" si="72"/>
        <v>4</v>
      </c>
      <c r="E747" s="114" t="str">
        <f t="shared" si="73"/>
        <v>2</v>
      </c>
      <c r="F747" s="114" t="str">
        <f t="shared" si="74"/>
        <v>03</v>
      </c>
      <c r="G747" s="114" t="str">
        <f t="shared" si="75"/>
        <v>1</v>
      </c>
      <c r="H747" s="114" t="str">
        <f t="shared" si="76"/>
        <v>0</v>
      </c>
      <c r="I747" s="115">
        <v>13420310</v>
      </c>
      <c r="J747" s="114" t="s">
        <v>3814</v>
      </c>
      <c r="K747" s="114" t="s">
        <v>3815</v>
      </c>
      <c r="L747" s="116"/>
      <c r="M747" s="114" t="s">
        <v>2878</v>
      </c>
      <c r="N747" s="114" t="s">
        <v>2879</v>
      </c>
      <c r="O747" s="114" t="s">
        <v>2878</v>
      </c>
      <c r="P747" s="117" t="s">
        <v>2880</v>
      </c>
    </row>
    <row r="748" spans="2:16" ht="60" x14ac:dyDescent="0.25">
      <c r="B748" s="85" t="str">
        <f t="shared" si="70"/>
        <v>1</v>
      </c>
      <c r="C748" s="85" t="str">
        <f t="shared" si="71"/>
        <v>3</v>
      </c>
      <c r="D748" s="85" t="str">
        <f t="shared" si="72"/>
        <v>4</v>
      </c>
      <c r="E748" s="85" t="str">
        <f t="shared" si="73"/>
        <v>2</v>
      </c>
      <c r="F748" s="85" t="str">
        <f t="shared" si="74"/>
        <v>03</v>
      </c>
      <c r="G748" s="85" t="str">
        <f t="shared" si="75"/>
        <v>1</v>
      </c>
      <c r="H748" s="85" t="str">
        <f t="shared" si="76"/>
        <v>1</v>
      </c>
      <c r="I748" s="87">
        <v>13420311</v>
      </c>
      <c r="J748" s="85" t="s">
        <v>3816</v>
      </c>
      <c r="K748" s="85" t="s">
        <v>3817</v>
      </c>
      <c r="L748" s="84"/>
      <c r="M748" s="85" t="s">
        <v>3818</v>
      </c>
      <c r="N748" s="85" t="s">
        <v>834</v>
      </c>
      <c r="O748" s="85" t="s">
        <v>3819</v>
      </c>
      <c r="P748" s="86" t="s">
        <v>2890</v>
      </c>
    </row>
    <row r="749" spans="2:16" ht="60" x14ac:dyDescent="0.25">
      <c r="B749" s="114" t="str">
        <f t="shared" si="70"/>
        <v>1</v>
      </c>
      <c r="C749" s="114" t="str">
        <f t="shared" si="71"/>
        <v>3</v>
      </c>
      <c r="D749" s="114" t="str">
        <f t="shared" si="72"/>
        <v>4</v>
      </c>
      <c r="E749" s="114" t="str">
        <f t="shared" si="73"/>
        <v>2</v>
      </c>
      <c r="F749" s="114" t="str">
        <f t="shared" si="74"/>
        <v>03</v>
      </c>
      <c r="G749" s="114" t="str">
        <f t="shared" si="75"/>
        <v>4</v>
      </c>
      <c r="H749" s="114" t="str">
        <f t="shared" si="76"/>
        <v>0</v>
      </c>
      <c r="I749" s="115">
        <v>13420340</v>
      </c>
      <c r="J749" s="114" t="s">
        <v>3820</v>
      </c>
      <c r="K749" s="114" t="s">
        <v>3821</v>
      </c>
      <c r="L749" s="116"/>
      <c r="M749" s="114" t="s">
        <v>2878</v>
      </c>
      <c r="N749" s="114" t="s">
        <v>834</v>
      </c>
      <c r="O749" s="114" t="s">
        <v>2878</v>
      </c>
      <c r="P749" s="117" t="s">
        <v>2880</v>
      </c>
    </row>
    <row r="750" spans="2:16" ht="60" x14ac:dyDescent="0.25">
      <c r="B750" s="85" t="str">
        <f t="shared" si="70"/>
        <v>1</v>
      </c>
      <c r="C750" s="85" t="str">
        <f t="shared" si="71"/>
        <v>3</v>
      </c>
      <c r="D750" s="85" t="str">
        <f t="shared" si="72"/>
        <v>4</v>
      </c>
      <c r="E750" s="85" t="str">
        <f t="shared" si="73"/>
        <v>2</v>
      </c>
      <c r="F750" s="85" t="str">
        <f t="shared" si="74"/>
        <v>03</v>
      </c>
      <c r="G750" s="85" t="str">
        <f t="shared" si="75"/>
        <v>4</v>
      </c>
      <c r="H750" s="85" t="str">
        <f t="shared" si="76"/>
        <v>1</v>
      </c>
      <c r="I750" s="87">
        <v>13420341</v>
      </c>
      <c r="J750" s="85" t="s">
        <v>3822</v>
      </c>
      <c r="K750" s="85" t="s">
        <v>3823</v>
      </c>
      <c r="L750" s="84"/>
      <c r="M750" s="85" t="s">
        <v>3824</v>
      </c>
      <c r="N750" s="85" t="s">
        <v>834</v>
      </c>
      <c r="O750" s="85" t="s">
        <v>3825</v>
      </c>
      <c r="P750" s="86" t="s">
        <v>2890</v>
      </c>
    </row>
    <row r="751" spans="2:16" ht="45" x14ac:dyDescent="0.25">
      <c r="B751" s="104" t="str">
        <f t="shared" si="70"/>
        <v>1</v>
      </c>
      <c r="C751" s="104" t="str">
        <f t="shared" si="71"/>
        <v>3</v>
      </c>
      <c r="D751" s="104" t="str">
        <f t="shared" si="72"/>
        <v>4</v>
      </c>
      <c r="E751" s="104" t="str">
        <f t="shared" si="73"/>
        <v>3</v>
      </c>
      <c r="F751" s="104" t="str">
        <f t="shared" si="74"/>
        <v>00</v>
      </c>
      <c r="G751" s="104" t="str">
        <f t="shared" si="75"/>
        <v>0</v>
      </c>
      <c r="H751" s="104" t="str">
        <f t="shared" si="76"/>
        <v>0</v>
      </c>
      <c r="I751" s="105">
        <v>13430000</v>
      </c>
      <c r="J751" s="104" t="s">
        <v>3826</v>
      </c>
      <c r="K751" s="104" t="s">
        <v>3827</v>
      </c>
      <c r="L751" s="106"/>
      <c r="M751" s="104" t="s">
        <v>2878</v>
      </c>
      <c r="N751" s="104" t="s">
        <v>2879</v>
      </c>
      <c r="O751" s="104" t="s">
        <v>2878</v>
      </c>
      <c r="P751" s="107" t="s">
        <v>2880</v>
      </c>
    </row>
    <row r="752" spans="2:16" ht="30" x14ac:dyDescent="0.25">
      <c r="B752" s="108" t="str">
        <f t="shared" si="70"/>
        <v>1</v>
      </c>
      <c r="C752" s="108" t="str">
        <f t="shared" si="71"/>
        <v>3</v>
      </c>
      <c r="D752" s="108" t="str">
        <f t="shared" si="72"/>
        <v>4</v>
      </c>
      <c r="E752" s="108" t="str">
        <f t="shared" si="73"/>
        <v>3</v>
      </c>
      <c r="F752" s="108" t="str">
        <f t="shared" si="74"/>
        <v>01</v>
      </c>
      <c r="G752" s="108" t="str">
        <f t="shared" si="75"/>
        <v>0</v>
      </c>
      <c r="H752" s="108" t="str">
        <f t="shared" si="76"/>
        <v>0</v>
      </c>
      <c r="I752" s="109">
        <v>13430100</v>
      </c>
      <c r="J752" s="108" t="s">
        <v>3828</v>
      </c>
      <c r="K752" s="108" t="s">
        <v>3829</v>
      </c>
      <c r="L752" s="110"/>
      <c r="M752" s="108" t="s">
        <v>2878</v>
      </c>
      <c r="N752" s="108" t="s">
        <v>2879</v>
      </c>
      <c r="O752" s="108" t="s">
        <v>2878</v>
      </c>
      <c r="P752" s="111" t="s">
        <v>2880</v>
      </c>
    </row>
    <row r="753" spans="2:16" ht="150" x14ac:dyDescent="0.25">
      <c r="B753" s="114" t="str">
        <f t="shared" si="70"/>
        <v>1</v>
      </c>
      <c r="C753" s="114" t="str">
        <f t="shared" si="71"/>
        <v>3</v>
      </c>
      <c r="D753" s="114" t="str">
        <f t="shared" si="72"/>
        <v>4</v>
      </c>
      <c r="E753" s="114" t="str">
        <f t="shared" si="73"/>
        <v>3</v>
      </c>
      <c r="F753" s="114" t="str">
        <f t="shared" si="74"/>
        <v>01</v>
      </c>
      <c r="G753" s="114" t="str">
        <f t="shared" si="75"/>
        <v>1</v>
      </c>
      <c r="H753" s="114" t="str">
        <f t="shared" si="76"/>
        <v>0</v>
      </c>
      <c r="I753" s="115">
        <v>13430110</v>
      </c>
      <c r="J753" s="114" t="s">
        <v>673</v>
      </c>
      <c r="K753" s="114" t="s">
        <v>3830</v>
      </c>
      <c r="L753" s="116"/>
      <c r="M753" s="114" t="s">
        <v>2878</v>
      </c>
      <c r="N753" s="114" t="s">
        <v>2879</v>
      </c>
      <c r="O753" s="114" t="s">
        <v>2878</v>
      </c>
      <c r="P753" s="117" t="s">
        <v>2880</v>
      </c>
    </row>
    <row r="754" spans="2:16" ht="195" x14ac:dyDescent="0.25">
      <c r="B754" s="85" t="str">
        <f t="shared" si="70"/>
        <v>1</v>
      </c>
      <c r="C754" s="85" t="str">
        <f t="shared" si="71"/>
        <v>3</v>
      </c>
      <c r="D754" s="85" t="str">
        <f t="shared" si="72"/>
        <v>4</v>
      </c>
      <c r="E754" s="85" t="str">
        <f t="shared" si="73"/>
        <v>3</v>
      </c>
      <c r="F754" s="85" t="str">
        <f t="shared" si="74"/>
        <v>01</v>
      </c>
      <c r="G754" s="85" t="str">
        <f t="shared" si="75"/>
        <v>1</v>
      </c>
      <c r="H754" s="85" t="str">
        <f t="shared" si="76"/>
        <v>1</v>
      </c>
      <c r="I754" s="87">
        <v>13430111</v>
      </c>
      <c r="J754" s="85" t="s">
        <v>3831</v>
      </c>
      <c r="K754" s="85" t="s">
        <v>3832</v>
      </c>
      <c r="L754" s="84"/>
      <c r="M754" s="85" t="s">
        <v>3833</v>
      </c>
      <c r="N754" s="85" t="s">
        <v>675</v>
      </c>
      <c r="O754" s="85" t="s">
        <v>3834</v>
      </c>
      <c r="P754" s="86" t="s">
        <v>2890</v>
      </c>
    </row>
    <row r="755" spans="2:16" ht="45" x14ac:dyDescent="0.25">
      <c r="B755" s="108" t="str">
        <f t="shared" si="70"/>
        <v>1</v>
      </c>
      <c r="C755" s="108" t="str">
        <f t="shared" si="71"/>
        <v>3</v>
      </c>
      <c r="D755" s="108" t="str">
        <f t="shared" si="72"/>
        <v>4</v>
      </c>
      <c r="E755" s="108" t="str">
        <f t="shared" si="73"/>
        <v>3</v>
      </c>
      <c r="F755" s="108" t="str">
        <f t="shared" si="74"/>
        <v>02</v>
      </c>
      <c r="G755" s="108" t="str">
        <f t="shared" si="75"/>
        <v>0</v>
      </c>
      <c r="H755" s="108" t="str">
        <f t="shared" si="76"/>
        <v>0</v>
      </c>
      <c r="I755" s="109">
        <v>13430200</v>
      </c>
      <c r="J755" s="108" t="s">
        <v>3835</v>
      </c>
      <c r="K755" s="108" t="s">
        <v>3836</v>
      </c>
      <c r="L755" s="110"/>
      <c r="M755" s="108" t="s">
        <v>2878</v>
      </c>
      <c r="N755" s="108" t="s">
        <v>2879</v>
      </c>
      <c r="O755" s="108" t="s">
        <v>2878</v>
      </c>
      <c r="P755" s="111" t="s">
        <v>2880</v>
      </c>
    </row>
    <row r="756" spans="2:16" ht="60" x14ac:dyDescent="0.25">
      <c r="B756" s="114" t="str">
        <f t="shared" si="70"/>
        <v>1</v>
      </c>
      <c r="C756" s="114" t="str">
        <f t="shared" si="71"/>
        <v>3</v>
      </c>
      <c r="D756" s="114" t="str">
        <f t="shared" si="72"/>
        <v>4</v>
      </c>
      <c r="E756" s="114" t="str">
        <f t="shared" si="73"/>
        <v>3</v>
      </c>
      <c r="F756" s="114" t="str">
        <f t="shared" si="74"/>
        <v>02</v>
      </c>
      <c r="G756" s="114" t="str">
        <f t="shared" si="75"/>
        <v>1</v>
      </c>
      <c r="H756" s="114" t="str">
        <f t="shared" si="76"/>
        <v>0</v>
      </c>
      <c r="I756" s="115">
        <v>13430210</v>
      </c>
      <c r="J756" s="114" t="s">
        <v>3837</v>
      </c>
      <c r="K756" s="114" t="s">
        <v>3838</v>
      </c>
      <c r="L756" s="116"/>
      <c r="M756" s="114" t="s">
        <v>2878</v>
      </c>
      <c r="N756" s="114" t="s">
        <v>2879</v>
      </c>
      <c r="O756" s="114" t="s">
        <v>2878</v>
      </c>
      <c r="P756" s="117" t="s">
        <v>2880</v>
      </c>
    </row>
    <row r="757" spans="2:16" ht="60" x14ac:dyDescent="0.25">
      <c r="B757" s="85" t="str">
        <f t="shared" ref="B757:B820" si="77">MID($I757,1,1)</f>
        <v>1</v>
      </c>
      <c r="C757" s="85" t="str">
        <f t="shared" ref="C757:C820" si="78">MID($I757,2,1)</f>
        <v>3</v>
      </c>
      <c r="D757" s="85" t="str">
        <f t="shared" ref="D757:D820" si="79">MID($I757,3,1)</f>
        <v>4</v>
      </c>
      <c r="E757" s="85" t="str">
        <f t="shared" ref="E757:E820" si="80">MID($I757,4,1)</f>
        <v>3</v>
      </c>
      <c r="F757" s="85" t="str">
        <f t="shared" ref="F757:F820" si="81">MID($I757,5,2)</f>
        <v>02</v>
      </c>
      <c r="G757" s="85" t="str">
        <f t="shared" ref="G757:G820" si="82">MID($I757,7,1)</f>
        <v>1</v>
      </c>
      <c r="H757" s="85" t="str">
        <f t="shared" ref="H757:H820" si="83">MID($I757,8,1)</f>
        <v>1</v>
      </c>
      <c r="I757" s="87">
        <v>13430211</v>
      </c>
      <c r="J757" s="85" t="s">
        <v>3839</v>
      </c>
      <c r="K757" s="85" t="s">
        <v>3840</v>
      </c>
      <c r="L757" s="84"/>
      <c r="M757" s="85" t="s">
        <v>3841</v>
      </c>
      <c r="N757" s="85" t="s">
        <v>2879</v>
      </c>
      <c r="O757" s="85" t="s">
        <v>3842</v>
      </c>
      <c r="P757" s="86" t="s">
        <v>2890</v>
      </c>
    </row>
    <row r="758" spans="2:16" ht="60" x14ac:dyDescent="0.25">
      <c r="B758" s="114" t="str">
        <f t="shared" si="77"/>
        <v>1</v>
      </c>
      <c r="C758" s="114" t="str">
        <f t="shared" si="78"/>
        <v>3</v>
      </c>
      <c r="D758" s="114" t="str">
        <f t="shared" si="79"/>
        <v>4</v>
      </c>
      <c r="E758" s="114" t="str">
        <f t="shared" si="80"/>
        <v>3</v>
      </c>
      <c r="F758" s="114" t="str">
        <f t="shared" si="81"/>
        <v>02</v>
      </c>
      <c r="G758" s="114" t="str">
        <f t="shared" si="82"/>
        <v>4</v>
      </c>
      <c r="H758" s="114" t="str">
        <f t="shared" si="83"/>
        <v>0</v>
      </c>
      <c r="I758" s="115">
        <v>13430240</v>
      </c>
      <c r="J758" s="114" t="s">
        <v>3843</v>
      </c>
      <c r="K758" s="114" t="s">
        <v>3844</v>
      </c>
      <c r="L758" s="116"/>
      <c r="M758" s="114" t="s">
        <v>2878</v>
      </c>
      <c r="N758" s="114" t="s">
        <v>2879</v>
      </c>
      <c r="O758" s="114" t="s">
        <v>2878</v>
      </c>
      <c r="P758" s="117" t="s">
        <v>2880</v>
      </c>
    </row>
    <row r="759" spans="2:16" ht="60" x14ac:dyDescent="0.25">
      <c r="B759" s="85" t="str">
        <f t="shared" si="77"/>
        <v>1</v>
      </c>
      <c r="C759" s="85" t="str">
        <f t="shared" si="78"/>
        <v>3</v>
      </c>
      <c r="D759" s="85" t="str">
        <f t="shared" si="79"/>
        <v>4</v>
      </c>
      <c r="E759" s="85" t="str">
        <f t="shared" si="80"/>
        <v>3</v>
      </c>
      <c r="F759" s="85" t="str">
        <f t="shared" si="81"/>
        <v>02</v>
      </c>
      <c r="G759" s="85" t="str">
        <f t="shared" si="82"/>
        <v>4</v>
      </c>
      <c r="H759" s="85" t="str">
        <f t="shared" si="83"/>
        <v>1</v>
      </c>
      <c r="I759" s="87">
        <v>13430241</v>
      </c>
      <c r="J759" s="85" t="s">
        <v>3845</v>
      </c>
      <c r="K759" s="85" t="s">
        <v>3846</v>
      </c>
      <c r="L759" s="84"/>
      <c r="M759" s="85" t="s">
        <v>3847</v>
      </c>
      <c r="N759" s="85" t="s">
        <v>2879</v>
      </c>
      <c r="O759" s="85" t="s">
        <v>3848</v>
      </c>
      <c r="P759" s="86" t="s">
        <v>2890</v>
      </c>
    </row>
    <row r="760" spans="2:16" ht="30" x14ac:dyDescent="0.25">
      <c r="B760" s="104" t="str">
        <f t="shared" si="77"/>
        <v>1</v>
      </c>
      <c r="C760" s="104" t="str">
        <f t="shared" si="78"/>
        <v>3</v>
      </c>
      <c r="D760" s="104" t="str">
        <f t="shared" si="79"/>
        <v>4</v>
      </c>
      <c r="E760" s="104" t="str">
        <f t="shared" si="80"/>
        <v>4</v>
      </c>
      <c r="F760" s="104" t="str">
        <f t="shared" si="81"/>
        <v>00</v>
      </c>
      <c r="G760" s="104" t="str">
        <f t="shared" si="82"/>
        <v>0</v>
      </c>
      <c r="H760" s="104" t="str">
        <f t="shared" si="83"/>
        <v>0</v>
      </c>
      <c r="I760" s="105">
        <v>13440000</v>
      </c>
      <c r="J760" s="104" t="s">
        <v>724</v>
      </c>
      <c r="K760" s="104" t="s">
        <v>3849</v>
      </c>
      <c r="L760" s="106"/>
      <c r="M760" s="104" t="s">
        <v>2878</v>
      </c>
      <c r="N760" s="104" t="s">
        <v>2879</v>
      </c>
      <c r="O760" s="104" t="s">
        <v>2878</v>
      </c>
      <c r="P760" s="107" t="s">
        <v>2880</v>
      </c>
    </row>
    <row r="761" spans="2:16" ht="30" x14ac:dyDescent="0.25">
      <c r="B761" s="108" t="str">
        <f t="shared" si="77"/>
        <v>1</v>
      </c>
      <c r="C761" s="108" t="str">
        <f t="shared" si="78"/>
        <v>3</v>
      </c>
      <c r="D761" s="108" t="str">
        <f t="shared" si="79"/>
        <v>4</v>
      </c>
      <c r="E761" s="108" t="str">
        <f t="shared" si="80"/>
        <v>4</v>
      </c>
      <c r="F761" s="108" t="str">
        <f t="shared" si="81"/>
        <v>01</v>
      </c>
      <c r="G761" s="108" t="str">
        <f t="shared" si="82"/>
        <v>0</v>
      </c>
      <c r="H761" s="108" t="str">
        <f t="shared" si="83"/>
        <v>0</v>
      </c>
      <c r="I761" s="109">
        <v>13440100</v>
      </c>
      <c r="J761" s="108" t="s">
        <v>3850</v>
      </c>
      <c r="K761" s="108" t="s">
        <v>3851</v>
      </c>
      <c r="L761" s="110"/>
      <c r="M761" s="108" t="s">
        <v>2878</v>
      </c>
      <c r="N761" s="108" t="s">
        <v>2879</v>
      </c>
      <c r="O761" s="108" t="s">
        <v>2878</v>
      </c>
      <c r="P761" s="111" t="s">
        <v>2880</v>
      </c>
    </row>
    <row r="762" spans="2:16" ht="30" x14ac:dyDescent="0.25">
      <c r="B762" s="114" t="str">
        <f t="shared" si="77"/>
        <v>1</v>
      </c>
      <c r="C762" s="114" t="str">
        <f t="shared" si="78"/>
        <v>3</v>
      </c>
      <c r="D762" s="114" t="str">
        <f t="shared" si="79"/>
        <v>4</v>
      </c>
      <c r="E762" s="114" t="str">
        <f t="shared" si="80"/>
        <v>4</v>
      </c>
      <c r="F762" s="114" t="str">
        <f t="shared" si="81"/>
        <v>01</v>
      </c>
      <c r="G762" s="114" t="str">
        <f t="shared" si="82"/>
        <v>1</v>
      </c>
      <c r="H762" s="114" t="str">
        <f t="shared" si="83"/>
        <v>0</v>
      </c>
      <c r="I762" s="115">
        <v>13440110</v>
      </c>
      <c r="J762" s="114" t="s">
        <v>3850</v>
      </c>
      <c r="K762" s="114" t="s">
        <v>3851</v>
      </c>
      <c r="L762" s="116"/>
      <c r="M762" s="114" t="s">
        <v>2878</v>
      </c>
      <c r="N762" s="114" t="s">
        <v>2879</v>
      </c>
      <c r="O762" s="114" t="s">
        <v>2878</v>
      </c>
      <c r="P762" s="117" t="s">
        <v>2880</v>
      </c>
    </row>
    <row r="763" spans="2:16" ht="135" x14ac:dyDescent="0.25">
      <c r="B763" s="85" t="str">
        <f t="shared" si="77"/>
        <v>1</v>
      </c>
      <c r="C763" s="85" t="str">
        <f t="shared" si="78"/>
        <v>3</v>
      </c>
      <c r="D763" s="85" t="str">
        <f t="shared" si="79"/>
        <v>4</v>
      </c>
      <c r="E763" s="85" t="str">
        <f t="shared" si="80"/>
        <v>4</v>
      </c>
      <c r="F763" s="85" t="str">
        <f t="shared" si="81"/>
        <v>01</v>
      </c>
      <c r="G763" s="85" t="str">
        <f t="shared" si="82"/>
        <v>1</v>
      </c>
      <c r="H763" s="85" t="str">
        <f t="shared" si="83"/>
        <v>1</v>
      </c>
      <c r="I763" s="87">
        <v>13440111</v>
      </c>
      <c r="J763" s="85" t="s">
        <v>3852</v>
      </c>
      <c r="K763" s="85" t="s">
        <v>3853</v>
      </c>
      <c r="L763" s="84"/>
      <c r="M763" s="85" t="s">
        <v>3854</v>
      </c>
      <c r="N763" s="85" t="s">
        <v>2879</v>
      </c>
      <c r="O763" s="85" t="s">
        <v>3855</v>
      </c>
      <c r="P763" s="86" t="s">
        <v>2890</v>
      </c>
    </row>
    <row r="764" spans="2:16" ht="15.75" x14ac:dyDescent="0.25">
      <c r="B764" s="85" t="str">
        <f t="shared" si="77"/>
        <v>1</v>
      </c>
      <c r="C764" s="85" t="str">
        <f t="shared" si="78"/>
        <v>3</v>
      </c>
      <c r="D764" s="85" t="str">
        <f t="shared" si="79"/>
        <v>4</v>
      </c>
      <c r="E764" s="85" t="str">
        <f t="shared" si="80"/>
        <v>4</v>
      </c>
      <c r="F764" s="85" t="str">
        <f t="shared" si="81"/>
        <v>01</v>
      </c>
      <c r="G764" s="85" t="str">
        <f t="shared" si="82"/>
        <v>1</v>
      </c>
      <c r="H764" s="85" t="str">
        <f t="shared" si="83"/>
        <v>2</v>
      </c>
      <c r="I764" s="87">
        <v>13440112</v>
      </c>
      <c r="J764" s="85" t="s">
        <v>3856</v>
      </c>
      <c r="K764" s="85" t="s">
        <v>2892</v>
      </c>
      <c r="L764" s="84"/>
      <c r="M764" s="85" t="s">
        <v>2892</v>
      </c>
      <c r="N764" s="85" t="s">
        <v>2879</v>
      </c>
      <c r="O764" s="85" t="s">
        <v>2892</v>
      </c>
      <c r="P764" s="86" t="s">
        <v>2890</v>
      </c>
    </row>
    <row r="765" spans="2:16" ht="15.75" x14ac:dyDescent="0.25">
      <c r="B765" s="85" t="str">
        <f t="shared" si="77"/>
        <v>1</v>
      </c>
      <c r="C765" s="85" t="str">
        <f t="shared" si="78"/>
        <v>3</v>
      </c>
      <c r="D765" s="85" t="str">
        <f t="shared" si="79"/>
        <v>4</v>
      </c>
      <c r="E765" s="85" t="str">
        <f t="shared" si="80"/>
        <v>4</v>
      </c>
      <c r="F765" s="85" t="str">
        <f t="shared" si="81"/>
        <v>01</v>
      </c>
      <c r="G765" s="85" t="str">
        <f t="shared" si="82"/>
        <v>1</v>
      </c>
      <c r="H765" s="85" t="str">
        <f t="shared" si="83"/>
        <v>3</v>
      </c>
      <c r="I765" s="87">
        <v>13440113</v>
      </c>
      <c r="J765" s="85" t="s">
        <v>3857</v>
      </c>
      <c r="K765" s="85" t="s">
        <v>2892</v>
      </c>
      <c r="L765" s="84"/>
      <c r="M765" s="85" t="s">
        <v>2892</v>
      </c>
      <c r="N765" s="85" t="s">
        <v>2879</v>
      </c>
      <c r="O765" s="85" t="s">
        <v>2892</v>
      </c>
      <c r="P765" s="86" t="s">
        <v>2890</v>
      </c>
    </row>
    <row r="766" spans="2:16" ht="30" x14ac:dyDescent="0.25">
      <c r="B766" s="85" t="str">
        <f t="shared" si="77"/>
        <v>1</v>
      </c>
      <c r="C766" s="85" t="str">
        <f t="shared" si="78"/>
        <v>3</v>
      </c>
      <c r="D766" s="85" t="str">
        <f t="shared" si="79"/>
        <v>4</v>
      </c>
      <c r="E766" s="85" t="str">
        <f t="shared" si="80"/>
        <v>4</v>
      </c>
      <c r="F766" s="85" t="str">
        <f t="shared" si="81"/>
        <v>01</v>
      </c>
      <c r="G766" s="85" t="str">
        <f t="shared" si="82"/>
        <v>1</v>
      </c>
      <c r="H766" s="85" t="str">
        <f t="shared" si="83"/>
        <v>4</v>
      </c>
      <c r="I766" s="87">
        <v>13440114</v>
      </c>
      <c r="J766" s="85" t="s">
        <v>3858</v>
      </c>
      <c r="K766" s="85" t="s">
        <v>2892</v>
      </c>
      <c r="L766" s="84"/>
      <c r="M766" s="85" t="s">
        <v>2892</v>
      </c>
      <c r="N766" s="85" t="s">
        <v>2879</v>
      </c>
      <c r="O766" s="85" t="s">
        <v>2892</v>
      </c>
      <c r="P766" s="86" t="s">
        <v>2890</v>
      </c>
    </row>
    <row r="767" spans="2:16" ht="30" x14ac:dyDescent="0.25">
      <c r="B767" s="108" t="str">
        <f t="shared" si="77"/>
        <v>1</v>
      </c>
      <c r="C767" s="108" t="str">
        <f t="shared" si="78"/>
        <v>3</v>
      </c>
      <c r="D767" s="108" t="str">
        <f t="shared" si="79"/>
        <v>4</v>
      </c>
      <c r="E767" s="108" t="str">
        <f t="shared" si="80"/>
        <v>4</v>
      </c>
      <c r="F767" s="108" t="str">
        <f t="shared" si="81"/>
        <v>02</v>
      </c>
      <c r="G767" s="108" t="str">
        <f t="shared" si="82"/>
        <v>0</v>
      </c>
      <c r="H767" s="108" t="str">
        <f t="shared" si="83"/>
        <v>0</v>
      </c>
      <c r="I767" s="109">
        <v>13440200</v>
      </c>
      <c r="J767" s="108" t="s">
        <v>3859</v>
      </c>
      <c r="K767" s="108" t="s">
        <v>3860</v>
      </c>
      <c r="L767" s="110"/>
      <c r="M767" s="108" t="s">
        <v>2878</v>
      </c>
      <c r="N767" s="108" t="s">
        <v>2879</v>
      </c>
      <c r="O767" s="108" t="s">
        <v>2878</v>
      </c>
      <c r="P767" s="111" t="s">
        <v>2880</v>
      </c>
    </row>
    <row r="768" spans="2:16" ht="30" x14ac:dyDescent="0.25">
      <c r="B768" s="114" t="str">
        <f t="shared" si="77"/>
        <v>1</v>
      </c>
      <c r="C768" s="114" t="str">
        <f t="shared" si="78"/>
        <v>3</v>
      </c>
      <c r="D768" s="114" t="str">
        <f t="shared" si="79"/>
        <v>4</v>
      </c>
      <c r="E768" s="114" t="str">
        <f t="shared" si="80"/>
        <v>4</v>
      </c>
      <c r="F768" s="114" t="str">
        <f t="shared" si="81"/>
        <v>02</v>
      </c>
      <c r="G768" s="114" t="str">
        <f t="shared" si="82"/>
        <v>1</v>
      </c>
      <c r="H768" s="114" t="str">
        <f t="shared" si="83"/>
        <v>0</v>
      </c>
      <c r="I768" s="115">
        <v>13440210</v>
      </c>
      <c r="J768" s="114" t="s">
        <v>3859</v>
      </c>
      <c r="K768" s="114" t="s">
        <v>3860</v>
      </c>
      <c r="L768" s="116"/>
      <c r="M768" s="114" t="s">
        <v>2878</v>
      </c>
      <c r="N768" s="114" t="s">
        <v>2879</v>
      </c>
      <c r="O768" s="114" t="s">
        <v>2878</v>
      </c>
      <c r="P768" s="117" t="s">
        <v>2880</v>
      </c>
    </row>
    <row r="769" spans="2:16" ht="120" x14ac:dyDescent="0.25">
      <c r="B769" s="85" t="str">
        <f t="shared" si="77"/>
        <v>1</v>
      </c>
      <c r="C769" s="85" t="str">
        <f t="shared" si="78"/>
        <v>3</v>
      </c>
      <c r="D769" s="85" t="str">
        <f t="shared" si="79"/>
        <v>4</v>
      </c>
      <c r="E769" s="85" t="str">
        <f t="shared" si="80"/>
        <v>4</v>
      </c>
      <c r="F769" s="85" t="str">
        <f t="shared" si="81"/>
        <v>02</v>
      </c>
      <c r="G769" s="85" t="str">
        <f t="shared" si="82"/>
        <v>1</v>
      </c>
      <c r="H769" s="85" t="str">
        <f t="shared" si="83"/>
        <v>1</v>
      </c>
      <c r="I769" s="87">
        <v>13440211</v>
      </c>
      <c r="J769" s="85" t="s">
        <v>3861</v>
      </c>
      <c r="K769" s="85" t="s">
        <v>3862</v>
      </c>
      <c r="L769" s="84"/>
      <c r="M769" s="85" t="s">
        <v>3863</v>
      </c>
      <c r="N769" s="85" t="s">
        <v>2879</v>
      </c>
      <c r="O769" s="85" t="s">
        <v>3864</v>
      </c>
      <c r="P769" s="86" t="s">
        <v>2890</v>
      </c>
    </row>
    <row r="770" spans="2:16" ht="30" x14ac:dyDescent="0.25">
      <c r="B770" s="85" t="str">
        <f t="shared" si="77"/>
        <v>1</v>
      </c>
      <c r="C770" s="85" t="str">
        <f t="shared" si="78"/>
        <v>3</v>
      </c>
      <c r="D770" s="85" t="str">
        <f t="shared" si="79"/>
        <v>4</v>
      </c>
      <c r="E770" s="85" t="str">
        <f t="shared" si="80"/>
        <v>4</v>
      </c>
      <c r="F770" s="85" t="str">
        <f t="shared" si="81"/>
        <v>02</v>
      </c>
      <c r="G770" s="85" t="str">
        <f t="shared" si="82"/>
        <v>1</v>
      </c>
      <c r="H770" s="85" t="str">
        <f t="shared" si="83"/>
        <v>2</v>
      </c>
      <c r="I770" s="87">
        <v>13440212</v>
      </c>
      <c r="J770" s="85" t="s">
        <v>3865</v>
      </c>
      <c r="K770" s="85" t="s">
        <v>2892</v>
      </c>
      <c r="L770" s="84"/>
      <c r="M770" s="85" t="s">
        <v>2892</v>
      </c>
      <c r="N770" s="85" t="s">
        <v>2879</v>
      </c>
      <c r="O770" s="85" t="s">
        <v>2892</v>
      </c>
      <c r="P770" s="86" t="s">
        <v>2890</v>
      </c>
    </row>
    <row r="771" spans="2:16" ht="15.75" x14ac:dyDescent="0.25">
      <c r="B771" s="85" t="str">
        <f t="shared" si="77"/>
        <v>1</v>
      </c>
      <c r="C771" s="85" t="str">
        <f t="shared" si="78"/>
        <v>3</v>
      </c>
      <c r="D771" s="85" t="str">
        <f t="shared" si="79"/>
        <v>4</v>
      </c>
      <c r="E771" s="85" t="str">
        <f t="shared" si="80"/>
        <v>4</v>
      </c>
      <c r="F771" s="85" t="str">
        <f t="shared" si="81"/>
        <v>02</v>
      </c>
      <c r="G771" s="85" t="str">
        <f t="shared" si="82"/>
        <v>1</v>
      </c>
      <c r="H771" s="85" t="str">
        <f t="shared" si="83"/>
        <v>3</v>
      </c>
      <c r="I771" s="87">
        <v>13440213</v>
      </c>
      <c r="J771" s="85" t="s">
        <v>3866</v>
      </c>
      <c r="K771" s="85" t="s">
        <v>2892</v>
      </c>
      <c r="L771" s="84"/>
      <c r="M771" s="85" t="s">
        <v>2892</v>
      </c>
      <c r="N771" s="85" t="s">
        <v>2879</v>
      </c>
      <c r="O771" s="85" t="s">
        <v>2892</v>
      </c>
      <c r="P771" s="86" t="s">
        <v>2890</v>
      </c>
    </row>
    <row r="772" spans="2:16" ht="30" x14ac:dyDescent="0.25">
      <c r="B772" s="85" t="str">
        <f t="shared" si="77"/>
        <v>1</v>
      </c>
      <c r="C772" s="85" t="str">
        <f t="shared" si="78"/>
        <v>3</v>
      </c>
      <c r="D772" s="85" t="str">
        <f t="shared" si="79"/>
        <v>4</v>
      </c>
      <c r="E772" s="85" t="str">
        <f t="shared" si="80"/>
        <v>4</v>
      </c>
      <c r="F772" s="85" t="str">
        <f t="shared" si="81"/>
        <v>02</v>
      </c>
      <c r="G772" s="85" t="str">
        <f t="shared" si="82"/>
        <v>1</v>
      </c>
      <c r="H772" s="85" t="str">
        <f t="shared" si="83"/>
        <v>4</v>
      </c>
      <c r="I772" s="87">
        <v>13440214</v>
      </c>
      <c r="J772" s="85" t="s">
        <v>3867</v>
      </c>
      <c r="K772" s="85" t="s">
        <v>2892</v>
      </c>
      <c r="L772" s="84"/>
      <c r="M772" s="85" t="s">
        <v>2892</v>
      </c>
      <c r="N772" s="85" t="s">
        <v>2879</v>
      </c>
      <c r="O772" s="85" t="s">
        <v>2892</v>
      </c>
      <c r="P772" s="86" t="s">
        <v>2890</v>
      </c>
    </row>
    <row r="773" spans="2:16" ht="30" x14ac:dyDescent="0.25">
      <c r="B773" s="104" t="str">
        <f t="shared" si="77"/>
        <v>1</v>
      </c>
      <c r="C773" s="104" t="str">
        <f t="shared" si="78"/>
        <v>3</v>
      </c>
      <c r="D773" s="104" t="str">
        <f t="shared" si="79"/>
        <v>4</v>
      </c>
      <c r="E773" s="104" t="str">
        <f t="shared" si="80"/>
        <v>5</v>
      </c>
      <c r="F773" s="104" t="str">
        <f t="shared" si="81"/>
        <v>00</v>
      </c>
      <c r="G773" s="104" t="str">
        <f t="shared" si="82"/>
        <v>0</v>
      </c>
      <c r="H773" s="104" t="str">
        <f t="shared" si="83"/>
        <v>0</v>
      </c>
      <c r="I773" s="105">
        <v>13450000</v>
      </c>
      <c r="J773" s="104" t="s">
        <v>3868</v>
      </c>
      <c r="K773" s="104" t="s">
        <v>3869</v>
      </c>
      <c r="L773" s="106"/>
      <c r="M773" s="104" t="s">
        <v>2878</v>
      </c>
      <c r="N773" s="104" t="s">
        <v>2879</v>
      </c>
      <c r="O773" s="104" t="s">
        <v>2878</v>
      </c>
      <c r="P773" s="107" t="s">
        <v>2880</v>
      </c>
    </row>
    <row r="774" spans="2:16" ht="75" x14ac:dyDescent="0.25">
      <c r="B774" s="108" t="str">
        <f t="shared" si="77"/>
        <v>1</v>
      </c>
      <c r="C774" s="108" t="str">
        <f t="shared" si="78"/>
        <v>3</v>
      </c>
      <c r="D774" s="108" t="str">
        <f t="shared" si="79"/>
        <v>4</v>
      </c>
      <c r="E774" s="108" t="str">
        <f t="shared" si="80"/>
        <v>5</v>
      </c>
      <c r="F774" s="108" t="str">
        <f t="shared" si="81"/>
        <v>01</v>
      </c>
      <c r="G774" s="108" t="str">
        <f t="shared" si="82"/>
        <v>0</v>
      </c>
      <c r="H774" s="108" t="str">
        <f t="shared" si="83"/>
        <v>0</v>
      </c>
      <c r="I774" s="109">
        <v>13450100</v>
      </c>
      <c r="J774" s="108" t="s">
        <v>3870</v>
      </c>
      <c r="K774" s="108" t="s">
        <v>3871</v>
      </c>
      <c r="L774" s="110"/>
      <c r="M774" s="108" t="s">
        <v>2878</v>
      </c>
      <c r="N774" s="108" t="s">
        <v>2879</v>
      </c>
      <c r="O774" s="108" t="s">
        <v>2878</v>
      </c>
      <c r="P774" s="111" t="s">
        <v>2880</v>
      </c>
    </row>
    <row r="775" spans="2:16" ht="75" x14ac:dyDescent="0.25">
      <c r="B775" s="114" t="str">
        <f t="shared" si="77"/>
        <v>1</v>
      </c>
      <c r="C775" s="114" t="str">
        <f t="shared" si="78"/>
        <v>3</v>
      </c>
      <c r="D775" s="114" t="str">
        <f t="shared" si="79"/>
        <v>4</v>
      </c>
      <c r="E775" s="114" t="str">
        <f t="shared" si="80"/>
        <v>5</v>
      </c>
      <c r="F775" s="114" t="str">
        <f t="shared" si="81"/>
        <v>01</v>
      </c>
      <c r="G775" s="114" t="str">
        <f t="shared" si="82"/>
        <v>1</v>
      </c>
      <c r="H775" s="114" t="str">
        <f t="shared" si="83"/>
        <v>0</v>
      </c>
      <c r="I775" s="115">
        <v>13450110</v>
      </c>
      <c r="J775" s="114" t="s">
        <v>3870</v>
      </c>
      <c r="K775" s="114" t="s">
        <v>3871</v>
      </c>
      <c r="L775" s="116"/>
      <c r="M775" s="114" t="s">
        <v>2878</v>
      </c>
      <c r="N775" s="114" t="s">
        <v>2879</v>
      </c>
      <c r="O775" s="114" t="s">
        <v>2878</v>
      </c>
      <c r="P775" s="117" t="s">
        <v>2880</v>
      </c>
    </row>
    <row r="776" spans="2:16" ht="105" x14ac:dyDescent="0.25">
      <c r="B776" s="85" t="str">
        <f t="shared" si="77"/>
        <v>1</v>
      </c>
      <c r="C776" s="85" t="str">
        <f t="shared" si="78"/>
        <v>3</v>
      </c>
      <c r="D776" s="85" t="str">
        <f t="shared" si="79"/>
        <v>4</v>
      </c>
      <c r="E776" s="85" t="str">
        <f t="shared" si="80"/>
        <v>5</v>
      </c>
      <c r="F776" s="85" t="str">
        <f t="shared" si="81"/>
        <v>01</v>
      </c>
      <c r="G776" s="85" t="str">
        <f t="shared" si="82"/>
        <v>1</v>
      </c>
      <c r="H776" s="85" t="str">
        <f t="shared" si="83"/>
        <v>1</v>
      </c>
      <c r="I776" s="87">
        <v>13450111</v>
      </c>
      <c r="J776" s="85" t="s">
        <v>3872</v>
      </c>
      <c r="K776" s="85" t="s">
        <v>3873</v>
      </c>
      <c r="L776" s="84"/>
      <c r="M776" s="85" t="s">
        <v>3874</v>
      </c>
      <c r="N776" s="85" t="s">
        <v>2879</v>
      </c>
      <c r="O776" s="85" t="s">
        <v>3875</v>
      </c>
      <c r="P776" s="86" t="s">
        <v>2890</v>
      </c>
    </row>
    <row r="777" spans="2:16" ht="15.75" x14ac:dyDescent="0.25">
      <c r="B777" s="85" t="str">
        <f t="shared" si="77"/>
        <v>1</v>
      </c>
      <c r="C777" s="85" t="str">
        <f t="shared" si="78"/>
        <v>3</v>
      </c>
      <c r="D777" s="85" t="str">
        <f t="shared" si="79"/>
        <v>4</v>
      </c>
      <c r="E777" s="85" t="str">
        <f t="shared" si="80"/>
        <v>5</v>
      </c>
      <c r="F777" s="85" t="str">
        <f t="shared" si="81"/>
        <v>01</v>
      </c>
      <c r="G777" s="85" t="str">
        <f t="shared" si="82"/>
        <v>1</v>
      </c>
      <c r="H777" s="85" t="str">
        <f t="shared" si="83"/>
        <v>2</v>
      </c>
      <c r="I777" s="87">
        <v>13450112</v>
      </c>
      <c r="J777" s="85" t="s">
        <v>3876</v>
      </c>
      <c r="K777" s="85" t="s">
        <v>2892</v>
      </c>
      <c r="L777" s="84"/>
      <c r="M777" s="85" t="s">
        <v>2892</v>
      </c>
      <c r="N777" s="85" t="s">
        <v>2879</v>
      </c>
      <c r="O777" s="85" t="s">
        <v>2892</v>
      </c>
      <c r="P777" s="86" t="s">
        <v>2890</v>
      </c>
    </row>
    <row r="778" spans="2:16" ht="15.75" x14ac:dyDescent="0.25">
      <c r="B778" s="85" t="str">
        <f t="shared" si="77"/>
        <v>1</v>
      </c>
      <c r="C778" s="85" t="str">
        <f t="shared" si="78"/>
        <v>3</v>
      </c>
      <c r="D778" s="85" t="str">
        <f t="shared" si="79"/>
        <v>4</v>
      </c>
      <c r="E778" s="85" t="str">
        <f t="shared" si="80"/>
        <v>5</v>
      </c>
      <c r="F778" s="85" t="str">
        <f t="shared" si="81"/>
        <v>01</v>
      </c>
      <c r="G778" s="85" t="str">
        <f t="shared" si="82"/>
        <v>1</v>
      </c>
      <c r="H778" s="85" t="str">
        <f t="shared" si="83"/>
        <v>3</v>
      </c>
      <c r="I778" s="87">
        <v>13450113</v>
      </c>
      <c r="J778" s="85" t="s">
        <v>3877</v>
      </c>
      <c r="K778" s="85" t="s">
        <v>2892</v>
      </c>
      <c r="L778" s="84"/>
      <c r="M778" s="85" t="s">
        <v>2892</v>
      </c>
      <c r="N778" s="85" t="s">
        <v>2879</v>
      </c>
      <c r="O778" s="85" t="s">
        <v>2892</v>
      </c>
      <c r="P778" s="86" t="s">
        <v>2890</v>
      </c>
    </row>
    <row r="779" spans="2:16" ht="30" x14ac:dyDescent="0.25">
      <c r="B779" s="85" t="str">
        <f t="shared" si="77"/>
        <v>1</v>
      </c>
      <c r="C779" s="85" t="str">
        <f t="shared" si="78"/>
        <v>3</v>
      </c>
      <c r="D779" s="85" t="str">
        <f t="shared" si="79"/>
        <v>4</v>
      </c>
      <c r="E779" s="85" t="str">
        <f t="shared" si="80"/>
        <v>5</v>
      </c>
      <c r="F779" s="85" t="str">
        <f t="shared" si="81"/>
        <v>01</v>
      </c>
      <c r="G779" s="85" t="str">
        <f t="shared" si="82"/>
        <v>1</v>
      </c>
      <c r="H779" s="85" t="str">
        <f t="shared" si="83"/>
        <v>4</v>
      </c>
      <c r="I779" s="87">
        <v>13450114</v>
      </c>
      <c r="J779" s="85" t="s">
        <v>3878</v>
      </c>
      <c r="K779" s="85" t="s">
        <v>2892</v>
      </c>
      <c r="L779" s="84"/>
      <c r="M779" s="85" t="s">
        <v>2892</v>
      </c>
      <c r="N779" s="85" t="s">
        <v>2879</v>
      </c>
      <c r="O779" s="85" t="s">
        <v>2892</v>
      </c>
      <c r="P779" s="86" t="s">
        <v>2890</v>
      </c>
    </row>
    <row r="780" spans="2:16" ht="30" x14ac:dyDescent="0.25">
      <c r="B780" s="108" t="str">
        <f t="shared" si="77"/>
        <v>1</v>
      </c>
      <c r="C780" s="108" t="str">
        <f t="shared" si="78"/>
        <v>3</v>
      </c>
      <c r="D780" s="108" t="str">
        <f t="shared" si="79"/>
        <v>4</v>
      </c>
      <c r="E780" s="108" t="str">
        <f t="shared" si="80"/>
        <v>5</v>
      </c>
      <c r="F780" s="108" t="str">
        <f t="shared" si="81"/>
        <v>02</v>
      </c>
      <c r="G780" s="108" t="str">
        <f t="shared" si="82"/>
        <v>0</v>
      </c>
      <c r="H780" s="108" t="str">
        <f t="shared" si="83"/>
        <v>0</v>
      </c>
      <c r="I780" s="109">
        <v>13450200</v>
      </c>
      <c r="J780" s="108" t="s">
        <v>3879</v>
      </c>
      <c r="K780" s="108" t="s">
        <v>3880</v>
      </c>
      <c r="L780" s="110"/>
      <c r="M780" s="108" t="s">
        <v>2878</v>
      </c>
      <c r="N780" s="108" t="s">
        <v>2879</v>
      </c>
      <c r="O780" s="108" t="s">
        <v>2878</v>
      </c>
      <c r="P780" s="111" t="s">
        <v>2880</v>
      </c>
    </row>
    <row r="781" spans="2:16" ht="30" x14ac:dyDescent="0.25">
      <c r="B781" s="114" t="str">
        <f t="shared" si="77"/>
        <v>1</v>
      </c>
      <c r="C781" s="114" t="str">
        <f t="shared" si="78"/>
        <v>3</v>
      </c>
      <c r="D781" s="114" t="str">
        <f t="shared" si="79"/>
        <v>4</v>
      </c>
      <c r="E781" s="114" t="str">
        <f t="shared" si="80"/>
        <v>5</v>
      </c>
      <c r="F781" s="114" t="str">
        <f t="shared" si="81"/>
        <v>02</v>
      </c>
      <c r="G781" s="114" t="str">
        <f t="shared" si="82"/>
        <v>1</v>
      </c>
      <c r="H781" s="114" t="str">
        <f t="shared" si="83"/>
        <v>0</v>
      </c>
      <c r="I781" s="115">
        <v>13450210</v>
      </c>
      <c r="J781" s="114" t="s">
        <v>3879</v>
      </c>
      <c r="K781" s="114" t="s">
        <v>3880</v>
      </c>
      <c r="L781" s="116"/>
      <c r="M781" s="114" t="s">
        <v>2878</v>
      </c>
      <c r="N781" s="114" t="s">
        <v>2879</v>
      </c>
      <c r="O781" s="114" t="s">
        <v>2878</v>
      </c>
      <c r="P781" s="117" t="s">
        <v>2880</v>
      </c>
    </row>
    <row r="782" spans="2:16" ht="90" x14ac:dyDescent="0.25">
      <c r="B782" s="85" t="str">
        <f t="shared" si="77"/>
        <v>1</v>
      </c>
      <c r="C782" s="85" t="str">
        <f t="shared" si="78"/>
        <v>3</v>
      </c>
      <c r="D782" s="85" t="str">
        <f t="shared" si="79"/>
        <v>4</v>
      </c>
      <c r="E782" s="85" t="str">
        <f t="shared" si="80"/>
        <v>5</v>
      </c>
      <c r="F782" s="85" t="str">
        <f t="shared" si="81"/>
        <v>02</v>
      </c>
      <c r="G782" s="85" t="str">
        <f t="shared" si="82"/>
        <v>1</v>
      </c>
      <c r="H782" s="85" t="str">
        <f t="shared" si="83"/>
        <v>1</v>
      </c>
      <c r="I782" s="87">
        <v>13450211</v>
      </c>
      <c r="J782" s="85" t="s">
        <v>3881</v>
      </c>
      <c r="K782" s="85" t="s">
        <v>3882</v>
      </c>
      <c r="L782" s="84"/>
      <c r="M782" s="85" t="s">
        <v>3883</v>
      </c>
      <c r="N782" s="85" t="s">
        <v>2879</v>
      </c>
      <c r="O782" s="85" t="s">
        <v>3884</v>
      </c>
      <c r="P782" s="86" t="s">
        <v>2890</v>
      </c>
    </row>
    <row r="783" spans="2:16" ht="15.75" x14ac:dyDescent="0.25">
      <c r="B783" s="85" t="str">
        <f t="shared" si="77"/>
        <v>1</v>
      </c>
      <c r="C783" s="85" t="str">
        <f t="shared" si="78"/>
        <v>3</v>
      </c>
      <c r="D783" s="85" t="str">
        <f t="shared" si="79"/>
        <v>4</v>
      </c>
      <c r="E783" s="85" t="str">
        <f t="shared" si="80"/>
        <v>5</v>
      </c>
      <c r="F783" s="85" t="str">
        <f t="shared" si="81"/>
        <v>02</v>
      </c>
      <c r="G783" s="85" t="str">
        <f t="shared" si="82"/>
        <v>1</v>
      </c>
      <c r="H783" s="85" t="str">
        <f t="shared" si="83"/>
        <v>2</v>
      </c>
      <c r="I783" s="87">
        <v>13450212</v>
      </c>
      <c r="J783" s="85" t="s">
        <v>3885</v>
      </c>
      <c r="K783" s="85" t="s">
        <v>2892</v>
      </c>
      <c r="L783" s="84"/>
      <c r="M783" s="85" t="s">
        <v>2892</v>
      </c>
      <c r="N783" s="85" t="s">
        <v>2879</v>
      </c>
      <c r="O783" s="85" t="s">
        <v>2892</v>
      </c>
      <c r="P783" s="86" t="s">
        <v>2890</v>
      </c>
    </row>
    <row r="784" spans="2:16" ht="15.75" x14ac:dyDescent="0.25">
      <c r="B784" s="85" t="str">
        <f t="shared" si="77"/>
        <v>1</v>
      </c>
      <c r="C784" s="85" t="str">
        <f t="shared" si="78"/>
        <v>3</v>
      </c>
      <c r="D784" s="85" t="str">
        <f t="shared" si="79"/>
        <v>4</v>
      </c>
      <c r="E784" s="85" t="str">
        <f t="shared" si="80"/>
        <v>5</v>
      </c>
      <c r="F784" s="85" t="str">
        <f t="shared" si="81"/>
        <v>02</v>
      </c>
      <c r="G784" s="85" t="str">
        <f t="shared" si="82"/>
        <v>1</v>
      </c>
      <c r="H784" s="85" t="str">
        <f t="shared" si="83"/>
        <v>3</v>
      </c>
      <c r="I784" s="87">
        <v>13450213</v>
      </c>
      <c r="J784" s="85" t="s">
        <v>3886</v>
      </c>
      <c r="K784" s="85" t="s">
        <v>2892</v>
      </c>
      <c r="L784" s="84"/>
      <c r="M784" s="85" t="s">
        <v>2892</v>
      </c>
      <c r="N784" s="85" t="s">
        <v>2879</v>
      </c>
      <c r="O784" s="85" t="s">
        <v>2892</v>
      </c>
      <c r="P784" s="86" t="s">
        <v>2890</v>
      </c>
    </row>
    <row r="785" spans="2:16" ht="30" x14ac:dyDescent="0.25">
      <c r="B785" s="85" t="str">
        <f t="shared" si="77"/>
        <v>1</v>
      </c>
      <c r="C785" s="85" t="str">
        <f t="shared" si="78"/>
        <v>3</v>
      </c>
      <c r="D785" s="85" t="str">
        <f t="shared" si="79"/>
        <v>4</v>
      </c>
      <c r="E785" s="85" t="str">
        <f t="shared" si="80"/>
        <v>5</v>
      </c>
      <c r="F785" s="85" t="str">
        <f t="shared" si="81"/>
        <v>02</v>
      </c>
      <c r="G785" s="85" t="str">
        <f t="shared" si="82"/>
        <v>1</v>
      </c>
      <c r="H785" s="85" t="str">
        <f t="shared" si="83"/>
        <v>4</v>
      </c>
      <c r="I785" s="87">
        <v>13450214</v>
      </c>
      <c r="J785" s="85" t="s">
        <v>3887</v>
      </c>
      <c r="K785" s="85" t="s">
        <v>2892</v>
      </c>
      <c r="L785" s="84"/>
      <c r="M785" s="85" t="s">
        <v>2892</v>
      </c>
      <c r="N785" s="85" t="s">
        <v>2879</v>
      </c>
      <c r="O785" s="85" t="s">
        <v>2892</v>
      </c>
      <c r="P785" s="86" t="s">
        <v>2890</v>
      </c>
    </row>
    <row r="786" spans="2:16" ht="30" x14ac:dyDescent="0.25">
      <c r="B786" s="108" t="str">
        <f t="shared" si="77"/>
        <v>1</v>
      </c>
      <c r="C786" s="108" t="str">
        <f t="shared" si="78"/>
        <v>3</v>
      </c>
      <c r="D786" s="108" t="str">
        <f t="shared" si="79"/>
        <v>4</v>
      </c>
      <c r="E786" s="108" t="str">
        <f t="shared" si="80"/>
        <v>5</v>
      </c>
      <c r="F786" s="108" t="str">
        <f t="shared" si="81"/>
        <v>03</v>
      </c>
      <c r="G786" s="108" t="str">
        <f t="shared" si="82"/>
        <v>0</v>
      </c>
      <c r="H786" s="108" t="str">
        <f t="shared" si="83"/>
        <v>0</v>
      </c>
      <c r="I786" s="109">
        <v>13450300</v>
      </c>
      <c r="J786" s="108" t="s">
        <v>3888</v>
      </c>
      <c r="K786" s="108" t="s">
        <v>3889</v>
      </c>
      <c r="L786" s="110"/>
      <c r="M786" s="108" t="s">
        <v>2878</v>
      </c>
      <c r="N786" s="108" t="s">
        <v>2879</v>
      </c>
      <c r="O786" s="108" t="s">
        <v>2878</v>
      </c>
      <c r="P786" s="111" t="s">
        <v>2880</v>
      </c>
    </row>
    <row r="787" spans="2:16" ht="30" x14ac:dyDescent="0.25">
      <c r="B787" s="114" t="str">
        <f t="shared" si="77"/>
        <v>1</v>
      </c>
      <c r="C787" s="114" t="str">
        <f t="shared" si="78"/>
        <v>3</v>
      </c>
      <c r="D787" s="114" t="str">
        <f t="shared" si="79"/>
        <v>4</v>
      </c>
      <c r="E787" s="114" t="str">
        <f t="shared" si="80"/>
        <v>5</v>
      </c>
      <c r="F787" s="114" t="str">
        <f t="shared" si="81"/>
        <v>03</v>
      </c>
      <c r="G787" s="114" t="str">
        <f t="shared" si="82"/>
        <v>1</v>
      </c>
      <c r="H787" s="114" t="str">
        <f t="shared" si="83"/>
        <v>0</v>
      </c>
      <c r="I787" s="115">
        <v>13450310</v>
      </c>
      <c r="J787" s="114" t="s">
        <v>3890</v>
      </c>
      <c r="K787" s="114" t="s">
        <v>3891</v>
      </c>
      <c r="L787" s="116"/>
      <c r="M787" s="114" t="s">
        <v>2878</v>
      </c>
      <c r="N787" s="114" t="s">
        <v>2879</v>
      </c>
      <c r="O787" s="114" t="s">
        <v>2878</v>
      </c>
      <c r="P787" s="117" t="s">
        <v>2880</v>
      </c>
    </row>
    <row r="788" spans="2:16" ht="150" x14ac:dyDescent="0.25">
      <c r="B788" s="85" t="str">
        <f t="shared" si="77"/>
        <v>1</v>
      </c>
      <c r="C788" s="85" t="str">
        <f t="shared" si="78"/>
        <v>3</v>
      </c>
      <c r="D788" s="85" t="str">
        <f t="shared" si="79"/>
        <v>4</v>
      </c>
      <c r="E788" s="85" t="str">
        <f t="shared" si="80"/>
        <v>5</v>
      </c>
      <c r="F788" s="85" t="str">
        <f t="shared" si="81"/>
        <v>03</v>
      </c>
      <c r="G788" s="85" t="str">
        <f t="shared" si="82"/>
        <v>1</v>
      </c>
      <c r="H788" s="85" t="str">
        <f t="shared" si="83"/>
        <v>1</v>
      </c>
      <c r="I788" s="87">
        <v>13450311</v>
      </c>
      <c r="J788" s="85" t="s">
        <v>3892</v>
      </c>
      <c r="K788" s="85" t="s">
        <v>3893</v>
      </c>
      <c r="L788" s="84"/>
      <c r="M788" s="85" t="s">
        <v>3894</v>
      </c>
      <c r="N788" s="85" t="s">
        <v>2879</v>
      </c>
      <c r="O788" s="85" t="s">
        <v>3895</v>
      </c>
      <c r="P788" s="86" t="s">
        <v>2890</v>
      </c>
    </row>
    <row r="789" spans="2:16" ht="15.75" x14ac:dyDescent="0.25">
      <c r="B789" s="85" t="str">
        <f t="shared" si="77"/>
        <v>1</v>
      </c>
      <c r="C789" s="85" t="str">
        <f t="shared" si="78"/>
        <v>3</v>
      </c>
      <c r="D789" s="85" t="str">
        <f t="shared" si="79"/>
        <v>4</v>
      </c>
      <c r="E789" s="85" t="str">
        <f t="shared" si="80"/>
        <v>5</v>
      </c>
      <c r="F789" s="85" t="str">
        <f t="shared" si="81"/>
        <v>03</v>
      </c>
      <c r="G789" s="85" t="str">
        <f t="shared" si="82"/>
        <v>1</v>
      </c>
      <c r="H789" s="85" t="str">
        <f t="shared" si="83"/>
        <v>2</v>
      </c>
      <c r="I789" s="87">
        <v>13450312</v>
      </c>
      <c r="J789" s="85" t="s">
        <v>3896</v>
      </c>
      <c r="K789" s="85" t="s">
        <v>2892</v>
      </c>
      <c r="L789" s="84"/>
      <c r="M789" s="85" t="s">
        <v>2892</v>
      </c>
      <c r="N789" s="85" t="s">
        <v>2879</v>
      </c>
      <c r="O789" s="85" t="s">
        <v>2892</v>
      </c>
      <c r="P789" s="86" t="s">
        <v>2890</v>
      </c>
    </row>
    <row r="790" spans="2:16" ht="15.75" x14ac:dyDescent="0.25">
      <c r="B790" s="85" t="str">
        <f t="shared" si="77"/>
        <v>1</v>
      </c>
      <c r="C790" s="85" t="str">
        <f t="shared" si="78"/>
        <v>3</v>
      </c>
      <c r="D790" s="85" t="str">
        <f t="shared" si="79"/>
        <v>4</v>
      </c>
      <c r="E790" s="85" t="str">
        <f t="shared" si="80"/>
        <v>5</v>
      </c>
      <c r="F790" s="85" t="str">
        <f t="shared" si="81"/>
        <v>03</v>
      </c>
      <c r="G790" s="85" t="str">
        <f t="shared" si="82"/>
        <v>1</v>
      </c>
      <c r="H790" s="85" t="str">
        <f t="shared" si="83"/>
        <v>3</v>
      </c>
      <c r="I790" s="87">
        <v>13450313</v>
      </c>
      <c r="J790" s="85" t="s">
        <v>3897</v>
      </c>
      <c r="K790" s="85" t="s">
        <v>2892</v>
      </c>
      <c r="L790" s="84"/>
      <c r="M790" s="85" t="s">
        <v>2892</v>
      </c>
      <c r="N790" s="85" t="s">
        <v>2879</v>
      </c>
      <c r="O790" s="85" t="s">
        <v>2892</v>
      </c>
      <c r="P790" s="86" t="s">
        <v>2890</v>
      </c>
    </row>
    <row r="791" spans="2:16" ht="15.75" x14ac:dyDescent="0.25">
      <c r="B791" s="85" t="str">
        <f t="shared" si="77"/>
        <v>1</v>
      </c>
      <c r="C791" s="85" t="str">
        <f t="shared" si="78"/>
        <v>3</v>
      </c>
      <c r="D791" s="85" t="str">
        <f t="shared" si="79"/>
        <v>4</v>
      </c>
      <c r="E791" s="85" t="str">
        <f t="shared" si="80"/>
        <v>5</v>
      </c>
      <c r="F791" s="85" t="str">
        <f t="shared" si="81"/>
        <v>03</v>
      </c>
      <c r="G791" s="85" t="str">
        <f t="shared" si="82"/>
        <v>1</v>
      </c>
      <c r="H791" s="85" t="str">
        <f t="shared" si="83"/>
        <v>4</v>
      </c>
      <c r="I791" s="87">
        <v>13450314</v>
      </c>
      <c r="J791" s="85" t="s">
        <v>3898</v>
      </c>
      <c r="K791" s="85" t="s">
        <v>2892</v>
      </c>
      <c r="L791" s="84"/>
      <c r="M791" s="85" t="s">
        <v>2892</v>
      </c>
      <c r="N791" s="85" t="s">
        <v>2879</v>
      </c>
      <c r="O791" s="85" t="s">
        <v>2892</v>
      </c>
      <c r="P791" s="86" t="s">
        <v>2890</v>
      </c>
    </row>
    <row r="792" spans="2:16" ht="30" x14ac:dyDescent="0.25">
      <c r="B792" s="114" t="str">
        <f t="shared" si="77"/>
        <v>1</v>
      </c>
      <c r="C792" s="114" t="str">
        <f t="shared" si="78"/>
        <v>3</v>
      </c>
      <c r="D792" s="114" t="str">
        <f t="shared" si="79"/>
        <v>4</v>
      </c>
      <c r="E792" s="114" t="str">
        <f t="shared" si="80"/>
        <v>5</v>
      </c>
      <c r="F792" s="114" t="str">
        <f t="shared" si="81"/>
        <v>03</v>
      </c>
      <c r="G792" s="114" t="str">
        <f t="shared" si="82"/>
        <v>2</v>
      </c>
      <c r="H792" s="114" t="str">
        <f t="shared" si="83"/>
        <v>0</v>
      </c>
      <c r="I792" s="115">
        <v>13450320</v>
      </c>
      <c r="J792" s="114" t="s">
        <v>3899</v>
      </c>
      <c r="K792" s="114" t="s">
        <v>3900</v>
      </c>
      <c r="L792" s="116"/>
      <c r="M792" s="114" t="s">
        <v>2878</v>
      </c>
      <c r="N792" s="114" t="s">
        <v>2879</v>
      </c>
      <c r="O792" s="114" t="s">
        <v>2878</v>
      </c>
      <c r="P792" s="117" t="s">
        <v>2880</v>
      </c>
    </row>
    <row r="793" spans="2:16" ht="135" x14ac:dyDescent="0.25">
      <c r="B793" s="85" t="str">
        <f t="shared" si="77"/>
        <v>1</v>
      </c>
      <c r="C793" s="85" t="str">
        <f t="shared" si="78"/>
        <v>3</v>
      </c>
      <c r="D793" s="85" t="str">
        <f t="shared" si="79"/>
        <v>4</v>
      </c>
      <c r="E793" s="85" t="str">
        <f t="shared" si="80"/>
        <v>5</v>
      </c>
      <c r="F793" s="85" t="str">
        <f t="shared" si="81"/>
        <v>03</v>
      </c>
      <c r="G793" s="85" t="str">
        <f t="shared" si="82"/>
        <v>2</v>
      </c>
      <c r="H793" s="85" t="str">
        <f t="shared" si="83"/>
        <v>1</v>
      </c>
      <c r="I793" s="87">
        <v>13450321</v>
      </c>
      <c r="J793" s="85" t="s">
        <v>3901</v>
      </c>
      <c r="K793" s="85" t="s">
        <v>3902</v>
      </c>
      <c r="L793" s="84"/>
      <c r="M793" s="85" t="s">
        <v>3903</v>
      </c>
      <c r="N793" s="85" t="s">
        <v>2879</v>
      </c>
      <c r="O793" s="85" t="s">
        <v>3904</v>
      </c>
      <c r="P793" s="86" t="s">
        <v>2890</v>
      </c>
    </row>
    <row r="794" spans="2:16" ht="15.75" x14ac:dyDescent="0.25">
      <c r="B794" s="85" t="str">
        <f t="shared" si="77"/>
        <v>1</v>
      </c>
      <c r="C794" s="85" t="str">
        <f t="shared" si="78"/>
        <v>3</v>
      </c>
      <c r="D794" s="85" t="str">
        <f t="shared" si="79"/>
        <v>4</v>
      </c>
      <c r="E794" s="85" t="str">
        <f t="shared" si="80"/>
        <v>5</v>
      </c>
      <c r="F794" s="85" t="str">
        <f t="shared" si="81"/>
        <v>03</v>
      </c>
      <c r="G794" s="85" t="str">
        <f t="shared" si="82"/>
        <v>2</v>
      </c>
      <c r="H794" s="85" t="str">
        <f t="shared" si="83"/>
        <v>2</v>
      </c>
      <c r="I794" s="87">
        <v>13450322</v>
      </c>
      <c r="J794" s="85" t="s">
        <v>3905</v>
      </c>
      <c r="K794" s="85" t="s">
        <v>2892</v>
      </c>
      <c r="L794" s="84"/>
      <c r="M794" s="85" t="s">
        <v>2892</v>
      </c>
      <c r="N794" s="85" t="s">
        <v>2879</v>
      </c>
      <c r="O794" s="85" t="s">
        <v>2892</v>
      </c>
      <c r="P794" s="86" t="s">
        <v>2890</v>
      </c>
    </row>
    <row r="795" spans="2:16" ht="15.75" x14ac:dyDescent="0.25">
      <c r="B795" s="85" t="str">
        <f t="shared" si="77"/>
        <v>1</v>
      </c>
      <c r="C795" s="85" t="str">
        <f t="shared" si="78"/>
        <v>3</v>
      </c>
      <c r="D795" s="85" t="str">
        <f t="shared" si="79"/>
        <v>4</v>
      </c>
      <c r="E795" s="85" t="str">
        <f t="shared" si="80"/>
        <v>5</v>
      </c>
      <c r="F795" s="85" t="str">
        <f t="shared" si="81"/>
        <v>03</v>
      </c>
      <c r="G795" s="85" t="str">
        <f t="shared" si="82"/>
        <v>2</v>
      </c>
      <c r="H795" s="85" t="str">
        <f t="shared" si="83"/>
        <v>3</v>
      </c>
      <c r="I795" s="87">
        <v>13450323</v>
      </c>
      <c r="J795" s="85" t="s">
        <v>3906</v>
      </c>
      <c r="K795" s="85" t="s">
        <v>2892</v>
      </c>
      <c r="L795" s="84"/>
      <c r="M795" s="85" t="s">
        <v>2892</v>
      </c>
      <c r="N795" s="85" t="s">
        <v>2879</v>
      </c>
      <c r="O795" s="85" t="s">
        <v>2892</v>
      </c>
      <c r="P795" s="86" t="s">
        <v>2890</v>
      </c>
    </row>
    <row r="796" spans="2:16" ht="30" x14ac:dyDescent="0.25">
      <c r="B796" s="85" t="str">
        <f t="shared" si="77"/>
        <v>1</v>
      </c>
      <c r="C796" s="85" t="str">
        <f t="shared" si="78"/>
        <v>3</v>
      </c>
      <c r="D796" s="85" t="str">
        <f t="shared" si="79"/>
        <v>4</v>
      </c>
      <c r="E796" s="85" t="str">
        <f t="shared" si="80"/>
        <v>5</v>
      </c>
      <c r="F796" s="85" t="str">
        <f t="shared" si="81"/>
        <v>03</v>
      </c>
      <c r="G796" s="85" t="str">
        <f t="shared" si="82"/>
        <v>2</v>
      </c>
      <c r="H796" s="85" t="str">
        <f t="shared" si="83"/>
        <v>4</v>
      </c>
      <c r="I796" s="87">
        <v>13450324</v>
      </c>
      <c r="J796" s="85" t="s">
        <v>3907</v>
      </c>
      <c r="K796" s="85" t="s">
        <v>2892</v>
      </c>
      <c r="L796" s="84"/>
      <c r="M796" s="85" t="s">
        <v>2892</v>
      </c>
      <c r="N796" s="85" t="s">
        <v>2879</v>
      </c>
      <c r="O796" s="85" t="s">
        <v>2892</v>
      </c>
      <c r="P796" s="86" t="s">
        <v>2890</v>
      </c>
    </row>
    <row r="797" spans="2:16" ht="30" x14ac:dyDescent="0.25">
      <c r="B797" s="104" t="str">
        <f t="shared" si="77"/>
        <v>1</v>
      </c>
      <c r="C797" s="104" t="str">
        <f t="shared" si="78"/>
        <v>3</v>
      </c>
      <c r="D797" s="104" t="str">
        <f t="shared" si="79"/>
        <v>4</v>
      </c>
      <c r="E797" s="104" t="str">
        <f t="shared" si="80"/>
        <v>6</v>
      </c>
      <c r="F797" s="104" t="str">
        <f t="shared" si="81"/>
        <v>00</v>
      </c>
      <c r="G797" s="104" t="str">
        <f t="shared" si="82"/>
        <v>0</v>
      </c>
      <c r="H797" s="104" t="str">
        <f t="shared" si="83"/>
        <v>0</v>
      </c>
      <c r="I797" s="105">
        <v>13460000</v>
      </c>
      <c r="J797" s="104" t="s">
        <v>3908</v>
      </c>
      <c r="K797" s="104" t="s">
        <v>3909</v>
      </c>
      <c r="L797" s="106"/>
      <c r="M797" s="104" t="s">
        <v>2878</v>
      </c>
      <c r="N797" s="104" t="s">
        <v>2879</v>
      </c>
      <c r="O797" s="104" t="s">
        <v>2878</v>
      </c>
      <c r="P797" s="107" t="s">
        <v>2880</v>
      </c>
    </row>
    <row r="798" spans="2:16" ht="45" x14ac:dyDescent="0.25">
      <c r="B798" s="108" t="str">
        <f t="shared" si="77"/>
        <v>1</v>
      </c>
      <c r="C798" s="108" t="str">
        <f t="shared" si="78"/>
        <v>3</v>
      </c>
      <c r="D798" s="108" t="str">
        <f t="shared" si="79"/>
        <v>4</v>
      </c>
      <c r="E798" s="108" t="str">
        <f t="shared" si="80"/>
        <v>6</v>
      </c>
      <c r="F798" s="108" t="str">
        <f t="shared" si="81"/>
        <v>01</v>
      </c>
      <c r="G798" s="108" t="str">
        <f t="shared" si="82"/>
        <v>0</v>
      </c>
      <c r="H798" s="108" t="str">
        <f t="shared" si="83"/>
        <v>0</v>
      </c>
      <c r="I798" s="109">
        <v>13460100</v>
      </c>
      <c r="J798" s="108" t="s">
        <v>3910</v>
      </c>
      <c r="K798" s="108" t="s">
        <v>3911</v>
      </c>
      <c r="L798" s="110"/>
      <c r="M798" s="108" t="s">
        <v>2878</v>
      </c>
      <c r="N798" s="108" t="s">
        <v>2879</v>
      </c>
      <c r="O798" s="108" t="s">
        <v>2878</v>
      </c>
      <c r="P798" s="111" t="s">
        <v>2880</v>
      </c>
    </row>
    <row r="799" spans="2:16" ht="90" x14ac:dyDescent="0.25">
      <c r="B799" s="114" t="str">
        <f t="shared" si="77"/>
        <v>1</v>
      </c>
      <c r="C799" s="114" t="str">
        <f t="shared" si="78"/>
        <v>3</v>
      </c>
      <c r="D799" s="114" t="str">
        <f t="shared" si="79"/>
        <v>4</v>
      </c>
      <c r="E799" s="114" t="str">
        <f t="shared" si="80"/>
        <v>6</v>
      </c>
      <c r="F799" s="114" t="str">
        <f t="shared" si="81"/>
        <v>01</v>
      </c>
      <c r="G799" s="114" t="str">
        <f t="shared" si="82"/>
        <v>1</v>
      </c>
      <c r="H799" s="114" t="str">
        <f t="shared" si="83"/>
        <v>0</v>
      </c>
      <c r="I799" s="115">
        <v>13460110</v>
      </c>
      <c r="J799" s="114" t="s">
        <v>3912</v>
      </c>
      <c r="K799" s="114" t="s">
        <v>3913</v>
      </c>
      <c r="L799" s="116"/>
      <c r="M799" s="114" t="s">
        <v>2878</v>
      </c>
      <c r="N799" s="114" t="s">
        <v>2879</v>
      </c>
      <c r="O799" s="114" t="s">
        <v>2878</v>
      </c>
      <c r="P799" s="117" t="s">
        <v>2880</v>
      </c>
    </row>
    <row r="800" spans="2:16" ht="90" x14ac:dyDescent="0.25">
      <c r="B800" s="85" t="str">
        <f t="shared" si="77"/>
        <v>1</v>
      </c>
      <c r="C800" s="85" t="str">
        <f t="shared" si="78"/>
        <v>3</v>
      </c>
      <c r="D800" s="85" t="str">
        <f t="shared" si="79"/>
        <v>4</v>
      </c>
      <c r="E800" s="85" t="str">
        <f t="shared" si="80"/>
        <v>6</v>
      </c>
      <c r="F800" s="85" t="str">
        <f t="shared" si="81"/>
        <v>01</v>
      </c>
      <c r="G800" s="85" t="str">
        <f t="shared" si="82"/>
        <v>1</v>
      </c>
      <c r="H800" s="85" t="str">
        <f t="shared" si="83"/>
        <v>1</v>
      </c>
      <c r="I800" s="87">
        <v>13460111</v>
      </c>
      <c r="J800" s="85" t="s">
        <v>3914</v>
      </c>
      <c r="K800" s="85" t="s">
        <v>3915</v>
      </c>
      <c r="L800" s="84"/>
      <c r="M800" s="85" t="s">
        <v>3916</v>
      </c>
      <c r="N800" s="85" t="s">
        <v>2879</v>
      </c>
      <c r="O800" s="85" t="s">
        <v>3917</v>
      </c>
      <c r="P800" s="86" t="s">
        <v>2890</v>
      </c>
    </row>
    <row r="801" spans="2:16" ht="15.75" x14ac:dyDescent="0.25">
      <c r="B801" s="85" t="str">
        <f t="shared" si="77"/>
        <v>1</v>
      </c>
      <c r="C801" s="85" t="str">
        <f t="shared" si="78"/>
        <v>3</v>
      </c>
      <c r="D801" s="85" t="str">
        <f t="shared" si="79"/>
        <v>4</v>
      </c>
      <c r="E801" s="85" t="str">
        <f t="shared" si="80"/>
        <v>6</v>
      </c>
      <c r="F801" s="85" t="str">
        <f t="shared" si="81"/>
        <v>01</v>
      </c>
      <c r="G801" s="85" t="str">
        <f t="shared" si="82"/>
        <v>1</v>
      </c>
      <c r="H801" s="85" t="str">
        <f t="shared" si="83"/>
        <v>2</v>
      </c>
      <c r="I801" s="87">
        <v>13460112</v>
      </c>
      <c r="J801" s="85" t="s">
        <v>3918</v>
      </c>
      <c r="K801" s="85" t="s">
        <v>2892</v>
      </c>
      <c r="L801" s="84"/>
      <c r="M801" s="85" t="s">
        <v>2892</v>
      </c>
      <c r="N801" s="85" t="s">
        <v>2879</v>
      </c>
      <c r="O801" s="85" t="s">
        <v>2892</v>
      </c>
      <c r="P801" s="86" t="s">
        <v>2890</v>
      </c>
    </row>
    <row r="802" spans="2:16" ht="15.75" x14ac:dyDescent="0.25">
      <c r="B802" s="85" t="str">
        <f t="shared" si="77"/>
        <v>1</v>
      </c>
      <c r="C802" s="85" t="str">
        <f t="shared" si="78"/>
        <v>3</v>
      </c>
      <c r="D802" s="85" t="str">
        <f t="shared" si="79"/>
        <v>4</v>
      </c>
      <c r="E802" s="85" t="str">
        <f t="shared" si="80"/>
        <v>6</v>
      </c>
      <c r="F802" s="85" t="str">
        <f t="shared" si="81"/>
        <v>01</v>
      </c>
      <c r="G802" s="85" t="str">
        <f t="shared" si="82"/>
        <v>1</v>
      </c>
      <c r="H802" s="85" t="str">
        <f t="shared" si="83"/>
        <v>3</v>
      </c>
      <c r="I802" s="87">
        <v>13460113</v>
      </c>
      <c r="J802" s="85" t="s">
        <v>3919</v>
      </c>
      <c r="K802" s="85" t="s">
        <v>2892</v>
      </c>
      <c r="L802" s="84"/>
      <c r="M802" s="85" t="s">
        <v>2892</v>
      </c>
      <c r="N802" s="85" t="s">
        <v>2879</v>
      </c>
      <c r="O802" s="85" t="s">
        <v>2892</v>
      </c>
      <c r="P802" s="86" t="s">
        <v>2890</v>
      </c>
    </row>
    <row r="803" spans="2:16" ht="30" x14ac:dyDescent="0.25">
      <c r="B803" s="85" t="str">
        <f t="shared" si="77"/>
        <v>1</v>
      </c>
      <c r="C803" s="85" t="str">
        <f t="shared" si="78"/>
        <v>3</v>
      </c>
      <c r="D803" s="85" t="str">
        <f t="shared" si="79"/>
        <v>4</v>
      </c>
      <c r="E803" s="85" t="str">
        <f t="shared" si="80"/>
        <v>6</v>
      </c>
      <c r="F803" s="85" t="str">
        <f t="shared" si="81"/>
        <v>01</v>
      </c>
      <c r="G803" s="85" t="str">
        <f t="shared" si="82"/>
        <v>1</v>
      </c>
      <c r="H803" s="85" t="str">
        <f t="shared" si="83"/>
        <v>4</v>
      </c>
      <c r="I803" s="87">
        <v>13460114</v>
      </c>
      <c r="J803" s="85" t="s">
        <v>3920</v>
      </c>
      <c r="K803" s="85" t="s">
        <v>2892</v>
      </c>
      <c r="L803" s="84"/>
      <c r="M803" s="85" t="s">
        <v>2892</v>
      </c>
      <c r="N803" s="85" t="s">
        <v>2879</v>
      </c>
      <c r="O803" s="85" t="s">
        <v>2892</v>
      </c>
      <c r="P803" s="86" t="s">
        <v>2890</v>
      </c>
    </row>
    <row r="804" spans="2:16" ht="90" x14ac:dyDescent="0.25">
      <c r="B804" s="114" t="str">
        <f t="shared" si="77"/>
        <v>1</v>
      </c>
      <c r="C804" s="114" t="str">
        <f t="shared" si="78"/>
        <v>3</v>
      </c>
      <c r="D804" s="114" t="str">
        <f t="shared" si="79"/>
        <v>4</v>
      </c>
      <c r="E804" s="114" t="str">
        <f t="shared" si="80"/>
        <v>6</v>
      </c>
      <c r="F804" s="114" t="str">
        <f t="shared" si="81"/>
        <v>01</v>
      </c>
      <c r="G804" s="114" t="str">
        <f t="shared" si="82"/>
        <v>2</v>
      </c>
      <c r="H804" s="114" t="str">
        <f t="shared" si="83"/>
        <v>0</v>
      </c>
      <c r="I804" s="115">
        <v>13460120</v>
      </c>
      <c r="J804" s="114" t="s">
        <v>3921</v>
      </c>
      <c r="K804" s="114" t="s">
        <v>3922</v>
      </c>
      <c r="L804" s="116"/>
      <c r="M804" s="114" t="s">
        <v>2878</v>
      </c>
      <c r="N804" s="114" t="s">
        <v>2879</v>
      </c>
      <c r="O804" s="114" t="s">
        <v>2878</v>
      </c>
      <c r="P804" s="117" t="s">
        <v>2880</v>
      </c>
    </row>
    <row r="805" spans="2:16" ht="150" x14ac:dyDescent="0.25">
      <c r="B805" s="85" t="str">
        <f t="shared" si="77"/>
        <v>1</v>
      </c>
      <c r="C805" s="85" t="str">
        <f t="shared" si="78"/>
        <v>3</v>
      </c>
      <c r="D805" s="85" t="str">
        <f t="shared" si="79"/>
        <v>4</v>
      </c>
      <c r="E805" s="85" t="str">
        <f t="shared" si="80"/>
        <v>6</v>
      </c>
      <c r="F805" s="85" t="str">
        <f t="shared" si="81"/>
        <v>01</v>
      </c>
      <c r="G805" s="85" t="str">
        <f t="shared" si="82"/>
        <v>2</v>
      </c>
      <c r="H805" s="85" t="str">
        <f t="shared" si="83"/>
        <v>1</v>
      </c>
      <c r="I805" s="87">
        <v>13460121</v>
      </c>
      <c r="J805" s="85" t="s">
        <v>3923</v>
      </c>
      <c r="K805" s="85" t="s">
        <v>3924</v>
      </c>
      <c r="L805" s="84"/>
      <c r="M805" s="85" t="s">
        <v>3925</v>
      </c>
      <c r="N805" s="85" t="s">
        <v>2879</v>
      </c>
      <c r="O805" s="85" t="s">
        <v>3926</v>
      </c>
      <c r="P805" s="86" t="s">
        <v>2890</v>
      </c>
    </row>
    <row r="806" spans="2:16" ht="15.75" x14ac:dyDescent="0.25">
      <c r="B806" s="85" t="str">
        <f t="shared" si="77"/>
        <v>1</v>
      </c>
      <c r="C806" s="85" t="str">
        <f t="shared" si="78"/>
        <v>3</v>
      </c>
      <c r="D806" s="85" t="str">
        <f t="shared" si="79"/>
        <v>4</v>
      </c>
      <c r="E806" s="85" t="str">
        <f t="shared" si="80"/>
        <v>6</v>
      </c>
      <c r="F806" s="85" t="str">
        <f t="shared" si="81"/>
        <v>01</v>
      </c>
      <c r="G806" s="85" t="str">
        <f t="shared" si="82"/>
        <v>2</v>
      </c>
      <c r="H806" s="85" t="str">
        <f t="shared" si="83"/>
        <v>2</v>
      </c>
      <c r="I806" s="87">
        <v>13460122</v>
      </c>
      <c r="J806" s="85" t="s">
        <v>3927</v>
      </c>
      <c r="K806" s="85" t="s">
        <v>2892</v>
      </c>
      <c r="L806" s="84"/>
      <c r="M806" s="85" t="s">
        <v>2892</v>
      </c>
      <c r="N806" s="85" t="s">
        <v>2879</v>
      </c>
      <c r="O806" s="85" t="s">
        <v>2892</v>
      </c>
      <c r="P806" s="86" t="s">
        <v>2890</v>
      </c>
    </row>
    <row r="807" spans="2:16" ht="15.75" x14ac:dyDescent="0.25">
      <c r="B807" s="85" t="str">
        <f t="shared" si="77"/>
        <v>1</v>
      </c>
      <c r="C807" s="85" t="str">
        <f t="shared" si="78"/>
        <v>3</v>
      </c>
      <c r="D807" s="85" t="str">
        <f t="shared" si="79"/>
        <v>4</v>
      </c>
      <c r="E807" s="85" t="str">
        <f t="shared" si="80"/>
        <v>6</v>
      </c>
      <c r="F807" s="85" t="str">
        <f t="shared" si="81"/>
        <v>01</v>
      </c>
      <c r="G807" s="85" t="str">
        <f t="shared" si="82"/>
        <v>2</v>
      </c>
      <c r="H807" s="85" t="str">
        <f t="shared" si="83"/>
        <v>3</v>
      </c>
      <c r="I807" s="87">
        <v>13460123</v>
      </c>
      <c r="J807" s="85" t="s">
        <v>3928</v>
      </c>
      <c r="K807" s="85" t="s">
        <v>2892</v>
      </c>
      <c r="L807" s="84"/>
      <c r="M807" s="85" t="s">
        <v>2892</v>
      </c>
      <c r="N807" s="85" t="s">
        <v>2879</v>
      </c>
      <c r="O807" s="85" t="s">
        <v>2892</v>
      </c>
      <c r="P807" s="86" t="s">
        <v>2890</v>
      </c>
    </row>
    <row r="808" spans="2:16" ht="30" x14ac:dyDescent="0.25">
      <c r="B808" s="85" t="str">
        <f t="shared" si="77"/>
        <v>1</v>
      </c>
      <c r="C808" s="85" t="str">
        <f t="shared" si="78"/>
        <v>3</v>
      </c>
      <c r="D808" s="85" t="str">
        <f t="shared" si="79"/>
        <v>4</v>
      </c>
      <c r="E808" s="85" t="str">
        <f t="shared" si="80"/>
        <v>6</v>
      </c>
      <c r="F808" s="85" t="str">
        <f t="shared" si="81"/>
        <v>01</v>
      </c>
      <c r="G808" s="85" t="str">
        <f t="shared" si="82"/>
        <v>2</v>
      </c>
      <c r="H808" s="85" t="str">
        <f t="shared" si="83"/>
        <v>4</v>
      </c>
      <c r="I808" s="87">
        <v>13460124</v>
      </c>
      <c r="J808" s="85" t="s">
        <v>3929</v>
      </c>
      <c r="K808" s="85" t="s">
        <v>2892</v>
      </c>
      <c r="L808" s="84"/>
      <c r="M808" s="85" t="s">
        <v>2892</v>
      </c>
      <c r="N808" s="85" t="s">
        <v>2879</v>
      </c>
      <c r="O808" s="85" t="s">
        <v>2892</v>
      </c>
      <c r="P808" s="86" t="s">
        <v>2890</v>
      </c>
    </row>
    <row r="809" spans="2:16" ht="45" x14ac:dyDescent="0.25">
      <c r="B809" s="108" t="str">
        <f t="shared" si="77"/>
        <v>1</v>
      </c>
      <c r="C809" s="108" t="str">
        <f t="shared" si="78"/>
        <v>3</v>
      </c>
      <c r="D809" s="108" t="str">
        <f t="shared" si="79"/>
        <v>4</v>
      </c>
      <c r="E809" s="108" t="str">
        <f t="shared" si="80"/>
        <v>6</v>
      </c>
      <c r="F809" s="108" t="str">
        <f t="shared" si="81"/>
        <v>02</v>
      </c>
      <c r="G809" s="108" t="str">
        <f t="shared" si="82"/>
        <v>0</v>
      </c>
      <c r="H809" s="108" t="str">
        <f t="shared" si="83"/>
        <v>0</v>
      </c>
      <c r="I809" s="109">
        <v>13460200</v>
      </c>
      <c r="J809" s="108" t="s">
        <v>3930</v>
      </c>
      <c r="K809" s="108" t="s">
        <v>3931</v>
      </c>
      <c r="L809" s="110"/>
      <c r="M809" s="108" t="s">
        <v>2878</v>
      </c>
      <c r="N809" s="108" t="s">
        <v>2879</v>
      </c>
      <c r="O809" s="108" t="s">
        <v>2878</v>
      </c>
      <c r="P809" s="111" t="s">
        <v>2880</v>
      </c>
    </row>
    <row r="810" spans="2:16" ht="105" x14ac:dyDescent="0.25">
      <c r="B810" s="114" t="str">
        <f t="shared" si="77"/>
        <v>1</v>
      </c>
      <c r="C810" s="114" t="str">
        <f t="shared" si="78"/>
        <v>3</v>
      </c>
      <c r="D810" s="114" t="str">
        <f t="shared" si="79"/>
        <v>4</v>
      </c>
      <c r="E810" s="114" t="str">
        <f t="shared" si="80"/>
        <v>6</v>
      </c>
      <c r="F810" s="114" t="str">
        <f t="shared" si="81"/>
        <v>02</v>
      </c>
      <c r="G810" s="114" t="str">
        <f t="shared" si="82"/>
        <v>1</v>
      </c>
      <c r="H810" s="114" t="str">
        <f t="shared" si="83"/>
        <v>0</v>
      </c>
      <c r="I810" s="115">
        <v>13460210</v>
      </c>
      <c r="J810" s="114" t="s">
        <v>3932</v>
      </c>
      <c r="K810" s="114" t="s">
        <v>3933</v>
      </c>
      <c r="L810" s="116"/>
      <c r="M810" s="114" t="s">
        <v>2878</v>
      </c>
      <c r="N810" s="114" t="s">
        <v>2879</v>
      </c>
      <c r="O810" s="114" t="s">
        <v>2878</v>
      </c>
      <c r="P810" s="117" t="s">
        <v>2880</v>
      </c>
    </row>
    <row r="811" spans="2:16" ht="165" x14ac:dyDescent="0.25">
      <c r="B811" s="85" t="str">
        <f t="shared" si="77"/>
        <v>1</v>
      </c>
      <c r="C811" s="85" t="str">
        <f t="shared" si="78"/>
        <v>3</v>
      </c>
      <c r="D811" s="85" t="str">
        <f t="shared" si="79"/>
        <v>4</v>
      </c>
      <c r="E811" s="85" t="str">
        <f t="shared" si="80"/>
        <v>6</v>
      </c>
      <c r="F811" s="85" t="str">
        <f t="shared" si="81"/>
        <v>02</v>
      </c>
      <c r="G811" s="85" t="str">
        <f t="shared" si="82"/>
        <v>1</v>
      </c>
      <c r="H811" s="85" t="str">
        <f t="shared" si="83"/>
        <v>1</v>
      </c>
      <c r="I811" s="87">
        <v>13460211</v>
      </c>
      <c r="J811" s="85" t="s">
        <v>3934</v>
      </c>
      <c r="K811" s="85" t="s">
        <v>3935</v>
      </c>
      <c r="L811" s="84"/>
      <c r="M811" s="85" t="s">
        <v>3936</v>
      </c>
      <c r="N811" s="85" t="s">
        <v>2879</v>
      </c>
      <c r="O811" s="85" t="s">
        <v>3937</v>
      </c>
      <c r="P811" s="86" t="s">
        <v>2890</v>
      </c>
    </row>
    <row r="812" spans="2:16" ht="15.75" x14ac:dyDescent="0.25">
      <c r="B812" s="85" t="str">
        <f t="shared" si="77"/>
        <v>1</v>
      </c>
      <c r="C812" s="85" t="str">
        <f t="shared" si="78"/>
        <v>3</v>
      </c>
      <c r="D812" s="85" t="str">
        <f t="shared" si="79"/>
        <v>4</v>
      </c>
      <c r="E812" s="85" t="str">
        <f t="shared" si="80"/>
        <v>6</v>
      </c>
      <c r="F812" s="85" t="str">
        <f t="shared" si="81"/>
        <v>02</v>
      </c>
      <c r="G812" s="85" t="str">
        <f t="shared" si="82"/>
        <v>1</v>
      </c>
      <c r="H812" s="85" t="str">
        <f t="shared" si="83"/>
        <v>2</v>
      </c>
      <c r="I812" s="87">
        <v>13460212</v>
      </c>
      <c r="J812" s="85" t="s">
        <v>3938</v>
      </c>
      <c r="K812" s="85" t="s">
        <v>2892</v>
      </c>
      <c r="L812" s="84"/>
      <c r="M812" s="85" t="s">
        <v>2892</v>
      </c>
      <c r="N812" s="85" t="s">
        <v>2879</v>
      </c>
      <c r="O812" s="85" t="s">
        <v>2892</v>
      </c>
      <c r="P812" s="86" t="s">
        <v>2890</v>
      </c>
    </row>
    <row r="813" spans="2:16" ht="15.75" x14ac:dyDescent="0.25">
      <c r="B813" s="85" t="str">
        <f t="shared" si="77"/>
        <v>1</v>
      </c>
      <c r="C813" s="85" t="str">
        <f t="shared" si="78"/>
        <v>3</v>
      </c>
      <c r="D813" s="85" t="str">
        <f t="shared" si="79"/>
        <v>4</v>
      </c>
      <c r="E813" s="85" t="str">
        <f t="shared" si="80"/>
        <v>6</v>
      </c>
      <c r="F813" s="85" t="str">
        <f t="shared" si="81"/>
        <v>02</v>
      </c>
      <c r="G813" s="85" t="str">
        <f t="shared" si="82"/>
        <v>1</v>
      </c>
      <c r="H813" s="85" t="str">
        <f t="shared" si="83"/>
        <v>3</v>
      </c>
      <c r="I813" s="87">
        <v>13460213</v>
      </c>
      <c r="J813" s="85" t="s">
        <v>3939</v>
      </c>
      <c r="K813" s="85" t="s">
        <v>2892</v>
      </c>
      <c r="L813" s="84"/>
      <c r="M813" s="85" t="s">
        <v>2892</v>
      </c>
      <c r="N813" s="85" t="s">
        <v>2879</v>
      </c>
      <c r="O813" s="85" t="s">
        <v>2892</v>
      </c>
      <c r="P813" s="86" t="s">
        <v>2890</v>
      </c>
    </row>
    <row r="814" spans="2:16" ht="15.75" x14ac:dyDescent="0.25">
      <c r="B814" s="85" t="str">
        <f t="shared" si="77"/>
        <v>1</v>
      </c>
      <c r="C814" s="85" t="str">
        <f t="shared" si="78"/>
        <v>3</v>
      </c>
      <c r="D814" s="85" t="str">
        <f t="shared" si="79"/>
        <v>4</v>
      </c>
      <c r="E814" s="85" t="str">
        <f t="shared" si="80"/>
        <v>6</v>
      </c>
      <c r="F814" s="85" t="str">
        <f t="shared" si="81"/>
        <v>02</v>
      </c>
      <c r="G814" s="85" t="str">
        <f t="shared" si="82"/>
        <v>1</v>
      </c>
      <c r="H814" s="85" t="str">
        <f t="shared" si="83"/>
        <v>4</v>
      </c>
      <c r="I814" s="87">
        <v>13460214</v>
      </c>
      <c r="J814" s="85" t="s">
        <v>3940</v>
      </c>
      <c r="K814" s="85" t="s">
        <v>2892</v>
      </c>
      <c r="L814" s="84"/>
      <c r="M814" s="85" t="s">
        <v>2892</v>
      </c>
      <c r="N814" s="85" t="s">
        <v>2879</v>
      </c>
      <c r="O814" s="85" t="s">
        <v>2892</v>
      </c>
      <c r="P814" s="86" t="s">
        <v>2890</v>
      </c>
    </row>
    <row r="815" spans="2:16" ht="105" x14ac:dyDescent="0.25">
      <c r="B815" s="114" t="str">
        <f t="shared" si="77"/>
        <v>1</v>
      </c>
      <c r="C815" s="114" t="str">
        <f t="shared" si="78"/>
        <v>3</v>
      </c>
      <c r="D815" s="114" t="str">
        <f t="shared" si="79"/>
        <v>4</v>
      </c>
      <c r="E815" s="114" t="str">
        <f t="shared" si="80"/>
        <v>6</v>
      </c>
      <c r="F815" s="114" t="str">
        <f t="shared" si="81"/>
        <v>02</v>
      </c>
      <c r="G815" s="114" t="str">
        <f t="shared" si="82"/>
        <v>2</v>
      </c>
      <c r="H815" s="114" t="str">
        <f t="shared" si="83"/>
        <v>0</v>
      </c>
      <c r="I815" s="115">
        <v>13460220</v>
      </c>
      <c r="J815" s="114" t="s">
        <v>3941</v>
      </c>
      <c r="K815" s="114" t="s">
        <v>3942</v>
      </c>
      <c r="L815" s="116"/>
      <c r="M815" s="114" t="s">
        <v>2878</v>
      </c>
      <c r="N815" s="114" t="s">
        <v>2879</v>
      </c>
      <c r="O815" s="114" t="s">
        <v>2878</v>
      </c>
      <c r="P815" s="117" t="s">
        <v>2880</v>
      </c>
    </row>
    <row r="816" spans="2:16" ht="150" x14ac:dyDescent="0.25">
      <c r="B816" s="85" t="str">
        <f t="shared" si="77"/>
        <v>1</v>
      </c>
      <c r="C816" s="85" t="str">
        <f t="shared" si="78"/>
        <v>3</v>
      </c>
      <c r="D816" s="85" t="str">
        <f t="shared" si="79"/>
        <v>4</v>
      </c>
      <c r="E816" s="85" t="str">
        <f t="shared" si="80"/>
        <v>6</v>
      </c>
      <c r="F816" s="85" t="str">
        <f t="shared" si="81"/>
        <v>02</v>
      </c>
      <c r="G816" s="85" t="str">
        <f t="shared" si="82"/>
        <v>2</v>
      </c>
      <c r="H816" s="85" t="str">
        <f t="shared" si="83"/>
        <v>1</v>
      </c>
      <c r="I816" s="87">
        <v>13460221</v>
      </c>
      <c r="J816" s="85" t="s">
        <v>3943</v>
      </c>
      <c r="K816" s="85" t="s">
        <v>3944</v>
      </c>
      <c r="L816" s="84"/>
      <c r="M816" s="85" t="s">
        <v>3945</v>
      </c>
      <c r="N816" s="85" t="s">
        <v>2879</v>
      </c>
      <c r="O816" s="85" t="s">
        <v>3946</v>
      </c>
      <c r="P816" s="86" t="s">
        <v>2890</v>
      </c>
    </row>
    <row r="817" spans="2:16" ht="15.75" x14ac:dyDescent="0.25">
      <c r="B817" s="85" t="str">
        <f t="shared" si="77"/>
        <v>1</v>
      </c>
      <c r="C817" s="85" t="str">
        <f t="shared" si="78"/>
        <v>3</v>
      </c>
      <c r="D817" s="85" t="str">
        <f t="shared" si="79"/>
        <v>4</v>
      </c>
      <c r="E817" s="85" t="str">
        <f t="shared" si="80"/>
        <v>6</v>
      </c>
      <c r="F817" s="85" t="str">
        <f t="shared" si="81"/>
        <v>02</v>
      </c>
      <c r="G817" s="85" t="str">
        <f t="shared" si="82"/>
        <v>2</v>
      </c>
      <c r="H817" s="85" t="str">
        <f t="shared" si="83"/>
        <v>2</v>
      </c>
      <c r="I817" s="87">
        <v>13460222</v>
      </c>
      <c r="J817" s="85" t="s">
        <v>3947</v>
      </c>
      <c r="K817" s="85" t="s">
        <v>2892</v>
      </c>
      <c r="L817" s="84"/>
      <c r="M817" s="85" t="s">
        <v>2892</v>
      </c>
      <c r="N817" s="85" t="s">
        <v>2879</v>
      </c>
      <c r="O817" s="85" t="s">
        <v>2892</v>
      </c>
      <c r="P817" s="86" t="s">
        <v>2890</v>
      </c>
    </row>
    <row r="818" spans="2:16" ht="15.75" x14ac:dyDescent="0.25">
      <c r="B818" s="85" t="str">
        <f t="shared" si="77"/>
        <v>1</v>
      </c>
      <c r="C818" s="85" t="str">
        <f t="shared" si="78"/>
        <v>3</v>
      </c>
      <c r="D818" s="85" t="str">
        <f t="shared" si="79"/>
        <v>4</v>
      </c>
      <c r="E818" s="85" t="str">
        <f t="shared" si="80"/>
        <v>6</v>
      </c>
      <c r="F818" s="85" t="str">
        <f t="shared" si="81"/>
        <v>02</v>
      </c>
      <c r="G818" s="85" t="str">
        <f t="shared" si="82"/>
        <v>2</v>
      </c>
      <c r="H818" s="85" t="str">
        <f t="shared" si="83"/>
        <v>3</v>
      </c>
      <c r="I818" s="87">
        <v>13460223</v>
      </c>
      <c r="J818" s="85" t="s">
        <v>3948</v>
      </c>
      <c r="K818" s="85" t="s">
        <v>2892</v>
      </c>
      <c r="L818" s="84"/>
      <c r="M818" s="85" t="s">
        <v>2892</v>
      </c>
      <c r="N818" s="85" t="s">
        <v>2879</v>
      </c>
      <c r="O818" s="85" t="s">
        <v>2892</v>
      </c>
      <c r="P818" s="86" t="s">
        <v>2890</v>
      </c>
    </row>
    <row r="819" spans="2:16" ht="15.75" x14ac:dyDescent="0.25">
      <c r="B819" s="85" t="str">
        <f t="shared" si="77"/>
        <v>1</v>
      </c>
      <c r="C819" s="85" t="str">
        <f t="shared" si="78"/>
        <v>3</v>
      </c>
      <c r="D819" s="85" t="str">
        <f t="shared" si="79"/>
        <v>4</v>
      </c>
      <c r="E819" s="85" t="str">
        <f t="shared" si="80"/>
        <v>6</v>
      </c>
      <c r="F819" s="85" t="str">
        <f t="shared" si="81"/>
        <v>02</v>
      </c>
      <c r="G819" s="85" t="str">
        <f t="shared" si="82"/>
        <v>2</v>
      </c>
      <c r="H819" s="85" t="str">
        <f t="shared" si="83"/>
        <v>4</v>
      </c>
      <c r="I819" s="87">
        <v>13460224</v>
      </c>
      <c r="J819" s="85" t="s">
        <v>3949</v>
      </c>
      <c r="K819" s="85" t="s">
        <v>2892</v>
      </c>
      <c r="L819" s="84"/>
      <c r="M819" s="85" t="s">
        <v>2892</v>
      </c>
      <c r="N819" s="85" t="s">
        <v>2879</v>
      </c>
      <c r="O819" s="85" t="s">
        <v>2892</v>
      </c>
      <c r="P819" s="86" t="s">
        <v>2890</v>
      </c>
    </row>
    <row r="820" spans="2:16" ht="30" x14ac:dyDescent="0.25">
      <c r="B820" s="108" t="str">
        <f t="shared" si="77"/>
        <v>1</v>
      </c>
      <c r="C820" s="108" t="str">
        <f t="shared" si="78"/>
        <v>3</v>
      </c>
      <c r="D820" s="108" t="str">
        <f t="shared" si="79"/>
        <v>4</v>
      </c>
      <c r="E820" s="108" t="str">
        <f t="shared" si="80"/>
        <v>6</v>
      </c>
      <c r="F820" s="108" t="str">
        <f t="shared" si="81"/>
        <v>99</v>
      </c>
      <c r="G820" s="108" t="str">
        <f t="shared" si="82"/>
        <v>0</v>
      </c>
      <c r="H820" s="108" t="str">
        <f t="shared" si="83"/>
        <v>0</v>
      </c>
      <c r="I820" s="109">
        <v>13469900</v>
      </c>
      <c r="J820" s="108" t="s">
        <v>3950</v>
      </c>
      <c r="K820" s="108" t="s">
        <v>3951</v>
      </c>
      <c r="L820" s="110"/>
      <c r="M820" s="108" t="s">
        <v>2878</v>
      </c>
      <c r="N820" s="108" t="s">
        <v>2879</v>
      </c>
      <c r="O820" s="108" t="s">
        <v>2878</v>
      </c>
      <c r="P820" s="111" t="s">
        <v>2880</v>
      </c>
    </row>
    <row r="821" spans="2:16" ht="30" x14ac:dyDescent="0.25">
      <c r="B821" s="114" t="str">
        <f t="shared" ref="B821:B886" si="84">MID($I821,1,1)</f>
        <v>1</v>
      </c>
      <c r="C821" s="114" t="str">
        <f t="shared" ref="C821:C886" si="85">MID($I821,2,1)</f>
        <v>3</v>
      </c>
      <c r="D821" s="114" t="str">
        <f t="shared" ref="D821:D886" si="86">MID($I821,3,1)</f>
        <v>4</v>
      </c>
      <c r="E821" s="114" t="str">
        <f t="shared" ref="E821:E886" si="87">MID($I821,4,1)</f>
        <v>6</v>
      </c>
      <c r="F821" s="114" t="str">
        <f t="shared" ref="F821:F886" si="88">MID($I821,5,2)</f>
        <v>99</v>
      </c>
      <c r="G821" s="114" t="str">
        <f t="shared" ref="G821:G886" si="89">MID($I821,7,1)</f>
        <v>1</v>
      </c>
      <c r="H821" s="114" t="str">
        <f t="shared" ref="H821:H886" si="90">MID($I821,8,1)</f>
        <v>0</v>
      </c>
      <c r="I821" s="115">
        <v>13469910</v>
      </c>
      <c r="J821" s="114" t="s">
        <v>3952</v>
      </c>
      <c r="K821" s="114" t="s">
        <v>3953</v>
      </c>
      <c r="L821" s="116"/>
      <c r="M821" s="114" t="s">
        <v>2878</v>
      </c>
      <c r="N821" s="114" t="s">
        <v>2879</v>
      </c>
      <c r="O821" s="114" t="s">
        <v>2878</v>
      </c>
      <c r="P821" s="117" t="s">
        <v>2880</v>
      </c>
    </row>
    <row r="822" spans="2:16" ht="30" x14ac:dyDescent="0.25">
      <c r="B822" s="85" t="str">
        <f t="shared" si="84"/>
        <v>1</v>
      </c>
      <c r="C822" s="85" t="str">
        <f t="shared" si="85"/>
        <v>3</v>
      </c>
      <c r="D822" s="85" t="str">
        <f t="shared" si="86"/>
        <v>4</v>
      </c>
      <c r="E822" s="85" t="str">
        <f t="shared" si="87"/>
        <v>6</v>
      </c>
      <c r="F822" s="85" t="str">
        <f t="shared" si="88"/>
        <v>99</v>
      </c>
      <c r="G822" s="85" t="str">
        <f t="shared" si="89"/>
        <v>1</v>
      </c>
      <c r="H822" s="85" t="str">
        <f t="shared" si="90"/>
        <v>1</v>
      </c>
      <c r="I822" s="87">
        <v>13469911</v>
      </c>
      <c r="J822" s="85" t="s">
        <v>3954</v>
      </c>
      <c r="K822" s="85" t="s">
        <v>3955</v>
      </c>
      <c r="L822" s="84"/>
      <c r="M822" s="85" t="s">
        <v>3956</v>
      </c>
      <c r="N822" s="85" t="s">
        <v>2879</v>
      </c>
      <c r="O822" s="85" t="s">
        <v>3957</v>
      </c>
      <c r="P822" s="86" t="s">
        <v>2890</v>
      </c>
    </row>
    <row r="823" spans="2:16" ht="15.75" x14ac:dyDescent="0.25">
      <c r="B823" s="85" t="str">
        <f t="shared" si="84"/>
        <v>1</v>
      </c>
      <c r="C823" s="85" t="str">
        <f t="shared" si="85"/>
        <v>3</v>
      </c>
      <c r="D823" s="85" t="str">
        <f t="shared" si="86"/>
        <v>4</v>
      </c>
      <c r="E823" s="85" t="str">
        <f t="shared" si="87"/>
        <v>6</v>
      </c>
      <c r="F823" s="85" t="str">
        <f t="shared" si="88"/>
        <v>99</v>
      </c>
      <c r="G823" s="85" t="str">
        <f t="shared" si="89"/>
        <v>1</v>
      </c>
      <c r="H823" s="85" t="str">
        <f t="shared" si="90"/>
        <v>2</v>
      </c>
      <c r="I823" s="87">
        <v>13469912</v>
      </c>
      <c r="J823" s="85" t="s">
        <v>3958</v>
      </c>
      <c r="K823" s="85" t="s">
        <v>2892</v>
      </c>
      <c r="L823" s="84"/>
      <c r="M823" s="85" t="s">
        <v>2892</v>
      </c>
      <c r="N823" s="85" t="s">
        <v>2879</v>
      </c>
      <c r="O823" s="85" t="s">
        <v>2892</v>
      </c>
      <c r="P823" s="86" t="s">
        <v>2890</v>
      </c>
    </row>
    <row r="824" spans="2:16" ht="15.75" x14ac:dyDescent="0.25">
      <c r="B824" s="85" t="str">
        <f t="shared" si="84"/>
        <v>1</v>
      </c>
      <c r="C824" s="85" t="str">
        <f t="shared" si="85"/>
        <v>3</v>
      </c>
      <c r="D824" s="85" t="str">
        <f t="shared" si="86"/>
        <v>4</v>
      </c>
      <c r="E824" s="85" t="str">
        <f t="shared" si="87"/>
        <v>6</v>
      </c>
      <c r="F824" s="85" t="str">
        <f t="shared" si="88"/>
        <v>99</v>
      </c>
      <c r="G824" s="85" t="str">
        <f t="shared" si="89"/>
        <v>1</v>
      </c>
      <c r="H824" s="85" t="str">
        <f t="shared" si="90"/>
        <v>3</v>
      </c>
      <c r="I824" s="87">
        <v>13469913</v>
      </c>
      <c r="J824" s="85" t="s">
        <v>3959</v>
      </c>
      <c r="K824" s="85" t="s">
        <v>2892</v>
      </c>
      <c r="L824" s="84"/>
      <c r="M824" s="85" t="s">
        <v>2892</v>
      </c>
      <c r="N824" s="85" t="s">
        <v>2879</v>
      </c>
      <c r="O824" s="85" t="s">
        <v>2892</v>
      </c>
      <c r="P824" s="86" t="s">
        <v>2890</v>
      </c>
    </row>
    <row r="825" spans="2:16" ht="15.75" x14ac:dyDescent="0.25">
      <c r="B825" s="85" t="str">
        <f t="shared" si="84"/>
        <v>1</v>
      </c>
      <c r="C825" s="85" t="str">
        <f t="shared" si="85"/>
        <v>3</v>
      </c>
      <c r="D825" s="85" t="str">
        <f t="shared" si="86"/>
        <v>4</v>
      </c>
      <c r="E825" s="85" t="str">
        <f t="shared" si="87"/>
        <v>6</v>
      </c>
      <c r="F825" s="85" t="str">
        <f t="shared" si="88"/>
        <v>99</v>
      </c>
      <c r="G825" s="85" t="str">
        <f t="shared" si="89"/>
        <v>1</v>
      </c>
      <c r="H825" s="85" t="str">
        <f t="shared" si="90"/>
        <v>4</v>
      </c>
      <c r="I825" s="87">
        <v>13469914</v>
      </c>
      <c r="J825" s="85" t="s">
        <v>3960</v>
      </c>
      <c r="K825" s="85" t="s">
        <v>2892</v>
      </c>
      <c r="L825" s="84"/>
      <c r="M825" s="85" t="s">
        <v>2892</v>
      </c>
      <c r="N825" s="85" t="s">
        <v>2879</v>
      </c>
      <c r="O825" s="85" t="s">
        <v>2892</v>
      </c>
      <c r="P825" s="86" t="s">
        <v>2890</v>
      </c>
    </row>
    <row r="826" spans="2:16" ht="45" x14ac:dyDescent="0.25">
      <c r="B826" s="114" t="str">
        <f t="shared" si="84"/>
        <v>1</v>
      </c>
      <c r="C826" s="114" t="str">
        <f t="shared" si="85"/>
        <v>3</v>
      </c>
      <c r="D826" s="114" t="str">
        <f t="shared" si="86"/>
        <v>4</v>
      </c>
      <c r="E826" s="114" t="str">
        <f t="shared" si="87"/>
        <v>6</v>
      </c>
      <c r="F826" s="114" t="str">
        <f t="shared" si="88"/>
        <v>99</v>
      </c>
      <c r="G826" s="114" t="str">
        <f t="shared" si="89"/>
        <v>2</v>
      </c>
      <c r="H826" s="114" t="str">
        <f t="shared" si="90"/>
        <v>0</v>
      </c>
      <c r="I826" s="115">
        <v>13469920</v>
      </c>
      <c r="J826" s="114" t="s">
        <v>3961</v>
      </c>
      <c r="K826" s="114" t="s">
        <v>3962</v>
      </c>
      <c r="L826" s="116"/>
      <c r="M826" s="114" t="s">
        <v>2878</v>
      </c>
      <c r="N826" s="114" t="s">
        <v>2879</v>
      </c>
      <c r="O826" s="114" t="s">
        <v>2878</v>
      </c>
      <c r="P826" s="117" t="s">
        <v>2880</v>
      </c>
    </row>
    <row r="827" spans="2:16" ht="45" x14ac:dyDescent="0.25">
      <c r="B827" s="85" t="str">
        <f t="shared" si="84"/>
        <v>1</v>
      </c>
      <c r="C827" s="85" t="str">
        <f t="shared" si="85"/>
        <v>3</v>
      </c>
      <c r="D827" s="85" t="str">
        <f t="shared" si="86"/>
        <v>4</v>
      </c>
      <c r="E827" s="85" t="str">
        <f t="shared" si="87"/>
        <v>6</v>
      </c>
      <c r="F827" s="85" t="str">
        <f t="shared" si="88"/>
        <v>99</v>
      </c>
      <c r="G827" s="85" t="str">
        <f t="shared" si="89"/>
        <v>2</v>
      </c>
      <c r="H827" s="85" t="str">
        <f t="shared" si="90"/>
        <v>1</v>
      </c>
      <c r="I827" s="87">
        <v>13469921</v>
      </c>
      <c r="J827" s="85" t="s">
        <v>3963</v>
      </c>
      <c r="K827" s="85" t="s">
        <v>3964</v>
      </c>
      <c r="L827" s="84"/>
      <c r="M827" s="85" t="s">
        <v>3956</v>
      </c>
      <c r="N827" s="85" t="s">
        <v>2879</v>
      </c>
      <c r="O827" s="85" t="s">
        <v>3965</v>
      </c>
      <c r="P827" s="86" t="s">
        <v>2890</v>
      </c>
    </row>
    <row r="828" spans="2:16" ht="15.75" x14ac:dyDescent="0.25">
      <c r="B828" s="85" t="str">
        <f t="shared" si="84"/>
        <v>1</v>
      </c>
      <c r="C828" s="85" t="str">
        <f t="shared" si="85"/>
        <v>3</v>
      </c>
      <c r="D828" s="85" t="str">
        <f t="shared" si="86"/>
        <v>4</v>
      </c>
      <c r="E828" s="85" t="str">
        <f t="shared" si="87"/>
        <v>6</v>
      </c>
      <c r="F828" s="85" t="str">
        <f t="shared" si="88"/>
        <v>99</v>
      </c>
      <c r="G828" s="85" t="str">
        <f t="shared" si="89"/>
        <v>2</v>
      </c>
      <c r="H828" s="85" t="str">
        <f t="shared" si="90"/>
        <v>2</v>
      </c>
      <c r="I828" s="87">
        <v>13469922</v>
      </c>
      <c r="J828" s="85" t="s">
        <v>3966</v>
      </c>
      <c r="K828" s="85" t="s">
        <v>2892</v>
      </c>
      <c r="L828" s="84"/>
      <c r="M828" s="85" t="s">
        <v>2892</v>
      </c>
      <c r="N828" s="85" t="s">
        <v>2879</v>
      </c>
      <c r="O828" s="85" t="s">
        <v>2892</v>
      </c>
      <c r="P828" s="86" t="s">
        <v>2890</v>
      </c>
    </row>
    <row r="829" spans="2:16" ht="15.75" x14ac:dyDescent="0.25">
      <c r="B829" s="85" t="str">
        <f t="shared" si="84"/>
        <v>1</v>
      </c>
      <c r="C829" s="85" t="str">
        <f t="shared" si="85"/>
        <v>3</v>
      </c>
      <c r="D829" s="85" t="str">
        <f t="shared" si="86"/>
        <v>4</v>
      </c>
      <c r="E829" s="85" t="str">
        <f t="shared" si="87"/>
        <v>6</v>
      </c>
      <c r="F829" s="85" t="str">
        <f t="shared" si="88"/>
        <v>99</v>
      </c>
      <c r="G829" s="85" t="str">
        <f t="shared" si="89"/>
        <v>2</v>
      </c>
      <c r="H829" s="85" t="str">
        <f t="shared" si="90"/>
        <v>3</v>
      </c>
      <c r="I829" s="87">
        <v>13469923</v>
      </c>
      <c r="J829" s="85" t="s">
        <v>3967</v>
      </c>
      <c r="K829" s="85" t="s">
        <v>2892</v>
      </c>
      <c r="L829" s="84"/>
      <c r="M829" s="85" t="s">
        <v>2892</v>
      </c>
      <c r="N829" s="85" t="s">
        <v>2879</v>
      </c>
      <c r="O829" s="85" t="s">
        <v>2892</v>
      </c>
      <c r="P829" s="86" t="s">
        <v>2890</v>
      </c>
    </row>
    <row r="830" spans="2:16" ht="15.75" x14ac:dyDescent="0.25">
      <c r="B830" s="85" t="str">
        <f t="shared" si="84"/>
        <v>1</v>
      </c>
      <c r="C830" s="85" t="str">
        <f t="shared" si="85"/>
        <v>3</v>
      </c>
      <c r="D830" s="85" t="str">
        <f t="shared" si="86"/>
        <v>4</v>
      </c>
      <c r="E830" s="85" t="str">
        <f t="shared" si="87"/>
        <v>6</v>
      </c>
      <c r="F830" s="85" t="str">
        <f t="shared" si="88"/>
        <v>99</v>
      </c>
      <c r="G830" s="85" t="str">
        <f t="shared" si="89"/>
        <v>2</v>
      </c>
      <c r="H830" s="85" t="str">
        <f t="shared" si="90"/>
        <v>4</v>
      </c>
      <c r="I830" s="87">
        <v>13469924</v>
      </c>
      <c r="J830" s="85" t="s">
        <v>3968</v>
      </c>
      <c r="K830" s="85" t="s">
        <v>2892</v>
      </c>
      <c r="L830" s="84"/>
      <c r="M830" s="85" t="s">
        <v>2892</v>
      </c>
      <c r="N830" s="85" t="s">
        <v>2879</v>
      </c>
      <c r="O830" s="85" t="s">
        <v>2892</v>
      </c>
      <c r="P830" s="86" t="s">
        <v>2890</v>
      </c>
    </row>
    <row r="831" spans="2:16" ht="60" x14ac:dyDescent="0.25">
      <c r="B831" s="114" t="str">
        <f t="shared" si="84"/>
        <v>1</v>
      </c>
      <c r="C831" s="114" t="str">
        <f t="shared" si="85"/>
        <v>3</v>
      </c>
      <c r="D831" s="114" t="str">
        <f t="shared" si="86"/>
        <v>4</v>
      </c>
      <c r="E831" s="114" t="str">
        <f t="shared" si="87"/>
        <v>6</v>
      </c>
      <c r="F831" s="114" t="str">
        <f t="shared" si="88"/>
        <v>99</v>
      </c>
      <c r="G831" s="114" t="str">
        <f t="shared" si="89"/>
        <v>3</v>
      </c>
      <c r="H831" s="114" t="str">
        <f t="shared" si="90"/>
        <v>0</v>
      </c>
      <c r="I831" s="115">
        <v>13469930</v>
      </c>
      <c r="J831" s="114" t="s">
        <v>3969</v>
      </c>
      <c r="K831" s="114" t="s">
        <v>3970</v>
      </c>
      <c r="L831" s="116"/>
      <c r="M831" s="114" t="s">
        <v>2878</v>
      </c>
      <c r="N831" s="114" t="s">
        <v>2879</v>
      </c>
      <c r="O831" s="114" t="s">
        <v>2878</v>
      </c>
      <c r="P831" s="117" t="s">
        <v>2880</v>
      </c>
    </row>
    <row r="832" spans="2:16" ht="90" x14ac:dyDescent="0.25">
      <c r="B832" s="85" t="str">
        <f t="shared" si="84"/>
        <v>1</v>
      </c>
      <c r="C832" s="85" t="str">
        <f t="shared" si="85"/>
        <v>3</v>
      </c>
      <c r="D832" s="85" t="str">
        <f t="shared" si="86"/>
        <v>4</v>
      </c>
      <c r="E832" s="85" t="str">
        <f t="shared" si="87"/>
        <v>6</v>
      </c>
      <c r="F832" s="85" t="str">
        <f t="shared" si="88"/>
        <v>99</v>
      </c>
      <c r="G832" s="85" t="str">
        <f t="shared" si="89"/>
        <v>3</v>
      </c>
      <c r="H832" s="85" t="str">
        <f t="shared" si="90"/>
        <v>1</v>
      </c>
      <c r="I832" s="87">
        <v>13469931</v>
      </c>
      <c r="J832" s="85" t="s">
        <v>3971</v>
      </c>
      <c r="K832" s="85" t="s">
        <v>3972</v>
      </c>
      <c r="L832" s="84"/>
      <c r="M832" s="85" t="s">
        <v>3973</v>
      </c>
      <c r="N832" s="85" t="s">
        <v>2879</v>
      </c>
      <c r="O832" s="85" t="s">
        <v>3974</v>
      </c>
      <c r="P832" s="86" t="s">
        <v>2890</v>
      </c>
    </row>
    <row r="833" spans="2:16" ht="15.75" x14ac:dyDescent="0.25">
      <c r="B833" s="85" t="str">
        <f t="shared" si="84"/>
        <v>1</v>
      </c>
      <c r="C833" s="85" t="str">
        <f t="shared" si="85"/>
        <v>3</v>
      </c>
      <c r="D833" s="85" t="str">
        <f t="shared" si="86"/>
        <v>4</v>
      </c>
      <c r="E833" s="85" t="str">
        <f t="shared" si="87"/>
        <v>6</v>
      </c>
      <c r="F833" s="85" t="str">
        <f t="shared" si="88"/>
        <v>99</v>
      </c>
      <c r="G833" s="85" t="str">
        <f t="shared" si="89"/>
        <v>3</v>
      </c>
      <c r="H833" s="85" t="str">
        <f t="shared" si="90"/>
        <v>2</v>
      </c>
      <c r="I833" s="87">
        <v>13469932</v>
      </c>
      <c r="J833" s="85" t="s">
        <v>3975</v>
      </c>
      <c r="K833" s="85" t="s">
        <v>2892</v>
      </c>
      <c r="L833" s="84"/>
      <c r="M833" s="85" t="s">
        <v>2892</v>
      </c>
      <c r="N833" s="85" t="s">
        <v>2879</v>
      </c>
      <c r="O833" s="85" t="s">
        <v>2892</v>
      </c>
      <c r="P833" s="86" t="s">
        <v>2890</v>
      </c>
    </row>
    <row r="834" spans="2:16" ht="15.75" x14ac:dyDescent="0.25">
      <c r="B834" s="85" t="str">
        <f t="shared" si="84"/>
        <v>1</v>
      </c>
      <c r="C834" s="85" t="str">
        <f t="shared" si="85"/>
        <v>3</v>
      </c>
      <c r="D834" s="85" t="str">
        <f t="shared" si="86"/>
        <v>4</v>
      </c>
      <c r="E834" s="85" t="str">
        <f t="shared" si="87"/>
        <v>6</v>
      </c>
      <c r="F834" s="85" t="str">
        <f t="shared" si="88"/>
        <v>99</v>
      </c>
      <c r="G834" s="85" t="str">
        <f t="shared" si="89"/>
        <v>3</v>
      </c>
      <c r="H834" s="85" t="str">
        <f t="shared" si="90"/>
        <v>3</v>
      </c>
      <c r="I834" s="87">
        <v>13469933</v>
      </c>
      <c r="J834" s="85" t="s">
        <v>3976</v>
      </c>
      <c r="K834" s="85" t="s">
        <v>2892</v>
      </c>
      <c r="L834" s="84"/>
      <c r="M834" s="85" t="s">
        <v>2892</v>
      </c>
      <c r="N834" s="85" t="s">
        <v>2879</v>
      </c>
      <c r="O834" s="85" t="s">
        <v>2892</v>
      </c>
      <c r="P834" s="86" t="s">
        <v>2890</v>
      </c>
    </row>
    <row r="835" spans="2:16" ht="30" x14ac:dyDescent="0.25">
      <c r="B835" s="85" t="str">
        <f t="shared" si="84"/>
        <v>1</v>
      </c>
      <c r="C835" s="85" t="str">
        <f t="shared" si="85"/>
        <v>3</v>
      </c>
      <c r="D835" s="85" t="str">
        <f t="shared" si="86"/>
        <v>4</v>
      </c>
      <c r="E835" s="85" t="str">
        <f t="shared" si="87"/>
        <v>6</v>
      </c>
      <c r="F835" s="85" t="str">
        <f t="shared" si="88"/>
        <v>99</v>
      </c>
      <c r="G835" s="85" t="str">
        <f t="shared" si="89"/>
        <v>3</v>
      </c>
      <c r="H835" s="85" t="str">
        <f t="shared" si="90"/>
        <v>4</v>
      </c>
      <c r="I835" s="87">
        <v>13469934</v>
      </c>
      <c r="J835" s="85" t="s">
        <v>3977</v>
      </c>
      <c r="K835" s="85" t="s">
        <v>2892</v>
      </c>
      <c r="L835" s="84"/>
      <c r="M835" s="85" t="s">
        <v>2892</v>
      </c>
      <c r="N835" s="85" t="s">
        <v>2879</v>
      </c>
      <c r="O835" s="85" t="s">
        <v>2892</v>
      </c>
      <c r="P835" s="86" t="s">
        <v>2890</v>
      </c>
    </row>
    <row r="836" spans="2:16" ht="30" x14ac:dyDescent="0.25">
      <c r="B836" s="104" t="str">
        <f t="shared" si="84"/>
        <v>1</v>
      </c>
      <c r="C836" s="104" t="str">
        <f t="shared" si="85"/>
        <v>3</v>
      </c>
      <c r="D836" s="104" t="str">
        <f t="shared" si="86"/>
        <v>4</v>
      </c>
      <c r="E836" s="104" t="str">
        <f t="shared" si="87"/>
        <v>9</v>
      </c>
      <c r="F836" s="104" t="str">
        <f t="shared" si="88"/>
        <v>00</v>
      </c>
      <c r="G836" s="104" t="str">
        <f t="shared" si="89"/>
        <v>0</v>
      </c>
      <c r="H836" s="104" t="str">
        <f t="shared" si="90"/>
        <v>0</v>
      </c>
      <c r="I836" s="105">
        <v>13490000</v>
      </c>
      <c r="J836" s="104" t="s">
        <v>3978</v>
      </c>
      <c r="K836" s="104" t="s">
        <v>3979</v>
      </c>
      <c r="L836" s="106"/>
      <c r="M836" s="104" t="s">
        <v>2878</v>
      </c>
      <c r="N836" s="104" t="s">
        <v>2879</v>
      </c>
      <c r="O836" s="104" t="s">
        <v>2878</v>
      </c>
      <c r="P836" s="107" t="s">
        <v>2880</v>
      </c>
    </row>
    <row r="837" spans="2:16" ht="30" x14ac:dyDescent="0.25">
      <c r="B837" s="108" t="str">
        <f t="shared" si="84"/>
        <v>1</v>
      </c>
      <c r="C837" s="108" t="str">
        <f t="shared" si="85"/>
        <v>3</v>
      </c>
      <c r="D837" s="108" t="str">
        <f t="shared" si="86"/>
        <v>4</v>
      </c>
      <c r="E837" s="108" t="str">
        <f t="shared" si="87"/>
        <v>9</v>
      </c>
      <c r="F837" s="108" t="str">
        <f t="shared" si="88"/>
        <v>01</v>
      </c>
      <c r="G837" s="108" t="str">
        <f t="shared" si="89"/>
        <v>0</v>
      </c>
      <c r="H837" s="108" t="str">
        <f t="shared" si="90"/>
        <v>0</v>
      </c>
      <c r="I837" s="109">
        <v>13490100</v>
      </c>
      <c r="J837" s="108" t="s">
        <v>3980</v>
      </c>
      <c r="K837" s="108" t="s">
        <v>3981</v>
      </c>
      <c r="L837" s="110"/>
      <c r="M837" s="108" t="s">
        <v>2878</v>
      </c>
      <c r="N837" s="108" t="s">
        <v>2879</v>
      </c>
      <c r="O837" s="108" t="s">
        <v>2878</v>
      </c>
      <c r="P837" s="111" t="s">
        <v>2880</v>
      </c>
    </row>
    <row r="838" spans="2:16" ht="30" x14ac:dyDescent="0.25">
      <c r="B838" s="114" t="str">
        <f t="shared" si="84"/>
        <v>1</v>
      </c>
      <c r="C838" s="114" t="str">
        <f t="shared" si="85"/>
        <v>3</v>
      </c>
      <c r="D838" s="114" t="str">
        <f t="shared" si="86"/>
        <v>4</v>
      </c>
      <c r="E838" s="114" t="str">
        <f t="shared" si="87"/>
        <v>9</v>
      </c>
      <c r="F838" s="114" t="str">
        <f t="shared" si="88"/>
        <v>01</v>
      </c>
      <c r="G838" s="114" t="str">
        <f t="shared" si="89"/>
        <v>1</v>
      </c>
      <c r="H838" s="114" t="str">
        <f t="shared" si="90"/>
        <v>0</v>
      </c>
      <c r="I838" s="115">
        <v>13490110</v>
      </c>
      <c r="J838" s="114" t="s">
        <v>3980</v>
      </c>
      <c r="K838" s="114" t="s">
        <v>3981</v>
      </c>
      <c r="L838" s="116"/>
      <c r="M838" s="114" t="s">
        <v>2878</v>
      </c>
      <c r="N838" s="114" t="s">
        <v>2879</v>
      </c>
      <c r="O838" s="114" t="s">
        <v>2878</v>
      </c>
      <c r="P838" s="117" t="s">
        <v>2880</v>
      </c>
    </row>
    <row r="839" spans="2:16" ht="45" x14ac:dyDescent="0.25">
      <c r="B839" s="85" t="str">
        <f t="shared" si="84"/>
        <v>1</v>
      </c>
      <c r="C839" s="85" t="str">
        <f t="shared" si="85"/>
        <v>3</v>
      </c>
      <c r="D839" s="85" t="str">
        <f t="shared" si="86"/>
        <v>4</v>
      </c>
      <c r="E839" s="85" t="str">
        <f t="shared" si="87"/>
        <v>9</v>
      </c>
      <c r="F839" s="85" t="str">
        <f t="shared" si="88"/>
        <v>01</v>
      </c>
      <c r="G839" s="85" t="str">
        <f t="shared" si="89"/>
        <v>1</v>
      </c>
      <c r="H839" s="85" t="str">
        <f t="shared" si="90"/>
        <v>1</v>
      </c>
      <c r="I839" s="87">
        <v>13490111</v>
      </c>
      <c r="J839" s="85" t="s">
        <v>3982</v>
      </c>
      <c r="K839" s="85" t="s">
        <v>3983</v>
      </c>
      <c r="L839" s="84"/>
      <c r="M839" s="85" t="s">
        <v>3984</v>
      </c>
      <c r="N839" s="85" t="s">
        <v>771</v>
      </c>
      <c r="O839" s="85" t="s">
        <v>3985</v>
      </c>
      <c r="P839" s="86" t="s">
        <v>2890</v>
      </c>
    </row>
    <row r="840" spans="2:16" ht="15.75" x14ac:dyDescent="0.25">
      <c r="B840" s="85" t="str">
        <f t="shared" si="84"/>
        <v>1</v>
      </c>
      <c r="C840" s="85" t="str">
        <f t="shared" si="85"/>
        <v>3</v>
      </c>
      <c r="D840" s="85" t="str">
        <f t="shared" si="86"/>
        <v>4</v>
      </c>
      <c r="E840" s="85" t="str">
        <f t="shared" si="87"/>
        <v>9</v>
      </c>
      <c r="F840" s="85" t="str">
        <f t="shared" si="88"/>
        <v>01</v>
      </c>
      <c r="G840" s="85" t="str">
        <f t="shared" si="89"/>
        <v>1</v>
      </c>
      <c r="H840" s="85" t="str">
        <f t="shared" si="90"/>
        <v>2</v>
      </c>
      <c r="I840" s="87">
        <v>13490112</v>
      </c>
      <c r="J840" s="85" t="s">
        <v>3986</v>
      </c>
      <c r="K840" s="85" t="s">
        <v>2892</v>
      </c>
      <c r="L840" s="84"/>
      <c r="M840" s="85" t="s">
        <v>2892</v>
      </c>
      <c r="N840" s="85" t="s">
        <v>2879</v>
      </c>
      <c r="O840" s="85" t="s">
        <v>2892</v>
      </c>
      <c r="P840" s="86" t="s">
        <v>2890</v>
      </c>
    </row>
    <row r="841" spans="2:16" ht="15.75" x14ac:dyDescent="0.25">
      <c r="B841" s="85" t="str">
        <f t="shared" si="84"/>
        <v>1</v>
      </c>
      <c r="C841" s="85" t="str">
        <f t="shared" si="85"/>
        <v>3</v>
      </c>
      <c r="D841" s="85" t="str">
        <f t="shared" si="86"/>
        <v>4</v>
      </c>
      <c r="E841" s="85" t="str">
        <f t="shared" si="87"/>
        <v>9</v>
      </c>
      <c r="F841" s="85" t="str">
        <f t="shared" si="88"/>
        <v>01</v>
      </c>
      <c r="G841" s="85" t="str">
        <f t="shared" si="89"/>
        <v>1</v>
      </c>
      <c r="H841" s="85" t="str">
        <f t="shared" si="90"/>
        <v>3</v>
      </c>
      <c r="I841" s="87">
        <v>13490113</v>
      </c>
      <c r="J841" s="85" t="s">
        <v>3987</v>
      </c>
      <c r="K841" s="85" t="s">
        <v>2892</v>
      </c>
      <c r="L841" s="84"/>
      <c r="M841" s="85" t="s">
        <v>2892</v>
      </c>
      <c r="N841" s="85" t="s">
        <v>2879</v>
      </c>
      <c r="O841" s="85" t="s">
        <v>2892</v>
      </c>
      <c r="P841" s="86" t="s">
        <v>2890</v>
      </c>
    </row>
    <row r="842" spans="2:16" ht="15.75" x14ac:dyDescent="0.25">
      <c r="B842" s="85" t="str">
        <f t="shared" si="84"/>
        <v>1</v>
      </c>
      <c r="C842" s="85" t="str">
        <f t="shared" si="85"/>
        <v>3</v>
      </c>
      <c r="D842" s="85" t="str">
        <f t="shared" si="86"/>
        <v>4</v>
      </c>
      <c r="E842" s="85" t="str">
        <f t="shared" si="87"/>
        <v>9</v>
      </c>
      <c r="F842" s="85" t="str">
        <f t="shared" si="88"/>
        <v>01</v>
      </c>
      <c r="G842" s="85" t="str">
        <f t="shared" si="89"/>
        <v>1</v>
      </c>
      <c r="H842" s="85" t="str">
        <f t="shared" si="90"/>
        <v>4</v>
      </c>
      <c r="I842" s="87">
        <v>13490114</v>
      </c>
      <c r="J842" s="85" t="s">
        <v>3988</v>
      </c>
      <c r="K842" s="85" t="s">
        <v>2892</v>
      </c>
      <c r="L842" s="84"/>
      <c r="M842" s="85" t="s">
        <v>2892</v>
      </c>
      <c r="N842" s="85" t="s">
        <v>2879</v>
      </c>
      <c r="O842" s="85" t="s">
        <v>2892</v>
      </c>
      <c r="P842" s="86" t="s">
        <v>2890</v>
      </c>
    </row>
    <row r="843" spans="2:16" ht="30" x14ac:dyDescent="0.25">
      <c r="B843" s="108" t="str">
        <f t="shared" si="84"/>
        <v>1</v>
      </c>
      <c r="C843" s="108" t="str">
        <f t="shared" si="85"/>
        <v>3</v>
      </c>
      <c r="D843" s="108" t="str">
        <f t="shared" si="86"/>
        <v>4</v>
      </c>
      <c r="E843" s="108" t="str">
        <f t="shared" si="87"/>
        <v>9</v>
      </c>
      <c r="F843" s="108" t="str">
        <f t="shared" si="88"/>
        <v>99</v>
      </c>
      <c r="G843" s="108" t="str">
        <f t="shared" si="89"/>
        <v>0</v>
      </c>
      <c r="H843" s="108" t="str">
        <f t="shared" si="90"/>
        <v>0</v>
      </c>
      <c r="I843" s="109">
        <v>13499900</v>
      </c>
      <c r="J843" s="108" t="s">
        <v>3989</v>
      </c>
      <c r="K843" s="108" t="s">
        <v>3990</v>
      </c>
      <c r="L843" s="110"/>
      <c r="M843" s="108" t="s">
        <v>2878</v>
      </c>
      <c r="N843" s="108" t="s">
        <v>2879</v>
      </c>
      <c r="O843" s="108" t="s">
        <v>2878</v>
      </c>
      <c r="P843" s="111" t="s">
        <v>2880</v>
      </c>
    </row>
    <row r="844" spans="2:16" ht="30" x14ac:dyDescent="0.25">
      <c r="B844" s="114" t="str">
        <f t="shared" si="84"/>
        <v>1</v>
      </c>
      <c r="C844" s="114" t="str">
        <f t="shared" si="85"/>
        <v>3</v>
      </c>
      <c r="D844" s="114" t="str">
        <f t="shared" si="86"/>
        <v>4</v>
      </c>
      <c r="E844" s="114" t="str">
        <f t="shared" si="87"/>
        <v>9</v>
      </c>
      <c r="F844" s="114" t="str">
        <f t="shared" si="88"/>
        <v>99</v>
      </c>
      <c r="G844" s="114" t="str">
        <f t="shared" si="89"/>
        <v>1</v>
      </c>
      <c r="H844" s="114" t="str">
        <f t="shared" si="90"/>
        <v>0</v>
      </c>
      <c r="I844" s="115">
        <v>13499910</v>
      </c>
      <c r="J844" s="114" t="s">
        <v>3989</v>
      </c>
      <c r="K844" s="114" t="s">
        <v>3990</v>
      </c>
      <c r="L844" s="116"/>
      <c r="M844" s="114" t="s">
        <v>2878</v>
      </c>
      <c r="N844" s="114" t="s">
        <v>2879</v>
      </c>
      <c r="O844" s="114" t="s">
        <v>2878</v>
      </c>
      <c r="P844" s="117" t="s">
        <v>2880</v>
      </c>
    </row>
    <row r="845" spans="2:16" ht="30" x14ac:dyDescent="0.25">
      <c r="B845" s="85" t="str">
        <f t="shared" si="84"/>
        <v>1</v>
      </c>
      <c r="C845" s="85" t="str">
        <f t="shared" si="85"/>
        <v>3</v>
      </c>
      <c r="D845" s="85" t="str">
        <f t="shared" si="86"/>
        <v>4</v>
      </c>
      <c r="E845" s="85" t="str">
        <f t="shared" si="87"/>
        <v>9</v>
      </c>
      <c r="F845" s="85" t="str">
        <f t="shared" si="88"/>
        <v>99</v>
      </c>
      <c r="G845" s="85" t="str">
        <f t="shared" si="89"/>
        <v>1</v>
      </c>
      <c r="H845" s="85" t="str">
        <f t="shared" si="90"/>
        <v>1</v>
      </c>
      <c r="I845" s="87">
        <v>13499911</v>
      </c>
      <c r="J845" s="85" t="s">
        <v>3991</v>
      </c>
      <c r="K845" s="85" t="s">
        <v>3992</v>
      </c>
      <c r="L845" s="84"/>
      <c r="M845" s="85" t="s">
        <v>3044</v>
      </c>
      <c r="N845" s="85" t="s">
        <v>2879</v>
      </c>
      <c r="O845" s="85" t="s">
        <v>3993</v>
      </c>
      <c r="P845" s="86" t="s">
        <v>2890</v>
      </c>
    </row>
    <row r="846" spans="2:16" ht="15.75" x14ac:dyDescent="0.25">
      <c r="B846" s="85" t="str">
        <f t="shared" si="84"/>
        <v>1</v>
      </c>
      <c r="C846" s="85" t="str">
        <f t="shared" si="85"/>
        <v>3</v>
      </c>
      <c r="D846" s="85" t="str">
        <f t="shared" si="86"/>
        <v>4</v>
      </c>
      <c r="E846" s="85" t="str">
        <f t="shared" si="87"/>
        <v>9</v>
      </c>
      <c r="F846" s="85" t="str">
        <f t="shared" si="88"/>
        <v>99</v>
      </c>
      <c r="G846" s="85" t="str">
        <f t="shared" si="89"/>
        <v>1</v>
      </c>
      <c r="H846" s="85" t="str">
        <f t="shared" si="90"/>
        <v>2</v>
      </c>
      <c r="I846" s="87">
        <v>13499912</v>
      </c>
      <c r="J846" s="85" t="s">
        <v>3994</v>
      </c>
      <c r="K846" s="85" t="s">
        <v>2892</v>
      </c>
      <c r="L846" s="84"/>
      <c r="M846" s="85" t="s">
        <v>2892</v>
      </c>
      <c r="N846" s="85" t="s">
        <v>2879</v>
      </c>
      <c r="O846" s="85" t="s">
        <v>2892</v>
      </c>
      <c r="P846" s="86" t="s">
        <v>2890</v>
      </c>
    </row>
    <row r="847" spans="2:16" ht="15.75" x14ac:dyDescent="0.25">
      <c r="B847" s="85" t="str">
        <f t="shared" si="84"/>
        <v>1</v>
      </c>
      <c r="C847" s="85" t="str">
        <f t="shared" si="85"/>
        <v>3</v>
      </c>
      <c r="D847" s="85" t="str">
        <f t="shared" si="86"/>
        <v>4</v>
      </c>
      <c r="E847" s="85" t="str">
        <f t="shared" si="87"/>
        <v>9</v>
      </c>
      <c r="F847" s="85" t="str">
        <f t="shared" si="88"/>
        <v>99</v>
      </c>
      <c r="G847" s="85" t="str">
        <f t="shared" si="89"/>
        <v>1</v>
      </c>
      <c r="H847" s="85" t="str">
        <f t="shared" si="90"/>
        <v>3</v>
      </c>
      <c r="I847" s="87">
        <v>13499913</v>
      </c>
      <c r="J847" s="85" t="s">
        <v>3995</v>
      </c>
      <c r="K847" s="85" t="s">
        <v>2892</v>
      </c>
      <c r="L847" s="84"/>
      <c r="M847" s="85" t="s">
        <v>2892</v>
      </c>
      <c r="N847" s="85" t="s">
        <v>2879</v>
      </c>
      <c r="O847" s="85" t="s">
        <v>2892</v>
      </c>
      <c r="P847" s="86" t="s">
        <v>2890</v>
      </c>
    </row>
    <row r="848" spans="2:16" ht="30" x14ac:dyDescent="0.25">
      <c r="B848" s="85" t="str">
        <f t="shared" si="84"/>
        <v>1</v>
      </c>
      <c r="C848" s="85" t="str">
        <f t="shared" si="85"/>
        <v>3</v>
      </c>
      <c r="D848" s="85" t="str">
        <f t="shared" si="86"/>
        <v>4</v>
      </c>
      <c r="E848" s="85" t="str">
        <f t="shared" si="87"/>
        <v>9</v>
      </c>
      <c r="F848" s="85" t="str">
        <f t="shared" si="88"/>
        <v>99</v>
      </c>
      <c r="G848" s="85" t="str">
        <f t="shared" si="89"/>
        <v>1</v>
      </c>
      <c r="H848" s="85" t="str">
        <f t="shared" si="90"/>
        <v>4</v>
      </c>
      <c r="I848" s="87">
        <v>13499914</v>
      </c>
      <c r="J848" s="85" t="s">
        <v>3996</v>
      </c>
      <c r="K848" s="85" t="s">
        <v>2892</v>
      </c>
      <c r="L848" s="84"/>
      <c r="M848" s="85" t="s">
        <v>2892</v>
      </c>
      <c r="N848" s="85" t="s">
        <v>2879</v>
      </c>
      <c r="O848" s="85" t="s">
        <v>2892</v>
      </c>
      <c r="P848" s="86" t="s">
        <v>2890</v>
      </c>
    </row>
    <row r="849" spans="2:16" ht="30" x14ac:dyDescent="0.25">
      <c r="B849" s="126" t="str">
        <f t="shared" si="84"/>
        <v>1</v>
      </c>
      <c r="C849" s="126" t="str">
        <f t="shared" si="85"/>
        <v>3</v>
      </c>
      <c r="D849" s="126" t="str">
        <f t="shared" si="86"/>
        <v>5</v>
      </c>
      <c r="E849" s="126" t="str">
        <f t="shared" si="87"/>
        <v>0</v>
      </c>
      <c r="F849" s="126" t="str">
        <f t="shared" si="88"/>
        <v>00</v>
      </c>
      <c r="G849" s="126" t="str">
        <f t="shared" si="89"/>
        <v>0</v>
      </c>
      <c r="H849" s="126" t="str">
        <f t="shared" si="90"/>
        <v>0</v>
      </c>
      <c r="I849" s="127">
        <v>13500000</v>
      </c>
      <c r="J849" s="126" t="s">
        <v>3997</v>
      </c>
      <c r="K849" s="126" t="s">
        <v>3998</v>
      </c>
      <c r="L849" s="122"/>
      <c r="M849" s="126" t="s">
        <v>2878</v>
      </c>
      <c r="N849" s="126" t="s">
        <v>5016</v>
      </c>
      <c r="O849" s="126" t="s">
        <v>2878</v>
      </c>
      <c r="P849" s="128" t="s">
        <v>2880</v>
      </c>
    </row>
    <row r="850" spans="2:16" ht="45" x14ac:dyDescent="0.25">
      <c r="B850" s="108" t="str">
        <f t="shared" si="84"/>
        <v>1</v>
      </c>
      <c r="C850" s="108" t="str">
        <f t="shared" si="85"/>
        <v>3</v>
      </c>
      <c r="D850" s="108" t="str">
        <f t="shared" si="86"/>
        <v>5</v>
      </c>
      <c r="E850" s="108" t="str">
        <f t="shared" si="87"/>
        <v>0</v>
      </c>
      <c r="F850" s="108" t="str">
        <f t="shared" si="88"/>
        <v>01</v>
      </c>
      <c r="G850" s="108" t="str">
        <f t="shared" si="89"/>
        <v>0</v>
      </c>
      <c r="H850" s="108" t="str">
        <f t="shared" si="90"/>
        <v>0</v>
      </c>
      <c r="I850" s="109">
        <v>13500100</v>
      </c>
      <c r="J850" s="108" t="s">
        <v>3999</v>
      </c>
      <c r="K850" s="108" t="s">
        <v>4000</v>
      </c>
      <c r="L850" s="110"/>
      <c r="M850" s="108" t="s">
        <v>2878</v>
      </c>
      <c r="N850" s="108" t="s">
        <v>2879</v>
      </c>
      <c r="O850" s="108" t="s">
        <v>2878</v>
      </c>
      <c r="P850" s="111" t="s">
        <v>2880</v>
      </c>
    </row>
    <row r="851" spans="2:16" ht="45" x14ac:dyDescent="0.25">
      <c r="B851" s="114" t="str">
        <f t="shared" si="84"/>
        <v>1</v>
      </c>
      <c r="C851" s="114" t="str">
        <f t="shared" si="85"/>
        <v>3</v>
      </c>
      <c r="D851" s="114" t="str">
        <f t="shared" si="86"/>
        <v>5</v>
      </c>
      <c r="E851" s="114" t="str">
        <f t="shared" si="87"/>
        <v>0</v>
      </c>
      <c r="F851" s="114" t="str">
        <f t="shared" si="88"/>
        <v>01</v>
      </c>
      <c r="G851" s="114" t="str">
        <f t="shared" si="89"/>
        <v>1</v>
      </c>
      <c r="H851" s="114" t="str">
        <f t="shared" si="90"/>
        <v>0</v>
      </c>
      <c r="I851" s="115">
        <v>13500110</v>
      </c>
      <c r="J851" s="114" t="s">
        <v>3999</v>
      </c>
      <c r="K851" s="114" t="s">
        <v>4000</v>
      </c>
      <c r="L851" s="116"/>
      <c r="M851" s="114" t="s">
        <v>2878</v>
      </c>
      <c r="N851" s="114" t="s">
        <v>2879</v>
      </c>
      <c r="O851" s="114" t="s">
        <v>2878</v>
      </c>
      <c r="P851" s="117" t="s">
        <v>2880</v>
      </c>
    </row>
    <row r="852" spans="2:16" ht="45" x14ac:dyDescent="0.25">
      <c r="B852" s="85" t="str">
        <f t="shared" si="84"/>
        <v>1</v>
      </c>
      <c r="C852" s="85" t="str">
        <f t="shared" si="85"/>
        <v>3</v>
      </c>
      <c r="D852" s="85" t="str">
        <f t="shared" si="86"/>
        <v>5</v>
      </c>
      <c r="E852" s="85" t="str">
        <f t="shared" si="87"/>
        <v>0</v>
      </c>
      <c r="F852" s="85" t="str">
        <f t="shared" si="88"/>
        <v>01</v>
      </c>
      <c r="G852" s="85" t="str">
        <f t="shared" si="89"/>
        <v>1</v>
      </c>
      <c r="H852" s="85" t="str">
        <f t="shared" si="90"/>
        <v>1</v>
      </c>
      <c r="I852" s="87">
        <v>13500111</v>
      </c>
      <c r="J852" s="85" t="s">
        <v>4001</v>
      </c>
      <c r="K852" s="85" t="s">
        <v>4002</v>
      </c>
      <c r="L852" s="84"/>
      <c r="M852" s="85" t="s">
        <v>3044</v>
      </c>
      <c r="N852" s="85" t="s">
        <v>2879</v>
      </c>
      <c r="O852" s="85" t="s">
        <v>4003</v>
      </c>
      <c r="P852" s="86" t="s">
        <v>2890</v>
      </c>
    </row>
    <row r="853" spans="2:16" ht="30" x14ac:dyDescent="0.25">
      <c r="B853" s="85" t="str">
        <f t="shared" si="84"/>
        <v>1</v>
      </c>
      <c r="C853" s="85" t="str">
        <f t="shared" si="85"/>
        <v>3</v>
      </c>
      <c r="D853" s="85" t="str">
        <f t="shared" si="86"/>
        <v>5</v>
      </c>
      <c r="E853" s="85" t="str">
        <f t="shared" si="87"/>
        <v>0</v>
      </c>
      <c r="F853" s="85" t="str">
        <f t="shared" si="88"/>
        <v>01</v>
      </c>
      <c r="G853" s="85" t="str">
        <f t="shared" si="89"/>
        <v>1</v>
      </c>
      <c r="H853" s="85" t="str">
        <f t="shared" si="90"/>
        <v>2</v>
      </c>
      <c r="I853" s="87">
        <v>13500112</v>
      </c>
      <c r="J853" s="85" t="s">
        <v>4004</v>
      </c>
      <c r="K853" s="85" t="s">
        <v>2892</v>
      </c>
      <c r="L853" s="84"/>
      <c r="M853" s="85" t="s">
        <v>2892</v>
      </c>
      <c r="N853" s="85" t="s">
        <v>2879</v>
      </c>
      <c r="O853" s="85" t="s">
        <v>2892</v>
      </c>
      <c r="P853" s="86" t="s">
        <v>2890</v>
      </c>
    </row>
    <row r="854" spans="2:16" ht="30" x14ac:dyDescent="0.25">
      <c r="B854" s="85" t="str">
        <f t="shared" si="84"/>
        <v>1</v>
      </c>
      <c r="C854" s="85" t="str">
        <f t="shared" si="85"/>
        <v>3</v>
      </c>
      <c r="D854" s="85" t="str">
        <f t="shared" si="86"/>
        <v>5</v>
      </c>
      <c r="E854" s="85" t="str">
        <f t="shared" si="87"/>
        <v>0</v>
      </c>
      <c r="F854" s="85" t="str">
        <f t="shared" si="88"/>
        <v>01</v>
      </c>
      <c r="G854" s="85" t="str">
        <f t="shared" si="89"/>
        <v>1</v>
      </c>
      <c r="H854" s="85" t="str">
        <f t="shared" si="90"/>
        <v>3</v>
      </c>
      <c r="I854" s="87">
        <v>13500113</v>
      </c>
      <c r="J854" s="85" t="s">
        <v>4005</v>
      </c>
      <c r="K854" s="85" t="s">
        <v>2892</v>
      </c>
      <c r="L854" s="84"/>
      <c r="M854" s="85" t="s">
        <v>2892</v>
      </c>
      <c r="N854" s="85" t="s">
        <v>2879</v>
      </c>
      <c r="O854" s="85" t="s">
        <v>2892</v>
      </c>
      <c r="P854" s="86" t="s">
        <v>2890</v>
      </c>
    </row>
    <row r="855" spans="2:16" ht="30" x14ac:dyDescent="0.25">
      <c r="B855" s="85" t="str">
        <f t="shared" si="84"/>
        <v>1</v>
      </c>
      <c r="C855" s="85" t="str">
        <f t="shared" si="85"/>
        <v>3</v>
      </c>
      <c r="D855" s="85" t="str">
        <f t="shared" si="86"/>
        <v>5</v>
      </c>
      <c r="E855" s="85" t="str">
        <f t="shared" si="87"/>
        <v>0</v>
      </c>
      <c r="F855" s="85" t="str">
        <f t="shared" si="88"/>
        <v>01</v>
      </c>
      <c r="G855" s="85" t="str">
        <f t="shared" si="89"/>
        <v>1</v>
      </c>
      <c r="H855" s="85" t="str">
        <f t="shared" si="90"/>
        <v>4</v>
      </c>
      <c r="I855" s="87">
        <v>13500114</v>
      </c>
      <c r="J855" s="85" t="s">
        <v>4006</v>
      </c>
      <c r="K855" s="85" t="s">
        <v>2892</v>
      </c>
      <c r="L855" s="84"/>
      <c r="M855" s="85" t="s">
        <v>2892</v>
      </c>
      <c r="N855" s="85" t="s">
        <v>2879</v>
      </c>
      <c r="O855" s="85" t="s">
        <v>2892</v>
      </c>
      <c r="P855" s="86" t="s">
        <v>2890</v>
      </c>
    </row>
    <row r="856" spans="2:16" ht="45" x14ac:dyDescent="0.25">
      <c r="B856" s="108" t="str">
        <f t="shared" si="84"/>
        <v>1</v>
      </c>
      <c r="C856" s="108" t="str">
        <f t="shared" si="85"/>
        <v>3</v>
      </c>
      <c r="D856" s="108" t="str">
        <f t="shared" si="86"/>
        <v>5</v>
      </c>
      <c r="E856" s="108" t="str">
        <f t="shared" si="87"/>
        <v>0</v>
      </c>
      <c r="F856" s="108" t="str">
        <f t="shared" si="88"/>
        <v>02</v>
      </c>
      <c r="G856" s="108" t="str">
        <f t="shared" si="89"/>
        <v>0</v>
      </c>
      <c r="H856" s="108" t="str">
        <f t="shared" si="90"/>
        <v>0</v>
      </c>
      <c r="I856" s="109">
        <v>13500200</v>
      </c>
      <c r="J856" s="108" t="s">
        <v>4007</v>
      </c>
      <c r="K856" s="108" t="s">
        <v>4008</v>
      </c>
      <c r="L856" s="110"/>
      <c r="M856" s="108" t="s">
        <v>2878</v>
      </c>
      <c r="N856" s="108" t="s">
        <v>2879</v>
      </c>
      <c r="O856" s="108" t="s">
        <v>2878</v>
      </c>
      <c r="P856" s="111" t="s">
        <v>2880</v>
      </c>
    </row>
    <row r="857" spans="2:16" ht="45" x14ac:dyDescent="0.25">
      <c r="B857" s="114" t="str">
        <f t="shared" si="84"/>
        <v>1</v>
      </c>
      <c r="C857" s="114" t="str">
        <f t="shared" si="85"/>
        <v>3</v>
      </c>
      <c r="D857" s="114" t="str">
        <f t="shared" si="86"/>
        <v>5</v>
      </c>
      <c r="E857" s="114" t="str">
        <f t="shared" si="87"/>
        <v>0</v>
      </c>
      <c r="F857" s="114" t="str">
        <f t="shared" si="88"/>
        <v>02</v>
      </c>
      <c r="G857" s="114" t="str">
        <f t="shared" si="89"/>
        <v>1</v>
      </c>
      <c r="H857" s="114" t="str">
        <f t="shared" si="90"/>
        <v>0</v>
      </c>
      <c r="I857" s="115">
        <v>13500210</v>
      </c>
      <c r="J857" s="114" t="s">
        <v>4007</v>
      </c>
      <c r="K857" s="114" t="s">
        <v>4008</v>
      </c>
      <c r="L857" s="116"/>
      <c r="M857" s="114" t="s">
        <v>2878</v>
      </c>
      <c r="N857" s="114" t="s">
        <v>2879</v>
      </c>
      <c r="O857" s="114" t="s">
        <v>2878</v>
      </c>
      <c r="P857" s="117" t="s">
        <v>2880</v>
      </c>
    </row>
    <row r="858" spans="2:16" ht="105" x14ac:dyDescent="0.25">
      <c r="B858" s="85" t="str">
        <f t="shared" si="84"/>
        <v>1</v>
      </c>
      <c r="C858" s="85" t="str">
        <f t="shared" si="85"/>
        <v>3</v>
      </c>
      <c r="D858" s="85" t="str">
        <f t="shared" si="86"/>
        <v>5</v>
      </c>
      <c r="E858" s="85" t="str">
        <f t="shared" si="87"/>
        <v>0</v>
      </c>
      <c r="F858" s="85" t="str">
        <f t="shared" si="88"/>
        <v>02</v>
      </c>
      <c r="G858" s="85" t="str">
        <f t="shared" si="89"/>
        <v>1</v>
      </c>
      <c r="H858" s="85" t="str">
        <f t="shared" si="90"/>
        <v>1</v>
      </c>
      <c r="I858" s="87">
        <v>13500211</v>
      </c>
      <c r="J858" s="85" t="s">
        <v>4789</v>
      </c>
      <c r="K858" s="85" t="s">
        <v>4009</v>
      </c>
      <c r="L858" s="84"/>
      <c r="M858" s="85" t="s">
        <v>3044</v>
      </c>
      <c r="N858" s="85" t="s">
        <v>711</v>
      </c>
      <c r="O858" s="85" t="s">
        <v>4010</v>
      </c>
      <c r="P858" s="86" t="s">
        <v>2890</v>
      </c>
    </row>
    <row r="859" spans="2:16" ht="30" x14ac:dyDescent="0.25">
      <c r="B859" s="85" t="str">
        <f t="shared" si="84"/>
        <v>1</v>
      </c>
      <c r="C859" s="85" t="str">
        <f t="shared" si="85"/>
        <v>3</v>
      </c>
      <c r="D859" s="85" t="str">
        <f t="shared" si="86"/>
        <v>5</v>
      </c>
      <c r="E859" s="85" t="str">
        <f t="shared" si="87"/>
        <v>0</v>
      </c>
      <c r="F859" s="85" t="str">
        <f t="shared" si="88"/>
        <v>02</v>
      </c>
      <c r="G859" s="85" t="str">
        <f t="shared" si="89"/>
        <v>1</v>
      </c>
      <c r="H859" s="85" t="str">
        <f t="shared" si="90"/>
        <v>2</v>
      </c>
      <c r="I859" s="87">
        <v>13500212</v>
      </c>
      <c r="J859" s="85" t="s">
        <v>4790</v>
      </c>
      <c r="K859" s="85" t="s">
        <v>2892</v>
      </c>
      <c r="L859" s="84"/>
      <c r="M859" s="85" t="s">
        <v>2892</v>
      </c>
      <c r="N859" s="85" t="s">
        <v>2879</v>
      </c>
      <c r="O859" s="85" t="s">
        <v>2892</v>
      </c>
      <c r="P859" s="86" t="s">
        <v>2890</v>
      </c>
    </row>
    <row r="860" spans="2:16" ht="30" x14ac:dyDescent="0.25">
      <c r="B860" s="85" t="str">
        <f t="shared" si="84"/>
        <v>1</v>
      </c>
      <c r="C860" s="85" t="str">
        <f t="shared" si="85"/>
        <v>3</v>
      </c>
      <c r="D860" s="85" t="str">
        <f t="shared" si="86"/>
        <v>5</v>
      </c>
      <c r="E860" s="85" t="str">
        <f t="shared" si="87"/>
        <v>0</v>
      </c>
      <c r="F860" s="85" t="str">
        <f t="shared" si="88"/>
        <v>02</v>
      </c>
      <c r="G860" s="85" t="str">
        <f t="shared" si="89"/>
        <v>1</v>
      </c>
      <c r="H860" s="85" t="str">
        <f t="shared" si="90"/>
        <v>3</v>
      </c>
      <c r="I860" s="87">
        <v>13500213</v>
      </c>
      <c r="J860" s="85" t="s">
        <v>4791</v>
      </c>
      <c r="K860" s="85" t="s">
        <v>2892</v>
      </c>
      <c r="L860" s="84"/>
      <c r="M860" s="85" t="s">
        <v>2892</v>
      </c>
      <c r="N860" s="85" t="s">
        <v>2879</v>
      </c>
      <c r="O860" s="85" t="s">
        <v>2892</v>
      </c>
      <c r="P860" s="86" t="s">
        <v>2890</v>
      </c>
    </row>
    <row r="861" spans="2:16" ht="30" x14ac:dyDescent="0.25">
      <c r="B861" s="85" t="str">
        <f t="shared" si="84"/>
        <v>1</v>
      </c>
      <c r="C861" s="85" t="str">
        <f t="shared" si="85"/>
        <v>3</v>
      </c>
      <c r="D861" s="85" t="str">
        <f t="shared" si="86"/>
        <v>5</v>
      </c>
      <c r="E861" s="85" t="str">
        <f t="shared" si="87"/>
        <v>0</v>
      </c>
      <c r="F861" s="85" t="str">
        <f t="shared" si="88"/>
        <v>02</v>
      </c>
      <c r="G861" s="85" t="str">
        <f t="shared" si="89"/>
        <v>1</v>
      </c>
      <c r="H861" s="85" t="str">
        <f t="shared" si="90"/>
        <v>4</v>
      </c>
      <c r="I861" s="87">
        <v>13500214</v>
      </c>
      <c r="J861" s="85" t="s">
        <v>4792</v>
      </c>
      <c r="K861" s="85" t="s">
        <v>2892</v>
      </c>
      <c r="L861" s="84"/>
      <c r="M861" s="85" t="s">
        <v>2892</v>
      </c>
      <c r="N861" s="85" t="s">
        <v>2879</v>
      </c>
      <c r="O861" s="85" t="s">
        <v>2892</v>
      </c>
      <c r="P861" s="86" t="s">
        <v>2890</v>
      </c>
    </row>
    <row r="862" spans="2:16" ht="45" x14ac:dyDescent="0.25">
      <c r="B862" s="108" t="str">
        <f t="shared" si="84"/>
        <v>1</v>
      </c>
      <c r="C862" s="108" t="str">
        <f t="shared" si="85"/>
        <v>3</v>
      </c>
      <c r="D862" s="108" t="str">
        <f t="shared" si="86"/>
        <v>5</v>
      </c>
      <c r="E862" s="108" t="str">
        <f t="shared" si="87"/>
        <v>0</v>
      </c>
      <c r="F862" s="108" t="str">
        <f t="shared" si="88"/>
        <v>03</v>
      </c>
      <c r="G862" s="108" t="str">
        <f t="shared" si="89"/>
        <v>0</v>
      </c>
      <c r="H862" s="108" t="str">
        <f t="shared" si="90"/>
        <v>0</v>
      </c>
      <c r="I862" s="109">
        <v>13500300</v>
      </c>
      <c r="J862" s="108" t="s">
        <v>4011</v>
      </c>
      <c r="K862" s="108" t="s">
        <v>4012</v>
      </c>
      <c r="L862" s="110"/>
      <c r="M862" s="108" t="s">
        <v>2878</v>
      </c>
      <c r="N862" s="108"/>
      <c r="O862" s="108" t="s">
        <v>4013</v>
      </c>
      <c r="P862" s="111" t="s">
        <v>2880</v>
      </c>
    </row>
    <row r="863" spans="2:16" ht="30" x14ac:dyDescent="0.25">
      <c r="B863" s="114" t="str">
        <f t="shared" si="84"/>
        <v>1</v>
      </c>
      <c r="C863" s="114" t="str">
        <f t="shared" si="85"/>
        <v>3</v>
      </c>
      <c r="D863" s="114" t="str">
        <f t="shared" si="86"/>
        <v>5</v>
      </c>
      <c r="E863" s="114" t="str">
        <f t="shared" si="87"/>
        <v>0</v>
      </c>
      <c r="F863" s="114" t="str">
        <f t="shared" si="88"/>
        <v>03</v>
      </c>
      <c r="G863" s="114" t="str">
        <f t="shared" si="89"/>
        <v>1</v>
      </c>
      <c r="H863" s="114" t="str">
        <f t="shared" si="90"/>
        <v>0</v>
      </c>
      <c r="I863" s="115">
        <v>13500310</v>
      </c>
      <c r="J863" s="114" t="s">
        <v>4011</v>
      </c>
      <c r="K863" s="114" t="s">
        <v>4012</v>
      </c>
      <c r="L863" s="116"/>
      <c r="M863" s="114" t="s">
        <v>4014</v>
      </c>
      <c r="N863" s="114"/>
      <c r="O863" s="114" t="s">
        <v>4014</v>
      </c>
      <c r="P863" s="117" t="s">
        <v>2880</v>
      </c>
    </row>
    <row r="864" spans="2:16" ht="45" x14ac:dyDescent="0.25">
      <c r="B864" s="85" t="str">
        <f t="shared" si="84"/>
        <v>1</v>
      </c>
      <c r="C864" s="85" t="str">
        <f t="shared" si="85"/>
        <v>3</v>
      </c>
      <c r="D864" s="85" t="str">
        <f t="shared" si="86"/>
        <v>5</v>
      </c>
      <c r="E864" s="85" t="str">
        <f t="shared" si="87"/>
        <v>0</v>
      </c>
      <c r="F864" s="85" t="str">
        <f t="shared" si="88"/>
        <v>03</v>
      </c>
      <c r="G864" s="85" t="str">
        <f t="shared" si="89"/>
        <v>1</v>
      </c>
      <c r="H864" s="85" t="str">
        <f t="shared" si="90"/>
        <v>1</v>
      </c>
      <c r="I864" s="87">
        <v>13500311</v>
      </c>
      <c r="J864" s="85" t="s">
        <v>4015</v>
      </c>
      <c r="K864" s="85" t="s">
        <v>4012</v>
      </c>
      <c r="L864" s="84"/>
      <c r="M864" s="85" t="s">
        <v>4016</v>
      </c>
      <c r="N864" s="85"/>
      <c r="O864" s="85" t="s">
        <v>4017</v>
      </c>
      <c r="P864" s="86" t="s">
        <v>2890</v>
      </c>
    </row>
    <row r="865" spans="2:16" s="148" customFormat="1" ht="60" x14ac:dyDescent="0.25">
      <c r="B865" s="145" t="str">
        <f t="shared" si="84"/>
        <v>1</v>
      </c>
      <c r="C865" s="145" t="str">
        <f t="shared" si="85"/>
        <v>3</v>
      </c>
      <c r="D865" s="145" t="str">
        <f t="shared" si="86"/>
        <v>5</v>
      </c>
      <c r="E865" s="145" t="str">
        <f t="shared" si="87"/>
        <v>0</v>
      </c>
      <c r="F865" s="145" t="str">
        <f t="shared" si="88"/>
        <v>04</v>
      </c>
      <c r="G865" s="145" t="str">
        <f t="shared" si="89"/>
        <v>0</v>
      </c>
      <c r="H865" s="145" t="str">
        <f t="shared" si="90"/>
        <v>0</v>
      </c>
      <c r="I865" s="143">
        <v>13500400</v>
      </c>
      <c r="J865" s="145" t="s">
        <v>5584</v>
      </c>
      <c r="K865" s="145" t="s">
        <v>5585</v>
      </c>
      <c r="L865" s="146"/>
      <c r="M865" s="145" t="s">
        <v>2878</v>
      </c>
      <c r="N865" s="145" t="s">
        <v>5587</v>
      </c>
      <c r="O865" s="145" t="s">
        <v>5586</v>
      </c>
      <c r="P865" s="147" t="s">
        <v>2880</v>
      </c>
    </row>
    <row r="866" spans="2:16" s="148" customFormat="1" ht="60" x14ac:dyDescent="0.25">
      <c r="B866" s="149" t="str">
        <f t="shared" si="84"/>
        <v>1</v>
      </c>
      <c r="C866" s="149" t="str">
        <f t="shared" si="85"/>
        <v>3</v>
      </c>
      <c r="D866" s="149" t="str">
        <f t="shared" si="86"/>
        <v>5</v>
      </c>
      <c r="E866" s="149" t="str">
        <f t="shared" si="87"/>
        <v>0</v>
      </c>
      <c r="F866" s="149" t="str">
        <f t="shared" si="88"/>
        <v>04</v>
      </c>
      <c r="G866" s="149" t="str">
        <f t="shared" si="89"/>
        <v>1</v>
      </c>
      <c r="H866" s="149" t="str">
        <f t="shared" si="90"/>
        <v>0</v>
      </c>
      <c r="I866" s="144">
        <v>13500410</v>
      </c>
      <c r="J866" s="149" t="s">
        <v>5584</v>
      </c>
      <c r="K866" s="149" t="s">
        <v>5585</v>
      </c>
      <c r="L866" s="150"/>
      <c r="M866" s="149" t="s">
        <v>4014</v>
      </c>
      <c r="N866" s="149" t="s">
        <v>5587</v>
      </c>
      <c r="O866" s="149" t="s">
        <v>5586</v>
      </c>
      <c r="P866" s="151" t="s">
        <v>2880</v>
      </c>
    </row>
    <row r="867" spans="2:16" ht="30" x14ac:dyDescent="0.25">
      <c r="B867" s="126" t="str">
        <f t="shared" si="84"/>
        <v>1</v>
      </c>
      <c r="C867" s="126" t="str">
        <f t="shared" si="85"/>
        <v>3</v>
      </c>
      <c r="D867" s="126" t="str">
        <f t="shared" si="86"/>
        <v>6</v>
      </c>
      <c r="E867" s="126" t="str">
        <f t="shared" si="87"/>
        <v>0</v>
      </c>
      <c r="F867" s="126" t="str">
        <f t="shared" si="88"/>
        <v>00</v>
      </c>
      <c r="G867" s="126" t="str">
        <f t="shared" si="89"/>
        <v>0</v>
      </c>
      <c r="H867" s="126" t="str">
        <f t="shared" si="90"/>
        <v>0</v>
      </c>
      <c r="I867" s="127">
        <v>13600000</v>
      </c>
      <c r="J867" s="126" t="s">
        <v>4018</v>
      </c>
      <c r="K867" s="126" t="s">
        <v>4019</v>
      </c>
      <c r="L867" s="122"/>
      <c r="M867" s="126" t="s">
        <v>2878</v>
      </c>
      <c r="N867" s="126" t="s">
        <v>5016</v>
      </c>
      <c r="O867" s="126" t="s">
        <v>2878</v>
      </c>
      <c r="P867" s="128" t="s">
        <v>2880</v>
      </c>
    </row>
    <row r="868" spans="2:16" ht="90" x14ac:dyDescent="0.25">
      <c r="B868" s="108" t="str">
        <f t="shared" si="84"/>
        <v>1</v>
      </c>
      <c r="C868" s="108" t="str">
        <f t="shared" si="85"/>
        <v>3</v>
      </c>
      <c r="D868" s="108" t="str">
        <f t="shared" si="86"/>
        <v>6</v>
      </c>
      <c r="E868" s="108" t="str">
        <f t="shared" si="87"/>
        <v>0</v>
      </c>
      <c r="F868" s="108" t="str">
        <f t="shared" si="88"/>
        <v>01</v>
      </c>
      <c r="G868" s="108" t="str">
        <f t="shared" si="89"/>
        <v>0</v>
      </c>
      <c r="H868" s="108" t="str">
        <f t="shared" si="90"/>
        <v>0</v>
      </c>
      <c r="I868" s="109">
        <v>13600100</v>
      </c>
      <c r="J868" s="108" t="s">
        <v>4020</v>
      </c>
      <c r="K868" s="108" t="s">
        <v>4021</v>
      </c>
      <c r="L868" s="110"/>
      <c r="M868" s="108" t="s">
        <v>2878</v>
      </c>
      <c r="N868" s="108" t="s">
        <v>2879</v>
      </c>
      <c r="O868" s="108" t="s">
        <v>2878</v>
      </c>
      <c r="P868" s="111" t="s">
        <v>2880</v>
      </c>
    </row>
    <row r="869" spans="2:16" ht="90" x14ac:dyDescent="0.25">
      <c r="B869" s="114" t="str">
        <f t="shared" si="84"/>
        <v>1</v>
      </c>
      <c r="C869" s="114" t="str">
        <f t="shared" si="85"/>
        <v>3</v>
      </c>
      <c r="D869" s="114" t="str">
        <f t="shared" si="86"/>
        <v>6</v>
      </c>
      <c r="E869" s="114" t="str">
        <f t="shared" si="87"/>
        <v>0</v>
      </c>
      <c r="F869" s="114" t="str">
        <f t="shared" si="88"/>
        <v>01</v>
      </c>
      <c r="G869" s="114" t="str">
        <f t="shared" si="89"/>
        <v>1</v>
      </c>
      <c r="H869" s="114" t="str">
        <f t="shared" si="90"/>
        <v>0</v>
      </c>
      <c r="I869" s="115">
        <v>13600110</v>
      </c>
      <c r="J869" s="114" t="s">
        <v>4020</v>
      </c>
      <c r="K869" s="114" t="s">
        <v>4021</v>
      </c>
      <c r="L869" s="116"/>
      <c r="M869" s="114" t="s">
        <v>2878</v>
      </c>
      <c r="N869" s="114" t="s">
        <v>2879</v>
      </c>
      <c r="O869" s="114" t="s">
        <v>2878</v>
      </c>
      <c r="P869" s="117" t="s">
        <v>2880</v>
      </c>
    </row>
    <row r="870" spans="2:16" ht="90" x14ac:dyDescent="0.25">
      <c r="B870" s="85" t="str">
        <f t="shared" si="84"/>
        <v>1</v>
      </c>
      <c r="C870" s="85" t="str">
        <f t="shared" si="85"/>
        <v>3</v>
      </c>
      <c r="D870" s="85" t="str">
        <f t="shared" si="86"/>
        <v>6</v>
      </c>
      <c r="E870" s="85" t="str">
        <f t="shared" si="87"/>
        <v>0</v>
      </c>
      <c r="F870" s="85" t="str">
        <f t="shared" si="88"/>
        <v>01</v>
      </c>
      <c r="G870" s="85" t="str">
        <f t="shared" si="89"/>
        <v>1</v>
      </c>
      <c r="H870" s="85" t="str">
        <f t="shared" si="90"/>
        <v>1</v>
      </c>
      <c r="I870" s="87">
        <v>13600111</v>
      </c>
      <c r="J870" s="85" t="s">
        <v>4022</v>
      </c>
      <c r="K870" s="85" t="s">
        <v>4023</v>
      </c>
      <c r="L870" s="84"/>
      <c r="M870" s="85" t="s">
        <v>4024</v>
      </c>
      <c r="N870" s="85" t="s">
        <v>2879</v>
      </c>
      <c r="O870" s="85" t="s">
        <v>4025</v>
      </c>
      <c r="P870" s="86" t="s">
        <v>2890</v>
      </c>
    </row>
    <row r="871" spans="2:16" ht="15.75" x14ac:dyDescent="0.25">
      <c r="B871" s="85" t="str">
        <f t="shared" si="84"/>
        <v>1</v>
      </c>
      <c r="C871" s="85" t="str">
        <f t="shared" si="85"/>
        <v>3</v>
      </c>
      <c r="D871" s="85" t="str">
        <f t="shared" si="86"/>
        <v>6</v>
      </c>
      <c r="E871" s="85" t="str">
        <f t="shared" si="87"/>
        <v>0</v>
      </c>
      <c r="F871" s="85" t="str">
        <f t="shared" si="88"/>
        <v>01</v>
      </c>
      <c r="G871" s="85" t="str">
        <f t="shared" si="89"/>
        <v>1</v>
      </c>
      <c r="H871" s="85" t="str">
        <f t="shared" si="90"/>
        <v>2</v>
      </c>
      <c r="I871" s="87">
        <v>13600112</v>
      </c>
      <c r="J871" s="85" t="s">
        <v>4026</v>
      </c>
      <c r="K871" s="85" t="s">
        <v>2892</v>
      </c>
      <c r="L871" s="84"/>
      <c r="M871" s="85" t="s">
        <v>2892</v>
      </c>
      <c r="N871" s="85" t="s">
        <v>2879</v>
      </c>
      <c r="O871" s="85" t="s">
        <v>2892</v>
      </c>
      <c r="P871" s="86" t="s">
        <v>2890</v>
      </c>
    </row>
    <row r="872" spans="2:16" ht="15.75" x14ac:dyDescent="0.25">
      <c r="B872" s="85" t="str">
        <f t="shared" si="84"/>
        <v>1</v>
      </c>
      <c r="C872" s="85" t="str">
        <f t="shared" si="85"/>
        <v>3</v>
      </c>
      <c r="D872" s="85" t="str">
        <f t="shared" si="86"/>
        <v>6</v>
      </c>
      <c r="E872" s="85" t="str">
        <f t="shared" si="87"/>
        <v>0</v>
      </c>
      <c r="F872" s="85" t="str">
        <f t="shared" si="88"/>
        <v>01</v>
      </c>
      <c r="G872" s="85" t="str">
        <f t="shared" si="89"/>
        <v>1</v>
      </c>
      <c r="H872" s="85" t="str">
        <f t="shared" si="90"/>
        <v>3</v>
      </c>
      <c r="I872" s="87">
        <v>13600113</v>
      </c>
      <c r="J872" s="85" t="s">
        <v>4027</v>
      </c>
      <c r="K872" s="85" t="s">
        <v>2892</v>
      </c>
      <c r="L872" s="84"/>
      <c r="M872" s="85" t="s">
        <v>2892</v>
      </c>
      <c r="N872" s="85" t="s">
        <v>2879</v>
      </c>
      <c r="O872" s="85" t="s">
        <v>2892</v>
      </c>
      <c r="P872" s="86" t="s">
        <v>2890</v>
      </c>
    </row>
    <row r="873" spans="2:16" ht="30" x14ac:dyDescent="0.25">
      <c r="B873" s="85" t="str">
        <f t="shared" si="84"/>
        <v>1</v>
      </c>
      <c r="C873" s="85" t="str">
        <f t="shared" si="85"/>
        <v>3</v>
      </c>
      <c r="D873" s="85" t="str">
        <f t="shared" si="86"/>
        <v>6</v>
      </c>
      <c r="E873" s="85" t="str">
        <f t="shared" si="87"/>
        <v>0</v>
      </c>
      <c r="F873" s="85" t="str">
        <f t="shared" si="88"/>
        <v>01</v>
      </c>
      <c r="G873" s="85" t="str">
        <f t="shared" si="89"/>
        <v>1</v>
      </c>
      <c r="H873" s="85" t="str">
        <f t="shared" si="90"/>
        <v>4</v>
      </c>
      <c r="I873" s="87">
        <v>13600114</v>
      </c>
      <c r="J873" s="85" t="s">
        <v>4028</v>
      </c>
      <c r="K873" s="85" t="s">
        <v>2892</v>
      </c>
      <c r="L873" s="84"/>
      <c r="M873" s="85" t="s">
        <v>2892</v>
      </c>
      <c r="N873" s="85" t="s">
        <v>2879</v>
      </c>
      <c r="O873" s="85" t="s">
        <v>2892</v>
      </c>
      <c r="P873" s="86" t="s">
        <v>2890</v>
      </c>
    </row>
    <row r="874" spans="2:16" ht="30" x14ac:dyDescent="0.25">
      <c r="B874" s="126" t="str">
        <f t="shared" si="84"/>
        <v>1</v>
      </c>
      <c r="C874" s="126" t="str">
        <f t="shared" si="85"/>
        <v>3</v>
      </c>
      <c r="D874" s="126" t="str">
        <f t="shared" si="86"/>
        <v>9</v>
      </c>
      <c r="E874" s="126" t="str">
        <f t="shared" si="87"/>
        <v>0</v>
      </c>
      <c r="F874" s="126" t="str">
        <f t="shared" si="88"/>
        <v>00</v>
      </c>
      <c r="G874" s="126" t="str">
        <f t="shared" si="89"/>
        <v>0</v>
      </c>
      <c r="H874" s="126" t="str">
        <f t="shared" si="90"/>
        <v>0</v>
      </c>
      <c r="I874" s="127">
        <v>13900000</v>
      </c>
      <c r="J874" s="126" t="s">
        <v>4029</v>
      </c>
      <c r="K874" s="126" t="s">
        <v>4030</v>
      </c>
      <c r="L874" s="122"/>
      <c r="M874" s="126" t="s">
        <v>2878</v>
      </c>
      <c r="N874" s="126" t="s">
        <v>5016</v>
      </c>
      <c r="O874" s="126" t="s">
        <v>2878</v>
      </c>
      <c r="P874" s="128" t="s">
        <v>2880</v>
      </c>
    </row>
    <row r="875" spans="2:16" ht="30" x14ac:dyDescent="0.25">
      <c r="B875" s="114" t="str">
        <f t="shared" si="84"/>
        <v>1</v>
      </c>
      <c r="C875" s="114" t="str">
        <f t="shared" si="85"/>
        <v>3</v>
      </c>
      <c r="D875" s="114" t="str">
        <f t="shared" si="86"/>
        <v>9</v>
      </c>
      <c r="E875" s="114" t="str">
        <f t="shared" si="87"/>
        <v>0</v>
      </c>
      <c r="F875" s="114" t="str">
        <f t="shared" si="88"/>
        <v>00</v>
      </c>
      <c r="G875" s="114" t="str">
        <f t="shared" si="89"/>
        <v>1</v>
      </c>
      <c r="H875" s="114" t="str">
        <f t="shared" si="90"/>
        <v>0</v>
      </c>
      <c r="I875" s="115">
        <v>13900010</v>
      </c>
      <c r="J875" s="114" t="s">
        <v>4029</v>
      </c>
      <c r="K875" s="114" t="s">
        <v>4030</v>
      </c>
      <c r="L875" s="116"/>
      <c r="M875" s="114" t="s">
        <v>2878</v>
      </c>
      <c r="N875" s="114" t="s">
        <v>2879</v>
      </c>
      <c r="O875" s="114" t="s">
        <v>2878</v>
      </c>
      <c r="P875" s="117" t="s">
        <v>2880</v>
      </c>
    </row>
    <row r="876" spans="2:16" ht="30" x14ac:dyDescent="0.25">
      <c r="B876" s="85" t="str">
        <f t="shared" si="84"/>
        <v>1</v>
      </c>
      <c r="C876" s="85" t="str">
        <f t="shared" si="85"/>
        <v>3</v>
      </c>
      <c r="D876" s="85" t="str">
        <f t="shared" si="86"/>
        <v>9</v>
      </c>
      <c r="E876" s="85" t="str">
        <f t="shared" si="87"/>
        <v>0</v>
      </c>
      <c r="F876" s="85" t="str">
        <f t="shared" si="88"/>
        <v>00</v>
      </c>
      <c r="G876" s="85" t="str">
        <f t="shared" si="89"/>
        <v>1</v>
      </c>
      <c r="H876" s="85" t="str">
        <f t="shared" si="90"/>
        <v>1</v>
      </c>
      <c r="I876" s="87">
        <v>13900011</v>
      </c>
      <c r="J876" s="85" t="s">
        <v>4031</v>
      </c>
      <c r="K876" s="85" t="s">
        <v>4032</v>
      </c>
      <c r="L876" s="84"/>
      <c r="M876" s="85" t="s">
        <v>3044</v>
      </c>
      <c r="N876" s="85" t="s">
        <v>2879</v>
      </c>
      <c r="O876" s="85" t="s">
        <v>4033</v>
      </c>
      <c r="P876" s="86" t="s">
        <v>2890</v>
      </c>
    </row>
    <row r="877" spans="2:16" ht="15.75" x14ac:dyDescent="0.25">
      <c r="B877" s="85" t="str">
        <f t="shared" si="84"/>
        <v>1</v>
      </c>
      <c r="C877" s="85" t="str">
        <f t="shared" si="85"/>
        <v>3</v>
      </c>
      <c r="D877" s="85" t="str">
        <f t="shared" si="86"/>
        <v>9</v>
      </c>
      <c r="E877" s="85" t="str">
        <f t="shared" si="87"/>
        <v>0</v>
      </c>
      <c r="F877" s="85" t="str">
        <f t="shared" si="88"/>
        <v>00</v>
      </c>
      <c r="G877" s="85" t="str">
        <f t="shared" si="89"/>
        <v>1</v>
      </c>
      <c r="H877" s="85" t="str">
        <f t="shared" si="90"/>
        <v>2</v>
      </c>
      <c r="I877" s="87">
        <v>13900012</v>
      </c>
      <c r="J877" s="85" t="s">
        <v>4034</v>
      </c>
      <c r="K877" s="85" t="s">
        <v>2892</v>
      </c>
      <c r="L877" s="84"/>
      <c r="M877" s="85" t="s">
        <v>2892</v>
      </c>
      <c r="N877" s="85" t="s">
        <v>2879</v>
      </c>
      <c r="O877" s="85" t="s">
        <v>2892</v>
      </c>
      <c r="P877" s="86" t="s">
        <v>2890</v>
      </c>
    </row>
    <row r="878" spans="2:16" ht="15.75" x14ac:dyDescent="0.25">
      <c r="B878" s="85" t="str">
        <f t="shared" si="84"/>
        <v>1</v>
      </c>
      <c r="C878" s="85" t="str">
        <f t="shared" si="85"/>
        <v>3</v>
      </c>
      <c r="D878" s="85" t="str">
        <f t="shared" si="86"/>
        <v>9</v>
      </c>
      <c r="E878" s="85" t="str">
        <f t="shared" si="87"/>
        <v>0</v>
      </c>
      <c r="F878" s="85" t="str">
        <f t="shared" si="88"/>
        <v>00</v>
      </c>
      <c r="G878" s="85" t="str">
        <f t="shared" si="89"/>
        <v>1</v>
      </c>
      <c r="H878" s="85" t="str">
        <f t="shared" si="90"/>
        <v>3</v>
      </c>
      <c r="I878" s="87">
        <v>13900013</v>
      </c>
      <c r="J878" s="85" t="s">
        <v>4035</v>
      </c>
      <c r="K878" s="85" t="s">
        <v>2892</v>
      </c>
      <c r="L878" s="84"/>
      <c r="M878" s="85" t="s">
        <v>2892</v>
      </c>
      <c r="N878" s="85" t="s">
        <v>2879</v>
      </c>
      <c r="O878" s="85" t="s">
        <v>2892</v>
      </c>
      <c r="P878" s="86" t="s">
        <v>2890</v>
      </c>
    </row>
    <row r="879" spans="2:16" ht="15.75" x14ac:dyDescent="0.25">
      <c r="B879" s="85" t="str">
        <f t="shared" si="84"/>
        <v>1</v>
      </c>
      <c r="C879" s="85" t="str">
        <f t="shared" si="85"/>
        <v>3</v>
      </c>
      <c r="D879" s="85" t="str">
        <f t="shared" si="86"/>
        <v>9</v>
      </c>
      <c r="E879" s="85" t="str">
        <f t="shared" si="87"/>
        <v>0</v>
      </c>
      <c r="F879" s="85" t="str">
        <f t="shared" si="88"/>
        <v>00</v>
      </c>
      <c r="G879" s="85" t="str">
        <f t="shared" si="89"/>
        <v>1</v>
      </c>
      <c r="H879" s="85" t="str">
        <f t="shared" si="90"/>
        <v>4</v>
      </c>
      <c r="I879" s="87">
        <v>13900014</v>
      </c>
      <c r="J879" s="85" t="s">
        <v>4036</v>
      </c>
      <c r="K879" s="85" t="s">
        <v>2892</v>
      </c>
      <c r="L879" s="84"/>
      <c r="M879" s="85" t="s">
        <v>2892</v>
      </c>
      <c r="N879" s="85" t="s">
        <v>2879</v>
      </c>
      <c r="O879" s="85" t="s">
        <v>2892</v>
      </c>
      <c r="P879" s="86" t="s">
        <v>2890</v>
      </c>
    </row>
    <row r="880" spans="2:16" ht="30" x14ac:dyDescent="0.25">
      <c r="B880" s="123" t="str">
        <f t="shared" si="84"/>
        <v>1</v>
      </c>
      <c r="C880" s="123" t="str">
        <f t="shared" si="85"/>
        <v>4</v>
      </c>
      <c r="D880" s="123" t="str">
        <f t="shared" si="86"/>
        <v>0</v>
      </c>
      <c r="E880" s="123" t="str">
        <f t="shared" si="87"/>
        <v>0</v>
      </c>
      <c r="F880" s="123" t="str">
        <f t="shared" si="88"/>
        <v>00</v>
      </c>
      <c r="G880" s="123" t="str">
        <f t="shared" si="89"/>
        <v>0</v>
      </c>
      <c r="H880" s="123" t="str">
        <f t="shared" si="90"/>
        <v>0</v>
      </c>
      <c r="I880" s="124">
        <v>14000000</v>
      </c>
      <c r="J880" s="123" t="s">
        <v>910</v>
      </c>
      <c r="K880" s="123" t="s">
        <v>4037</v>
      </c>
      <c r="L880" s="103"/>
      <c r="M880" s="123" t="s">
        <v>2878</v>
      </c>
      <c r="N880" s="123" t="s">
        <v>5016</v>
      </c>
      <c r="O880" s="123" t="s">
        <v>2878</v>
      </c>
      <c r="P880" s="125" t="s">
        <v>2880</v>
      </c>
    </row>
    <row r="881" spans="2:16" ht="75" x14ac:dyDescent="0.25">
      <c r="B881" s="114" t="str">
        <f t="shared" si="84"/>
        <v>1</v>
      </c>
      <c r="C881" s="114" t="str">
        <f t="shared" si="85"/>
        <v>4</v>
      </c>
      <c r="D881" s="114" t="str">
        <f t="shared" si="86"/>
        <v>0</v>
      </c>
      <c r="E881" s="114" t="str">
        <f t="shared" si="87"/>
        <v>0</v>
      </c>
      <c r="F881" s="114" t="str">
        <f t="shared" si="88"/>
        <v>00</v>
      </c>
      <c r="G881" s="114" t="str">
        <f t="shared" si="89"/>
        <v>1</v>
      </c>
      <c r="H881" s="114" t="str">
        <f t="shared" si="90"/>
        <v>0</v>
      </c>
      <c r="I881" s="115">
        <v>14000010</v>
      </c>
      <c r="J881" s="114" t="s">
        <v>910</v>
      </c>
      <c r="K881" s="114" t="s">
        <v>4038</v>
      </c>
      <c r="L881" s="116"/>
      <c r="M881" s="114" t="s">
        <v>2878</v>
      </c>
      <c r="N881" s="114" t="s">
        <v>2879</v>
      </c>
      <c r="O881" s="114" t="s">
        <v>2878</v>
      </c>
      <c r="P881" s="117" t="s">
        <v>2880</v>
      </c>
    </row>
    <row r="882" spans="2:16" ht="135" x14ac:dyDescent="0.25">
      <c r="B882" s="85" t="str">
        <f t="shared" si="84"/>
        <v>1</v>
      </c>
      <c r="C882" s="85" t="str">
        <f t="shared" si="85"/>
        <v>4</v>
      </c>
      <c r="D882" s="85" t="str">
        <f t="shared" si="86"/>
        <v>0</v>
      </c>
      <c r="E882" s="85" t="str">
        <f t="shared" si="87"/>
        <v>0</v>
      </c>
      <c r="F882" s="85" t="str">
        <f t="shared" si="88"/>
        <v>00</v>
      </c>
      <c r="G882" s="85" t="str">
        <f t="shared" si="89"/>
        <v>1</v>
      </c>
      <c r="H882" s="85" t="str">
        <f t="shared" si="90"/>
        <v>1</v>
      </c>
      <c r="I882" s="87">
        <v>14000011</v>
      </c>
      <c r="J882" s="85" t="s">
        <v>4039</v>
      </c>
      <c r="K882" s="85" t="s">
        <v>4040</v>
      </c>
      <c r="L882" s="84"/>
      <c r="M882" s="85" t="s">
        <v>4024</v>
      </c>
      <c r="N882" s="85" t="s">
        <v>2879</v>
      </c>
      <c r="O882" s="85" t="s">
        <v>4041</v>
      </c>
      <c r="P882" s="86" t="s">
        <v>2890</v>
      </c>
    </row>
    <row r="883" spans="2:16" ht="15.75" x14ac:dyDescent="0.25">
      <c r="B883" s="85" t="str">
        <f t="shared" si="84"/>
        <v>1</v>
      </c>
      <c r="C883" s="85" t="str">
        <f t="shared" si="85"/>
        <v>4</v>
      </c>
      <c r="D883" s="85" t="str">
        <f t="shared" si="86"/>
        <v>0</v>
      </c>
      <c r="E883" s="85" t="str">
        <f t="shared" si="87"/>
        <v>0</v>
      </c>
      <c r="F883" s="85" t="str">
        <f t="shared" si="88"/>
        <v>00</v>
      </c>
      <c r="G883" s="85" t="str">
        <f t="shared" si="89"/>
        <v>1</v>
      </c>
      <c r="H883" s="85" t="str">
        <f t="shared" si="90"/>
        <v>2</v>
      </c>
      <c r="I883" s="87">
        <v>14000012</v>
      </c>
      <c r="J883" s="85" t="s">
        <v>4042</v>
      </c>
      <c r="K883" s="85" t="s">
        <v>2892</v>
      </c>
      <c r="L883" s="84"/>
      <c r="M883" s="85" t="s">
        <v>2892</v>
      </c>
      <c r="N883" s="85" t="s">
        <v>2879</v>
      </c>
      <c r="O883" s="85" t="s">
        <v>2892</v>
      </c>
      <c r="P883" s="86" t="s">
        <v>2890</v>
      </c>
    </row>
    <row r="884" spans="2:16" ht="15.75" x14ac:dyDescent="0.25">
      <c r="B884" s="85" t="str">
        <f t="shared" si="84"/>
        <v>1</v>
      </c>
      <c r="C884" s="85" t="str">
        <f t="shared" si="85"/>
        <v>4</v>
      </c>
      <c r="D884" s="85" t="str">
        <f t="shared" si="86"/>
        <v>0</v>
      </c>
      <c r="E884" s="85" t="str">
        <f t="shared" si="87"/>
        <v>0</v>
      </c>
      <c r="F884" s="85" t="str">
        <f t="shared" si="88"/>
        <v>00</v>
      </c>
      <c r="G884" s="85" t="str">
        <f t="shared" si="89"/>
        <v>1</v>
      </c>
      <c r="H884" s="85" t="str">
        <f t="shared" si="90"/>
        <v>3</v>
      </c>
      <c r="I884" s="87">
        <v>14000013</v>
      </c>
      <c r="J884" s="85" t="s">
        <v>4043</v>
      </c>
      <c r="K884" s="85" t="s">
        <v>2892</v>
      </c>
      <c r="L884" s="84"/>
      <c r="M884" s="85" t="s">
        <v>2892</v>
      </c>
      <c r="N884" s="85" t="s">
        <v>2879</v>
      </c>
      <c r="O884" s="85" t="s">
        <v>2892</v>
      </c>
      <c r="P884" s="86" t="s">
        <v>2890</v>
      </c>
    </row>
    <row r="885" spans="2:16" ht="15.75" x14ac:dyDescent="0.25">
      <c r="B885" s="85" t="str">
        <f t="shared" si="84"/>
        <v>1</v>
      </c>
      <c r="C885" s="85" t="str">
        <f t="shared" si="85"/>
        <v>4</v>
      </c>
      <c r="D885" s="85" t="str">
        <f t="shared" si="86"/>
        <v>0</v>
      </c>
      <c r="E885" s="85" t="str">
        <f t="shared" si="87"/>
        <v>0</v>
      </c>
      <c r="F885" s="85" t="str">
        <f t="shared" si="88"/>
        <v>00</v>
      </c>
      <c r="G885" s="85" t="str">
        <f t="shared" si="89"/>
        <v>1</v>
      </c>
      <c r="H885" s="85" t="str">
        <f t="shared" si="90"/>
        <v>4</v>
      </c>
      <c r="I885" s="87">
        <v>14000014</v>
      </c>
      <c r="J885" s="85" t="s">
        <v>4044</v>
      </c>
      <c r="K885" s="85" t="s">
        <v>2892</v>
      </c>
      <c r="L885" s="84"/>
      <c r="M885" s="85" t="s">
        <v>2892</v>
      </c>
      <c r="N885" s="85" t="s">
        <v>2879</v>
      </c>
      <c r="O885" s="85" t="s">
        <v>2892</v>
      </c>
      <c r="P885" s="86" t="s">
        <v>2890</v>
      </c>
    </row>
    <row r="886" spans="2:16" ht="30" x14ac:dyDescent="0.25">
      <c r="B886" s="123" t="str">
        <f t="shared" si="84"/>
        <v>1</v>
      </c>
      <c r="C886" s="123" t="str">
        <f t="shared" si="85"/>
        <v>5</v>
      </c>
      <c r="D886" s="123" t="str">
        <f t="shared" si="86"/>
        <v>0</v>
      </c>
      <c r="E886" s="123" t="str">
        <f t="shared" si="87"/>
        <v>0</v>
      </c>
      <c r="F886" s="123" t="str">
        <f t="shared" si="88"/>
        <v>00</v>
      </c>
      <c r="G886" s="123" t="str">
        <f t="shared" si="89"/>
        <v>0</v>
      </c>
      <c r="H886" s="123" t="str">
        <f t="shared" si="90"/>
        <v>0</v>
      </c>
      <c r="I886" s="124">
        <v>15000000</v>
      </c>
      <c r="J886" s="123" t="s">
        <v>918</v>
      </c>
      <c r="K886" s="123" t="s">
        <v>4045</v>
      </c>
      <c r="L886" s="103"/>
      <c r="M886" s="123" t="s">
        <v>2878</v>
      </c>
      <c r="N886" s="123" t="s">
        <v>5016</v>
      </c>
      <c r="O886" s="123" t="s">
        <v>2878</v>
      </c>
      <c r="P886" s="125" t="s">
        <v>2880</v>
      </c>
    </row>
    <row r="887" spans="2:16" ht="45" x14ac:dyDescent="0.25">
      <c r="B887" s="114" t="str">
        <f t="shared" ref="B887:B950" si="91">MID($I887,1,1)</f>
        <v>1</v>
      </c>
      <c r="C887" s="114" t="str">
        <f t="shared" ref="C887:C950" si="92">MID($I887,2,1)</f>
        <v>5</v>
      </c>
      <c r="D887" s="114" t="str">
        <f t="shared" ref="D887:D950" si="93">MID($I887,3,1)</f>
        <v>0</v>
      </c>
      <c r="E887" s="114" t="str">
        <f t="shared" ref="E887:E950" si="94">MID($I887,4,1)</f>
        <v>0</v>
      </c>
      <c r="F887" s="114" t="str">
        <f t="shared" ref="F887:F950" si="95">MID($I887,5,2)</f>
        <v>00</v>
      </c>
      <c r="G887" s="114" t="str">
        <f t="shared" ref="G887:G950" si="96">MID($I887,7,1)</f>
        <v>1</v>
      </c>
      <c r="H887" s="114" t="str">
        <f t="shared" ref="H887:H950" si="97">MID($I887,8,1)</f>
        <v>0</v>
      </c>
      <c r="I887" s="115">
        <v>15000010</v>
      </c>
      <c r="J887" s="114" t="s">
        <v>918</v>
      </c>
      <c r="K887" s="114" t="s">
        <v>4046</v>
      </c>
      <c r="L887" s="116"/>
      <c r="M887" s="114" t="s">
        <v>2878</v>
      </c>
      <c r="N887" s="114" t="s">
        <v>2879</v>
      </c>
      <c r="O887" s="114" t="s">
        <v>2878</v>
      </c>
      <c r="P887" s="117" t="s">
        <v>2880</v>
      </c>
    </row>
    <row r="888" spans="2:16" ht="150" x14ac:dyDescent="0.25">
      <c r="B888" s="85" t="str">
        <f t="shared" si="91"/>
        <v>1</v>
      </c>
      <c r="C888" s="85" t="str">
        <f t="shared" si="92"/>
        <v>5</v>
      </c>
      <c r="D888" s="85" t="str">
        <f t="shared" si="93"/>
        <v>0</v>
      </c>
      <c r="E888" s="85" t="str">
        <f t="shared" si="94"/>
        <v>0</v>
      </c>
      <c r="F888" s="85" t="str">
        <f t="shared" si="95"/>
        <v>00</v>
      </c>
      <c r="G888" s="85" t="str">
        <f t="shared" si="96"/>
        <v>1</v>
      </c>
      <c r="H888" s="85" t="str">
        <f t="shared" si="97"/>
        <v>1</v>
      </c>
      <c r="I888" s="87">
        <v>15000011</v>
      </c>
      <c r="J888" s="85" t="s">
        <v>4047</v>
      </c>
      <c r="K888" s="85" t="s">
        <v>4048</v>
      </c>
      <c r="L888" s="84"/>
      <c r="M888" s="85" t="s">
        <v>4024</v>
      </c>
      <c r="N888" s="85" t="s">
        <v>2879</v>
      </c>
      <c r="O888" s="85" t="s">
        <v>4041</v>
      </c>
      <c r="P888" s="86" t="s">
        <v>2890</v>
      </c>
    </row>
    <row r="889" spans="2:16" ht="15.75" x14ac:dyDescent="0.25">
      <c r="B889" s="85" t="str">
        <f t="shared" si="91"/>
        <v>1</v>
      </c>
      <c r="C889" s="85" t="str">
        <f t="shared" si="92"/>
        <v>5</v>
      </c>
      <c r="D889" s="85" t="str">
        <f t="shared" si="93"/>
        <v>0</v>
      </c>
      <c r="E889" s="85" t="str">
        <f t="shared" si="94"/>
        <v>0</v>
      </c>
      <c r="F889" s="85" t="str">
        <f t="shared" si="95"/>
        <v>00</v>
      </c>
      <c r="G889" s="85" t="str">
        <f t="shared" si="96"/>
        <v>1</v>
      </c>
      <c r="H889" s="85" t="str">
        <f t="shared" si="97"/>
        <v>2</v>
      </c>
      <c r="I889" s="87">
        <v>15000012</v>
      </c>
      <c r="J889" s="85" t="s">
        <v>4049</v>
      </c>
      <c r="K889" s="85" t="s">
        <v>2892</v>
      </c>
      <c r="L889" s="84"/>
      <c r="M889" s="85" t="s">
        <v>2892</v>
      </c>
      <c r="N889" s="85" t="s">
        <v>2879</v>
      </c>
      <c r="O889" s="85" t="s">
        <v>2892</v>
      </c>
      <c r="P889" s="86" t="s">
        <v>2890</v>
      </c>
    </row>
    <row r="890" spans="2:16" ht="15.75" x14ac:dyDescent="0.25">
      <c r="B890" s="85" t="str">
        <f t="shared" si="91"/>
        <v>1</v>
      </c>
      <c r="C890" s="85" t="str">
        <f t="shared" si="92"/>
        <v>5</v>
      </c>
      <c r="D890" s="85" t="str">
        <f t="shared" si="93"/>
        <v>0</v>
      </c>
      <c r="E890" s="85" t="str">
        <f t="shared" si="94"/>
        <v>0</v>
      </c>
      <c r="F890" s="85" t="str">
        <f t="shared" si="95"/>
        <v>00</v>
      </c>
      <c r="G890" s="85" t="str">
        <f t="shared" si="96"/>
        <v>1</v>
      </c>
      <c r="H890" s="85" t="str">
        <f t="shared" si="97"/>
        <v>3</v>
      </c>
      <c r="I890" s="87">
        <v>15000013</v>
      </c>
      <c r="J890" s="85" t="s">
        <v>4050</v>
      </c>
      <c r="K890" s="85" t="s">
        <v>2892</v>
      </c>
      <c r="L890" s="84"/>
      <c r="M890" s="85" t="s">
        <v>2892</v>
      </c>
      <c r="N890" s="85" t="s">
        <v>2879</v>
      </c>
      <c r="O890" s="85" t="s">
        <v>2892</v>
      </c>
      <c r="P890" s="86" t="s">
        <v>2890</v>
      </c>
    </row>
    <row r="891" spans="2:16" ht="15.75" x14ac:dyDescent="0.25">
      <c r="B891" s="85" t="str">
        <f t="shared" si="91"/>
        <v>1</v>
      </c>
      <c r="C891" s="85" t="str">
        <f t="shared" si="92"/>
        <v>5</v>
      </c>
      <c r="D891" s="85" t="str">
        <f t="shared" si="93"/>
        <v>0</v>
      </c>
      <c r="E891" s="85" t="str">
        <f t="shared" si="94"/>
        <v>0</v>
      </c>
      <c r="F891" s="85" t="str">
        <f t="shared" si="95"/>
        <v>00</v>
      </c>
      <c r="G891" s="85" t="str">
        <f t="shared" si="96"/>
        <v>1</v>
      </c>
      <c r="H891" s="85" t="str">
        <f t="shared" si="97"/>
        <v>4</v>
      </c>
      <c r="I891" s="87">
        <v>15000014</v>
      </c>
      <c r="J891" s="85" t="s">
        <v>4051</v>
      </c>
      <c r="K891" s="85" t="s">
        <v>2892</v>
      </c>
      <c r="L891" s="84"/>
      <c r="M891" s="85" t="s">
        <v>2892</v>
      </c>
      <c r="N891" s="85" t="s">
        <v>2879</v>
      </c>
      <c r="O891" s="85" t="s">
        <v>2892</v>
      </c>
      <c r="P891" s="86" t="s">
        <v>2890</v>
      </c>
    </row>
    <row r="892" spans="2:16" ht="30" x14ac:dyDescent="0.25">
      <c r="B892" s="123" t="str">
        <f t="shared" si="91"/>
        <v>1</v>
      </c>
      <c r="C892" s="123" t="str">
        <f t="shared" si="92"/>
        <v>6</v>
      </c>
      <c r="D892" s="123" t="str">
        <f t="shared" si="93"/>
        <v>0</v>
      </c>
      <c r="E892" s="123" t="str">
        <f t="shared" si="94"/>
        <v>0</v>
      </c>
      <c r="F892" s="123" t="str">
        <f t="shared" si="95"/>
        <v>00</v>
      </c>
      <c r="G892" s="123" t="str">
        <f t="shared" si="96"/>
        <v>0</v>
      </c>
      <c r="H892" s="123" t="str">
        <f t="shared" si="97"/>
        <v>0</v>
      </c>
      <c r="I892" s="124">
        <v>16000000</v>
      </c>
      <c r="J892" s="123" t="s">
        <v>952</v>
      </c>
      <c r="K892" s="123" t="s">
        <v>4052</v>
      </c>
      <c r="L892" s="103"/>
      <c r="M892" s="123" t="s">
        <v>2878</v>
      </c>
      <c r="N892" s="123" t="s">
        <v>5016</v>
      </c>
      <c r="O892" s="123" t="s">
        <v>2878</v>
      </c>
      <c r="P892" s="125" t="s">
        <v>2880</v>
      </c>
    </row>
    <row r="893" spans="2:16" ht="60" x14ac:dyDescent="0.25">
      <c r="B893" s="126" t="str">
        <f t="shared" si="91"/>
        <v>1</v>
      </c>
      <c r="C893" s="126" t="str">
        <f t="shared" si="92"/>
        <v>6</v>
      </c>
      <c r="D893" s="126" t="str">
        <f t="shared" si="93"/>
        <v>1</v>
      </c>
      <c r="E893" s="126" t="str">
        <f t="shared" si="94"/>
        <v>0</v>
      </c>
      <c r="F893" s="126" t="str">
        <f t="shared" si="95"/>
        <v>00</v>
      </c>
      <c r="G893" s="126" t="str">
        <f t="shared" si="96"/>
        <v>0</v>
      </c>
      <c r="H893" s="126" t="str">
        <f t="shared" si="97"/>
        <v>0</v>
      </c>
      <c r="I893" s="127">
        <v>16100000</v>
      </c>
      <c r="J893" s="126" t="s">
        <v>4053</v>
      </c>
      <c r="K893" s="126" t="s">
        <v>4054</v>
      </c>
      <c r="L893" s="122"/>
      <c r="M893" s="126" t="s">
        <v>2878</v>
      </c>
      <c r="N893" s="126" t="s">
        <v>5016</v>
      </c>
      <c r="O893" s="126" t="s">
        <v>2878</v>
      </c>
      <c r="P893" s="128" t="s">
        <v>2880</v>
      </c>
    </row>
    <row r="894" spans="2:16" ht="30" x14ac:dyDescent="0.25">
      <c r="B894" s="108" t="str">
        <f t="shared" si="91"/>
        <v>1</v>
      </c>
      <c r="C894" s="108" t="str">
        <f t="shared" si="92"/>
        <v>6</v>
      </c>
      <c r="D894" s="108" t="str">
        <f t="shared" si="93"/>
        <v>1</v>
      </c>
      <c r="E894" s="108" t="str">
        <f t="shared" si="94"/>
        <v>0</v>
      </c>
      <c r="F894" s="108" t="str">
        <f t="shared" si="95"/>
        <v>01</v>
      </c>
      <c r="G894" s="108" t="str">
        <f t="shared" si="96"/>
        <v>0</v>
      </c>
      <c r="H894" s="108" t="str">
        <f t="shared" si="97"/>
        <v>0</v>
      </c>
      <c r="I894" s="109">
        <v>16100100</v>
      </c>
      <c r="J894" s="108" t="s">
        <v>4053</v>
      </c>
      <c r="K894" s="108" t="s">
        <v>4055</v>
      </c>
      <c r="L894" s="110"/>
      <c r="M894" s="108" t="s">
        <v>2878</v>
      </c>
      <c r="N894" s="108" t="s">
        <v>2879</v>
      </c>
      <c r="O894" s="108" t="s">
        <v>2878</v>
      </c>
      <c r="P894" s="111" t="s">
        <v>2880</v>
      </c>
    </row>
    <row r="895" spans="2:16" ht="30" x14ac:dyDescent="0.25">
      <c r="B895" s="114" t="str">
        <f t="shared" si="91"/>
        <v>1</v>
      </c>
      <c r="C895" s="114" t="str">
        <f t="shared" si="92"/>
        <v>6</v>
      </c>
      <c r="D895" s="114" t="str">
        <f t="shared" si="93"/>
        <v>1</v>
      </c>
      <c r="E895" s="114" t="str">
        <f t="shared" si="94"/>
        <v>0</v>
      </c>
      <c r="F895" s="114" t="str">
        <f t="shared" si="95"/>
        <v>01</v>
      </c>
      <c r="G895" s="114" t="str">
        <f t="shared" si="96"/>
        <v>1</v>
      </c>
      <c r="H895" s="114" t="str">
        <f t="shared" si="97"/>
        <v>0</v>
      </c>
      <c r="I895" s="115">
        <v>16100110</v>
      </c>
      <c r="J895" s="114" t="s">
        <v>4053</v>
      </c>
      <c r="K895" s="114" t="s">
        <v>4055</v>
      </c>
      <c r="L895" s="116"/>
      <c r="M895" s="114" t="s">
        <v>2878</v>
      </c>
      <c r="N895" s="114" t="s">
        <v>2879</v>
      </c>
      <c r="O895" s="114" t="s">
        <v>2878</v>
      </c>
      <c r="P895" s="117" t="s">
        <v>2880</v>
      </c>
    </row>
    <row r="896" spans="2:16" ht="30" x14ac:dyDescent="0.25">
      <c r="B896" s="85" t="str">
        <f t="shared" si="91"/>
        <v>1</v>
      </c>
      <c r="C896" s="85" t="str">
        <f t="shared" si="92"/>
        <v>6</v>
      </c>
      <c r="D896" s="85" t="str">
        <f t="shared" si="93"/>
        <v>1</v>
      </c>
      <c r="E896" s="85" t="str">
        <f t="shared" si="94"/>
        <v>0</v>
      </c>
      <c r="F896" s="85" t="str">
        <f t="shared" si="95"/>
        <v>01</v>
      </c>
      <c r="G896" s="85" t="str">
        <f t="shared" si="96"/>
        <v>1</v>
      </c>
      <c r="H896" s="85" t="str">
        <f t="shared" si="97"/>
        <v>1</v>
      </c>
      <c r="I896" s="87">
        <v>16100111</v>
      </c>
      <c r="J896" s="85" t="s">
        <v>4056</v>
      </c>
      <c r="K896" s="85" t="s">
        <v>4057</v>
      </c>
      <c r="L896" s="84"/>
      <c r="M896" s="85" t="s">
        <v>4024</v>
      </c>
      <c r="N896" s="85" t="s">
        <v>2879</v>
      </c>
      <c r="O896" s="85" t="s">
        <v>4041</v>
      </c>
      <c r="P896" s="86" t="s">
        <v>2890</v>
      </c>
    </row>
    <row r="897" spans="2:16" ht="15.75" x14ac:dyDescent="0.25">
      <c r="B897" s="85" t="str">
        <f t="shared" si="91"/>
        <v>1</v>
      </c>
      <c r="C897" s="85" t="str">
        <f t="shared" si="92"/>
        <v>6</v>
      </c>
      <c r="D897" s="85" t="str">
        <f t="shared" si="93"/>
        <v>1</v>
      </c>
      <c r="E897" s="85" t="str">
        <f t="shared" si="94"/>
        <v>0</v>
      </c>
      <c r="F897" s="85" t="str">
        <f t="shared" si="95"/>
        <v>01</v>
      </c>
      <c r="G897" s="85" t="str">
        <f t="shared" si="96"/>
        <v>1</v>
      </c>
      <c r="H897" s="85" t="str">
        <f t="shared" si="97"/>
        <v>2</v>
      </c>
      <c r="I897" s="87">
        <v>16100112</v>
      </c>
      <c r="J897" s="85" t="s">
        <v>4058</v>
      </c>
      <c r="K897" s="85" t="s">
        <v>2892</v>
      </c>
      <c r="L897" s="84"/>
      <c r="M897" s="85" t="s">
        <v>2892</v>
      </c>
      <c r="N897" s="85" t="s">
        <v>2879</v>
      </c>
      <c r="O897" s="85" t="s">
        <v>2892</v>
      </c>
      <c r="P897" s="86" t="s">
        <v>2890</v>
      </c>
    </row>
    <row r="898" spans="2:16" ht="15.75" x14ac:dyDescent="0.25">
      <c r="B898" s="85" t="str">
        <f t="shared" si="91"/>
        <v>1</v>
      </c>
      <c r="C898" s="85" t="str">
        <f t="shared" si="92"/>
        <v>6</v>
      </c>
      <c r="D898" s="85" t="str">
        <f t="shared" si="93"/>
        <v>1</v>
      </c>
      <c r="E898" s="85" t="str">
        <f t="shared" si="94"/>
        <v>0</v>
      </c>
      <c r="F898" s="85" t="str">
        <f t="shared" si="95"/>
        <v>01</v>
      </c>
      <c r="G898" s="85" t="str">
        <f t="shared" si="96"/>
        <v>1</v>
      </c>
      <c r="H898" s="85" t="str">
        <f t="shared" si="97"/>
        <v>3</v>
      </c>
      <c r="I898" s="87">
        <v>16100113</v>
      </c>
      <c r="J898" s="85" t="s">
        <v>4059</v>
      </c>
      <c r="K898" s="85" t="s">
        <v>2892</v>
      </c>
      <c r="L898" s="84"/>
      <c r="M898" s="85" t="s">
        <v>2892</v>
      </c>
      <c r="N898" s="85" t="s">
        <v>2879</v>
      </c>
      <c r="O898" s="85" t="s">
        <v>2892</v>
      </c>
      <c r="P898" s="86" t="s">
        <v>2890</v>
      </c>
    </row>
    <row r="899" spans="2:16" ht="15.75" x14ac:dyDescent="0.25">
      <c r="B899" s="85" t="str">
        <f t="shared" si="91"/>
        <v>1</v>
      </c>
      <c r="C899" s="85" t="str">
        <f t="shared" si="92"/>
        <v>6</v>
      </c>
      <c r="D899" s="85" t="str">
        <f t="shared" si="93"/>
        <v>1</v>
      </c>
      <c r="E899" s="85" t="str">
        <f t="shared" si="94"/>
        <v>0</v>
      </c>
      <c r="F899" s="85" t="str">
        <f t="shared" si="95"/>
        <v>01</v>
      </c>
      <c r="G899" s="85" t="str">
        <f t="shared" si="96"/>
        <v>1</v>
      </c>
      <c r="H899" s="85" t="str">
        <f t="shared" si="97"/>
        <v>4</v>
      </c>
      <c r="I899" s="87">
        <v>16100114</v>
      </c>
      <c r="J899" s="85" t="s">
        <v>4060</v>
      </c>
      <c r="K899" s="85" t="s">
        <v>2892</v>
      </c>
      <c r="L899" s="84"/>
      <c r="M899" s="85" t="s">
        <v>2892</v>
      </c>
      <c r="N899" s="85" t="s">
        <v>2879</v>
      </c>
      <c r="O899" s="85" t="s">
        <v>2892</v>
      </c>
      <c r="P899" s="86" t="s">
        <v>2890</v>
      </c>
    </row>
    <row r="900" spans="2:16" ht="30" x14ac:dyDescent="0.25">
      <c r="B900" s="108" t="str">
        <f t="shared" si="91"/>
        <v>1</v>
      </c>
      <c r="C900" s="108" t="str">
        <f t="shared" si="92"/>
        <v>6</v>
      </c>
      <c r="D900" s="108" t="str">
        <f t="shared" si="93"/>
        <v>1</v>
      </c>
      <c r="E900" s="108" t="str">
        <f t="shared" si="94"/>
        <v>0</v>
      </c>
      <c r="F900" s="108" t="str">
        <f t="shared" si="95"/>
        <v>02</v>
      </c>
      <c r="G900" s="108" t="str">
        <f t="shared" si="96"/>
        <v>0</v>
      </c>
      <c r="H900" s="108" t="str">
        <f t="shared" si="97"/>
        <v>0</v>
      </c>
      <c r="I900" s="109">
        <v>16100200</v>
      </c>
      <c r="J900" s="108" t="s">
        <v>4958</v>
      </c>
      <c r="K900" s="108" t="s">
        <v>4959</v>
      </c>
      <c r="L900" s="110"/>
      <c r="M900" s="108"/>
      <c r="N900" s="108"/>
      <c r="O900" s="108"/>
      <c r="P900" s="111" t="s">
        <v>2880</v>
      </c>
    </row>
    <row r="901" spans="2:16" ht="30" x14ac:dyDescent="0.25">
      <c r="B901" s="114" t="str">
        <f t="shared" si="91"/>
        <v>1</v>
      </c>
      <c r="C901" s="114" t="str">
        <f t="shared" si="92"/>
        <v>6</v>
      </c>
      <c r="D901" s="114" t="str">
        <f t="shared" si="93"/>
        <v>1</v>
      </c>
      <c r="E901" s="114" t="str">
        <f t="shared" si="94"/>
        <v>0</v>
      </c>
      <c r="F901" s="114" t="str">
        <f t="shared" si="95"/>
        <v>02</v>
      </c>
      <c r="G901" s="114" t="str">
        <f t="shared" si="96"/>
        <v>1</v>
      </c>
      <c r="H901" s="114" t="str">
        <f t="shared" si="97"/>
        <v>0</v>
      </c>
      <c r="I901" s="115">
        <v>16100210</v>
      </c>
      <c r="J901" s="114" t="s">
        <v>4958</v>
      </c>
      <c r="K901" s="114" t="s">
        <v>4959</v>
      </c>
      <c r="L901" s="116"/>
      <c r="M901" s="114"/>
      <c r="N901" s="114"/>
      <c r="O901" s="114"/>
      <c r="P901" s="117" t="s">
        <v>2880</v>
      </c>
    </row>
    <row r="902" spans="2:16" ht="30" x14ac:dyDescent="0.25">
      <c r="B902" s="85" t="str">
        <f t="shared" si="91"/>
        <v>1</v>
      </c>
      <c r="C902" s="85" t="str">
        <f t="shared" si="92"/>
        <v>6</v>
      </c>
      <c r="D902" s="85" t="str">
        <f t="shared" si="93"/>
        <v>1</v>
      </c>
      <c r="E902" s="85" t="str">
        <f t="shared" si="94"/>
        <v>0</v>
      </c>
      <c r="F902" s="85" t="str">
        <f t="shared" si="95"/>
        <v>02</v>
      </c>
      <c r="G902" s="85" t="str">
        <f t="shared" si="96"/>
        <v>1</v>
      </c>
      <c r="H902" s="85" t="str">
        <f t="shared" si="97"/>
        <v>1</v>
      </c>
      <c r="I902" s="87">
        <v>16100211</v>
      </c>
      <c r="J902" s="85" t="s">
        <v>4061</v>
      </c>
      <c r="K902" s="85" t="s">
        <v>4963</v>
      </c>
      <c r="L902" s="84"/>
      <c r="M902" s="85"/>
      <c r="N902" s="85"/>
      <c r="O902" s="85"/>
      <c r="P902" s="86" t="s">
        <v>2890</v>
      </c>
    </row>
    <row r="903" spans="2:16" ht="15.75" x14ac:dyDescent="0.25">
      <c r="B903" s="85" t="str">
        <f t="shared" si="91"/>
        <v>1</v>
      </c>
      <c r="C903" s="85" t="str">
        <f t="shared" si="92"/>
        <v>6</v>
      </c>
      <c r="D903" s="85" t="str">
        <f t="shared" si="93"/>
        <v>1</v>
      </c>
      <c r="E903" s="85" t="str">
        <f t="shared" si="94"/>
        <v>0</v>
      </c>
      <c r="F903" s="85" t="str">
        <f t="shared" si="95"/>
        <v>02</v>
      </c>
      <c r="G903" s="85" t="str">
        <f t="shared" si="96"/>
        <v>1</v>
      </c>
      <c r="H903" s="85" t="str">
        <f t="shared" si="97"/>
        <v>2</v>
      </c>
      <c r="I903" s="87">
        <v>16100212</v>
      </c>
      <c r="J903" s="85" t="s">
        <v>4960</v>
      </c>
      <c r="K903" s="85" t="s">
        <v>2892</v>
      </c>
      <c r="L903" s="84"/>
      <c r="M903" s="85"/>
      <c r="N903" s="85"/>
      <c r="O903" s="85"/>
      <c r="P903" s="86" t="s">
        <v>2890</v>
      </c>
    </row>
    <row r="904" spans="2:16" ht="15.75" x14ac:dyDescent="0.25">
      <c r="B904" s="85" t="str">
        <f t="shared" si="91"/>
        <v>1</v>
      </c>
      <c r="C904" s="85" t="str">
        <f t="shared" si="92"/>
        <v>6</v>
      </c>
      <c r="D904" s="85" t="str">
        <f t="shared" si="93"/>
        <v>1</v>
      </c>
      <c r="E904" s="85" t="str">
        <f t="shared" si="94"/>
        <v>0</v>
      </c>
      <c r="F904" s="85" t="str">
        <f t="shared" si="95"/>
        <v>02</v>
      </c>
      <c r="G904" s="85" t="str">
        <f t="shared" si="96"/>
        <v>1</v>
      </c>
      <c r="H904" s="85" t="str">
        <f t="shared" si="97"/>
        <v>3</v>
      </c>
      <c r="I904" s="87">
        <v>16100213</v>
      </c>
      <c r="J904" s="85" t="s">
        <v>4961</v>
      </c>
      <c r="K904" s="85" t="s">
        <v>2892</v>
      </c>
      <c r="L904" s="84"/>
      <c r="M904" s="85"/>
      <c r="N904" s="85"/>
      <c r="O904" s="85"/>
      <c r="P904" s="86" t="s">
        <v>2890</v>
      </c>
    </row>
    <row r="905" spans="2:16" ht="15.75" x14ac:dyDescent="0.25">
      <c r="B905" s="85" t="str">
        <f t="shared" si="91"/>
        <v>1</v>
      </c>
      <c r="C905" s="85" t="str">
        <f t="shared" si="92"/>
        <v>6</v>
      </c>
      <c r="D905" s="85" t="str">
        <f t="shared" si="93"/>
        <v>1</v>
      </c>
      <c r="E905" s="85" t="str">
        <f t="shared" si="94"/>
        <v>0</v>
      </c>
      <c r="F905" s="85" t="str">
        <f t="shared" si="95"/>
        <v>02</v>
      </c>
      <c r="G905" s="85" t="str">
        <f t="shared" si="96"/>
        <v>1</v>
      </c>
      <c r="H905" s="85" t="str">
        <f t="shared" si="97"/>
        <v>4</v>
      </c>
      <c r="I905" s="87">
        <v>16100214</v>
      </c>
      <c r="J905" s="85" t="s">
        <v>4962</v>
      </c>
      <c r="K905" s="85" t="s">
        <v>2892</v>
      </c>
      <c r="L905" s="84"/>
      <c r="M905" s="85"/>
      <c r="N905" s="85"/>
      <c r="O905" s="85"/>
      <c r="P905" s="86" t="s">
        <v>2890</v>
      </c>
    </row>
    <row r="906" spans="2:16" ht="30" x14ac:dyDescent="0.25">
      <c r="B906" s="108" t="str">
        <f t="shared" si="91"/>
        <v>1</v>
      </c>
      <c r="C906" s="108" t="str">
        <f t="shared" si="92"/>
        <v>6</v>
      </c>
      <c r="D906" s="108" t="str">
        <f t="shared" si="93"/>
        <v>1</v>
      </c>
      <c r="E906" s="108" t="str">
        <f t="shared" si="94"/>
        <v>0</v>
      </c>
      <c r="F906" s="108" t="str">
        <f t="shared" si="95"/>
        <v>03</v>
      </c>
      <c r="G906" s="108" t="str">
        <f t="shared" si="96"/>
        <v>0</v>
      </c>
      <c r="H906" s="108" t="str">
        <f t="shared" si="97"/>
        <v>0</v>
      </c>
      <c r="I906" s="109">
        <v>16100300</v>
      </c>
      <c r="J906" s="108" t="s">
        <v>4062</v>
      </c>
      <c r="K906" s="108" t="s">
        <v>4063</v>
      </c>
      <c r="L906" s="110"/>
      <c r="M906" s="108" t="s">
        <v>2878</v>
      </c>
      <c r="N906" s="108" t="s">
        <v>2879</v>
      </c>
      <c r="O906" s="108" t="s">
        <v>2878</v>
      </c>
      <c r="P906" s="111" t="s">
        <v>2880</v>
      </c>
    </row>
    <row r="907" spans="2:16" ht="118.5" customHeight="1" x14ac:dyDescent="0.25">
      <c r="B907" s="114" t="str">
        <f t="shared" si="91"/>
        <v>1</v>
      </c>
      <c r="C907" s="114" t="str">
        <f t="shared" si="92"/>
        <v>6</v>
      </c>
      <c r="D907" s="114" t="str">
        <f t="shared" si="93"/>
        <v>1</v>
      </c>
      <c r="E907" s="114" t="str">
        <f t="shared" si="94"/>
        <v>0</v>
      </c>
      <c r="F907" s="114" t="str">
        <f t="shared" si="95"/>
        <v>03</v>
      </c>
      <c r="G907" s="114" t="str">
        <f t="shared" si="96"/>
        <v>1</v>
      </c>
      <c r="H907" s="114" t="str">
        <f t="shared" si="97"/>
        <v>0</v>
      </c>
      <c r="I907" s="115">
        <v>16100310</v>
      </c>
      <c r="J907" s="114" t="s">
        <v>4062</v>
      </c>
      <c r="K907" s="114" t="s">
        <v>4064</v>
      </c>
      <c r="L907" s="116"/>
      <c r="M907" s="114" t="s">
        <v>2878</v>
      </c>
      <c r="N907" s="114" t="s">
        <v>2879</v>
      </c>
      <c r="O907" s="114" t="s">
        <v>2878</v>
      </c>
      <c r="P907" s="117" t="s">
        <v>2880</v>
      </c>
    </row>
    <row r="908" spans="2:16" ht="209.25" customHeight="1" x14ac:dyDescent="0.25">
      <c r="B908" s="85" t="str">
        <f t="shared" si="91"/>
        <v>1</v>
      </c>
      <c r="C908" s="85" t="str">
        <f t="shared" si="92"/>
        <v>6</v>
      </c>
      <c r="D908" s="85" t="str">
        <f t="shared" si="93"/>
        <v>1</v>
      </c>
      <c r="E908" s="85" t="str">
        <f t="shared" si="94"/>
        <v>0</v>
      </c>
      <c r="F908" s="85" t="str">
        <f t="shared" si="95"/>
        <v>03</v>
      </c>
      <c r="G908" s="85" t="str">
        <f t="shared" si="96"/>
        <v>1</v>
      </c>
      <c r="H908" s="85" t="str">
        <f t="shared" si="97"/>
        <v>1</v>
      </c>
      <c r="I908" s="87">
        <v>16100311</v>
      </c>
      <c r="J908" s="85" t="s">
        <v>4065</v>
      </c>
      <c r="K908" s="85" t="s">
        <v>4066</v>
      </c>
      <c r="L908" s="84"/>
      <c r="M908" s="85" t="s">
        <v>4067</v>
      </c>
      <c r="N908" s="85" t="s">
        <v>2879</v>
      </c>
      <c r="O908" s="85" t="s">
        <v>4068</v>
      </c>
      <c r="P908" s="86" t="s">
        <v>2890</v>
      </c>
    </row>
    <row r="909" spans="2:16" ht="15.75" x14ac:dyDescent="0.25">
      <c r="B909" s="85" t="str">
        <f t="shared" si="91"/>
        <v>1</v>
      </c>
      <c r="C909" s="85" t="str">
        <f t="shared" si="92"/>
        <v>6</v>
      </c>
      <c r="D909" s="85" t="str">
        <f t="shared" si="93"/>
        <v>1</v>
      </c>
      <c r="E909" s="85" t="str">
        <f t="shared" si="94"/>
        <v>0</v>
      </c>
      <c r="F909" s="85" t="str">
        <f t="shared" si="95"/>
        <v>03</v>
      </c>
      <c r="G909" s="85" t="str">
        <f t="shared" si="96"/>
        <v>1</v>
      </c>
      <c r="H909" s="85" t="str">
        <f t="shared" si="97"/>
        <v>2</v>
      </c>
      <c r="I909" s="87">
        <v>16100312</v>
      </c>
      <c r="J909" s="85" t="s">
        <v>4069</v>
      </c>
      <c r="K909" s="85" t="s">
        <v>2892</v>
      </c>
      <c r="L909" s="84"/>
      <c r="M909" s="85" t="s">
        <v>2892</v>
      </c>
      <c r="N909" s="85" t="s">
        <v>2003</v>
      </c>
      <c r="O909" s="85" t="s">
        <v>2892</v>
      </c>
      <c r="P909" s="86" t="s">
        <v>2890</v>
      </c>
    </row>
    <row r="910" spans="2:16" ht="15.75" x14ac:dyDescent="0.25">
      <c r="B910" s="85" t="str">
        <f t="shared" si="91"/>
        <v>1</v>
      </c>
      <c r="C910" s="85" t="str">
        <f t="shared" si="92"/>
        <v>6</v>
      </c>
      <c r="D910" s="85" t="str">
        <f t="shared" si="93"/>
        <v>1</v>
      </c>
      <c r="E910" s="85" t="str">
        <f t="shared" si="94"/>
        <v>0</v>
      </c>
      <c r="F910" s="85" t="str">
        <f t="shared" si="95"/>
        <v>03</v>
      </c>
      <c r="G910" s="85" t="str">
        <f t="shared" si="96"/>
        <v>1</v>
      </c>
      <c r="H910" s="85" t="str">
        <f t="shared" si="97"/>
        <v>3</v>
      </c>
      <c r="I910" s="87">
        <v>16100313</v>
      </c>
      <c r="J910" s="85" t="s">
        <v>4070</v>
      </c>
      <c r="K910" s="85" t="s">
        <v>2892</v>
      </c>
      <c r="L910" s="84"/>
      <c r="M910" s="85" t="s">
        <v>2892</v>
      </c>
      <c r="N910" s="85" t="s">
        <v>2879</v>
      </c>
      <c r="O910" s="85" t="s">
        <v>2892</v>
      </c>
      <c r="P910" s="86" t="s">
        <v>2890</v>
      </c>
    </row>
    <row r="911" spans="2:16" ht="15.75" x14ac:dyDescent="0.25">
      <c r="B911" s="85" t="str">
        <f t="shared" si="91"/>
        <v>1</v>
      </c>
      <c r="C911" s="85" t="str">
        <f t="shared" si="92"/>
        <v>6</v>
      </c>
      <c r="D911" s="85" t="str">
        <f t="shared" si="93"/>
        <v>1</v>
      </c>
      <c r="E911" s="85" t="str">
        <f t="shared" si="94"/>
        <v>0</v>
      </c>
      <c r="F911" s="85" t="str">
        <f t="shared" si="95"/>
        <v>03</v>
      </c>
      <c r="G911" s="85" t="str">
        <f t="shared" si="96"/>
        <v>1</v>
      </c>
      <c r="H911" s="85" t="str">
        <f t="shared" si="97"/>
        <v>4</v>
      </c>
      <c r="I911" s="87">
        <v>16100314</v>
      </c>
      <c r="J911" s="85" t="s">
        <v>4071</v>
      </c>
      <c r="K911" s="85" t="s">
        <v>2892</v>
      </c>
      <c r="L911" s="84"/>
      <c r="M911" s="85" t="s">
        <v>2892</v>
      </c>
      <c r="N911" s="85" t="s">
        <v>2879</v>
      </c>
      <c r="O911" s="85" t="s">
        <v>2892</v>
      </c>
      <c r="P911" s="86" t="s">
        <v>2890</v>
      </c>
    </row>
    <row r="912" spans="2:16" ht="45" x14ac:dyDescent="0.25">
      <c r="B912" s="108" t="str">
        <f t="shared" si="91"/>
        <v>1</v>
      </c>
      <c r="C912" s="108" t="str">
        <f t="shared" si="92"/>
        <v>6</v>
      </c>
      <c r="D912" s="108" t="str">
        <f t="shared" si="93"/>
        <v>1</v>
      </c>
      <c r="E912" s="108" t="str">
        <f t="shared" si="94"/>
        <v>0</v>
      </c>
      <c r="F912" s="108" t="str">
        <f t="shared" si="95"/>
        <v>04</v>
      </c>
      <c r="G912" s="108" t="str">
        <f t="shared" si="96"/>
        <v>0</v>
      </c>
      <c r="H912" s="108" t="str">
        <f t="shared" si="97"/>
        <v>0</v>
      </c>
      <c r="I912" s="109">
        <v>16100400</v>
      </c>
      <c r="J912" s="108" t="s">
        <v>4072</v>
      </c>
      <c r="K912" s="108" t="s">
        <v>4073</v>
      </c>
      <c r="L912" s="110"/>
      <c r="M912" s="108" t="s">
        <v>2878</v>
      </c>
      <c r="N912" s="108" t="s">
        <v>2879</v>
      </c>
      <c r="O912" s="108" t="s">
        <v>2878</v>
      </c>
      <c r="P912" s="111" t="s">
        <v>2880</v>
      </c>
    </row>
    <row r="913" spans="2:16" ht="75" x14ac:dyDescent="0.25">
      <c r="B913" s="114" t="str">
        <f t="shared" si="91"/>
        <v>1</v>
      </c>
      <c r="C913" s="114" t="str">
        <f t="shared" si="92"/>
        <v>6</v>
      </c>
      <c r="D913" s="114" t="str">
        <f t="shared" si="93"/>
        <v>1</v>
      </c>
      <c r="E913" s="114" t="str">
        <f t="shared" si="94"/>
        <v>0</v>
      </c>
      <c r="F913" s="114" t="str">
        <f t="shared" si="95"/>
        <v>04</v>
      </c>
      <c r="G913" s="114" t="str">
        <f t="shared" si="96"/>
        <v>1</v>
      </c>
      <c r="H913" s="114" t="str">
        <f t="shared" si="97"/>
        <v>0</v>
      </c>
      <c r="I913" s="115">
        <v>16100410</v>
      </c>
      <c r="J913" s="114" t="s">
        <v>4072</v>
      </c>
      <c r="K913" s="114" t="s">
        <v>4074</v>
      </c>
      <c r="L913" s="116"/>
      <c r="M913" s="114" t="s">
        <v>2878</v>
      </c>
      <c r="N913" s="114" t="s">
        <v>2879</v>
      </c>
      <c r="O913" s="114" t="s">
        <v>2878</v>
      </c>
      <c r="P913" s="117" t="s">
        <v>2880</v>
      </c>
    </row>
    <row r="914" spans="2:16" ht="90" x14ac:dyDescent="0.25">
      <c r="B914" s="85" t="str">
        <f t="shared" si="91"/>
        <v>1</v>
      </c>
      <c r="C914" s="85" t="str">
        <f t="shared" si="92"/>
        <v>6</v>
      </c>
      <c r="D914" s="85" t="str">
        <f t="shared" si="93"/>
        <v>1</v>
      </c>
      <c r="E914" s="85" t="str">
        <f t="shared" si="94"/>
        <v>0</v>
      </c>
      <c r="F914" s="85" t="str">
        <f t="shared" si="95"/>
        <v>04</v>
      </c>
      <c r="G914" s="85" t="str">
        <f t="shared" si="96"/>
        <v>1</v>
      </c>
      <c r="H914" s="85" t="str">
        <f t="shared" si="97"/>
        <v>1</v>
      </c>
      <c r="I914" s="87">
        <v>16100411</v>
      </c>
      <c r="J914" s="85" t="s">
        <v>4075</v>
      </c>
      <c r="K914" s="85" t="s">
        <v>4076</v>
      </c>
      <c r="L914" s="84"/>
      <c r="M914" s="85" t="s">
        <v>4024</v>
      </c>
      <c r="N914" s="85" t="s">
        <v>2879</v>
      </c>
      <c r="O914" s="85" t="s">
        <v>4077</v>
      </c>
      <c r="P914" s="86" t="s">
        <v>2890</v>
      </c>
    </row>
    <row r="915" spans="2:16" ht="15.75" x14ac:dyDescent="0.25">
      <c r="B915" s="85" t="str">
        <f t="shared" si="91"/>
        <v>1</v>
      </c>
      <c r="C915" s="85" t="str">
        <f t="shared" si="92"/>
        <v>6</v>
      </c>
      <c r="D915" s="85" t="str">
        <f t="shared" si="93"/>
        <v>1</v>
      </c>
      <c r="E915" s="85" t="str">
        <f t="shared" si="94"/>
        <v>0</v>
      </c>
      <c r="F915" s="85" t="str">
        <f t="shared" si="95"/>
        <v>04</v>
      </c>
      <c r="G915" s="85" t="str">
        <f t="shared" si="96"/>
        <v>1</v>
      </c>
      <c r="H915" s="85" t="str">
        <f t="shared" si="97"/>
        <v>2</v>
      </c>
      <c r="I915" s="87">
        <v>16100412</v>
      </c>
      <c r="J915" s="85" t="s">
        <v>4078</v>
      </c>
      <c r="K915" s="85" t="s">
        <v>2892</v>
      </c>
      <c r="L915" s="84"/>
      <c r="M915" s="85" t="s">
        <v>2892</v>
      </c>
      <c r="N915" s="85" t="s">
        <v>2879</v>
      </c>
      <c r="O915" s="85" t="s">
        <v>2892</v>
      </c>
      <c r="P915" s="86" t="s">
        <v>2890</v>
      </c>
    </row>
    <row r="916" spans="2:16" ht="15.75" x14ac:dyDescent="0.25">
      <c r="B916" s="85" t="str">
        <f t="shared" si="91"/>
        <v>1</v>
      </c>
      <c r="C916" s="85" t="str">
        <f t="shared" si="92"/>
        <v>6</v>
      </c>
      <c r="D916" s="85" t="str">
        <f t="shared" si="93"/>
        <v>1</v>
      </c>
      <c r="E916" s="85" t="str">
        <f t="shared" si="94"/>
        <v>0</v>
      </c>
      <c r="F916" s="85" t="str">
        <f t="shared" si="95"/>
        <v>04</v>
      </c>
      <c r="G916" s="85" t="str">
        <f t="shared" si="96"/>
        <v>1</v>
      </c>
      <c r="H916" s="85" t="str">
        <f t="shared" si="97"/>
        <v>3</v>
      </c>
      <c r="I916" s="87">
        <v>16100413</v>
      </c>
      <c r="J916" s="85" t="s">
        <v>4079</v>
      </c>
      <c r="K916" s="85" t="s">
        <v>2892</v>
      </c>
      <c r="L916" s="84"/>
      <c r="M916" s="85" t="s">
        <v>2892</v>
      </c>
      <c r="N916" s="85" t="s">
        <v>2879</v>
      </c>
      <c r="O916" s="85" t="s">
        <v>2892</v>
      </c>
      <c r="P916" s="86" t="s">
        <v>2890</v>
      </c>
    </row>
    <row r="917" spans="2:16" ht="15.75" x14ac:dyDescent="0.25">
      <c r="B917" s="85" t="str">
        <f t="shared" si="91"/>
        <v>1</v>
      </c>
      <c r="C917" s="85" t="str">
        <f t="shared" si="92"/>
        <v>6</v>
      </c>
      <c r="D917" s="85" t="str">
        <f t="shared" si="93"/>
        <v>1</v>
      </c>
      <c r="E917" s="85" t="str">
        <f t="shared" si="94"/>
        <v>0</v>
      </c>
      <c r="F917" s="85" t="str">
        <f t="shared" si="95"/>
        <v>04</v>
      </c>
      <c r="G917" s="85" t="str">
        <f t="shared" si="96"/>
        <v>1</v>
      </c>
      <c r="H917" s="85" t="str">
        <f t="shared" si="97"/>
        <v>4</v>
      </c>
      <c r="I917" s="87">
        <v>16100414</v>
      </c>
      <c r="J917" s="85" t="s">
        <v>4080</v>
      </c>
      <c r="K917" s="85" t="s">
        <v>2892</v>
      </c>
      <c r="L917" s="84"/>
      <c r="M917" s="85" t="s">
        <v>2892</v>
      </c>
      <c r="N917" s="85" t="s">
        <v>2879</v>
      </c>
      <c r="O917" s="85" t="s">
        <v>2892</v>
      </c>
      <c r="P917" s="86" t="s">
        <v>2890</v>
      </c>
    </row>
    <row r="918" spans="2:16" ht="60" x14ac:dyDescent="0.25">
      <c r="B918" s="126" t="str">
        <f t="shared" si="91"/>
        <v>1</v>
      </c>
      <c r="C918" s="126" t="str">
        <f t="shared" si="92"/>
        <v>6</v>
      </c>
      <c r="D918" s="126" t="str">
        <f t="shared" si="93"/>
        <v>2</v>
      </c>
      <c r="E918" s="126" t="str">
        <f t="shared" si="94"/>
        <v>0</v>
      </c>
      <c r="F918" s="126" t="str">
        <f t="shared" si="95"/>
        <v>00</v>
      </c>
      <c r="G918" s="126" t="str">
        <f t="shared" si="96"/>
        <v>0</v>
      </c>
      <c r="H918" s="126" t="str">
        <f t="shared" si="97"/>
        <v>0</v>
      </c>
      <c r="I918" s="127">
        <v>16200000</v>
      </c>
      <c r="J918" s="126" t="s">
        <v>4081</v>
      </c>
      <c r="K918" s="126" t="s">
        <v>4082</v>
      </c>
      <c r="L918" s="122"/>
      <c r="M918" s="126" t="s">
        <v>2878</v>
      </c>
      <c r="N918" s="126" t="s">
        <v>5016</v>
      </c>
      <c r="O918" s="126" t="s">
        <v>2878</v>
      </c>
      <c r="P918" s="128" t="s">
        <v>2880</v>
      </c>
    </row>
    <row r="919" spans="2:16" ht="45" x14ac:dyDescent="0.25">
      <c r="B919" s="108" t="str">
        <f t="shared" si="91"/>
        <v>1</v>
      </c>
      <c r="C919" s="108" t="str">
        <f t="shared" si="92"/>
        <v>6</v>
      </c>
      <c r="D919" s="108" t="str">
        <f t="shared" si="93"/>
        <v>2</v>
      </c>
      <c r="E919" s="108" t="str">
        <f t="shared" si="94"/>
        <v>0</v>
      </c>
      <c r="F919" s="108" t="str">
        <f t="shared" si="95"/>
        <v>01</v>
      </c>
      <c r="G919" s="108" t="str">
        <f t="shared" si="96"/>
        <v>0</v>
      </c>
      <c r="H919" s="108" t="str">
        <f t="shared" si="97"/>
        <v>0</v>
      </c>
      <c r="I919" s="109">
        <v>16200100</v>
      </c>
      <c r="J919" s="108" t="s">
        <v>4083</v>
      </c>
      <c r="K919" s="108" t="s">
        <v>4084</v>
      </c>
      <c r="L919" s="110"/>
      <c r="M919" s="108" t="s">
        <v>2878</v>
      </c>
      <c r="N919" s="108" t="s">
        <v>2879</v>
      </c>
      <c r="O919" s="108" t="s">
        <v>2878</v>
      </c>
      <c r="P919" s="111" t="s">
        <v>2880</v>
      </c>
    </row>
    <row r="920" spans="2:16" ht="45" x14ac:dyDescent="0.25">
      <c r="B920" s="114" t="str">
        <f t="shared" si="91"/>
        <v>1</v>
      </c>
      <c r="C920" s="114" t="str">
        <f t="shared" si="92"/>
        <v>6</v>
      </c>
      <c r="D920" s="114" t="str">
        <f t="shared" si="93"/>
        <v>2</v>
      </c>
      <c r="E920" s="114" t="str">
        <f t="shared" si="94"/>
        <v>0</v>
      </c>
      <c r="F920" s="114" t="str">
        <f t="shared" si="95"/>
        <v>01</v>
      </c>
      <c r="G920" s="114" t="str">
        <f t="shared" si="96"/>
        <v>1</v>
      </c>
      <c r="H920" s="114" t="str">
        <f t="shared" si="97"/>
        <v>0</v>
      </c>
      <c r="I920" s="115">
        <v>16200110</v>
      </c>
      <c r="J920" s="114" t="s">
        <v>4083</v>
      </c>
      <c r="K920" s="114" t="s">
        <v>4085</v>
      </c>
      <c r="L920" s="116"/>
      <c r="M920" s="114" t="s">
        <v>2878</v>
      </c>
      <c r="N920" s="114" t="s">
        <v>2879</v>
      </c>
      <c r="O920" s="114" t="s">
        <v>2878</v>
      </c>
      <c r="P920" s="117" t="s">
        <v>2880</v>
      </c>
    </row>
    <row r="921" spans="2:16" ht="90" x14ac:dyDescent="0.25">
      <c r="B921" s="85" t="str">
        <f t="shared" si="91"/>
        <v>1</v>
      </c>
      <c r="C921" s="85" t="str">
        <f t="shared" si="92"/>
        <v>6</v>
      </c>
      <c r="D921" s="85" t="str">
        <f t="shared" si="93"/>
        <v>2</v>
      </c>
      <c r="E921" s="85" t="str">
        <f t="shared" si="94"/>
        <v>0</v>
      </c>
      <c r="F921" s="85" t="str">
        <f t="shared" si="95"/>
        <v>01</v>
      </c>
      <c r="G921" s="85" t="str">
        <f t="shared" si="96"/>
        <v>1</v>
      </c>
      <c r="H921" s="85" t="str">
        <f t="shared" si="97"/>
        <v>1</v>
      </c>
      <c r="I921" s="87">
        <v>16200111</v>
      </c>
      <c r="J921" s="85" t="s">
        <v>4086</v>
      </c>
      <c r="K921" s="85" t="s">
        <v>4087</v>
      </c>
      <c r="L921" s="84"/>
      <c r="M921" s="85" t="s">
        <v>4024</v>
      </c>
      <c r="N921" s="85" t="s">
        <v>2879</v>
      </c>
      <c r="O921" s="85" t="s">
        <v>4088</v>
      </c>
      <c r="P921" s="86" t="s">
        <v>2890</v>
      </c>
    </row>
    <row r="922" spans="2:16" ht="15.75" x14ac:dyDescent="0.25">
      <c r="B922" s="85" t="str">
        <f t="shared" si="91"/>
        <v>1</v>
      </c>
      <c r="C922" s="85" t="str">
        <f t="shared" si="92"/>
        <v>6</v>
      </c>
      <c r="D922" s="85" t="str">
        <f t="shared" si="93"/>
        <v>2</v>
      </c>
      <c r="E922" s="85" t="str">
        <f t="shared" si="94"/>
        <v>0</v>
      </c>
      <c r="F922" s="85" t="str">
        <f t="shared" si="95"/>
        <v>01</v>
      </c>
      <c r="G922" s="85" t="str">
        <f t="shared" si="96"/>
        <v>1</v>
      </c>
      <c r="H922" s="85" t="str">
        <f t="shared" si="97"/>
        <v>2</v>
      </c>
      <c r="I922" s="87">
        <v>16200112</v>
      </c>
      <c r="J922" s="85" t="s">
        <v>4089</v>
      </c>
      <c r="K922" s="85" t="s">
        <v>2892</v>
      </c>
      <c r="L922" s="84"/>
      <c r="M922" s="85" t="s">
        <v>2892</v>
      </c>
      <c r="N922" s="85" t="s">
        <v>2879</v>
      </c>
      <c r="O922" s="85" t="s">
        <v>2892</v>
      </c>
      <c r="P922" s="86" t="s">
        <v>2890</v>
      </c>
    </row>
    <row r="923" spans="2:16" ht="15.75" x14ac:dyDescent="0.25">
      <c r="B923" s="85" t="str">
        <f t="shared" si="91"/>
        <v>1</v>
      </c>
      <c r="C923" s="85" t="str">
        <f t="shared" si="92"/>
        <v>6</v>
      </c>
      <c r="D923" s="85" t="str">
        <f t="shared" si="93"/>
        <v>2</v>
      </c>
      <c r="E923" s="85" t="str">
        <f t="shared" si="94"/>
        <v>0</v>
      </c>
      <c r="F923" s="85" t="str">
        <f t="shared" si="95"/>
        <v>01</v>
      </c>
      <c r="G923" s="85" t="str">
        <f t="shared" si="96"/>
        <v>1</v>
      </c>
      <c r="H923" s="85" t="str">
        <f t="shared" si="97"/>
        <v>3</v>
      </c>
      <c r="I923" s="87">
        <v>16200113</v>
      </c>
      <c r="J923" s="85" t="s">
        <v>4090</v>
      </c>
      <c r="K923" s="85" t="s">
        <v>2892</v>
      </c>
      <c r="L923" s="84"/>
      <c r="M923" s="85" t="s">
        <v>2892</v>
      </c>
      <c r="N923" s="85" t="s">
        <v>2879</v>
      </c>
      <c r="O923" s="85" t="s">
        <v>2892</v>
      </c>
      <c r="P923" s="86" t="s">
        <v>2890</v>
      </c>
    </row>
    <row r="924" spans="2:16" ht="15.75" x14ac:dyDescent="0.25">
      <c r="B924" s="85" t="str">
        <f t="shared" si="91"/>
        <v>1</v>
      </c>
      <c r="C924" s="85" t="str">
        <f t="shared" si="92"/>
        <v>6</v>
      </c>
      <c r="D924" s="85" t="str">
        <f t="shared" si="93"/>
        <v>2</v>
      </c>
      <c r="E924" s="85" t="str">
        <f t="shared" si="94"/>
        <v>0</v>
      </c>
      <c r="F924" s="85" t="str">
        <f t="shared" si="95"/>
        <v>01</v>
      </c>
      <c r="G924" s="85" t="str">
        <f t="shared" si="96"/>
        <v>1</v>
      </c>
      <c r="H924" s="85" t="str">
        <f t="shared" si="97"/>
        <v>4</v>
      </c>
      <c r="I924" s="87">
        <v>16200114</v>
      </c>
      <c r="J924" s="85" t="s">
        <v>4091</v>
      </c>
      <c r="K924" s="85" t="s">
        <v>2892</v>
      </c>
      <c r="L924" s="84"/>
      <c r="M924" s="85" t="s">
        <v>2892</v>
      </c>
      <c r="N924" s="85" t="s">
        <v>2879</v>
      </c>
      <c r="O924" s="85" t="s">
        <v>2892</v>
      </c>
      <c r="P924" s="86" t="s">
        <v>2890</v>
      </c>
    </row>
    <row r="925" spans="2:16" ht="45" x14ac:dyDescent="0.25">
      <c r="B925" s="108" t="str">
        <f t="shared" si="91"/>
        <v>1</v>
      </c>
      <c r="C925" s="108" t="str">
        <f t="shared" si="92"/>
        <v>6</v>
      </c>
      <c r="D925" s="108" t="str">
        <f t="shared" si="93"/>
        <v>2</v>
      </c>
      <c r="E925" s="108" t="str">
        <f t="shared" si="94"/>
        <v>0</v>
      </c>
      <c r="F925" s="108" t="str">
        <f t="shared" si="95"/>
        <v>02</v>
      </c>
      <c r="G925" s="108" t="str">
        <f t="shared" si="96"/>
        <v>0</v>
      </c>
      <c r="H925" s="108" t="str">
        <f t="shared" si="97"/>
        <v>0</v>
      </c>
      <c r="I925" s="109">
        <v>16200200</v>
      </c>
      <c r="J925" s="108" t="s">
        <v>988</v>
      </c>
      <c r="K925" s="108" t="s">
        <v>4092</v>
      </c>
      <c r="L925" s="110"/>
      <c r="M925" s="108" t="s">
        <v>2878</v>
      </c>
      <c r="N925" s="108" t="s">
        <v>2879</v>
      </c>
      <c r="O925" s="108" t="s">
        <v>2878</v>
      </c>
      <c r="P925" s="111" t="s">
        <v>2880</v>
      </c>
    </row>
    <row r="926" spans="2:16" ht="45" x14ac:dyDescent="0.25">
      <c r="B926" s="114" t="str">
        <f t="shared" si="91"/>
        <v>1</v>
      </c>
      <c r="C926" s="114" t="str">
        <f t="shared" si="92"/>
        <v>6</v>
      </c>
      <c r="D926" s="114" t="str">
        <f t="shared" si="93"/>
        <v>2</v>
      </c>
      <c r="E926" s="114" t="str">
        <f t="shared" si="94"/>
        <v>0</v>
      </c>
      <c r="F926" s="114" t="str">
        <f t="shared" si="95"/>
        <v>02</v>
      </c>
      <c r="G926" s="114" t="str">
        <f t="shared" si="96"/>
        <v>1</v>
      </c>
      <c r="H926" s="114" t="str">
        <f t="shared" si="97"/>
        <v>0</v>
      </c>
      <c r="I926" s="115">
        <v>16200210</v>
      </c>
      <c r="J926" s="114" t="s">
        <v>988</v>
      </c>
      <c r="K926" s="114" t="s">
        <v>4093</v>
      </c>
      <c r="L926" s="116"/>
      <c r="M926" s="114" t="s">
        <v>2878</v>
      </c>
      <c r="N926" s="114" t="s">
        <v>2879</v>
      </c>
      <c r="O926" s="114" t="s">
        <v>2878</v>
      </c>
      <c r="P926" s="117" t="s">
        <v>2880</v>
      </c>
    </row>
    <row r="927" spans="2:16" ht="45" x14ac:dyDescent="0.25">
      <c r="B927" s="85" t="str">
        <f t="shared" si="91"/>
        <v>1</v>
      </c>
      <c r="C927" s="85" t="str">
        <f t="shared" si="92"/>
        <v>6</v>
      </c>
      <c r="D927" s="85" t="str">
        <f t="shared" si="93"/>
        <v>2</v>
      </c>
      <c r="E927" s="85" t="str">
        <f t="shared" si="94"/>
        <v>0</v>
      </c>
      <c r="F927" s="85" t="str">
        <f t="shared" si="95"/>
        <v>02</v>
      </c>
      <c r="G927" s="85" t="str">
        <f t="shared" si="96"/>
        <v>1</v>
      </c>
      <c r="H927" s="85" t="str">
        <f t="shared" si="97"/>
        <v>1</v>
      </c>
      <c r="I927" s="87">
        <v>16200211</v>
      </c>
      <c r="J927" s="85" t="s">
        <v>4094</v>
      </c>
      <c r="K927" s="85" t="s">
        <v>4095</v>
      </c>
      <c r="L927" s="84"/>
      <c r="M927" s="85" t="s">
        <v>4024</v>
      </c>
      <c r="N927" s="85" t="s">
        <v>2879</v>
      </c>
      <c r="O927" s="85" t="s">
        <v>4041</v>
      </c>
      <c r="P927" s="86" t="s">
        <v>2890</v>
      </c>
    </row>
    <row r="928" spans="2:16" ht="15.75" x14ac:dyDescent="0.25">
      <c r="B928" s="85" t="str">
        <f t="shared" si="91"/>
        <v>1</v>
      </c>
      <c r="C928" s="85" t="str">
        <f t="shared" si="92"/>
        <v>6</v>
      </c>
      <c r="D928" s="85" t="str">
        <f t="shared" si="93"/>
        <v>2</v>
      </c>
      <c r="E928" s="85" t="str">
        <f t="shared" si="94"/>
        <v>0</v>
      </c>
      <c r="F928" s="85" t="str">
        <f t="shared" si="95"/>
        <v>02</v>
      </c>
      <c r="G928" s="85" t="str">
        <f t="shared" si="96"/>
        <v>1</v>
      </c>
      <c r="H928" s="85" t="str">
        <f t="shared" si="97"/>
        <v>2</v>
      </c>
      <c r="I928" s="87">
        <v>16200212</v>
      </c>
      <c r="J928" s="85" t="s">
        <v>4096</v>
      </c>
      <c r="K928" s="85" t="s">
        <v>2892</v>
      </c>
      <c r="L928" s="84"/>
      <c r="M928" s="85" t="s">
        <v>2892</v>
      </c>
      <c r="N928" s="85" t="s">
        <v>2879</v>
      </c>
      <c r="O928" s="85" t="s">
        <v>2892</v>
      </c>
      <c r="P928" s="86" t="s">
        <v>2890</v>
      </c>
    </row>
    <row r="929" spans="2:16" ht="15.75" x14ac:dyDescent="0.25">
      <c r="B929" s="85" t="str">
        <f t="shared" si="91"/>
        <v>1</v>
      </c>
      <c r="C929" s="85" t="str">
        <f t="shared" si="92"/>
        <v>6</v>
      </c>
      <c r="D929" s="85" t="str">
        <f t="shared" si="93"/>
        <v>2</v>
      </c>
      <c r="E929" s="85" t="str">
        <f t="shared" si="94"/>
        <v>0</v>
      </c>
      <c r="F929" s="85" t="str">
        <f t="shared" si="95"/>
        <v>02</v>
      </c>
      <c r="G929" s="85" t="str">
        <f t="shared" si="96"/>
        <v>1</v>
      </c>
      <c r="H929" s="85" t="str">
        <f t="shared" si="97"/>
        <v>3</v>
      </c>
      <c r="I929" s="87">
        <v>16200213</v>
      </c>
      <c r="J929" s="85" t="s">
        <v>4097</v>
      </c>
      <c r="K929" s="85" t="s">
        <v>2892</v>
      </c>
      <c r="L929" s="84"/>
      <c r="M929" s="85" t="s">
        <v>2892</v>
      </c>
      <c r="N929" s="85" t="s">
        <v>2879</v>
      </c>
      <c r="O929" s="85" t="s">
        <v>2892</v>
      </c>
      <c r="P929" s="86" t="s">
        <v>2890</v>
      </c>
    </row>
    <row r="930" spans="2:16" ht="15.75" x14ac:dyDescent="0.25">
      <c r="B930" s="85" t="str">
        <f t="shared" si="91"/>
        <v>1</v>
      </c>
      <c r="C930" s="85" t="str">
        <f t="shared" si="92"/>
        <v>6</v>
      </c>
      <c r="D930" s="85" t="str">
        <f t="shared" si="93"/>
        <v>2</v>
      </c>
      <c r="E930" s="85" t="str">
        <f t="shared" si="94"/>
        <v>0</v>
      </c>
      <c r="F930" s="85" t="str">
        <f t="shared" si="95"/>
        <v>02</v>
      </c>
      <c r="G930" s="85" t="str">
        <f t="shared" si="96"/>
        <v>1</v>
      </c>
      <c r="H930" s="85" t="str">
        <f t="shared" si="97"/>
        <v>4</v>
      </c>
      <c r="I930" s="87">
        <v>16200214</v>
      </c>
      <c r="J930" s="85" t="s">
        <v>4098</v>
      </c>
      <c r="K930" s="85" t="s">
        <v>2892</v>
      </c>
      <c r="L930" s="84"/>
      <c r="M930" s="85" t="s">
        <v>2892</v>
      </c>
      <c r="N930" s="85" t="s">
        <v>2879</v>
      </c>
      <c r="O930" s="85" t="s">
        <v>2892</v>
      </c>
      <c r="P930" s="86" t="s">
        <v>2890</v>
      </c>
    </row>
    <row r="931" spans="2:16" ht="30" x14ac:dyDescent="0.25">
      <c r="B931" s="108" t="str">
        <f t="shared" si="91"/>
        <v>1</v>
      </c>
      <c r="C931" s="108" t="str">
        <f t="shared" si="92"/>
        <v>6</v>
      </c>
      <c r="D931" s="108" t="str">
        <f t="shared" si="93"/>
        <v>2</v>
      </c>
      <c r="E931" s="108" t="str">
        <f t="shared" si="94"/>
        <v>0</v>
      </c>
      <c r="F931" s="108" t="str">
        <f t="shared" si="95"/>
        <v>03</v>
      </c>
      <c r="G931" s="108" t="str">
        <f t="shared" si="96"/>
        <v>0</v>
      </c>
      <c r="H931" s="108" t="str">
        <f t="shared" si="97"/>
        <v>0</v>
      </c>
      <c r="I931" s="109">
        <v>16200300</v>
      </c>
      <c r="J931" s="108" t="s">
        <v>1026</v>
      </c>
      <c r="K931" s="108" t="s">
        <v>4099</v>
      </c>
      <c r="L931" s="110"/>
      <c r="M931" s="108" t="s">
        <v>2878</v>
      </c>
      <c r="N931" s="108" t="s">
        <v>2879</v>
      </c>
      <c r="O931" s="108" t="s">
        <v>2878</v>
      </c>
      <c r="P931" s="111" t="s">
        <v>2880</v>
      </c>
    </row>
    <row r="932" spans="2:16" ht="30" x14ac:dyDescent="0.25">
      <c r="B932" s="114" t="str">
        <f t="shared" si="91"/>
        <v>1</v>
      </c>
      <c r="C932" s="114" t="str">
        <f t="shared" si="92"/>
        <v>6</v>
      </c>
      <c r="D932" s="114" t="str">
        <f t="shared" si="93"/>
        <v>2</v>
      </c>
      <c r="E932" s="114" t="str">
        <f t="shared" si="94"/>
        <v>0</v>
      </c>
      <c r="F932" s="114" t="str">
        <f t="shared" si="95"/>
        <v>03</v>
      </c>
      <c r="G932" s="114" t="str">
        <f t="shared" si="96"/>
        <v>1</v>
      </c>
      <c r="H932" s="114" t="str">
        <f t="shared" si="97"/>
        <v>0</v>
      </c>
      <c r="I932" s="115">
        <v>16200310</v>
      </c>
      <c r="J932" s="114" t="s">
        <v>1026</v>
      </c>
      <c r="K932" s="114" t="s">
        <v>4100</v>
      </c>
      <c r="L932" s="116"/>
      <c r="M932" s="114" t="s">
        <v>2878</v>
      </c>
      <c r="N932" s="114" t="s">
        <v>2879</v>
      </c>
      <c r="O932" s="114" t="s">
        <v>2878</v>
      </c>
      <c r="P932" s="117" t="s">
        <v>2880</v>
      </c>
    </row>
    <row r="933" spans="2:16" ht="60" x14ac:dyDescent="0.25">
      <c r="B933" s="85" t="str">
        <f t="shared" si="91"/>
        <v>1</v>
      </c>
      <c r="C933" s="85" t="str">
        <f t="shared" si="92"/>
        <v>6</v>
      </c>
      <c r="D933" s="85" t="str">
        <f t="shared" si="93"/>
        <v>2</v>
      </c>
      <c r="E933" s="85" t="str">
        <f t="shared" si="94"/>
        <v>0</v>
      </c>
      <c r="F933" s="85" t="str">
        <f t="shared" si="95"/>
        <v>03</v>
      </c>
      <c r="G933" s="85" t="str">
        <f t="shared" si="96"/>
        <v>1</v>
      </c>
      <c r="H933" s="85" t="str">
        <f t="shared" si="97"/>
        <v>1</v>
      </c>
      <c r="I933" s="87">
        <v>16200311</v>
      </c>
      <c r="J933" s="85" t="s">
        <v>4101</v>
      </c>
      <c r="K933" s="85" t="s">
        <v>4102</v>
      </c>
      <c r="L933" s="84"/>
      <c r="M933" s="85" t="s">
        <v>4024</v>
      </c>
      <c r="N933" s="85" t="s">
        <v>2879</v>
      </c>
      <c r="O933" s="85" t="s">
        <v>4103</v>
      </c>
      <c r="P933" s="86" t="s">
        <v>2890</v>
      </c>
    </row>
    <row r="934" spans="2:16" ht="15.75" x14ac:dyDescent="0.25">
      <c r="B934" s="85" t="str">
        <f t="shared" si="91"/>
        <v>1</v>
      </c>
      <c r="C934" s="85" t="str">
        <f t="shared" si="92"/>
        <v>6</v>
      </c>
      <c r="D934" s="85" t="str">
        <f t="shared" si="93"/>
        <v>2</v>
      </c>
      <c r="E934" s="85" t="str">
        <f t="shared" si="94"/>
        <v>0</v>
      </c>
      <c r="F934" s="85" t="str">
        <f t="shared" si="95"/>
        <v>03</v>
      </c>
      <c r="G934" s="85" t="str">
        <f t="shared" si="96"/>
        <v>1</v>
      </c>
      <c r="H934" s="85" t="str">
        <f t="shared" si="97"/>
        <v>2</v>
      </c>
      <c r="I934" s="87">
        <v>16200312</v>
      </c>
      <c r="J934" s="85" t="s">
        <v>4104</v>
      </c>
      <c r="K934" s="85" t="s">
        <v>2892</v>
      </c>
      <c r="L934" s="84"/>
      <c r="M934" s="85" t="s">
        <v>2892</v>
      </c>
      <c r="N934" s="85" t="s">
        <v>2879</v>
      </c>
      <c r="O934" s="85" t="s">
        <v>2892</v>
      </c>
      <c r="P934" s="86" t="s">
        <v>2890</v>
      </c>
    </row>
    <row r="935" spans="2:16" ht="15.75" x14ac:dyDescent="0.25">
      <c r="B935" s="85" t="str">
        <f t="shared" si="91"/>
        <v>1</v>
      </c>
      <c r="C935" s="85" t="str">
        <f t="shared" si="92"/>
        <v>6</v>
      </c>
      <c r="D935" s="85" t="str">
        <f t="shared" si="93"/>
        <v>2</v>
      </c>
      <c r="E935" s="85" t="str">
        <f t="shared" si="94"/>
        <v>0</v>
      </c>
      <c r="F935" s="85" t="str">
        <f t="shared" si="95"/>
        <v>03</v>
      </c>
      <c r="G935" s="85" t="str">
        <f t="shared" si="96"/>
        <v>1</v>
      </c>
      <c r="H935" s="85" t="str">
        <f t="shared" si="97"/>
        <v>3</v>
      </c>
      <c r="I935" s="87">
        <v>16200313</v>
      </c>
      <c r="J935" s="85" t="s">
        <v>4105</v>
      </c>
      <c r="K935" s="85" t="s">
        <v>2892</v>
      </c>
      <c r="L935" s="84"/>
      <c r="M935" s="85" t="s">
        <v>2892</v>
      </c>
      <c r="N935" s="85" t="s">
        <v>2879</v>
      </c>
      <c r="O935" s="85" t="s">
        <v>2892</v>
      </c>
      <c r="P935" s="86" t="s">
        <v>2890</v>
      </c>
    </row>
    <row r="936" spans="2:16" ht="15.75" x14ac:dyDescent="0.25">
      <c r="B936" s="85" t="str">
        <f t="shared" si="91"/>
        <v>1</v>
      </c>
      <c r="C936" s="85" t="str">
        <f t="shared" si="92"/>
        <v>6</v>
      </c>
      <c r="D936" s="85" t="str">
        <f t="shared" si="93"/>
        <v>2</v>
      </c>
      <c r="E936" s="85" t="str">
        <f t="shared" si="94"/>
        <v>0</v>
      </c>
      <c r="F936" s="85" t="str">
        <f t="shared" si="95"/>
        <v>03</v>
      </c>
      <c r="G936" s="85" t="str">
        <f t="shared" si="96"/>
        <v>1</v>
      </c>
      <c r="H936" s="85" t="str">
        <f t="shared" si="97"/>
        <v>4</v>
      </c>
      <c r="I936" s="87">
        <v>16200314</v>
      </c>
      <c r="J936" s="85" t="s">
        <v>4106</v>
      </c>
      <c r="K936" s="85" t="s">
        <v>2892</v>
      </c>
      <c r="L936" s="84"/>
      <c r="M936" s="85" t="s">
        <v>2892</v>
      </c>
      <c r="N936" s="85" t="s">
        <v>2879</v>
      </c>
      <c r="O936" s="85" t="s">
        <v>2892</v>
      </c>
      <c r="P936" s="86" t="s">
        <v>2890</v>
      </c>
    </row>
    <row r="937" spans="2:16" ht="75" x14ac:dyDescent="0.25">
      <c r="B937" s="108" t="str">
        <f t="shared" si="91"/>
        <v>1</v>
      </c>
      <c r="C937" s="108" t="str">
        <f t="shared" si="92"/>
        <v>6</v>
      </c>
      <c r="D937" s="108" t="str">
        <f t="shared" si="93"/>
        <v>2</v>
      </c>
      <c r="E937" s="108" t="str">
        <f t="shared" si="94"/>
        <v>0</v>
      </c>
      <c r="F937" s="108" t="str">
        <f t="shared" si="95"/>
        <v>04</v>
      </c>
      <c r="G937" s="108" t="str">
        <f t="shared" si="96"/>
        <v>0</v>
      </c>
      <c r="H937" s="108" t="str">
        <f t="shared" si="97"/>
        <v>0</v>
      </c>
      <c r="I937" s="109">
        <v>16200400</v>
      </c>
      <c r="J937" s="108" t="s">
        <v>4107</v>
      </c>
      <c r="K937" s="108" t="s">
        <v>4108</v>
      </c>
      <c r="L937" s="110"/>
      <c r="M937" s="108" t="s">
        <v>2878</v>
      </c>
      <c r="N937" s="108" t="s">
        <v>2879</v>
      </c>
      <c r="O937" s="108" t="s">
        <v>2878</v>
      </c>
      <c r="P937" s="111" t="s">
        <v>2880</v>
      </c>
    </row>
    <row r="938" spans="2:16" ht="75" x14ac:dyDescent="0.25">
      <c r="B938" s="114" t="str">
        <f t="shared" si="91"/>
        <v>1</v>
      </c>
      <c r="C938" s="114" t="str">
        <f t="shared" si="92"/>
        <v>6</v>
      </c>
      <c r="D938" s="114" t="str">
        <f t="shared" si="93"/>
        <v>2</v>
      </c>
      <c r="E938" s="114" t="str">
        <f t="shared" si="94"/>
        <v>0</v>
      </c>
      <c r="F938" s="114" t="str">
        <f t="shared" si="95"/>
        <v>04</v>
      </c>
      <c r="G938" s="114" t="str">
        <f t="shared" si="96"/>
        <v>1</v>
      </c>
      <c r="H938" s="114" t="str">
        <f t="shared" si="97"/>
        <v>0</v>
      </c>
      <c r="I938" s="115">
        <v>16200410</v>
      </c>
      <c r="J938" s="114" t="s">
        <v>1129</v>
      </c>
      <c r="K938" s="114" t="s">
        <v>4109</v>
      </c>
      <c r="L938" s="116"/>
      <c r="M938" s="114" t="s">
        <v>2878</v>
      </c>
      <c r="N938" s="114" t="s">
        <v>2879</v>
      </c>
      <c r="O938" s="114" t="s">
        <v>2878</v>
      </c>
      <c r="P938" s="117" t="s">
        <v>2880</v>
      </c>
    </row>
    <row r="939" spans="2:16" ht="75" x14ac:dyDescent="0.25">
      <c r="B939" s="85" t="str">
        <f t="shared" si="91"/>
        <v>1</v>
      </c>
      <c r="C939" s="85" t="str">
        <f t="shared" si="92"/>
        <v>6</v>
      </c>
      <c r="D939" s="85" t="str">
        <f t="shared" si="93"/>
        <v>2</v>
      </c>
      <c r="E939" s="85" t="str">
        <f t="shared" si="94"/>
        <v>0</v>
      </c>
      <c r="F939" s="85" t="str">
        <f t="shared" si="95"/>
        <v>04</v>
      </c>
      <c r="G939" s="85" t="str">
        <f t="shared" si="96"/>
        <v>1</v>
      </c>
      <c r="H939" s="85" t="str">
        <f t="shared" si="97"/>
        <v>1</v>
      </c>
      <c r="I939" s="87">
        <v>16200411</v>
      </c>
      <c r="J939" s="85" t="s">
        <v>4110</v>
      </c>
      <c r="K939" s="85" t="s">
        <v>4111</v>
      </c>
      <c r="L939" s="84"/>
      <c r="M939" s="85" t="s">
        <v>4112</v>
      </c>
      <c r="N939" s="85" t="s">
        <v>2879</v>
      </c>
      <c r="O939" s="85" t="s">
        <v>4113</v>
      </c>
      <c r="P939" s="86" t="s">
        <v>2890</v>
      </c>
    </row>
    <row r="940" spans="2:16" ht="15.75" x14ac:dyDescent="0.25">
      <c r="B940" s="85" t="str">
        <f t="shared" si="91"/>
        <v>1</v>
      </c>
      <c r="C940" s="85" t="str">
        <f t="shared" si="92"/>
        <v>6</v>
      </c>
      <c r="D940" s="85" t="str">
        <f t="shared" si="93"/>
        <v>2</v>
      </c>
      <c r="E940" s="85" t="str">
        <f t="shared" si="94"/>
        <v>0</v>
      </c>
      <c r="F940" s="85" t="str">
        <f t="shared" si="95"/>
        <v>04</v>
      </c>
      <c r="G940" s="85" t="str">
        <f t="shared" si="96"/>
        <v>1</v>
      </c>
      <c r="H940" s="85" t="str">
        <f t="shared" si="97"/>
        <v>2</v>
      </c>
      <c r="I940" s="87">
        <v>16200412</v>
      </c>
      <c r="J940" s="85" t="s">
        <v>4114</v>
      </c>
      <c r="K940" s="85" t="s">
        <v>2892</v>
      </c>
      <c r="L940" s="84"/>
      <c r="M940" s="85" t="s">
        <v>2892</v>
      </c>
      <c r="N940" s="85" t="s">
        <v>2879</v>
      </c>
      <c r="O940" s="85" t="s">
        <v>2892</v>
      </c>
      <c r="P940" s="86" t="s">
        <v>2890</v>
      </c>
    </row>
    <row r="941" spans="2:16" ht="15.75" x14ac:dyDescent="0.25">
      <c r="B941" s="85" t="str">
        <f t="shared" si="91"/>
        <v>1</v>
      </c>
      <c r="C941" s="85" t="str">
        <f t="shared" si="92"/>
        <v>6</v>
      </c>
      <c r="D941" s="85" t="str">
        <f t="shared" si="93"/>
        <v>2</v>
      </c>
      <c r="E941" s="85" t="str">
        <f t="shared" si="94"/>
        <v>0</v>
      </c>
      <c r="F941" s="85" t="str">
        <f t="shared" si="95"/>
        <v>04</v>
      </c>
      <c r="G941" s="85" t="str">
        <f t="shared" si="96"/>
        <v>1</v>
      </c>
      <c r="H941" s="85" t="str">
        <f t="shared" si="97"/>
        <v>3</v>
      </c>
      <c r="I941" s="87">
        <v>16200413</v>
      </c>
      <c r="J941" s="85" t="s">
        <v>4115</v>
      </c>
      <c r="K941" s="85" t="s">
        <v>2892</v>
      </c>
      <c r="L941" s="84"/>
      <c r="M941" s="85" t="s">
        <v>2892</v>
      </c>
      <c r="N941" s="85" t="s">
        <v>2879</v>
      </c>
      <c r="O941" s="85" t="s">
        <v>2892</v>
      </c>
      <c r="P941" s="86" t="s">
        <v>2890</v>
      </c>
    </row>
    <row r="942" spans="2:16" ht="15.75" x14ac:dyDescent="0.25">
      <c r="B942" s="85" t="str">
        <f t="shared" si="91"/>
        <v>1</v>
      </c>
      <c r="C942" s="85" t="str">
        <f t="shared" si="92"/>
        <v>6</v>
      </c>
      <c r="D942" s="85" t="str">
        <f t="shared" si="93"/>
        <v>2</v>
      </c>
      <c r="E942" s="85" t="str">
        <f t="shared" si="94"/>
        <v>0</v>
      </c>
      <c r="F942" s="85" t="str">
        <f t="shared" si="95"/>
        <v>04</v>
      </c>
      <c r="G942" s="85" t="str">
        <f t="shared" si="96"/>
        <v>1</v>
      </c>
      <c r="H942" s="85" t="str">
        <f t="shared" si="97"/>
        <v>4</v>
      </c>
      <c r="I942" s="87">
        <v>16200414</v>
      </c>
      <c r="J942" s="85" t="s">
        <v>4116</v>
      </c>
      <c r="K942" s="85" t="s">
        <v>2892</v>
      </c>
      <c r="L942" s="84"/>
      <c r="M942" s="85" t="s">
        <v>2892</v>
      </c>
      <c r="N942" s="85" t="s">
        <v>2879</v>
      </c>
      <c r="O942" s="85" t="s">
        <v>2892</v>
      </c>
      <c r="P942" s="86" t="s">
        <v>2890</v>
      </c>
    </row>
    <row r="943" spans="2:16" ht="30" x14ac:dyDescent="0.25">
      <c r="B943" s="114" t="str">
        <f t="shared" si="91"/>
        <v>1</v>
      </c>
      <c r="C943" s="114" t="str">
        <f t="shared" si="92"/>
        <v>6</v>
      </c>
      <c r="D943" s="114" t="str">
        <f t="shared" si="93"/>
        <v>2</v>
      </c>
      <c r="E943" s="114" t="str">
        <f t="shared" si="94"/>
        <v>0</v>
      </c>
      <c r="F943" s="114" t="str">
        <f t="shared" si="95"/>
        <v>04</v>
      </c>
      <c r="G943" s="114" t="str">
        <f t="shared" si="96"/>
        <v>2</v>
      </c>
      <c r="H943" s="114" t="str">
        <f t="shared" si="97"/>
        <v>0</v>
      </c>
      <c r="I943" s="115">
        <v>16200420</v>
      </c>
      <c r="J943" s="114" t="s">
        <v>1131</v>
      </c>
      <c r="K943" s="114" t="s">
        <v>4117</v>
      </c>
      <c r="L943" s="116"/>
      <c r="M943" s="114" t="s">
        <v>2878</v>
      </c>
      <c r="N943" s="114" t="s">
        <v>2879</v>
      </c>
      <c r="O943" s="114" t="s">
        <v>2878</v>
      </c>
      <c r="P943" s="117" t="s">
        <v>2880</v>
      </c>
    </row>
    <row r="944" spans="2:16" ht="120" x14ac:dyDescent="0.25">
      <c r="B944" s="85" t="str">
        <f t="shared" si="91"/>
        <v>1</v>
      </c>
      <c r="C944" s="85" t="str">
        <f t="shared" si="92"/>
        <v>6</v>
      </c>
      <c r="D944" s="85" t="str">
        <f t="shared" si="93"/>
        <v>2</v>
      </c>
      <c r="E944" s="85" t="str">
        <f t="shared" si="94"/>
        <v>0</v>
      </c>
      <c r="F944" s="85" t="str">
        <f t="shared" si="95"/>
        <v>04</v>
      </c>
      <c r="G944" s="85" t="str">
        <f t="shared" si="96"/>
        <v>2</v>
      </c>
      <c r="H944" s="85" t="str">
        <f t="shared" si="97"/>
        <v>1</v>
      </c>
      <c r="I944" s="87">
        <v>16200421</v>
      </c>
      <c r="J944" s="85" t="s">
        <v>4118</v>
      </c>
      <c r="K944" s="85" t="s">
        <v>4119</v>
      </c>
      <c r="L944" s="84"/>
      <c r="M944" s="85" t="s">
        <v>4120</v>
      </c>
      <c r="N944" s="85" t="s">
        <v>1133</v>
      </c>
      <c r="O944" s="85" t="s">
        <v>4121</v>
      </c>
      <c r="P944" s="86" t="s">
        <v>2890</v>
      </c>
    </row>
    <row r="945" spans="2:16" ht="15.75" x14ac:dyDescent="0.25">
      <c r="B945" s="85" t="str">
        <f t="shared" si="91"/>
        <v>1</v>
      </c>
      <c r="C945" s="85" t="str">
        <f t="shared" si="92"/>
        <v>6</v>
      </c>
      <c r="D945" s="85" t="str">
        <f t="shared" si="93"/>
        <v>2</v>
      </c>
      <c r="E945" s="85" t="str">
        <f t="shared" si="94"/>
        <v>0</v>
      </c>
      <c r="F945" s="85" t="str">
        <f t="shared" si="95"/>
        <v>04</v>
      </c>
      <c r="G945" s="85" t="str">
        <f t="shared" si="96"/>
        <v>2</v>
      </c>
      <c r="H945" s="85" t="str">
        <f t="shared" si="97"/>
        <v>2</v>
      </c>
      <c r="I945" s="87">
        <v>16200422</v>
      </c>
      <c r="J945" s="85" t="s">
        <v>4122</v>
      </c>
      <c r="K945" s="85" t="s">
        <v>2892</v>
      </c>
      <c r="L945" s="84"/>
      <c r="M945" s="85" t="s">
        <v>2892</v>
      </c>
      <c r="N945" s="85" t="s">
        <v>2879</v>
      </c>
      <c r="O945" s="85" t="s">
        <v>2892</v>
      </c>
      <c r="P945" s="86" t="s">
        <v>2890</v>
      </c>
    </row>
    <row r="946" spans="2:16" ht="15.75" x14ac:dyDescent="0.25">
      <c r="B946" s="85" t="str">
        <f t="shared" si="91"/>
        <v>1</v>
      </c>
      <c r="C946" s="85" t="str">
        <f t="shared" si="92"/>
        <v>6</v>
      </c>
      <c r="D946" s="85" t="str">
        <f t="shared" si="93"/>
        <v>2</v>
      </c>
      <c r="E946" s="85" t="str">
        <f t="shared" si="94"/>
        <v>0</v>
      </c>
      <c r="F946" s="85" t="str">
        <f t="shared" si="95"/>
        <v>04</v>
      </c>
      <c r="G946" s="85" t="str">
        <f t="shared" si="96"/>
        <v>2</v>
      </c>
      <c r="H946" s="85" t="str">
        <f t="shared" si="97"/>
        <v>3</v>
      </c>
      <c r="I946" s="87">
        <v>16200423</v>
      </c>
      <c r="J946" s="85" t="s">
        <v>4123</v>
      </c>
      <c r="K946" s="85" t="s">
        <v>2892</v>
      </c>
      <c r="L946" s="84"/>
      <c r="M946" s="85" t="s">
        <v>2892</v>
      </c>
      <c r="N946" s="85" t="s">
        <v>2879</v>
      </c>
      <c r="O946" s="85" t="s">
        <v>2892</v>
      </c>
      <c r="P946" s="86" t="s">
        <v>2890</v>
      </c>
    </row>
    <row r="947" spans="2:16" ht="15.75" x14ac:dyDescent="0.25">
      <c r="B947" s="85" t="str">
        <f t="shared" si="91"/>
        <v>1</v>
      </c>
      <c r="C947" s="85" t="str">
        <f t="shared" si="92"/>
        <v>6</v>
      </c>
      <c r="D947" s="85" t="str">
        <f t="shared" si="93"/>
        <v>2</v>
      </c>
      <c r="E947" s="85" t="str">
        <f t="shared" si="94"/>
        <v>0</v>
      </c>
      <c r="F947" s="85" t="str">
        <f t="shared" si="95"/>
        <v>04</v>
      </c>
      <c r="G947" s="85" t="str">
        <f t="shared" si="96"/>
        <v>2</v>
      </c>
      <c r="H947" s="85" t="str">
        <f t="shared" si="97"/>
        <v>4</v>
      </c>
      <c r="I947" s="87">
        <v>16200424</v>
      </c>
      <c r="J947" s="85" t="s">
        <v>4124</v>
      </c>
      <c r="K947" s="85" t="s">
        <v>2892</v>
      </c>
      <c r="L947" s="84"/>
      <c r="M947" s="85" t="s">
        <v>2892</v>
      </c>
      <c r="N947" s="85" t="s">
        <v>2879</v>
      </c>
      <c r="O947" s="85" t="s">
        <v>2892</v>
      </c>
      <c r="P947" s="86" t="s">
        <v>2890</v>
      </c>
    </row>
    <row r="948" spans="2:16" ht="60" x14ac:dyDescent="0.25">
      <c r="B948" s="114" t="str">
        <f t="shared" si="91"/>
        <v>1</v>
      </c>
      <c r="C948" s="114" t="str">
        <f t="shared" si="92"/>
        <v>6</v>
      </c>
      <c r="D948" s="114" t="str">
        <f t="shared" si="93"/>
        <v>2</v>
      </c>
      <c r="E948" s="114" t="str">
        <f t="shared" si="94"/>
        <v>0</v>
      </c>
      <c r="F948" s="114" t="str">
        <f t="shared" si="95"/>
        <v>04</v>
      </c>
      <c r="G948" s="114" t="str">
        <f t="shared" si="96"/>
        <v>3</v>
      </c>
      <c r="H948" s="114" t="str">
        <f t="shared" si="97"/>
        <v>0</v>
      </c>
      <c r="I948" s="115">
        <v>16200430</v>
      </c>
      <c r="J948" s="114" t="s">
        <v>4125</v>
      </c>
      <c r="K948" s="114" t="s">
        <v>4126</v>
      </c>
      <c r="L948" s="116"/>
      <c r="M948" s="114" t="s">
        <v>2878</v>
      </c>
      <c r="N948" s="114" t="s">
        <v>2879</v>
      </c>
      <c r="O948" s="114" t="s">
        <v>2878</v>
      </c>
      <c r="P948" s="117" t="s">
        <v>2880</v>
      </c>
    </row>
    <row r="949" spans="2:16" ht="75" x14ac:dyDescent="0.25">
      <c r="B949" s="85" t="str">
        <f t="shared" si="91"/>
        <v>1</v>
      </c>
      <c r="C949" s="85" t="str">
        <f t="shared" si="92"/>
        <v>6</v>
      </c>
      <c r="D949" s="85" t="str">
        <f t="shared" si="93"/>
        <v>2</v>
      </c>
      <c r="E949" s="85" t="str">
        <f t="shared" si="94"/>
        <v>0</v>
      </c>
      <c r="F949" s="85" t="str">
        <f t="shared" si="95"/>
        <v>04</v>
      </c>
      <c r="G949" s="85" t="str">
        <f t="shared" si="96"/>
        <v>3</v>
      </c>
      <c r="H949" s="85" t="str">
        <f t="shared" si="97"/>
        <v>1</v>
      </c>
      <c r="I949" s="87">
        <v>16200431</v>
      </c>
      <c r="J949" s="85" t="s">
        <v>4127</v>
      </c>
      <c r="K949" s="85" t="s">
        <v>4128</v>
      </c>
      <c r="L949" s="84"/>
      <c r="M949" s="85" t="s">
        <v>4129</v>
      </c>
      <c r="N949" s="85" t="s">
        <v>2879</v>
      </c>
      <c r="O949" s="85" t="s">
        <v>4130</v>
      </c>
      <c r="P949" s="86" t="s">
        <v>2890</v>
      </c>
    </row>
    <row r="950" spans="2:16" ht="15.75" x14ac:dyDescent="0.25">
      <c r="B950" s="85" t="str">
        <f t="shared" si="91"/>
        <v>1</v>
      </c>
      <c r="C950" s="85" t="str">
        <f t="shared" si="92"/>
        <v>6</v>
      </c>
      <c r="D950" s="85" t="str">
        <f t="shared" si="93"/>
        <v>2</v>
      </c>
      <c r="E950" s="85" t="str">
        <f t="shared" si="94"/>
        <v>0</v>
      </c>
      <c r="F950" s="85" t="str">
        <f t="shared" si="95"/>
        <v>04</v>
      </c>
      <c r="G950" s="85" t="str">
        <f t="shared" si="96"/>
        <v>3</v>
      </c>
      <c r="H950" s="85" t="str">
        <f t="shared" si="97"/>
        <v>2</v>
      </c>
      <c r="I950" s="87">
        <v>16200432</v>
      </c>
      <c r="J950" s="85" t="s">
        <v>4131</v>
      </c>
      <c r="K950" s="85" t="s">
        <v>2892</v>
      </c>
      <c r="L950" s="84"/>
      <c r="M950" s="85" t="s">
        <v>2892</v>
      </c>
      <c r="N950" s="85" t="s">
        <v>2879</v>
      </c>
      <c r="O950" s="85" t="s">
        <v>2892</v>
      </c>
      <c r="P950" s="86" t="s">
        <v>2890</v>
      </c>
    </row>
    <row r="951" spans="2:16" ht="15.75" x14ac:dyDescent="0.25">
      <c r="B951" s="85" t="str">
        <f t="shared" ref="B951:B1014" si="98">MID($I951,1,1)</f>
        <v>1</v>
      </c>
      <c r="C951" s="85" t="str">
        <f t="shared" ref="C951:C1014" si="99">MID($I951,2,1)</f>
        <v>6</v>
      </c>
      <c r="D951" s="85" t="str">
        <f t="shared" ref="D951:D1014" si="100">MID($I951,3,1)</f>
        <v>2</v>
      </c>
      <c r="E951" s="85" t="str">
        <f t="shared" ref="E951:E1014" si="101">MID($I951,4,1)</f>
        <v>0</v>
      </c>
      <c r="F951" s="85" t="str">
        <f t="shared" ref="F951:F1014" si="102">MID($I951,5,2)</f>
        <v>04</v>
      </c>
      <c r="G951" s="85" t="str">
        <f t="shared" ref="G951:G1014" si="103">MID($I951,7,1)</f>
        <v>3</v>
      </c>
      <c r="H951" s="85" t="str">
        <f t="shared" ref="H951:H1014" si="104">MID($I951,8,1)</f>
        <v>3</v>
      </c>
      <c r="I951" s="87">
        <v>16200433</v>
      </c>
      <c r="J951" s="85" t="s">
        <v>4132</v>
      </c>
      <c r="K951" s="85" t="s">
        <v>2892</v>
      </c>
      <c r="L951" s="84"/>
      <c r="M951" s="85" t="s">
        <v>2892</v>
      </c>
      <c r="N951" s="85" t="s">
        <v>2879</v>
      </c>
      <c r="O951" s="85" t="s">
        <v>2892</v>
      </c>
      <c r="P951" s="86" t="s">
        <v>2890</v>
      </c>
    </row>
    <row r="952" spans="2:16" ht="15.75" x14ac:dyDescent="0.25">
      <c r="B952" s="85" t="str">
        <f t="shared" si="98"/>
        <v>1</v>
      </c>
      <c r="C952" s="85" t="str">
        <f t="shared" si="99"/>
        <v>6</v>
      </c>
      <c r="D952" s="85" t="str">
        <f t="shared" si="100"/>
        <v>2</v>
      </c>
      <c r="E952" s="85" t="str">
        <f t="shared" si="101"/>
        <v>0</v>
      </c>
      <c r="F952" s="85" t="str">
        <f t="shared" si="102"/>
        <v>04</v>
      </c>
      <c r="G952" s="85" t="str">
        <f t="shared" si="103"/>
        <v>3</v>
      </c>
      <c r="H952" s="85" t="str">
        <f t="shared" si="104"/>
        <v>4</v>
      </c>
      <c r="I952" s="87">
        <v>16200434</v>
      </c>
      <c r="J952" s="85" t="s">
        <v>4133</v>
      </c>
      <c r="K952" s="85" t="s">
        <v>2892</v>
      </c>
      <c r="L952" s="84"/>
      <c r="M952" s="85" t="s">
        <v>2892</v>
      </c>
      <c r="N952" s="85" t="s">
        <v>2879</v>
      </c>
      <c r="O952" s="85" t="s">
        <v>2892</v>
      </c>
      <c r="P952" s="86" t="s">
        <v>2890</v>
      </c>
    </row>
    <row r="953" spans="2:16" ht="45" x14ac:dyDescent="0.25">
      <c r="B953" s="126" t="str">
        <f t="shared" si="98"/>
        <v>1</v>
      </c>
      <c r="C953" s="126" t="str">
        <f t="shared" si="99"/>
        <v>6</v>
      </c>
      <c r="D953" s="126" t="str">
        <f t="shared" si="100"/>
        <v>3</v>
      </c>
      <c r="E953" s="126" t="str">
        <f t="shared" si="101"/>
        <v>0</v>
      </c>
      <c r="F953" s="126" t="str">
        <f t="shared" si="102"/>
        <v>00</v>
      </c>
      <c r="G953" s="126" t="str">
        <f t="shared" si="103"/>
        <v>0</v>
      </c>
      <c r="H953" s="126" t="str">
        <f t="shared" si="104"/>
        <v>0</v>
      </c>
      <c r="I953" s="127">
        <v>16300000</v>
      </c>
      <c r="J953" s="126" t="s">
        <v>4134</v>
      </c>
      <c r="K953" s="126" t="s">
        <v>4135</v>
      </c>
      <c r="L953" s="122"/>
      <c r="M953" s="126" t="s">
        <v>2878</v>
      </c>
      <c r="N953" s="126" t="s">
        <v>5016</v>
      </c>
      <c r="O953" s="126" t="s">
        <v>2878</v>
      </c>
      <c r="P953" s="128" t="s">
        <v>2880</v>
      </c>
    </row>
    <row r="954" spans="2:16" ht="75" x14ac:dyDescent="0.25">
      <c r="B954" s="108" t="str">
        <f t="shared" si="98"/>
        <v>1</v>
      </c>
      <c r="C954" s="108" t="str">
        <f t="shared" si="99"/>
        <v>6</v>
      </c>
      <c r="D954" s="108" t="str">
        <f t="shared" si="100"/>
        <v>3</v>
      </c>
      <c r="E954" s="108" t="str">
        <f t="shared" si="101"/>
        <v>0</v>
      </c>
      <c r="F954" s="108" t="str">
        <f t="shared" si="102"/>
        <v>01</v>
      </c>
      <c r="G954" s="108" t="str">
        <f t="shared" si="103"/>
        <v>0</v>
      </c>
      <c r="H954" s="108" t="str">
        <f t="shared" si="104"/>
        <v>0</v>
      </c>
      <c r="I954" s="109">
        <v>16300100</v>
      </c>
      <c r="J954" s="108" t="s">
        <v>4136</v>
      </c>
      <c r="K954" s="108" t="s">
        <v>4137</v>
      </c>
      <c r="L954" s="110"/>
      <c r="M954" s="108" t="s">
        <v>2878</v>
      </c>
      <c r="N954" s="108" t="s">
        <v>2879</v>
      </c>
      <c r="O954" s="108" t="s">
        <v>2878</v>
      </c>
      <c r="P954" s="111" t="s">
        <v>2880</v>
      </c>
    </row>
    <row r="955" spans="2:16" ht="105" x14ac:dyDescent="0.25">
      <c r="B955" s="114" t="str">
        <f t="shared" si="98"/>
        <v>1</v>
      </c>
      <c r="C955" s="114" t="str">
        <f t="shared" si="99"/>
        <v>6</v>
      </c>
      <c r="D955" s="114" t="str">
        <f t="shared" si="100"/>
        <v>3</v>
      </c>
      <c r="E955" s="114" t="str">
        <f t="shared" si="101"/>
        <v>0</v>
      </c>
      <c r="F955" s="114" t="str">
        <f t="shared" si="102"/>
        <v>01</v>
      </c>
      <c r="G955" s="114" t="str">
        <f t="shared" si="103"/>
        <v>1</v>
      </c>
      <c r="H955" s="114" t="str">
        <f t="shared" si="104"/>
        <v>0</v>
      </c>
      <c r="I955" s="115">
        <v>16300110</v>
      </c>
      <c r="J955" s="114" t="s">
        <v>4136</v>
      </c>
      <c r="K955" s="114" t="s">
        <v>4138</v>
      </c>
      <c r="L955" s="116"/>
      <c r="M955" s="114" t="s">
        <v>4067</v>
      </c>
      <c r="N955" s="114" t="s">
        <v>2879</v>
      </c>
      <c r="O955" s="114" t="s">
        <v>4139</v>
      </c>
      <c r="P955" s="117" t="s">
        <v>2880</v>
      </c>
    </row>
    <row r="956" spans="2:16" ht="105" x14ac:dyDescent="0.25">
      <c r="B956" s="85" t="str">
        <f t="shared" si="98"/>
        <v>1</v>
      </c>
      <c r="C956" s="85" t="str">
        <f t="shared" si="99"/>
        <v>6</v>
      </c>
      <c r="D956" s="85" t="str">
        <f t="shared" si="100"/>
        <v>3</v>
      </c>
      <c r="E956" s="85" t="str">
        <f t="shared" si="101"/>
        <v>0</v>
      </c>
      <c r="F956" s="85" t="str">
        <f t="shared" si="102"/>
        <v>01</v>
      </c>
      <c r="G956" s="85" t="str">
        <f t="shared" si="103"/>
        <v>1</v>
      </c>
      <c r="H956" s="85" t="str">
        <f t="shared" si="104"/>
        <v>1</v>
      </c>
      <c r="I956" s="87">
        <v>16300111</v>
      </c>
      <c r="J956" s="85" t="s">
        <v>4140</v>
      </c>
      <c r="K956" s="85" t="s">
        <v>4141</v>
      </c>
      <c r="L956" s="84"/>
      <c r="M956" s="85" t="s">
        <v>4067</v>
      </c>
      <c r="N956" s="85" t="s">
        <v>2879</v>
      </c>
      <c r="O956" s="85" t="s">
        <v>4139</v>
      </c>
      <c r="P956" s="86" t="s">
        <v>2890</v>
      </c>
    </row>
    <row r="957" spans="2:16" ht="15.75" x14ac:dyDescent="0.25">
      <c r="B957" s="85" t="str">
        <f t="shared" si="98"/>
        <v>1</v>
      </c>
      <c r="C957" s="85" t="str">
        <f t="shared" si="99"/>
        <v>6</v>
      </c>
      <c r="D957" s="85" t="str">
        <f t="shared" si="100"/>
        <v>3</v>
      </c>
      <c r="E957" s="85" t="str">
        <f t="shared" si="101"/>
        <v>0</v>
      </c>
      <c r="F957" s="85" t="str">
        <f t="shared" si="102"/>
        <v>01</v>
      </c>
      <c r="G957" s="85" t="str">
        <f t="shared" si="103"/>
        <v>1</v>
      </c>
      <c r="H957" s="85" t="str">
        <f t="shared" si="104"/>
        <v>2</v>
      </c>
      <c r="I957" s="87">
        <v>16300112</v>
      </c>
      <c r="J957" s="85" t="s">
        <v>4142</v>
      </c>
      <c r="K957" s="85" t="s">
        <v>2892</v>
      </c>
      <c r="L957" s="84"/>
      <c r="M957" s="85" t="s">
        <v>2892</v>
      </c>
      <c r="N957" s="85" t="s">
        <v>2879</v>
      </c>
      <c r="O957" s="85" t="s">
        <v>2892</v>
      </c>
      <c r="P957" s="86" t="s">
        <v>2890</v>
      </c>
    </row>
    <row r="958" spans="2:16" ht="15.75" x14ac:dyDescent="0.25">
      <c r="B958" s="85" t="str">
        <f t="shared" si="98"/>
        <v>1</v>
      </c>
      <c r="C958" s="85" t="str">
        <f t="shared" si="99"/>
        <v>6</v>
      </c>
      <c r="D958" s="85" t="str">
        <f t="shared" si="100"/>
        <v>3</v>
      </c>
      <c r="E958" s="85" t="str">
        <f t="shared" si="101"/>
        <v>0</v>
      </c>
      <c r="F958" s="85" t="str">
        <f t="shared" si="102"/>
        <v>01</v>
      </c>
      <c r="G958" s="85" t="str">
        <f t="shared" si="103"/>
        <v>1</v>
      </c>
      <c r="H958" s="85" t="str">
        <f t="shared" si="104"/>
        <v>3</v>
      </c>
      <c r="I958" s="87">
        <v>16300113</v>
      </c>
      <c r="J958" s="85" t="s">
        <v>4143</v>
      </c>
      <c r="K958" s="85" t="s">
        <v>2892</v>
      </c>
      <c r="L958" s="84"/>
      <c r="M958" s="85" t="s">
        <v>2892</v>
      </c>
      <c r="N958" s="85" t="s">
        <v>2879</v>
      </c>
      <c r="O958" s="85" t="s">
        <v>2892</v>
      </c>
      <c r="P958" s="86" t="s">
        <v>2890</v>
      </c>
    </row>
    <row r="959" spans="2:16" ht="15.75" x14ac:dyDescent="0.25">
      <c r="B959" s="85" t="str">
        <f t="shared" si="98"/>
        <v>1</v>
      </c>
      <c r="C959" s="85" t="str">
        <f t="shared" si="99"/>
        <v>6</v>
      </c>
      <c r="D959" s="85" t="str">
        <f t="shared" si="100"/>
        <v>3</v>
      </c>
      <c r="E959" s="85" t="str">
        <f t="shared" si="101"/>
        <v>0</v>
      </c>
      <c r="F959" s="85" t="str">
        <f t="shared" si="102"/>
        <v>01</v>
      </c>
      <c r="G959" s="85" t="str">
        <f t="shared" si="103"/>
        <v>1</v>
      </c>
      <c r="H959" s="85" t="str">
        <f t="shared" si="104"/>
        <v>4</v>
      </c>
      <c r="I959" s="87">
        <v>16300114</v>
      </c>
      <c r="J959" s="85" t="s">
        <v>4144</v>
      </c>
      <c r="K959" s="85" t="s">
        <v>2892</v>
      </c>
      <c r="L959" s="84"/>
      <c r="M959" s="85" t="s">
        <v>2892</v>
      </c>
      <c r="N959" s="85" t="s">
        <v>2879</v>
      </c>
      <c r="O959" s="85" t="s">
        <v>2892</v>
      </c>
      <c r="P959" s="86" t="s">
        <v>2890</v>
      </c>
    </row>
    <row r="960" spans="2:16" ht="75" x14ac:dyDescent="0.25">
      <c r="B960" s="108" t="str">
        <f t="shared" si="98"/>
        <v>1</v>
      </c>
      <c r="C960" s="108" t="str">
        <f t="shared" si="99"/>
        <v>6</v>
      </c>
      <c r="D960" s="108" t="str">
        <f t="shared" si="100"/>
        <v>3</v>
      </c>
      <c r="E960" s="108" t="str">
        <f t="shared" si="101"/>
        <v>0</v>
      </c>
      <c r="F960" s="108" t="str">
        <f t="shared" si="102"/>
        <v>02</v>
      </c>
      <c r="G960" s="108" t="str">
        <f t="shared" si="103"/>
        <v>0</v>
      </c>
      <c r="H960" s="108" t="str">
        <f t="shared" si="104"/>
        <v>0</v>
      </c>
      <c r="I960" s="109">
        <v>16300200</v>
      </c>
      <c r="J960" s="108" t="s">
        <v>4145</v>
      </c>
      <c r="K960" s="108" t="s">
        <v>4146</v>
      </c>
      <c r="L960" s="110"/>
      <c r="M960" s="108" t="s">
        <v>2878</v>
      </c>
      <c r="N960" s="108" t="s">
        <v>2879</v>
      </c>
      <c r="O960" s="108" t="s">
        <v>2878</v>
      </c>
      <c r="P960" s="111" t="s">
        <v>2880</v>
      </c>
    </row>
    <row r="961" spans="2:16" ht="45" x14ac:dyDescent="0.25">
      <c r="B961" s="114" t="str">
        <f t="shared" si="98"/>
        <v>1</v>
      </c>
      <c r="C961" s="114" t="str">
        <f t="shared" si="99"/>
        <v>6</v>
      </c>
      <c r="D961" s="114" t="str">
        <f t="shared" si="100"/>
        <v>3</v>
      </c>
      <c r="E961" s="114" t="str">
        <f t="shared" si="101"/>
        <v>0</v>
      </c>
      <c r="F961" s="114" t="str">
        <f t="shared" si="102"/>
        <v>02</v>
      </c>
      <c r="G961" s="114" t="str">
        <f t="shared" si="103"/>
        <v>1</v>
      </c>
      <c r="H961" s="114" t="str">
        <f t="shared" si="104"/>
        <v>0</v>
      </c>
      <c r="I961" s="115">
        <v>16300210</v>
      </c>
      <c r="J961" s="114" t="s">
        <v>1020</v>
      </c>
      <c r="K961" s="114" t="s">
        <v>4147</v>
      </c>
      <c r="L961" s="116"/>
      <c r="M961" s="114" t="s">
        <v>2878</v>
      </c>
      <c r="N961" s="114" t="s">
        <v>2879</v>
      </c>
      <c r="O961" s="114" t="s">
        <v>2878</v>
      </c>
      <c r="P961" s="117" t="s">
        <v>2880</v>
      </c>
    </row>
    <row r="962" spans="2:16" ht="60" x14ac:dyDescent="0.25">
      <c r="B962" s="85" t="str">
        <f t="shared" si="98"/>
        <v>1</v>
      </c>
      <c r="C962" s="85" t="str">
        <f t="shared" si="99"/>
        <v>6</v>
      </c>
      <c r="D962" s="85" t="str">
        <f t="shared" si="100"/>
        <v>3</v>
      </c>
      <c r="E962" s="85" t="str">
        <f t="shared" si="101"/>
        <v>0</v>
      </c>
      <c r="F962" s="85" t="str">
        <f t="shared" si="102"/>
        <v>02</v>
      </c>
      <c r="G962" s="85" t="str">
        <f t="shared" si="103"/>
        <v>1</v>
      </c>
      <c r="H962" s="85" t="str">
        <f t="shared" si="104"/>
        <v>1</v>
      </c>
      <c r="I962" s="87">
        <v>16300211</v>
      </c>
      <c r="J962" s="85" t="s">
        <v>4148</v>
      </c>
      <c r="K962" s="85" t="s">
        <v>4149</v>
      </c>
      <c r="L962" s="84"/>
      <c r="M962" s="85" t="s">
        <v>4150</v>
      </c>
      <c r="N962" s="85" t="s">
        <v>2879</v>
      </c>
      <c r="O962" s="85" t="s">
        <v>4151</v>
      </c>
      <c r="P962" s="86" t="s">
        <v>2890</v>
      </c>
    </row>
    <row r="963" spans="2:16" ht="30" x14ac:dyDescent="0.25">
      <c r="B963" s="85" t="str">
        <f t="shared" si="98"/>
        <v>1</v>
      </c>
      <c r="C963" s="85" t="str">
        <f t="shared" si="99"/>
        <v>6</v>
      </c>
      <c r="D963" s="85" t="str">
        <f t="shared" si="100"/>
        <v>3</v>
      </c>
      <c r="E963" s="85" t="str">
        <f t="shared" si="101"/>
        <v>0</v>
      </c>
      <c r="F963" s="85" t="str">
        <f t="shared" si="102"/>
        <v>02</v>
      </c>
      <c r="G963" s="85" t="str">
        <f t="shared" si="103"/>
        <v>1</v>
      </c>
      <c r="H963" s="85" t="str">
        <f t="shared" si="104"/>
        <v>2</v>
      </c>
      <c r="I963" s="87">
        <v>16300212</v>
      </c>
      <c r="J963" s="85" t="s">
        <v>4152</v>
      </c>
      <c r="K963" s="85" t="s">
        <v>2892</v>
      </c>
      <c r="L963" s="84"/>
      <c r="M963" s="85" t="s">
        <v>2892</v>
      </c>
      <c r="N963" s="85" t="s">
        <v>2879</v>
      </c>
      <c r="O963" s="85" t="s">
        <v>2892</v>
      </c>
      <c r="P963" s="86" t="s">
        <v>2890</v>
      </c>
    </row>
    <row r="964" spans="2:16" ht="15.75" x14ac:dyDescent="0.25">
      <c r="B964" s="85" t="str">
        <f t="shared" si="98"/>
        <v>1</v>
      </c>
      <c r="C964" s="85" t="str">
        <f t="shared" si="99"/>
        <v>6</v>
      </c>
      <c r="D964" s="85" t="str">
        <f t="shared" si="100"/>
        <v>3</v>
      </c>
      <c r="E964" s="85" t="str">
        <f t="shared" si="101"/>
        <v>0</v>
      </c>
      <c r="F964" s="85" t="str">
        <f t="shared" si="102"/>
        <v>02</v>
      </c>
      <c r="G964" s="85" t="str">
        <f t="shared" si="103"/>
        <v>1</v>
      </c>
      <c r="H964" s="85" t="str">
        <f t="shared" si="104"/>
        <v>3</v>
      </c>
      <c r="I964" s="87">
        <v>16300213</v>
      </c>
      <c r="J964" s="85" t="s">
        <v>4153</v>
      </c>
      <c r="K964" s="85" t="s">
        <v>2892</v>
      </c>
      <c r="L964" s="84"/>
      <c r="M964" s="85" t="s">
        <v>2892</v>
      </c>
      <c r="N964" s="85" t="s">
        <v>2879</v>
      </c>
      <c r="O964" s="85" t="s">
        <v>2892</v>
      </c>
      <c r="P964" s="86" t="s">
        <v>2890</v>
      </c>
    </row>
    <row r="965" spans="2:16" ht="30" x14ac:dyDescent="0.25">
      <c r="B965" s="85" t="str">
        <f t="shared" si="98"/>
        <v>1</v>
      </c>
      <c r="C965" s="85" t="str">
        <f t="shared" si="99"/>
        <v>6</v>
      </c>
      <c r="D965" s="85" t="str">
        <f t="shared" si="100"/>
        <v>3</v>
      </c>
      <c r="E965" s="85" t="str">
        <f t="shared" si="101"/>
        <v>0</v>
      </c>
      <c r="F965" s="85" t="str">
        <f t="shared" si="102"/>
        <v>02</v>
      </c>
      <c r="G965" s="85" t="str">
        <f t="shared" si="103"/>
        <v>1</v>
      </c>
      <c r="H965" s="85" t="str">
        <f t="shared" si="104"/>
        <v>4</v>
      </c>
      <c r="I965" s="87">
        <v>16300214</v>
      </c>
      <c r="J965" s="85" t="s">
        <v>4154</v>
      </c>
      <c r="K965" s="85" t="s">
        <v>2892</v>
      </c>
      <c r="L965" s="84"/>
      <c r="M965" s="85" t="s">
        <v>2892</v>
      </c>
      <c r="N965" s="85" t="s">
        <v>2879</v>
      </c>
      <c r="O965" s="85" t="s">
        <v>2892</v>
      </c>
      <c r="P965" s="86" t="s">
        <v>2890</v>
      </c>
    </row>
    <row r="966" spans="2:16" ht="60" x14ac:dyDescent="0.25">
      <c r="B966" s="114" t="str">
        <f t="shared" si="98"/>
        <v>1</v>
      </c>
      <c r="C966" s="114" t="str">
        <f t="shared" si="99"/>
        <v>6</v>
      </c>
      <c r="D966" s="114" t="str">
        <f t="shared" si="100"/>
        <v>3</v>
      </c>
      <c r="E966" s="114" t="str">
        <f t="shared" si="101"/>
        <v>0</v>
      </c>
      <c r="F966" s="114" t="str">
        <f t="shared" si="102"/>
        <v>02</v>
      </c>
      <c r="G966" s="114" t="str">
        <f t="shared" si="103"/>
        <v>2</v>
      </c>
      <c r="H966" s="114" t="str">
        <f t="shared" si="104"/>
        <v>0</v>
      </c>
      <c r="I966" s="115">
        <v>16300220</v>
      </c>
      <c r="J966" s="114" t="s">
        <v>4155</v>
      </c>
      <c r="K966" s="114" t="s">
        <v>4156</v>
      </c>
      <c r="L966" s="116"/>
      <c r="M966" s="114" t="s">
        <v>2878</v>
      </c>
      <c r="N966" s="114" t="s">
        <v>2879</v>
      </c>
      <c r="O966" s="114" t="s">
        <v>2878</v>
      </c>
      <c r="P966" s="117" t="s">
        <v>2880</v>
      </c>
    </row>
    <row r="967" spans="2:16" ht="75" x14ac:dyDescent="0.25">
      <c r="B967" s="85" t="str">
        <f t="shared" si="98"/>
        <v>1</v>
      </c>
      <c r="C967" s="85" t="str">
        <f t="shared" si="99"/>
        <v>6</v>
      </c>
      <c r="D967" s="85" t="str">
        <f t="shared" si="100"/>
        <v>3</v>
      </c>
      <c r="E967" s="85" t="str">
        <f t="shared" si="101"/>
        <v>0</v>
      </c>
      <c r="F967" s="85" t="str">
        <f t="shared" si="102"/>
        <v>02</v>
      </c>
      <c r="G967" s="85" t="str">
        <f t="shared" si="103"/>
        <v>2</v>
      </c>
      <c r="H967" s="85" t="str">
        <f t="shared" si="104"/>
        <v>1</v>
      </c>
      <c r="I967" s="87">
        <v>16300221</v>
      </c>
      <c r="J967" s="85" t="s">
        <v>4157</v>
      </c>
      <c r="K967" s="85" t="s">
        <v>4158</v>
      </c>
      <c r="L967" s="84"/>
      <c r="M967" s="85" t="s">
        <v>4159</v>
      </c>
      <c r="N967" s="85" t="s">
        <v>2879</v>
      </c>
      <c r="O967" s="85" t="s">
        <v>4160</v>
      </c>
      <c r="P967" s="86" t="s">
        <v>2890</v>
      </c>
    </row>
    <row r="968" spans="2:16" ht="15.75" x14ac:dyDescent="0.25">
      <c r="B968" s="85" t="str">
        <f t="shared" si="98"/>
        <v>1</v>
      </c>
      <c r="C968" s="85" t="str">
        <f t="shared" si="99"/>
        <v>6</v>
      </c>
      <c r="D968" s="85" t="str">
        <f t="shared" si="100"/>
        <v>3</v>
      </c>
      <c r="E968" s="85" t="str">
        <f t="shared" si="101"/>
        <v>0</v>
      </c>
      <c r="F968" s="85" t="str">
        <f t="shared" si="102"/>
        <v>02</v>
      </c>
      <c r="G968" s="85" t="str">
        <f t="shared" si="103"/>
        <v>2</v>
      </c>
      <c r="H968" s="85" t="str">
        <f t="shared" si="104"/>
        <v>2</v>
      </c>
      <c r="I968" s="87">
        <v>16300222</v>
      </c>
      <c r="J968" s="85" t="s">
        <v>4161</v>
      </c>
      <c r="K968" s="85" t="s">
        <v>2892</v>
      </c>
      <c r="L968" s="84"/>
      <c r="M968" s="85" t="s">
        <v>2892</v>
      </c>
      <c r="N968" s="85" t="s">
        <v>2879</v>
      </c>
      <c r="O968" s="85" t="s">
        <v>2892</v>
      </c>
      <c r="P968" s="86" t="s">
        <v>2890</v>
      </c>
    </row>
    <row r="969" spans="2:16" ht="15.75" x14ac:dyDescent="0.25">
      <c r="B969" s="85" t="str">
        <f t="shared" si="98"/>
        <v>1</v>
      </c>
      <c r="C969" s="85" t="str">
        <f t="shared" si="99"/>
        <v>6</v>
      </c>
      <c r="D969" s="85" t="str">
        <f t="shared" si="100"/>
        <v>3</v>
      </c>
      <c r="E969" s="85" t="str">
        <f t="shared" si="101"/>
        <v>0</v>
      </c>
      <c r="F969" s="85" t="str">
        <f t="shared" si="102"/>
        <v>02</v>
      </c>
      <c r="G969" s="85" t="str">
        <f t="shared" si="103"/>
        <v>2</v>
      </c>
      <c r="H969" s="85" t="str">
        <f t="shared" si="104"/>
        <v>3</v>
      </c>
      <c r="I969" s="87">
        <v>16300223</v>
      </c>
      <c r="J969" s="85" t="s">
        <v>4162</v>
      </c>
      <c r="K969" s="85" t="s">
        <v>2892</v>
      </c>
      <c r="L969" s="84"/>
      <c r="M969" s="85" t="s">
        <v>2892</v>
      </c>
      <c r="N969" s="85" t="s">
        <v>2879</v>
      </c>
      <c r="O969" s="85" t="s">
        <v>2892</v>
      </c>
      <c r="P969" s="86" t="s">
        <v>2890</v>
      </c>
    </row>
    <row r="970" spans="2:16" ht="30" x14ac:dyDescent="0.25">
      <c r="B970" s="85" t="str">
        <f t="shared" si="98"/>
        <v>1</v>
      </c>
      <c r="C970" s="85" t="str">
        <f t="shared" si="99"/>
        <v>6</v>
      </c>
      <c r="D970" s="85" t="str">
        <f t="shared" si="100"/>
        <v>3</v>
      </c>
      <c r="E970" s="85" t="str">
        <f t="shared" si="101"/>
        <v>0</v>
      </c>
      <c r="F970" s="85" t="str">
        <f t="shared" si="102"/>
        <v>02</v>
      </c>
      <c r="G970" s="85" t="str">
        <f t="shared" si="103"/>
        <v>2</v>
      </c>
      <c r="H970" s="85" t="str">
        <f t="shared" si="104"/>
        <v>4</v>
      </c>
      <c r="I970" s="87">
        <v>16300224</v>
      </c>
      <c r="J970" s="85" t="s">
        <v>4163</v>
      </c>
      <c r="K970" s="85" t="s">
        <v>2892</v>
      </c>
      <c r="L970" s="84"/>
      <c r="M970" s="85" t="s">
        <v>2892</v>
      </c>
      <c r="N970" s="85" t="s">
        <v>2879</v>
      </c>
      <c r="O970" s="85" t="s">
        <v>2892</v>
      </c>
      <c r="P970" s="86" t="s">
        <v>2890</v>
      </c>
    </row>
    <row r="971" spans="2:16" ht="45" x14ac:dyDescent="0.25">
      <c r="B971" s="126" t="str">
        <f t="shared" si="98"/>
        <v>1</v>
      </c>
      <c r="C971" s="126" t="str">
        <f t="shared" si="99"/>
        <v>6</v>
      </c>
      <c r="D971" s="126" t="str">
        <f t="shared" si="100"/>
        <v>4</v>
      </c>
      <c r="E971" s="126" t="str">
        <f t="shared" si="101"/>
        <v>0</v>
      </c>
      <c r="F971" s="126" t="str">
        <f t="shared" si="102"/>
        <v>00</v>
      </c>
      <c r="G971" s="126" t="str">
        <f t="shared" si="103"/>
        <v>0</v>
      </c>
      <c r="H971" s="126" t="str">
        <f t="shared" si="104"/>
        <v>0</v>
      </c>
      <c r="I971" s="127">
        <v>16400000</v>
      </c>
      <c r="J971" s="126" t="s">
        <v>4164</v>
      </c>
      <c r="K971" s="126" t="s">
        <v>4165</v>
      </c>
      <c r="L971" s="122"/>
      <c r="M971" s="126" t="s">
        <v>2878</v>
      </c>
      <c r="N971" s="126" t="s">
        <v>5016</v>
      </c>
      <c r="O971" s="126" t="s">
        <v>2878</v>
      </c>
      <c r="P971" s="128" t="s">
        <v>2880</v>
      </c>
    </row>
    <row r="972" spans="2:16" ht="90" x14ac:dyDescent="0.25">
      <c r="B972" s="108" t="str">
        <f t="shared" si="98"/>
        <v>1</v>
      </c>
      <c r="C972" s="108" t="str">
        <f t="shared" si="99"/>
        <v>6</v>
      </c>
      <c r="D972" s="108" t="str">
        <f t="shared" si="100"/>
        <v>4</v>
      </c>
      <c r="E972" s="108" t="str">
        <f t="shared" si="101"/>
        <v>0</v>
      </c>
      <c r="F972" s="108" t="str">
        <f t="shared" si="102"/>
        <v>01</v>
      </c>
      <c r="G972" s="108" t="str">
        <f t="shared" si="103"/>
        <v>0</v>
      </c>
      <c r="H972" s="108" t="str">
        <f t="shared" si="104"/>
        <v>0</v>
      </c>
      <c r="I972" s="109">
        <v>16400100</v>
      </c>
      <c r="J972" s="108" t="s">
        <v>4166</v>
      </c>
      <c r="K972" s="108" t="s">
        <v>4167</v>
      </c>
      <c r="L972" s="110"/>
      <c r="M972" s="108" t="s">
        <v>2878</v>
      </c>
      <c r="N972" s="108" t="s">
        <v>2879</v>
      </c>
      <c r="O972" s="108" t="s">
        <v>2878</v>
      </c>
      <c r="P972" s="111" t="s">
        <v>2880</v>
      </c>
    </row>
    <row r="973" spans="2:16" ht="90" x14ac:dyDescent="0.25">
      <c r="B973" s="114" t="str">
        <f t="shared" si="98"/>
        <v>1</v>
      </c>
      <c r="C973" s="114" t="str">
        <f t="shared" si="99"/>
        <v>6</v>
      </c>
      <c r="D973" s="114" t="str">
        <f t="shared" si="100"/>
        <v>4</v>
      </c>
      <c r="E973" s="114" t="str">
        <f t="shared" si="101"/>
        <v>0</v>
      </c>
      <c r="F973" s="114" t="str">
        <f t="shared" si="102"/>
        <v>01</v>
      </c>
      <c r="G973" s="114" t="str">
        <f t="shared" si="103"/>
        <v>1</v>
      </c>
      <c r="H973" s="114" t="str">
        <f t="shared" si="104"/>
        <v>0</v>
      </c>
      <c r="I973" s="115">
        <v>16400110</v>
      </c>
      <c r="J973" s="114" t="s">
        <v>4166</v>
      </c>
      <c r="K973" s="114" t="s">
        <v>4167</v>
      </c>
      <c r="L973" s="116"/>
      <c r="M973" s="114" t="s">
        <v>2878</v>
      </c>
      <c r="N973" s="114" t="s">
        <v>2879</v>
      </c>
      <c r="O973" s="114" t="s">
        <v>2878</v>
      </c>
      <c r="P973" s="117" t="s">
        <v>2880</v>
      </c>
    </row>
    <row r="974" spans="2:16" ht="105" x14ac:dyDescent="0.25">
      <c r="B974" s="85" t="str">
        <f t="shared" si="98"/>
        <v>1</v>
      </c>
      <c r="C974" s="85" t="str">
        <f t="shared" si="99"/>
        <v>6</v>
      </c>
      <c r="D974" s="85" t="str">
        <f t="shared" si="100"/>
        <v>4</v>
      </c>
      <c r="E974" s="85" t="str">
        <f t="shared" si="101"/>
        <v>0</v>
      </c>
      <c r="F974" s="85" t="str">
        <f t="shared" si="102"/>
        <v>01</v>
      </c>
      <c r="G974" s="85" t="str">
        <f t="shared" si="103"/>
        <v>1</v>
      </c>
      <c r="H974" s="85" t="str">
        <f t="shared" si="104"/>
        <v>1</v>
      </c>
      <c r="I974" s="87">
        <v>16400111</v>
      </c>
      <c r="J974" s="85" t="s">
        <v>4168</v>
      </c>
      <c r="K974" s="85" t="s">
        <v>4169</v>
      </c>
      <c r="L974" s="84"/>
      <c r="M974" s="85" t="s">
        <v>4067</v>
      </c>
      <c r="N974" s="85" t="s">
        <v>2879</v>
      </c>
      <c r="O974" s="85" t="s">
        <v>4170</v>
      </c>
      <c r="P974" s="86" t="s">
        <v>2890</v>
      </c>
    </row>
    <row r="975" spans="2:16" ht="15.75" x14ac:dyDescent="0.25">
      <c r="B975" s="85" t="str">
        <f t="shared" si="98"/>
        <v>1</v>
      </c>
      <c r="C975" s="85" t="str">
        <f t="shared" si="99"/>
        <v>6</v>
      </c>
      <c r="D975" s="85" t="str">
        <f t="shared" si="100"/>
        <v>4</v>
      </c>
      <c r="E975" s="85" t="str">
        <f t="shared" si="101"/>
        <v>0</v>
      </c>
      <c r="F975" s="85" t="str">
        <f t="shared" si="102"/>
        <v>01</v>
      </c>
      <c r="G975" s="85" t="str">
        <f t="shared" si="103"/>
        <v>1</v>
      </c>
      <c r="H975" s="85" t="str">
        <f t="shared" si="104"/>
        <v>2</v>
      </c>
      <c r="I975" s="87">
        <v>16400112</v>
      </c>
      <c r="J975" s="85" t="s">
        <v>4171</v>
      </c>
      <c r="K975" s="85" t="s">
        <v>2892</v>
      </c>
      <c r="L975" s="84"/>
      <c r="M975" s="85" t="s">
        <v>2892</v>
      </c>
      <c r="N975" s="85" t="s">
        <v>2879</v>
      </c>
      <c r="O975" s="85" t="s">
        <v>2892</v>
      </c>
      <c r="P975" s="86" t="s">
        <v>2890</v>
      </c>
    </row>
    <row r="976" spans="2:16" ht="15.75" x14ac:dyDescent="0.25">
      <c r="B976" s="85" t="str">
        <f t="shared" si="98"/>
        <v>1</v>
      </c>
      <c r="C976" s="85" t="str">
        <f t="shared" si="99"/>
        <v>6</v>
      </c>
      <c r="D976" s="85" t="str">
        <f t="shared" si="100"/>
        <v>4</v>
      </c>
      <c r="E976" s="85" t="str">
        <f t="shared" si="101"/>
        <v>0</v>
      </c>
      <c r="F976" s="85" t="str">
        <f t="shared" si="102"/>
        <v>01</v>
      </c>
      <c r="G976" s="85" t="str">
        <f t="shared" si="103"/>
        <v>1</v>
      </c>
      <c r="H976" s="85" t="str">
        <f t="shared" si="104"/>
        <v>3</v>
      </c>
      <c r="I976" s="87">
        <v>16400113</v>
      </c>
      <c r="J976" s="85" t="s">
        <v>4172</v>
      </c>
      <c r="K976" s="85" t="s">
        <v>2892</v>
      </c>
      <c r="L976" s="84"/>
      <c r="M976" s="85" t="s">
        <v>2892</v>
      </c>
      <c r="N976" s="85" t="s">
        <v>2879</v>
      </c>
      <c r="O976" s="85" t="s">
        <v>2892</v>
      </c>
      <c r="P976" s="86" t="s">
        <v>2890</v>
      </c>
    </row>
    <row r="977" spans="2:16" ht="30" x14ac:dyDescent="0.25">
      <c r="B977" s="85" t="str">
        <f t="shared" si="98"/>
        <v>1</v>
      </c>
      <c r="C977" s="85" t="str">
        <f t="shared" si="99"/>
        <v>6</v>
      </c>
      <c r="D977" s="85" t="str">
        <f t="shared" si="100"/>
        <v>4</v>
      </c>
      <c r="E977" s="85" t="str">
        <f t="shared" si="101"/>
        <v>0</v>
      </c>
      <c r="F977" s="85" t="str">
        <f t="shared" si="102"/>
        <v>01</v>
      </c>
      <c r="G977" s="85" t="str">
        <f t="shared" si="103"/>
        <v>1</v>
      </c>
      <c r="H977" s="85" t="str">
        <f t="shared" si="104"/>
        <v>4</v>
      </c>
      <c r="I977" s="87">
        <v>16400114</v>
      </c>
      <c r="J977" s="85" t="s">
        <v>4173</v>
      </c>
      <c r="K977" s="85" t="s">
        <v>2892</v>
      </c>
      <c r="L977" s="84"/>
      <c r="M977" s="85" t="s">
        <v>2892</v>
      </c>
      <c r="N977" s="85" t="s">
        <v>2879</v>
      </c>
      <c r="O977" s="85" t="s">
        <v>2892</v>
      </c>
      <c r="P977" s="86" t="s">
        <v>2890</v>
      </c>
    </row>
    <row r="978" spans="2:16" ht="30" x14ac:dyDescent="0.25">
      <c r="B978" s="108" t="str">
        <f t="shared" si="98"/>
        <v>1</v>
      </c>
      <c r="C978" s="108" t="str">
        <f t="shared" si="99"/>
        <v>6</v>
      </c>
      <c r="D978" s="108" t="str">
        <f t="shared" si="100"/>
        <v>4</v>
      </c>
      <c r="E978" s="108" t="str">
        <f t="shared" si="101"/>
        <v>0</v>
      </c>
      <c r="F978" s="108" t="str">
        <f t="shared" si="102"/>
        <v>02</v>
      </c>
      <c r="G978" s="108" t="str">
        <f t="shared" si="103"/>
        <v>0</v>
      </c>
      <c r="H978" s="108" t="str">
        <f t="shared" si="104"/>
        <v>0</v>
      </c>
      <c r="I978" s="109">
        <v>16400200</v>
      </c>
      <c r="J978" s="108" t="s">
        <v>4174</v>
      </c>
      <c r="K978" s="108" t="s">
        <v>4175</v>
      </c>
      <c r="L978" s="110"/>
      <c r="M978" s="108" t="s">
        <v>2878</v>
      </c>
      <c r="N978" s="108" t="s">
        <v>2879</v>
      </c>
      <c r="O978" s="108" t="s">
        <v>2878</v>
      </c>
      <c r="P978" s="111" t="s">
        <v>2880</v>
      </c>
    </row>
    <row r="979" spans="2:16" ht="30" x14ac:dyDescent="0.25">
      <c r="B979" s="114" t="str">
        <f t="shared" si="98"/>
        <v>1</v>
      </c>
      <c r="C979" s="114" t="str">
        <f t="shared" si="99"/>
        <v>6</v>
      </c>
      <c r="D979" s="114" t="str">
        <f t="shared" si="100"/>
        <v>4</v>
      </c>
      <c r="E979" s="114" t="str">
        <f t="shared" si="101"/>
        <v>0</v>
      </c>
      <c r="F979" s="114" t="str">
        <f t="shared" si="102"/>
        <v>02</v>
      </c>
      <c r="G979" s="114" t="str">
        <f t="shared" si="103"/>
        <v>1</v>
      </c>
      <c r="H979" s="114" t="str">
        <f t="shared" si="104"/>
        <v>0</v>
      </c>
      <c r="I979" s="115">
        <v>16400210</v>
      </c>
      <c r="J979" s="114" t="s">
        <v>4174</v>
      </c>
      <c r="K979" s="114" t="s">
        <v>4175</v>
      </c>
      <c r="L979" s="116"/>
      <c r="M979" s="114" t="s">
        <v>2878</v>
      </c>
      <c r="N979" s="114" t="s">
        <v>2879</v>
      </c>
      <c r="O979" s="114" t="s">
        <v>2878</v>
      </c>
      <c r="P979" s="117" t="s">
        <v>2880</v>
      </c>
    </row>
    <row r="980" spans="2:16" ht="105" x14ac:dyDescent="0.25">
      <c r="B980" s="85" t="str">
        <f t="shared" si="98"/>
        <v>1</v>
      </c>
      <c r="C980" s="85" t="str">
        <f t="shared" si="99"/>
        <v>6</v>
      </c>
      <c r="D980" s="85" t="str">
        <f t="shared" si="100"/>
        <v>4</v>
      </c>
      <c r="E980" s="85" t="str">
        <f t="shared" si="101"/>
        <v>0</v>
      </c>
      <c r="F980" s="85" t="str">
        <f t="shared" si="102"/>
        <v>02</v>
      </c>
      <c r="G980" s="85" t="str">
        <f t="shared" si="103"/>
        <v>1</v>
      </c>
      <c r="H980" s="85" t="str">
        <f t="shared" si="104"/>
        <v>1</v>
      </c>
      <c r="I980" s="87">
        <v>16400211</v>
      </c>
      <c r="J980" s="85" t="s">
        <v>4176</v>
      </c>
      <c r="K980" s="85" t="s">
        <v>4177</v>
      </c>
      <c r="L980" s="84"/>
      <c r="M980" s="85" t="s">
        <v>4024</v>
      </c>
      <c r="N980" s="85" t="s">
        <v>2879</v>
      </c>
      <c r="O980" s="85" t="s">
        <v>4178</v>
      </c>
      <c r="P980" s="86" t="s">
        <v>2890</v>
      </c>
    </row>
    <row r="981" spans="2:16" ht="15.75" x14ac:dyDescent="0.25">
      <c r="B981" s="85" t="str">
        <f t="shared" si="98"/>
        <v>1</v>
      </c>
      <c r="C981" s="85" t="str">
        <f t="shared" si="99"/>
        <v>6</v>
      </c>
      <c r="D981" s="85" t="str">
        <f t="shared" si="100"/>
        <v>4</v>
      </c>
      <c r="E981" s="85" t="str">
        <f t="shared" si="101"/>
        <v>0</v>
      </c>
      <c r="F981" s="85" t="str">
        <f t="shared" si="102"/>
        <v>02</v>
      </c>
      <c r="G981" s="85" t="str">
        <f t="shared" si="103"/>
        <v>1</v>
      </c>
      <c r="H981" s="85" t="str">
        <f t="shared" si="104"/>
        <v>2</v>
      </c>
      <c r="I981" s="87">
        <v>16400212</v>
      </c>
      <c r="J981" s="85" t="s">
        <v>4179</v>
      </c>
      <c r="K981" s="85" t="s">
        <v>2892</v>
      </c>
      <c r="L981" s="84"/>
      <c r="M981" s="85" t="s">
        <v>2892</v>
      </c>
      <c r="N981" s="85" t="s">
        <v>2879</v>
      </c>
      <c r="O981" s="85" t="s">
        <v>2892</v>
      </c>
      <c r="P981" s="86" t="s">
        <v>2890</v>
      </c>
    </row>
    <row r="982" spans="2:16" ht="15.75" x14ac:dyDescent="0.25">
      <c r="B982" s="85" t="str">
        <f t="shared" si="98"/>
        <v>1</v>
      </c>
      <c r="C982" s="85" t="str">
        <f t="shared" si="99"/>
        <v>6</v>
      </c>
      <c r="D982" s="85" t="str">
        <f t="shared" si="100"/>
        <v>4</v>
      </c>
      <c r="E982" s="85" t="str">
        <f t="shared" si="101"/>
        <v>0</v>
      </c>
      <c r="F982" s="85" t="str">
        <f t="shared" si="102"/>
        <v>02</v>
      </c>
      <c r="G982" s="85" t="str">
        <f t="shared" si="103"/>
        <v>1</v>
      </c>
      <c r="H982" s="85" t="str">
        <f t="shared" si="104"/>
        <v>3</v>
      </c>
      <c r="I982" s="87">
        <v>16400213</v>
      </c>
      <c r="J982" s="85" t="s">
        <v>4180</v>
      </c>
      <c r="K982" s="85" t="s">
        <v>2892</v>
      </c>
      <c r="L982" s="84"/>
      <c r="M982" s="85" t="s">
        <v>2892</v>
      </c>
      <c r="N982" s="85" t="s">
        <v>2879</v>
      </c>
      <c r="O982" s="85" t="s">
        <v>2892</v>
      </c>
      <c r="P982" s="86" t="s">
        <v>2890</v>
      </c>
    </row>
    <row r="983" spans="2:16" ht="15.75" x14ac:dyDescent="0.25">
      <c r="B983" s="85" t="str">
        <f t="shared" si="98"/>
        <v>1</v>
      </c>
      <c r="C983" s="85" t="str">
        <f t="shared" si="99"/>
        <v>6</v>
      </c>
      <c r="D983" s="85" t="str">
        <f t="shared" si="100"/>
        <v>4</v>
      </c>
      <c r="E983" s="85" t="str">
        <f t="shared" si="101"/>
        <v>0</v>
      </c>
      <c r="F983" s="85" t="str">
        <f t="shared" si="102"/>
        <v>02</v>
      </c>
      <c r="G983" s="85" t="str">
        <f t="shared" si="103"/>
        <v>1</v>
      </c>
      <c r="H983" s="85" t="str">
        <f t="shared" si="104"/>
        <v>4</v>
      </c>
      <c r="I983" s="87">
        <v>16400214</v>
      </c>
      <c r="J983" s="85" t="s">
        <v>4181</v>
      </c>
      <c r="K983" s="85" t="s">
        <v>2892</v>
      </c>
      <c r="L983" s="84"/>
      <c r="M983" s="85" t="s">
        <v>2892</v>
      </c>
      <c r="N983" s="85" t="s">
        <v>2879</v>
      </c>
      <c r="O983" s="85" t="s">
        <v>2892</v>
      </c>
      <c r="P983" s="86" t="s">
        <v>2890</v>
      </c>
    </row>
    <row r="984" spans="2:16" ht="60" x14ac:dyDescent="0.25">
      <c r="B984" s="108" t="str">
        <f t="shared" si="98"/>
        <v>1</v>
      </c>
      <c r="C984" s="108" t="str">
        <f t="shared" si="99"/>
        <v>6</v>
      </c>
      <c r="D984" s="108" t="str">
        <f t="shared" si="100"/>
        <v>4</v>
      </c>
      <c r="E984" s="108" t="str">
        <f t="shared" si="101"/>
        <v>0</v>
      </c>
      <c r="F984" s="108" t="str">
        <f t="shared" si="102"/>
        <v>03</v>
      </c>
      <c r="G984" s="108" t="str">
        <f t="shared" si="103"/>
        <v>0</v>
      </c>
      <c r="H984" s="108" t="str">
        <f t="shared" si="104"/>
        <v>0</v>
      </c>
      <c r="I984" s="109">
        <v>16400300</v>
      </c>
      <c r="J984" s="108" t="s">
        <v>4182</v>
      </c>
      <c r="K984" s="108" t="s">
        <v>4183</v>
      </c>
      <c r="L984" s="110"/>
      <c r="M984" s="108" t="s">
        <v>2878</v>
      </c>
      <c r="N984" s="108" t="s">
        <v>2879</v>
      </c>
      <c r="O984" s="108" t="s">
        <v>2878</v>
      </c>
      <c r="P984" s="111" t="s">
        <v>2880</v>
      </c>
    </row>
    <row r="985" spans="2:16" ht="60" x14ac:dyDescent="0.25">
      <c r="B985" s="114" t="str">
        <f t="shared" si="98"/>
        <v>1</v>
      </c>
      <c r="C985" s="114" t="str">
        <f t="shared" si="99"/>
        <v>6</v>
      </c>
      <c r="D985" s="114" t="str">
        <f t="shared" si="100"/>
        <v>4</v>
      </c>
      <c r="E985" s="114" t="str">
        <f t="shared" si="101"/>
        <v>0</v>
      </c>
      <c r="F985" s="114" t="str">
        <f t="shared" si="102"/>
        <v>03</v>
      </c>
      <c r="G985" s="114" t="str">
        <f t="shared" si="103"/>
        <v>1</v>
      </c>
      <c r="H985" s="114" t="str">
        <f t="shared" si="104"/>
        <v>0</v>
      </c>
      <c r="I985" s="115">
        <v>16400310</v>
      </c>
      <c r="J985" s="114" t="s">
        <v>4182</v>
      </c>
      <c r="K985" s="114" t="s">
        <v>4183</v>
      </c>
      <c r="L985" s="116"/>
      <c r="M985" s="114" t="s">
        <v>2878</v>
      </c>
      <c r="N985" s="114" t="s">
        <v>2879</v>
      </c>
      <c r="O985" s="114" t="s">
        <v>2878</v>
      </c>
      <c r="P985" s="117" t="s">
        <v>2880</v>
      </c>
    </row>
    <row r="986" spans="2:16" s="153" customFormat="1" ht="150" x14ac:dyDescent="0.25">
      <c r="B986" s="93" t="str">
        <f t="shared" si="98"/>
        <v>1</v>
      </c>
      <c r="C986" s="93" t="str">
        <f t="shared" si="99"/>
        <v>6</v>
      </c>
      <c r="D986" s="93" t="str">
        <f t="shared" si="100"/>
        <v>4</v>
      </c>
      <c r="E986" s="93" t="str">
        <f t="shared" si="101"/>
        <v>0</v>
      </c>
      <c r="F986" s="93" t="str">
        <f t="shared" si="102"/>
        <v>03</v>
      </c>
      <c r="G986" s="93" t="str">
        <f t="shared" si="103"/>
        <v>1</v>
      </c>
      <c r="H986" s="93" t="str">
        <f t="shared" si="104"/>
        <v>1</v>
      </c>
      <c r="I986" s="135">
        <v>16400311</v>
      </c>
      <c r="J986" s="93" t="s">
        <v>4184</v>
      </c>
      <c r="K986" s="93" t="s">
        <v>4185</v>
      </c>
      <c r="L986" s="84"/>
      <c r="M986" s="93" t="s">
        <v>4186</v>
      </c>
      <c r="N986" s="93" t="s">
        <v>2879</v>
      </c>
      <c r="O986" s="93" t="s">
        <v>4187</v>
      </c>
      <c r="P986" s="154" t="s">
        <v>2890</v>
      </c>
    </row>
    <row r="987" spans="2:16" ht="30" x14ac:dyDescent="0.25">
      <c r="B987" s="126" t="str">
        <f t="shared" si="98"/>
        <v>1</v>
      </c>
      <c r="C987" s="126" t="str">
        <f t="shared" si="99"/>
        <v>6</v>
      </c>
      <c r="D987" s="126" t="str">
        <f t="shared" si="100"/>
        <v>9</v>
      </c>
      <c r="E987" s="126" t="str">
        <f t="shared" si="101"/>
        <v>0</v>
      </c>
      <c r="F987" s="126" t="str">
        <f t="shared" si="102"/>
        <v>00</v>
      </c>
      <c r="G987" s="126" t="str">
        <f t="shared" si="103"/>
        <v>0</v>
      </c>
      <c r="H987" s="126" t="str">
        <f t="shared" si="104"/>
        <v>0</v>
      </c>
      <c r="I987" s="127">
        <v>16900000</v>
      </c>
      <c r="J987" s="126" t="s">
        <v>1211</v>
      </c>
      <c r="K987" s="126" t="s">
        <v>4188</v>
      </c>
      <c r="L987" s="122"/>
      <c r="M987" s="126" t="s">
        <v>2878</v>
      </c>
      <c r="N987" s="126" t="s">
        <v>5016</v>
      </c>
      <c r="O987" s="126" t="s">
        <v>2878</v>
      </c>
      <c r="P987" s="128" t="s">
        <v>2880</v>
      </c>
    </row>
    <row r="988" spans="2:16" ht="30" x14ac:dyDescent="0.25">
      <c r="B988" s="108" t="str">
        <f t="shared" si="98"/>
        <v>1</v>
      </c>
      <c r="C988" s="108" t="str">
        <f t="shared" si="99"/>
        <v>6</v>
      </c>
      <c r="D988" s="108" t="str">
        <f t="shared" si="100"/>
        <v>9</v>
      </c>
      <c r="E988" s="108" t="str">
        <f t="shared" si="101"/>
        <v>0</v>
      </c>
      <c r="F988" s="108" t="str">
        <f t="shared" si="102"/>
        <v>99</v>
      </c>
      <c r="G988" s="108" t="str">
        <f t="shared" si="103"/>
        <v>0</v>
      </c>
      <c r="H988" s="108" t="str">
        <f t="shared" si="104"/>
        <v>0</v>
      </c>
      <c r="I988" s="109">
        <v>16909900</v>
      </c>
      <c r="J988" s="108" t="s">
        <v>1211</v>
      </c>
      <c r="K988" s="108" t="s">
        <v>4188</v>
      </c>
      <c r="L988" s="110"/>
      <c r="M988" s="108" t="s">
        <v>2878</v>
      </c>
      <c r="N988" s="108" t="s">
        <v>2879</v>
      </c>
      <c r="O988" s="108" t="s">
        <v>2878</v>
      </c>
      <c r="P988" s="111" t="s">
        <v>2880</v>
      </c>
    </row>
    <row r="989" spans="2:16" ht="30" x14ac:dyDescent="0.25">
      <c r="B989" s="114" t="str">
        <f t="shared" si="98"/>
        <v>1</v>
      </c>
      <c r="C989" s="114" t="str">
        <f t="shared" si="99"/>
        <v>6</v>
      </c>
      <c r="D989" s="114" t="str">
        <f t="shared" si="100"/>
        <v>9</v>
      </c>
      <c r="E989" s="114" t="str">
        <f t="shared" si="101"/>
        <v>0</v>
      </c>
      <c r="F989" s="114" t="str">
        <f t="shared" si="102"/>
        <v>99</v>
      </c>
      <c r="G989" s="114" t="str">
        <f t="shared" si="103"/>
        <v>1</v>
      </c>
      <c r="H989" s="114" t="str">
        <f t="shared" si="104"/>
        <v>0</v>
      </c>
      <c r="I989" s="115">
        <v>16909910</v>
      </c>
      <c r="J989" s="114" t="s">
        <v>1211</v>
      </c>
      <c r="K989" s="114" t="s">
        <v>4188</v>
      </c>
      <c r="L989" s="116"/>
      <c r="M989" s="114" t="s">
        <v>2878</v>
      </c>
      <c r="N989" s="114" t="s">
        <v>2879</v>
      </c>
      <c r="O989" s="114" t="s">
        <v>2878</v>
      </c>
      <c r="P989" s="117" t="s">
        <v>2880</v>
      </c>
    </row>
    <row r="990" spans="2:16" ht="30" x14ac:dyDescent="0.25">
      <c r="B990" s="85" t="str">
        <f t="shared" si="98"/>
        <v>1</v>
      </c>
      <c r="C990" s="85" t="str">
        <f t="shared" si="99"/>
        <v>6</v>
      </c>
      <c r="D990" s="85" t="str">
        <f t="shared" si="100"/>
        <v>9</v>
      </c>
      <c r="E990" s="85" t="str">
        <f t="shared" si="101"/>
        <v>0</v>
      </c>
      <c r="F990" s="85" t="str">
        <f t="shared" si="102"/>
        <v>99</v>
      </c>
      <c r="G990" s="85" t="str">
        <f t="shared" si="103"/>
        <v>1</v>
      </c>
      <c r="H990" s="85" t="str">
        <f t="shared" si="104"/>
        <v>1</v>
      </c>
      <c r="I990" s="87">
        <v>16909911</v>
      </c>
      <c r="J990" s="85" t="s">
        <v>4189</v>
      </c>
      <c r="K990" s="85" t="s">
        <v>4190</v>
      </c>
      <c r="L990" s="84"/>
      <c r="M990" s="85" t="s">
        <v>4024</v>
      </c>
      <c r="N990" s="85" t="s">
        <v>2879</v>
      </c>
      <c r="O990" s="85" t="s">
        <v>4041</v>
      </c>
      <c r="P990" s="86" t="s">
        <v>2890</v>
      </c>
    </row>
    <row r="991" spans="2:16" ht="15.75" x14ac:dyDescent="0.25">
      <c r="B991" s="85" t="str">
        <f t="shared" si="98"/>
        <v>1</v>
      </c>
      <c r="C991" s="85" t="str">
        <f t="shared" si="99"/>
        <v>6</v>
      </c>
      <c r="D991" s="85" t="str">
        <f t="shared" si="100"/>
        <v>9</v>
      </c>
      <c r="E991" s="85" t="str">
        <f t="shared" si="101"/>
        <v>0</v>
      </c>
      <c r="F991" s="85" t="str">
        <f t="shared" si="102"/>
        <v>99</v>
      </c>
      <c r="G991" s="85" t="str">
        <f t="shared" si="103"/>
        <v>1</v>
      </c>
      <c r="H991" s="85" t="str">
        <f t="shared" si="104"/>
        <v>2</v>
      </c>
      <c r="I991" s="87">
        <v>16909912</v>
      </c>
      <c r="J991" s="85" t="s">
        <v>4191</v>
      </c>
      <c r="K991" s="85" t="s">
        <v>2892</v>
      </c>
      <c r="L991" s="84"/>
      <c r="M991" s="85" t="s">
        <v>2892</v>
      </c>
      <c r="N991" s="85" t="s">
        <v>2879</v>
      </c>
      <c r="O991" s="85" t="s">
        <v>2892</v>
      </c>
      <c r="P991" s="86" t="s">
        <v>2890</v>
      </c>
    </row>
    <row r="992" spans="2:16" ht="15.75" x14ac:dyDescent="0.25">
      <c r="B992" s="85" t="str">
        <f t="shared" si="98"/>
        <v>1</v>
      </c>
      <c r="C992" s="85" t="str">
        <f t="shared" si="99"/>
        <v>6</v>
      </c>
      <c r="D992" s="85" t="str">
        <f t="shared" si="100"/>
        <v>9</v>
      </c>
      <c r="E992" s="85" t="str">
        <f t="shared" si="101"/>
        <v>0</v>
      </c>
      <c r="F992" s="85" t="str">
        <f t="shared" si="102"/>
        <v>99</v>
      </c>
      <c r="G992" s="85" t="str">
        <f t="shared" si="103"/>
        <v>1</v>
      </c>
      <c r="H992" s="85" t="str">
        <f t="shared" si="104"/>
        <v>3</v>
      </c>
      <c r="I992" s="87">
        <v>16909913</v>
      </c>
      <c r="J992" s="85" t="s">
        <v>4192</v>
      </c>
      <c r="K992" s="85" t="s">
        <v>2892</v>
      </c>
      <c r="L992" s="84"/>
      <c r="M992" s="85" t="s">
        <v>2892</v>
      </c>
      <c r="N992" s="85" t="s">
        <v>2879</v>
      </c>
      <c r="O992" s="85" t="s">
        <v>2892</v>
      </c>
      <c r="P992" s="86" t="s">
        <v>2890</v>
      </c>
    </row>
    <row r="993" spans="2:16" ht="15.75" x14ac:dyDescent="0.25">
      <c r="B993" s="85" t="str">
        <f t="shared" si="98"/>
        <v>1</v>
      </c>
      <c r="C993" s="85" t="str">
        <f t="shared" si="99"/>
        <v>6</v>
      </c>
      <c r="D993" s="85" t="str">
        <f t="shared" si="100"/>
        <v>9</v>
      </c>
      <c r="E993" s="85" t="str">
        <f t="shared" si="101"/>
        <v>0</v>
      </c>
      <c r="F993" s="85" t="str">
        <f t="shared" si="102"/>
        <v>99</v>
      </c>
      <c r="G993" s="85" t="str">
        <f t="shared" si="103"/>
        <v>1</v>
      </c>
      <c r="H993" s="85" t="str">
        <f t="shared" si="104"/>
        <v>4</v>
      </c>
      <c r="I993" s="87">
        <v>16909914</v>
      </c>
      <c r="J993" s="85" t="s">
        <v>4193</v>
      </c>
      <c r="K993" s="85" t="s">
        <v>2892</v>
      </c>
      <c r="L993" s="84"/>
      <c r="M993" s="85" t="s">
        <v>2892</v>
      </c>
      <c r="N993" s="85" t="s">
        <v>2879</v>
      </c>
      <c r="O993" s="85" t="s">
        <v>2892</v>
      </c>
      <c r="P993" s="86" t="s">
        <v>2890</v>
      </c>
    </row>
    <row r="994" spans="2:16" ht="45" x14ac:dyDescent="0.25">
      <c r="B994" s="123" t="str">
        <f t="shared" si="98"/>
        <v>1</v>
      </c>
      <c r="C994" s="123" t="str">
        <f t="shared" si="99"/>
        <v>7</v>
      </c>
      <c r="D994" s="123" t="str">
        <f t="shared" si="100"/>
        <v>0</v>
      </c>
      <c r="E994" s="123" t="str">
        <f t="shared" si="101"/>
        <v>0</v>
      </c>
      <c r="F994" s="123" t="str">
        <f t="shared" si="102"/>
        <v>00</v>
      </c>
      <c r="G994" s="123" t="str">
        <f t="shared" si="103"/>
        <v>0</v>
      </c>
      <c r="H994" s="123" t="str">
        <f t="shared" si="104"/>
        <v>0</v>
      </c>
      <c r="I994" s="124">
        <v>17000000</v>
      </c>
      <c r="J994" s="123" t="s">
        <v>1213</v>
      </c>
      <c r="K994" s="123" t="s">
        <v>4194</v>
      </c>
      <c r="L994" s="103"/>
      <c r="M994" s="123" t="s">
        <v>2878</v>
      </c>
      <c r="N994" s="123" t="s">
        <v>5016</v>
      </c>
      <c r="O994" s="123" t="s">
        <v>2878</v>
      </c>
      <c r="P994" s="125" t="s">
        <v>2880</v>
      </c>
    </row>
    <row r="995" spans="2:16" ht="60" x14ac:dyDescent="0.25">
      <c r="B995" s="126" t="str">
        <f t="shared" si="98"/>
        <v>1</v>
      </c>
      <c r="C995" s="126" t="str">
        <f t="shared" si="99"/>
        <v>7</v>
      </c>
      <c r="D995" s="126" t="str">
        <f t="shared" si="100"/>
        <v>1</v>
      </c>
      <c r="E995" s="126" t="str">
        <f t="shared" si="101"/>
        <v>0</v>
      </c>
      <c r="F995" s="126" t="str">
        <f t="shared" si="102"/>
        <v>00</v>
      </c>
      <c r="G995" s="126" t="str">
        <f t="shared" si="103"/>
        <v>0</v>
      </c>
      <c r="H995" s="126" t="str">
        <f t="shared" si="104"/>
        <v>0</v>
      </c>
      <c r="I995" s="127">
        <v>17100000</v>
      </c>
      <c r="J995" s="126" t="s">
        <v>4195</v>
      </c>
      <c r="K995" s="126" t="s">
        <v>4196</v>
      </c>
      <c r="L995" s="122"/>
      <c r="M995" s="126" t="s">
        <v>2878</v>
      </c>
      <c r="N995" s="126" t="s">
        <v>5016</v>
      </c>
      <c r="O995" s="126" t="s">
        <v>2878</v>
      </c>
      <c r="P995" s="128" t="s">
        <v>2880</v>
      </c>
    </row>
    <row r="996" spans="2:16" ht="60" x14ac:dyDescent="0.25">
      <c r="B996" s="114" t="str">
        <f t="shared" si="98"/>
        <v>1</v>
      </c>
      <c r="C996" s="114" t="str">
        <f t="shared" si="99"/>
        <v>7</v>
      </c>
      <c r="D996" s="114" t="str">
        <f t="shared" si="100"/>
        <v>1</v>
      </c>
      <c r="E996" s="114" t="str">
        <f t="shared" si="101"/>
        <v>0</v>
      </c>
      <c r="F996" s="114" t="str">
        <f t="shared" si="102"/>
        <v>00</v>
      </c>
      <c r="G996" s="114" t="str">
        <f t="shared" si="103"/>
        <v>1</v>
      </c>
      <c r="H996" s="114" t="str">
        <f t="shared" si="104"/>
        <v>0</v>
      </c>
      <c r="I996" s="115">
        <v>17100010</v>
      </c>
      <c r="J996" s="114" t="s">
        <v>4195</v>
      </c>
      <c r="K996" s="114" t="s">
        <v>4196</v>
      </c>
      <c r="L996" s="116"/>
      <c r="M996" s="114" t="s">
        <v>2878</v>
      </c>
      <c r="N996" s="114"/>
      <c r="O996" s="114" t="s">
        <v>2878</v>
      </c>
      <c r="P996" s="117" t="s">
        <v>2880</v>
      </c>
    </row>
    <row r="997" spans="2:16" ht="75" x14ac:dyDescent="0.25">
      <c r="B997" s="85" t="str">
        <f t="shared" si="98"/>
        <v>1</v>
      </c>
      <c r="C997" s="85" t="str">
        <f t="shared" si="99"/>
        <v>7</v>
      </c>
      <c r="D997" s="85" t="str">
        <f t="shared" si="100"/>
        <v>1</v>
      </c>
      <c r="E997" s="85" t="str">
        <f t="shared" si="101"/>
        <v>0</v>
      </c>
      <c r="F997" s="85" t="str">
        <f t="shared" si="102"/>
        <v>00</v>
      </c>
      <c r="G997" s="85" t="str">
        <f t="shared" si="103"/>
        <v>1</v>
      </c>
      <c r="H997" s="85" t="str">
        <f t="shared" si="104"/>
        <v>1</v>
      </c>
      <c r="I997" s="87">
        <v>17100011</v>
      </c>
      <c r="J997" s="85" t="s">
        <v>5059</v>
      </c>
      <c r="K997" s="85" t="s">
        <v>5060</v>
      </c>
      <c r="L997" s="84"/>
      <c r="M997" s="85" t="s">
        <v>4024</v>
      </c>
      <c r="N997" s="85"/>
      <c r="O997" s="85" t="s">
        <v>4197</v>
      </c>
      <c r="P997" s="86" t="s">
        <v>2890</v>
      </c>
    </row>
    <row r="998" spans="2:16" s="153" customFormat="1" ht="30" x14ac:dyDescent="0.25">
      <c r="B998" s="155" t="str">
        <f t="shared" si="98"/>
        <v>1</v>
      </c>
      <c r="C998" s="155" t="str">
        <f t="shared" si="99"/>
        <v>7</v>
      </c>
      <c r="D998" s="155" t="str">
        <f t="shared" si="100"/>
        <v>1</v>
      </c>
      <c r="E998" s="155" t="str">
        <f t="shared" si="101"/>
        <v>8</v>
      </c>
      <c r="F998" s="155" t="str">
        <f t="shared" si="102"/>
        <v>00</v>
      </c>
      <c r="G998" s="155" t="str">
        <f t="shared" si="103"/>
        <v>0</v>
      </c>
      <c r="H998" s="155" t="str">
        <f t="shared" si="104"/>
        <v>0</v>
      </c>
      <c r="I998" s="161">
        <v>17180000</v>
      </c>
      <c r="J998" s="155" t="s">
        <v>5022</v>
      </c>
      <c r="K998" s="155" t="s">
        <v>5032</v>
      </c>
      <c r="L998" s="106"/>
      <c r="M998" s="155" t="s">
        <v>2878</v>
      </c>
      <c r="N998" s="155"/>
      <c r="O998" s="155" t="s">
        <v>5018</v>
      </c>
      <c r="P998" s="162" t="s">
        <v>2880</v>
      </c>
    </row>
    <row r="999" spans="2:16" s="153" customFormat="1" ht="30" x14ac:dyDescent="0.25">
      <c r="B999" s="113" t="str">
        <f t="shared" si="98"/>
        <v>1</v>
      </c>
      <c r="C999" s="113" t="str">
        <f t="shared" si="99"/>
        <v>7</v>
      </c>
      <c r="D999" s="113" t="str">
        <f t="shared" si="100"/>
        <v>1</v>
      </c>
      <c r="E999" s="113" t="str">
        <f t="shared" si="101"/>
        <v>8</v>
      </c>
      <c r="F999" s="113" t="str">
        <f t="shared" si="102"/>
        <v>01</v>
      </c>
      <c r="G999" s="113" t="str">
        <f t="shared" si="103"/>
        <v>0</v>
      </c>
      <c r="H999" s="113" t="str">
        <f t="shared" si="104"/>
        <v>0</v>
      </c>
      <c r="I999" s="112">
        <v>17180100</v>
      </c>
      <c r="J999" s="113" t="s">
        <v>1219</v>
      </c>
      <c r="K999" s="113" t="s">
        <v>1220</v>
      </c>
      <c r="L999" s="110"/>
      <c r="M999" s="113" t="s">
        <v>2878</v>
      </c>
      <c r="N999" s="113"/>
      <c r="O999" s="113" t="s">
        <v>2878</v>
      </c>
      <c r="P999" s="163" t="s">
        <v>2880</v>
      </c>
    </row>
    <row r="1000" spans="2:16" s="153" customFormat="1" ht="30" x14ac:dyDescent="0.25">
      <c r="B1000" s="130" t="str">
        <f t="shared" si="98"/>
        <v>1</v>
      </c>
      <c r="C1000" s="130" t="str">
        <f t="shared" si="99"/>
        <v>7</v>
      </c>
      <c r="D1000" s="130" t="str">
        <f t="shared" si="100"/>
        <v>1</v>
      </c>
      <c r="E1000" s="130" t="str">
        <f t="shared" si="101"/>
        <v>8</v>
      </c>
      <c r="F1000" s="130" t="str">
        <f t="shared" si="102"/>
        <v>01</v>
      </c>
      <c r="G1000" s="130" t="str">
        <f t="shared" si="103"/>
        <v>1</v>
      </c>
      <c r="H1000" s="130" t="str">
        <f t="shared" si="104"/>
        <v>0</v>
      </c>
      <c r="I1000" s="129">
        <v>17180110</v>
      </c>
      <c r="J1000" s="130" t="s">
        <v>1221</v>
      </c>
      <c r="K1000" s="130" t="s">
        <v>1222</v>
      </c>
      <c r="L1000" s="116"/>
      <c r="M1000" s="130"/>
      <c r="N1000" s="130"/>
      <c r="O1000" s="130" t="s">
        <v>2878</v>
      </c>
      <c r="P1000" s="152" t="s">
        <v>2880</v>
      </c>
    </row>
    <row r="1001" spans="2:16" s="153" customFormat="1" ht="30" x14ac:dyDescent="0.25">
      <c r="B1001" s="93" t="str">
        <f t="shared" si="98"/>
        <v>1</v>
      </c>
      <c r="C1001" s="93" t="str">
        <f t="shared" si="99"/>
        <v>7</v>
      </c>
      <c r="D1001" s="93" t="str">
        <f t="shared" si="100"/>
        <v>1</v>
      </c>
      <c r="E1001" s="93" t="str">
        <f t="shared" si="101"/>
        <v>8</v>
      </c>
      <c r="F1001" s="93" t="str">
        <f t="shared" si="102"/>
        <v>01</v>
      </c>
      <c r="G1001" s="93" t="str">
        <f t="shared" si="103"/>
        <v>1</v>
      </c>
      <c r="H1001" s="93" t="str">
        <f t="shared" si="104"/>
        <v>1</v>
      </c>
      <c r="I1001" s="135">
        <v>17180111</v>
      </c>
      <c r="J1001" s="93" t="s">
        <v>4793</v>
      </c>
      <c r="K1001" s="93" t="s">
        <v>1222</v>
      </c>
      <c r="L1001" s="84"/>
      <c r="M1001" s="93"/>
      <c r="N1001" s="93"/>
      <c r="O1001" s="93"/>
      <c r="P1001" s="154" t="s">
        <v>2890</v>
      </c>
    </row>
    <row r="1002" spans="2:16" s="153" customFormat="1" ht="45" x14ac:dyDescent="0.25">
      <c r="B1002" s="130" t="str">
        <f t="shared" si="98"/>
        <v>1</v>
      </c>
      <c r="C1002" s="130" t="str">
        <f t="shared" si="99"/>
        <v>7</v>
      </c>
      <c r="D1002" s="130" t="str">
        <f t="shared" si="100"/>
        <v>1</v>
      </c>
      <c r="E1002" s="130" t="str">
        <f t="shared" si="101"/>
        <v>8</v>
      </c>
      <c r="F1002" s="130" t="str">
        <f t="shared" si="102"/>
        <v>01</v>
      </c>
      <c r="G1002" s="130" t="str">
        <f t="shared" si="103"/>
        <v>2</v>
      </c>
      <c r="H1002" s="130" t="str">
        <f t="shared" si="104"/>
        <v>0</v>
      </c>
      <c r="I1002" s="129">
        <v>17180120</v>
      </c>
      <c r="J1002" s="130" t="s">
        <v>1223</v>
      </c>
      <c r="K1002" s="130" t="s">
        <v>1224</v>
      </c>
      <c r="L1002" s="116"/>
      <c r="M1002" s="130"/>
      <c r="N1002" s="130" t="s">
        <v>1225</v>
      </c>
      <c r="O1002" s="130" t="s">
        <v>2878</v>
      </c>
      <c r="P1002" s="152" t="s">
        <v>2880</v>
      </c>
    </row>
    <row r="1003" spans="2:16" s="153" customFormat="1" ht="45" x14ac:dyDescent="0.25">
      <c r="B1003" s="93" t="str">
        <f t="shared" si="98"/>
        <v>1</v>
      </c>
      <c r="C1003" s="93" t="str">
        <f t="shared" si="99"/>
        <v>7</v>
      </c>
      <c r="D1003" s="93" t="str">
        <f t="shared" si="100"/>
        <v>1</v>
      </c>
      <c r="E1003" s="93" t="str">
        <f t="shared" si="101"/>
        <v>8</v>
      </c>
      <c r="F1003" s="93" t="str">
        <f t="shared" si="102"/>
        <v>01</v>
      </c>
      <c r="G1003" s="93" t="str">
        <f t="shared" si="103"/>
        <v>2</v>
      </c>
      <c r="H1003" s="93" t="str">
        <f t="shared" si="104"/>
        <v>1</v>
      </c>
      <c r="I1003" s="135">
        <v>17180121</v>
      </c>
      <c r="J1003" s="93" t="s">
        <v>4794</v>
      </c>
      <c r="K1003" s="93" t="s">
        <v>1224</v>
      </c>
      <c r="L1003" s="84"/>
      <c r="M1003" s="93"/>
      <c r="N1003" s="93" t="s">
        <v>1225</v>
      </c>
      <c r="O1003" s="93"/>
      <c r="P1003" s="154" t="s">
        <v>2890</v>
      </c>
    </row>
    <row r="1004" spans="2:16" s="153" customFormat="1" ht="45" x14ac:dyDescent="0.25">
      <c r="B1004" s="130" t="str">
        <f t="shared" si="98"/>
        <v>1</v>
      </c>
      <c r="C1004" s="130" t="str">
        <f t="shared" si="99"/>
        <v>7</v>
      </c>
      <c r="D1004" s="130" t="str">
        <f t="shared" si="100"/>
        <v>1</v>
      </c>
      <c r="E1004" s="130" t="str">
        <f t="shared" si="101"/>
        <v>8</v>
      </c>
      <c r="F1004" s="130" t="str">
        <f t="shared" si="102"/>
        <v>01</v>
      </c>
      <c r="G1004" s="130" t="str">
        <f t="shared" si="103"/>
        <v>3</v>
      </c>
      <c r="H1004" s="130" t="str">
        <f t="shared" si="104"/>
        <v>0</v>
      </c>
      <c r="I1004" s="129">
        <v>17180130</v>
      </c>
      <c r="J1004" s="130" t="s">
        <v>1226</v>
      </c>
      <c r="K1004" s="130" t="s">
        <v>1227</v>
      </c>
      <c r="L1004" s="116"/>
      <c r="M1004" s="130"/>
      <c r="N1004" s="130" t="s">
        <v>1228</v>
      </c>
      <c r="O1004" s="130" t="s">
        <v>2878</v>
      </c>
      <c r="P1004" s="152" t="s">
        <v>2880</v>
      </c>
    </row>
    <row r="1005" spans="2:16" s="153" customFormat="1" ht="45" x14ac:dyDescent="0.25">
      <c r="B1005" s="93" t="str">
        <f t="shared" si="98"/>
        <v>1</v>
      </c>
      <c r="C1005" s="93" t="str">
        <f t="shared" si="99"/>
        <v>7</v>
      </c>
      <c r="D1005" s="93" t="str">
        <f t="shared" si="100"/>
        <v>1</v>
      </c>
      <c r="E1005" s="93" t="str">
        <f t="shared" si="101"/>
        <v>8</v>
      </c>
      <c r="F1005" s="93" t="str">
        <f t="shared" si="102"/>
        <v>01</v>
      </c>
      <c r="G1005" s="93" t="str">
        <f t="shared" si="103"/>
        <v>3</v>
      </c>
      <c r="H1005" s="93" t="str">
        <f t="shared" si="104"/>
        <v>1</v>
      </c>
      <c r="I1005" s="135">
        <v>17180131</v>
      </c>
      <c r="J1005" s="93" t="s">
        <v>4795</v>
      </c>
      <c r="K1005" s="93" t="s">
        <v>1227</v>
      </c>
      <c r="L1005" s="84"/>
      <c r="M1005" s="93"/>
      <c r="N1005" s="93" t="s">
        <v>1228</v>
      </c>
      <c r="O1005" s="93"/>
      <c r="P1005" s="154" t="s">
        <v>2890</v>
      </c>
    </row>
    <row r="1006" spans="2:16" s="153" customFormat="1" ht="45" x14ac:dyDescent="0.25">
      <c r="B1006" s="130" t="str">
        <f t="shared" si="98"/>
        <v>1</v>
      </c>
      <c r="C1006" s="130" t="str">
        <f t="shared" si="99"/>
        <v>7</v>
      </c>
      <c r="D1006" s="130" t="str">
        <f t="shared" si="100"/>
        <v>1</v>
      </c>
      <c r="E1006" s="130" t="str">
        <f t="shared" si="101"/>
        <v>8</v>
      </c>
      <c r="F1006" s="130" t="str">
        <f t="shared" si="102"/>
        <v>01</v>
      </c>
      <c r="G1006" s="130" t="str">
        <f t="shared" si="103"/>
        <v>4</v>
      </c>
      <c r="H1006" s="130" t="str">
        <f t="shared" si="104"/>
        <v>0</v>
      </c>
      <c r="I1006" s="129">
        <v>17180140</v>
      </c>
      <c r="J1006" s="130" t="s">
        <v>1229</v>
      </c>
      <c r="K1006" s="130" t="s">
        <v>1230</v>
      </c>
      <c r="L1006" s="116"/>
      <c r="M1006" s="130"/>
      <c r="N1006" s="130" t="s">
        <v>1231</v>
      </c>
      <c r="O1006" s="130" t="s">
        <v>2878</v>
      </c>
      <c r="P1006" s="152" t="s">
        <v>2880</v>
      </c>
    </row>
    <row r="1007" spans="2:16" s="153" customFormat="1" ht="45" x14ac:dyDescent="0.25">
      <c r="B1007" s="93" t="str">
        <f t="shared" si="98"/>
        <v>1</v>
      </c>
      <c r="C1007" s="93" t="str">
        <f t="shared" si="99"/>
        <v>7</v>
      </c>
      <c r="D1007" s="93" t="str">
        <f t="shared" si="100"/>
        <v>1</v>
      </c>
      <c r="E1007" s="93" t="str">
        <f t="shared" si="101"/>
        <v>8</v>
      </c>
      <c r="F1007" s="93" t="str">
        <f t="shared" si="102"/>
        <v>01</v>
      </c>
      <c r="G1007" s="93" t="str">
        <f t="shared" si="103"/>
        <v>4</v>
      </c>
      <c r="H1007" s="93" t="str">
        <f t="shared" si="104"/>
        <v>1</v>
      </c>
      <c r="I1007" s="135">
        <v>17180141</v>
      </c>
      <c r="J1007" s="93" t="s">
        <v>4796</v>
      </c>
      <c r="K1007" s="93" t="s">
        <v>1230</v>
      </c>
      <c r="L1007" s="84"/>
      <c r="M1007" s="93"/>
      <c r="N1007" s="93" t="s">
        <v>1231</v>
      </c>
      <c r="O1007" s="93"/>
      <c r="P1007" s="154" t="s">
        <v>2890</v>
      </c>
    </row>
    <row r="1008" spans="2:16" s="153" customFormat="1" ht="30" x14ac:dyDescent="0.25">
      <c r="B1008" s="130" t="str">
        <f t="shared" si="98"/>
        <v>1</v>
      </c>
      <c r="C1008" s="130" t="str">
        <f t="shared" si="99"/>
        <v>7</v>
      </c>
      <c r="D1008" s="130" t="str">
        <f t="shared" si="100"/>
        <v>1</v>
      </c>
      <c r="E1008" s="130" t="str">
        <f t="shared" si="101"/>
        <v>8</v>
      </c>
      <c r="F1008" s="130" t="str">
        <f t="shared" si="102"/>
        <v>01</v>
      </c>
      <c r="G1008" s="130" t="str">
        <f t="shared" si="103"/>
        <v>5</v>
      </c>
      <c r="H1008" s="130" t="str">
        <f t="shared" si="104"/>
        <v>0</v>
      </c>
      <c r="I1008" s="129">
        <v>17180150</v>
      </c>
      <c r="J1008" s="130" t="s">
        <v>1232</v>
      </c>
      <c r="K1008" s="130" t="s">
        <v>1233</v>
      </c>
      <c r="L1008" s="116"/>
      <c r="M1008" s="130"/>
      <c r="N1008" s="130"/>
      <c r="O1008" s="130" t="s">
        <v>2878</v>
      </c>
      <c r="P1008" s="152" t="s">
        <v>2880</v>
      </c>
    </row>
    <row r="1009" spans="2:16" s="153" customFormat="1" ht="30" x14ac:dyDescent="0.25">
      <c r="B1009" s="93" t="str">
        <f t="shared" si="98"/>
        <v>1</v>
      </c>
      <c r="C1009" s="93" t="str">
        <f t="shared" si="99"/>
        <v>7</v>
      </c>
      <c r="D1009" s="93" t="str">
        <f t="shared" si="100"/>
        <v>1</v>
      </c>
      <c r="E1009" s="93" t="str">
        <f t="shared" si="101"/>
        <v>8</v>
      </c>
      <c r="F1009" s="93" t="str">
        <f t="shared" si="102"/>
        <v>01</v>
      </c>
      <c r="G1009" s="93" t="str">
        <f t="shared" si="103"/>
        <v>5</v>
      </c>
      <c r="H1009" s="93" t="str">
        <f t="shared" si="104"/>
        <v>1</v>
      </c>
      <c r="I1009" s="135">
        <v>17180151</v>
      </c>
      <c r="J1009" s="93" t="s">
        <v>4797</v>
      </c>
      <c r="K1009" s="93" t="s">
        <v>1233</v>
      </c>
      <c r="L1009" s="84"/>
      <c r="M1009" s="93"/>
      <c r="N1009" s="93"/>
      <c r="O1009" s="93"/>
      <c r="P1009" s="154" t="s">
        <v>2890</v>
      </c>
    </row>
    <row r="1010" spans="2:16" s="153" customFormat="1" ht="30" x14ac:dyDescent="0.25">
      <c r="B1010" s="130" t="str">
        <f t="shared" si="98"/>
        <v>1</v>
      </c>
      <c r="C1010" s="130" t="str">
        <f t="shared" si="99"/>
        <v>7</v>
      </c>
      <c r="D1010" s="130" t="str">
        <f t="shared" si="100"/>
        <v>1</v>
      </c>
      <c r="E1010" s="130" t="str">
        <f t="shared" si="101"/>
        <v>8</v>
      </c>
      <c r="F1010" s="130" t="str">
        <f t="shared" si="102"/>
        <v>01</v>
      </c>
      <c r="G1010" s="130" t="str">
        <f t="shared" si="103"/>
        <v>6</v>
      </c>
      <c r="H1010" s="130" t="str">
        <f t="shared" si="104"/>
        <v>0</v>
      </c>
      <c r="I1010" s="129">
        <v>17180160</v>
      </c>
      <c r="J1010" s="130" t="s">
        <v>1234</v>
      </c>
      <c r="K1010" s="130" t="s">
        <v>1235</v>
      </c>
      <c r="L1010" s="116"/>
      <c r="M1010" s="130"/>
      <c r="N1010" s="130"/>
      <c r="O1010" s="130" t="s">
        <v>2878</v>
      </c>
      <c r="P1010" s="152" t="s">
        <v>2880</v>
      </c>
    </row>
    <row r="1011" spans="2:16" s="153" customFormat="1" ht="30" x14ac:dyDescent="0.25">
      <c r="B1011" s="93" t="str">
        <f t="shared" si="98"/>
        <v>1</v>
      </c>
      <c r="C1011" s="93" t="str">
        <f t="shared" si="99"/>
        <v>7</v>
      </c>
      <c r="D1011" s="93" t="str">
        <f t="shared" si="100"/>
        <v>1</v>
      </c>
      <c r="E1011" s="93" t="str">
        <f t="shared" si="101"/>
        <v>8</v>
      </c>
      <c r="F1011" s="93" t="str">
        <f t="shared" si="102"/>
        <v>01</v>
      </c>
      <c r="G1011" s="93" t="str">
        <f t="shared" si="103"/>
        <v>6</v>
      </c>
      <c r="H1011" s="93" t="str">
        <f t="shared" si="104"/>
        <v>1</v>
      </c>
      <c r="I1011" s="135">
        <v>17180161</v>
      </c>
      <c r="J1011" s="93" t="s">
        <v>4798</v>
      </c>
      <c r="K1011" s="93" t="s">
        <v>1235</v>
      </c>
      <c r="L1011" s="84"/>
      <c r="M1011" s="93"/>
      <c r="N1011" s="93"/>
      <c r="O1011" s="93"/>
      <c r="P1011" s="154" t="s">
        <v>2890</v>
      </c>
    </row>
    <row r="1012" spans="2:16" s="153" customFormat="1" ht="45" x14ac:dyDescent="0.25">
      <c r="B1012" s="130" t="str">
        <f t="shared" si="98"/>
        <v>1</v>
      </c>
      <c r="C1012" s="130" t="str">
        <f t="shared" si="99"/>
        <v>7</v>
      </c>
      <c r="D1012" s="130" t="str">
        <f t="shared" si="100"/>
        <v>1</v>
      </c>
      <c r="E1012" s="130" t="str">
        <f t="shared" si="101"/>
        <v>8</v>
      </c>
      <c r="F1012" s="130" t="str">
        <f t="shared" si="102"/>
        <v>01</v>
      </c>
      <c r="G1012" s="130" t="str">
        <f t="shared" si="103"/>
        <v>7</v>
      </c>
      <c r="H1012" s="130" t="str">
        <f t="shared" si="104"/>
        <v>0</v>
      </c>
      <c r="I1012" s="129">
        <v>17180170</v>
      </c>
      <c r="J1012" s="130" t="s">
        <v>1236</v>
      </c>
      <c r="K1012" s="130" t="s">
        <v>1237</v>
      </c>
      <c r="L1012" s="116"/>
      <c r="M1012" s="130"/>
      <c r="N1012" s="130"/>
      <c r="O1012" s="130" t="s">
        <v>2878</v>
      </c>
      <c r="P1012" s="152" t="s">
        <v>2880</v>
      </c>
    </row>
    <row r="1013" spans="2:16" s="153" customFormat="1" ht="45" x14ac:dyDescent="0.25">
      <c r="B1013" s="93" t="str">
        <f t="shared" si="98"/>
        <v>1</v>
      </c>
      <c r="C1013" s="93" t="str">
        <f t="shared" si="99"/>
        <v>7</v>
      </c>
      <c r="D1013" s="93" t="str">
        <f t="shared" si="100"/>
        <v>1</v>
      </c>
      <c r="E1013" s="93" t="str">
        <f t="shared" si="101"/>
        <v>8</v>
      </c>
      <c r="F1013" s="93" t="str">
        <f t="shared" si="102"/>
        <v>01</v>
      </c>
      <c r="G1013" s="93" t="str">
        <f t="shared" si="103"/>
        <v>7</v>
      </c>
      <c r="H1013" s="93" t="str">
        <f t="shared" si="104"/>
        <v>1</v>
      </c>
      <c r="I1013" s="135">
        <v>17180171</v>
      </c>
      <c r="J1013" s="93" t="s">
        <v>4799</v>
      </c>
      <c r="K1013" s="93" t="s">
        <v>1237</v>
      </c>
      <c r="L1013" s="84"/>
      <c r="M1013" s="93"/>
      <c r="N1013" s="93"/>
      <c r="O1013" s="93"/>
      <c r="P1013" s="154" t="s">
        <v>2890</v>
      </c>
    </row>
    <row r="1014" spans="2:16" s="153" customFormat="1" ht="30" x14ac:dyDescent="0.25">
      <c r="B1014" s="130" t="str">
        <f t="shared" si="98"/>
        <v>1</v>
      </c>
      <c r="C1014" s="130" t="str">
        <f t="shared" si="99"/>
        <v>7</v>
      </c>
      <c r="D1014" s="130" t="str">
        <f t="shared" si="100"/>
        <v>1</v>
      </c>
      <c r="E1014" s="130" t="str">
        <f t="shared" si="101"/>
        <v>8</v>
      </c>
      <c r="F1014" s="130" t="str">
        <f t="shared" si="102"/>
        <v>01</v>
      </c>
      <c r="G1014" s="130" t="str">
        <f t="shared" si="103"/>
        <v>8</v>
      </c>
      <c r="H1014" s="130" t="str">
        <f t="shared" si="104"/>
        <v>0</v>
      </c>
      <c r="I1014" s="129">
        <v>17180180</v>
      </c>
      <c r="J1014" s="130" t="s">
        <v>1238</v>
      </c>
      <c r="K1014" s="130" t="s">
        <v>1239</v>
      </c>
      <c r="L1014" s="116"/>
      <c r="M1014" s="130"/>
      <c r="N1014" s="130"/>
      <c r="O1014" s="130" t="s">
        <v>2878</v>
      </c>
      <c r="P1014" s="152" t="s">
        <v>2880</v>
      </c>
    </row>
    <row r="1015" spans="2:16" s="153" customFormat="1" ht="45" x14ac:dyDescent="0.25">
      <c r="B1015" s="93" t="str">
        <f t="shared" ref="B1015:B1081" si="105">MID($I1015,1,1)</f>
        <v>1</v>
      </c>
      <c r="C1015" s="93" t="str">
        <f t="shared" ref="C1015:C1081" si="106">MID($I1015,2,1)</f>
        <v>7</v>
      </c>
      <c r="D1015" s="93" t="str">
        <f t="shared" ref="D1015:D1081" si="107">MID($I1015,3,1)</f>
        <v>1</v>
      </c>
      <c r="E1015" s="93" t="str">
        <f t="shared" ref="E1015:E1081" si="108">MID($I1015,4,1)</f>
        <v>8</v>
      </c>
      <c r="F1015" s="93" t="str">
        <f t="shared" ref="F1015:F1081" si="109">MID($I1015,5,2)</f>
        <v>01</v>
      </c>
      <c r="G1015" s="93" t="str">
        <f t="shared" ref="G1015:G1081" si="110">MID($I1015,7,1)</f>
        <v>8</v>
      </c>
      <c r="H1015" s="93" t="str">
        <f t="shared" ref="H1015:H1081" si="111">MID($I1015,8,1)</f>
        <v>1</v>
      </c>
      <c r="I1015" s="135">
        <v>17180181</v>
      </c>
      <c r="J1015" s="93" t="s">
        <v>4800</v>
      </c>
      <c r="K1015" s="93" t="s">
        <v>1239</v>
      </c>
      <c r="L1015" s="84"/>
      <c r="M1015" s="93"/>
      <c r="N1015" s="93"/>
      <c r="O1015" s="93"/>
      <c r="P1015" s="154" t="s">
        <v>2890</v>
      </c>
    </row>
    <row r="1016" spans="2:16" s="153" customFormat="1" ht="30" x14ac:dyDescent="0.25">
      <c r="B1016" s="113" t="str">
        <f t="shared" si="105"/>
        <v>1</v>
      </c>
      <c r="C1016" s="113" t="str">
        <f t="shared" si="106"/>
        <v>7</v>
      </c>
      <c r="D1016" s="113" t="str">
        <f t="shared" si="107"/>
        <v>1</v>
      </c>
      <c r="E1016" s="113" t="str">
        <f t="shared" si="108"/>
        <v>8</v>
      </c>
      <c r="F1016" s="113" t="str">
        <f t="shared" si="109"/>
        <v>02</v>
      </c>
      <c r="G1016" s="113" t="str">
        <f t="shared" si="110"/>
        <v>0</v>
      </c>
      <c r="H1016" s="113" t="str">
        <f t="shared" si="111"/>
        <v>0</v>
      </c>
      <c r="I1016" s="112">
        <v>17180200</v>
      </c>
      <c r="J1016" s="113" t="s">
        <v>1240</v>
      </c>
      <c r="K1016" s="113" t="s">
        <v>1241</v>
      </c>
      <c r="L1016" s="110"/>
      <c r="M1016" s="113" t="s">
        <v>2878</v>
      </c>
      <c r="N1016" s="113"/>
      <c r="O1016" s="113" t="s">
        <v>2878</v>
      </c>
      <c r="P1016" s="163" t="s">
        <v>2880</v>
      </c>
    </row>
    <row r="1017" spans="2:16" s="153" customFormat="1" ht="30" x14ac:dyDescent="0.25">
      <c r="B1017" s="130" t="str">
        <f t="shared" si="105"/>
        <v>1</v>
      </c>
      <c r="C1017" s="130" t="str">
        <f t="shared" si="106"/>
        <v>7</v>
      </c>
      <c r="D1017" s="130" t="str">
        <f t="shared" si="107"/>
        <v>1</v>
      </c>
      <c r="E1017" s="130" t="str">
        <f t="shared" si="108"/>
        <v>8</v>
      </c>
      <c r="F1017" s="130" t="str">
        <f t="shared" si="109"/>
        <v>02</v>
      </c>
      <c r="G1017" s="130" t="str">
        <f t="shared" si="110"/>
        <v>1</v>
      </c>
      <c r="H1017" s="130" t="str">
        <f t="shared" si="111"/>
        <v>0</v>
      </c>
      <c r="I1017" s="129">
        <v>17180210</v>
      </c>
      <c r="J1017" s="130" t="s">
        <v>1242</v>
      </c>
      <c r="K1017" s="130" t="s">
        <v>1243</v>
      </c>
      <c r="L1017" s="116"/>
      <c r="M1017" s="130"/>
      <c r="N1017" s="130"/>
      <c r="O1017" s="130" t="s">
        <v>2878</v>
      </c>
      <c r="P1017" s="152" t="s">
        <v>2880</v>
      </c>
    </row>
    <row r="1018" spans="2:16" s="153" customFormat="1" ht="30" x14ac:dyDescent="0.25">
      <c r="B1018" s="93" t="str">
        <f t="shared" si="105"/>
        <v>1</v>
      </c>
      <c r="C1018" s="93" t="str">
        <f t="shared" si="106"/>
        <v>7</v>
      </c>
      <c r="D1018" s="93" t="str">
        <f t="shared" si="107"/>
        <v>1</v>
      </c>
      <c r="E1018" s="93" t="str">
        <f t="shared" si="108"/>
        <v>8</v>
      </c>
      <c r="F1018" s="93" t="str">
        <f t="shared" si="109"/>
        <v>02</v>
      </c>
      <c r="G1018" s="93" t="str">
        <f t="shared" si="110"/>
        <v>1</v>
      </c>
      <c r="H1018" s="93" t="str">
        <f t="shared" si="111"/>
        <v>1</v>
      </c>
      <c r="I1018" s="135">
        <v>17180211</v>
      </c>
      <c r="J1018" s="93" t="s">
        <v>4801</v>
      </c>
      <c r="K1018" s="93" t="s">
        <v>1243</v>
      </c>
      <c r="L1018" s="84"/>
      <c r="M1018" s="93"/>
      <c r="N1018" s="93"/>
      <c r="O1018" s="93"/>
      <c r="P1018" s="154" t="s">
        <v>2890</v>
      </c>
    </row>
    <row r="1019" spans="2:16" s="153" customFormat="1" ht="30" x14ac:dyDescent="0.25">
      <c r="B1019" s="130" t="str">
        <f t="shared" si="105"/>
        <v>1</v>
      </c>
      <c r="C1019" s="130" t="str">
        <f t="shared" si="106"/>
        <v>7</v>
      </c>
      <c r="D1019" s="130" t="str">
        <f t="shared" si="107"/>
        <v>1</v>
      </c>
      <c r="E1019" s="130" t="str">
        <f t="shared" si="108"/>
        <v>8</v>
      </c>
      <c r="F1019" s="130" t="str">
        <f t="shared" si="109"/>
        <v>02</v>
      </c>
      <c r="G1019" s="130" t="str">
        <f t="shared" si="110"/>
        <v>2</v>
      </c>
      <c r="H1019" s="130" t="str">
        <f t="shared" si="111"/>
        <v>0</v>
      </c>
      <c r="I1019" s="129">
        <v>17180220</v>
      </c>
      <c r="J1019" s="130" t="s">
        <v>1244</v>
      </c>
      <c r="K1019" s="130" t="s">
        <v>1245</v>
      </c>
      <c r="L1019" s="116"/>
      <c r="M1019" s="130"/>
      <c r="N1019" s="130"/>
      <c r="O1019" s="130" t="s">
        <v>2878</v>
      </c>
      <c r="P1019" s="152" t="s">
        <v>2880</v>
      </c>
    </row>
    <row r="1020" spans="2:16" s="153" customFormat="1" ht="30" x14ac:dyDescent="0.25">
      <c r="B1020" s="93" t="str">
        <f t="shared" si="105"/>
        <v>1</v>
      </c>
      <c r="C1020" s="93" t="str">
        <f t="shared" si="106"/>
        <v>7</v>
      </c>
      <c r="D1020" s="93" t="str">
        <f t="shared" si="107"/>
        <v>1</v>
      </c>
      <c r="E1020" s="93" t="str">
        <f t="shared" si="108"/>
        <v>8</v>
      </c>
      <c r="F1020" s="93" t="str">
        <f t="shared" si="109"/>
        <v>02</v>
      </c>
      <c r="G1020" s="93" t="str">
        <f t="shared" si="110"/>
        <v>2</v>
      </c>
      <c r="H1020" s="93" t="str">
        <f t="shared" si="111"/>
        <v>1</v>
      </c>
      <c r="I1020" s="135">
        <v>17180221</v>
      </c>
      <c r="J1020" s="93" t="s">
        <v>4802</v>
      </c>
      <c r="K1020" s="93" t="s">
        <v>1245</v>
      </c>
      <c r="L1020" s="84"/>
      <c r="M1020" s="93"/>
      <c r="N1020" s="93"/>
      <c r="O1020" s="93"/>
      <c r="P1020" s="154" t="s">
        <v>2890</v>
      </c>
    </row>
    <row r="1021" spans="2:16" s="153" customFormat="1" ht="30" x14ac:dyDescent="0.25">
      <c r="B1021" s="130" t="str">
        <f t="shared" si="105"/>
        <v>1</v>
      </c>
      <c r="C1021" s="130" t="str">
        <f t="shared" si="106"/>
        <v>7</v>
      </c>
      <c r="D1021" s="130" t="str">
        <f t="shared" si="107"/>
        <v>1</v>
      </c>
      <c r="E1021" s="130" t="str">
        <f t="shared" si="108"/>
        <v>8</v>
      </c>
      <c r="F1021" s="130" t="str">
        <f t="shared" si="109"/>
        <v>02</v>
      </c>
      <c r="G1021" s="130" t="str">
        <f t="shared" si="110"/>
        <v>3</v>
      </c>
      <c r="H1021" s="130" t="str">
        <f t="shared" si="111"/>
        <v>0</v>
      </c>
      <c r="I1021" s="129">
        <v>17180230</v>
      </c>
      <c r="J1021" s="130" t="s">
        <v>1246</v>
      </c>
      <c r="K1021" s="130" t="s">
        <v>1247</v>
      </c>
      <c r="L1021" s="116"/>
      <c r="M1021" s="130"/>
      <c r="N1021" s="130"/>
      <c r="O1021" s="130" t="s">
        <v>2878</v>
      </c>
      <c r="P1021" s="152" t="s">
        <v>2880</v>
      </c>
    </row>
    <row r="1022" spans="2:16" s="153" customFormat="1" ht="30" x14ac:dyDescent="0.25">
      <c r="B1022" s="93" t="str">
        <f t="shared" si="105"/>
        <v>1</v>
      </c>
      <c r="C1022" s="93" t="str">
        <f t="shared" si="106"/>
        <v>7</v>
      </c>
      <c r="D1022" s="93" t="str">
        <f t="shared" si="107"/>
        <v>1</v>
      </c>
      <c r="E1022" s="93" t="str">
        <f t="shared" si="108"/>
        <v>8</v>
      </c>
      <c r="F1022" s="93" t="str">
        <f t="shared" si="109"/>
        <v>02</v>
      </c>
      <c r="G1022" s="93" t="str">
        <f t="shared" si="110"/>
        <v>3</v>
      </c>
      <c r="H1022" s="93" t="str">
        <f t="shared" si="111"/>
        <v>1</v>
      </c>
      <c r="I1022" s="135">
        <v>17180231</v>
      </c>
      <c r="J1022" s="93" t="s">
        <v>4803</v>
      </c>
      <c r="K1022" s="93" t="s">
        <v>1247</v>
      </c>
      <c r="L1022" s="84"/>
      <c r="M1022" s="93"/>
      <c r="N1022" s="93"/>
      <c r="O1022" s="93"/>
      <c r="P1022" s="154" t="s">
        <v>2890</v>
      </c>
    </row>
    <row r="1023" spans="2:16" s="153" customFormat="1" ht="30" x14ac:dyDescent="0.25">
      <c r="B1023" s="130" t="str">
        <f t="shared" si="105"/>
        <v>1</v>
      </c>
      <c r="C1023" s="130" t="str">
        <f t="shared" si="106"/>
        <v>7</v>
      </c>
      <c r="D1023" s="130" t="str">
        <f t="shared" si="107"/>
        <v>1</v>
      </c>
      <c r="E1023" s="130" t="str">
        <f t="shared" si="108"/>
        <v>8</v>
      </c>
      <c r="F1023" s="130" t="str">
        <f t="shared" si="109"/>
        <v>02</v>
      </c>
      <c r="G1023" s="130" t="str">
        <f t="shared" si="110"/>
        <v>4</v>
      </c>
      <c r="H1023" s="130" t="str">
        <f t="shared" si="111"/>
        <v>0</v>
      </c>
      <c r="I1023" s="129">
        <v>17180240</v>
      </c>
      <c r="J1023" s="130" t="s">
        <v>1248</v>
      </c>
      <c r="K1023" s="130" t="s">
        <v>1249</v>
      </c>
      <c r="L1023" s="116"/>
      <c r="M1023" s="130"/>
      <c r="N1023" s="130"/>
      <c r="O1023" s="130" t="s">
        <v>2878</v>
      </c>
      <c r="P1023" s="152" t="s">
        <v>2880</v>
      </c>
    </row>
    <row r="1024" spans="2:16" s="153" customFormat="1" ht="30" x14ac:dyDescent="0.25">
      <c r="B1024" s="93" t="str">
        <f t="shared" si="105"/>
        <v>1</v>
      </c>
      <c r="C1024" s="93" t="str">
        <f t="shared" si="106"/>
        <v>7</v>
      </c>
      <c r="D1024" s="93" t="str">
        <f t="shared" si="107"/>
        <v>1</v>
      </c>
      <c r="E1024" s="93" t="str">
        <f t="shared" si="108"/>
        <v>8</v>
      </c>
      <c r="F1024" s="93" t="str">
        <f t="shared" si="109"/>
        <v>02</v>
      </c>
      <c r="G1024" s="93" t="str">
        <f t="shared" si="110"/>
        <v>4</v>
      </c>
      <c r="H1024" s="93" t="str">
        <f t="shared" si="111"/>
        <v>1</v>
      </c>
      <c r="I1024" s="135">
        <v>17180241</v>
      </c>
      <c r="J1024" s="93" t="s">
        <v>4804</v>
      </c>
      <c r="K1024" s="93" t="s">
        <v>1249</v>
      </c>
      <c r="L1024" s="84"/>
      <c r="M1024" s="93"/>
      <c r="N1024" s="93"/>
      <c r="O1024" s="93"/>
      <c r="P1024" s="154" t="s">
        <v>2890</v>
      </c>
    </row>
    <row r="1025" spans="2:16" s="153" customFormat="1" ht="30" x14ac:dyDescent="0.25">
      <c r="B1025" s="130" t="str">
        <f t="shared" si="105"/>
        <v>1</v>
      </c>
      <c r="C1025" s="130" t="str">
        <f t="shared" si="106"/>
        <v>7</v>
      </c>
      <c r="D1025" s="130" t="str">
        <f t="shared" si="107"/>
        <v>1</v>
      </c>
      <c r="E1025" s="130" t="str">
        <f t="shared" si="108"/>
        <v>8</v>
      </c>
      <c r="F1025" s="130" t="str">
        <f t="shared" si="109"/>
        <v>02</v>
      </c>
      <c r="G1025" s="130" t="str">
        <f t="shared" si="110"/>
        <v>5</v>
      </c>
      <c r="H1025" s="130" t="str">
        <f t="shared" si="111"/>
        <v>0</v>
      </c>
      <c r="I1025" s="129">
        <v>17180250</v>
      </c>
      <c r="J1025" s="130" t="s">
        <v>1250</v>
      </c>
      <c r="K1025" s="130" t="s">
        <v>1251</v>
      </c>
      <c r="L1025" s="116"/>
      <c r="M1025" s="130"/>
      <c r="N1025" s="130"/>
      <c r="O1025" s="130" t="s">
        <v>2878</v>
      </c>
      <c r="P1025" s="152" t="s">
        <v>2880</v>
      </c>
    </row>
    <row r="1026" spans="2:16" s="153" customFormat="1" ht="30" x14ac:dyDescent="0.25">
      <c r="B1026" s="93" t="str">
        <f t="shared" si="105"/>
        <v>1</v>
      </c>
      <c r="C1026" s="93" t="str">
        <f t="shared" si="106"/>
        <v>7</v>
      </c>
      <c r="D1026" s="93" t="str">
        <f t="shared" si="107"/>
        <v>1</v>
      </c>
      <c r="E1026" s="93" t="str">
        <f t="shared" si="108"/>
        <v>8</v>
      </c>
      <c r="F1026" s="93" t="str">
        <f t="shared" si="109"/>
        <v>02</v>
      </c>
      <c r="G1026" s="93" t="str">
        <f t="shared" si="110"/>
        <v>5</v>
      </c>
      <c r="H1026" s="93" t="str">
        <f t="shared" si="111"/>
        <v>1</v>
      </c>
      <c r="I1026" s="135">
        <v>17180251</v>
      </c>
      <c r="J1026" s="93" t="s">
        <v>4805</v>
      </c>
      <c r="K1026" s="93" t="s">
        <v>1251</v>
      </c>
      <c r="L1026" s="84"/>
      <c r="M1026" s="93"/>
      <c r="N1026" s="93"/>
      <c r="O1026" s="93"/>
      <c r="P1026" s="154" t="s">
        <v>2890</v>
      </c>
    </row>
    <row r="1027" spans="2:16" s="153" customFormat="1" ht="30" x14ac:dyDescent="0.25">
      <c r="B1027" s="130" t="str">
        <f t="shared" si="105"/>
        <v>1</v>
      </c>
      <c r="C1027" s="130" t="str">
        <f t="shared" si="106"/>
        <v>7</v>
      </c>
      <c r="D1027" s="130" t="str">
        <f t="shared" si="107"/>
        <v>1</v>
      </c>
      <c r="E1027" s="130" t="str">
        <f t="shared" si="108"/>
        <v>8</v>
      </c>
      <c r="F1027" s="130" t="str">
        <f t="shared" si="109"/>
        <v>02</v>
      </c>
      <c r="G1027" s="130" t="str">
        <f t="shared" si="110"/>
        <v>6</v>
      </c>
      <c r="H1027" s="130" t="str">
        <f t="shared" si="111"/>
        <v>0</v>
      </c>
      <c r="I1027" s="129">
        <v>17180260</v>
      </c>
      <c r="J1027" s="130" t="s">
        <v>1252</v>
      </c>
      <c r="K1027" s="130" t="s">
        <v>1253</v>
      </c>
      <c r="L1027" s="116"/>
      <c r="M1027" s="130"/>
      <c r="N1027" s="130"/>
      <c r="O1027" s="130" t="s">
        <v>2878</v>
      </c>
      <c r="P1027" s="152" t="s">
        <v>2880</v>
      </c>
    </row>
    <row r="1028" spans="2:16" s="153" customFormat="1" ht="30" x14ac:dyDescent="0.25">
      <c r="B1028" s="93" t="str">
        <f t="shared" si="105"/>
        <v>1</v>
      </c>
      <c r="C1028" s="93" t="str">
        <f t="shared" si="106"/>
        <v>7</v>
      </c>
      <c r="D1028" s="93" t="str">
        <f t="shared" si="107"/>
        <v>1</v>
      </c>
      <c r="E1028" s="93" t="str">
        <f t="shared" si="108"/>
        <v>8</v>
      </c>
      <c r="F1028" s="93" t="str">
        <f t="shared" si="109"/>
        <v>02</v>
      </c>
      <c r="G1028" s="93" t="str">
        <f t="shared" si="110"/>
        <v>6</v>
      </c>
      <c r="H1028" s="93" t="str">
        <f t="shared" si="111"/>
        <v>1</v>
      </c>
      <c r="I1028" s="135">
        <v>17180261</v>
      </c>
      <c r="J1028" s="93" t="s">
        <v>4806</v>
      </c>
      <c r="K1028" s="93" t="s">
        <v>1253</v>
      </c>
      <c r="L1028" s="84"/>
      <c r="M1028" s="93"/>
      <c r="N1028" s="93"/>
      <c r="O1028" s="93"/>
      <c r="P1028" s="154" t="s">
        <v>2890</v>
      </c>
    </row>
    <row r="1029" spans="2:16" s="153" customFormat="1" ht="30" x14ac:dyDescent="0.25">
      <c r="B1029" s="130" t="str">
        <f t="shared" si="105"/>
        <v>1</v>
      </c>
      <c r="C1029" s="130" t="str">
        <f t="shared" si="106"/>
        <v>7</v>
      </c>
      <c r="D1029" s="130" t="str">
        <f t="shared" si="107"/>
        <v>1</v>
      </c>
      <c r="E1029" s="130" t="str">
        <f t="shared" si="108"/>
        <v>8</v>
      </c>
      <c r="F1029" s="130" t="str">
        <f t="shared" si="109"/>
        <v>02</v>
      </c>
      <c r="G1029" s="130" t="str">
        <f t="shared" si="110"/>
        <v>9</v>
      </c>
      <c r="H1029" s="130" t="str">
        <f t="shared" si="111"/>
        <v>0</v>
      </c>
      <c r="I1029" s="129">
        <v>17180290</v>
      </c>
      <c r="J1029" s="130" t="s">
        <v>1254</v>
      </c>
      <c r="K1029" s="130" t="s">
        <v>1255</v>
      </c>
      <c r="L1029" s="116"/>
      <c r="M1029" s="130"/>
      <c r="N1029" s="130"/>
      <c r="O1029" s="130" t="s">
        <v>2878</v>
      </c>
      <c r="P1029" s="152" t="s">
        <v>2880</v>
      </c>
    </row>
    <row r="1030" spans="2:16" s="153" customFormat="1" ht="30" x14ac:dyDescent="0.25">
      <c r="B1030" s="93" t="str">
        <f t="shared" si="105"/>
        <v>1</v>
      </c>
      <c r="C1030" s="93" t="str">
        <f t="shared" si="106"/>
        <v>7</v>
      </c>
      <c r="D1030" s="93" t="str">
        <f t="shared" si="107"/>
        <v>1</v>
      </c>
      <c r="E1030" s="93" t="str">
        <f t="shared" si="108"/>
        <v>8</v>
      </c>
      <c r="F1030" s="93" t="str">
        <f t="shared" si="109"/>
        <v>02</v>
      </c>
      <c r="G1030" s="93" t="str">
        <f t="shared" si="110"/>
        <v>9</v>
      </c>
      <c r="H1030" s="93" t="str">
        <f t="shared" si="111"/>
        <v>1</v>
      </c>
      <c r="I1030" s="135">
        <v>17180291</v>
      </c>
      <c r="J1030" s="93" t="s">
        <v>4807</v>
      </c>
      <c r="K1030" s="93" t="s">
        <v>1255</v>
      </c>
      <c r="L1030" s="84"/>
      <c r="M1030" s="93"/>
      <c r="N1030" s="93"/>
      <c r="O1030" s="93"/>
      <c r="P1030" s="154" t="s">
        <v>2890</v>
      </c>
    </row>
    <row r="1031" spans="2:16" s="153" customFormat="1" ht="105" x14ac:dyDescent="0.25">
      <c r="B1031" s="113" t="str">
        <f t="shared" si="105"/>
        <v>1</v>
      </c>
      <c r="C1031" s="113" t="str">
        <f t="shared" si="106"/>
        <v>7</v>
      </c>
      <c r="D1031" s="113" t="str">
        <f t="shared" si="107"/>
        <v>1</v>
      </c>
      <c r="E1031" s="113" t="str">
        <f t="shared" si="108"/>
        <v>8</v>
      </c>
      <c r="F1031" s="113" t="str">
        <f t="shared" si="109"/>
        <v>03</v>
      </c>
      <c r="G1031" s="113" t="str">
        <f t="shared" si="110"/>
        <v>0</v>
      </c>
      <c r="H1031" s="113" t="str">
        <f t="shared" si="111"/>
        <v>0</v>
      </c>
      <c r="I1031" s="112">
        <v>17180300</v>
      </c>
      <c r="J1031" s="113" t="s">
        <v>1256</v>
      </c>
      <c r="K1031" s="113" t="s">
        <v>1257</v>
      </c>
      <c r="L1031" s="110"/>
      <c r="M1031" s="113" t="s">
        <v>2878</v>
      </c>
      <c r="N1031" s="113"/>
      <c r="O1031" s="113" t="s">
        <v>2878</v>
      </c>
      <c r="P1031" s="163" t="s">
        <v>2880</v>
      </c>
    </row>
    <row r="1032" spans="2:16" s="153" customFormat="1" ht="105" x14ac:dyDescent="0.25">
      <c r="B1032" s="130" t="str">
        <f t="shared" si="105"/>
        <v>1</v>
      </c>
      <c r="C1032" s="130" t="str">
        <f t="shared" si="106"/>
        <v>7</v>
      </c>
      <c r="D1032" s="130" t="str">
        <f t="shared" si="107"/>
        <v>1</v>
      </c>
      <c r="E1032" s="130" t="str">
        <f t="shared" si="108"/>
        <v>8</v>
      </c>
      <c r="F1032" s="130" t="str">
        <f t="shared" si="109"/>
        <v>03</v>
      </c>
      <c r="G1032" s="130" t="str">
        <f t="shared" si="110"/>
        <v>1</v>
      </c>
      <c r="H1032" s="130" t="str">
        <f t="shared" si="111"/>
        <v>0</v>
      </c>
      <c r="I1032" s="129">
        <v>17180310</v>
      </c>
      <c r="J1032" s="130" t="s">
        <v>1256</v>
      </c>
      <c r="K1032" s="130" t="s">
        <v>1257</v>
      </c>
      <c r="L1032" s="116"/>
      <c r="M1032" s="130"/>
      <c r="N1032" s="130"/>
      <c r="O1032" s="130" t="s">
        <v>2878</v>
      </c>
      <c r="P1032" s="152" t="s">
        <v>2880</v>
      </c>
    </row>
    <row r="1033" spans="2:16" s="153" customFormat="1" ht="105" x14ac:dyDescent="0.25">
      <c r="B1033" s="93" t="str">
        <f t="shared" si="105"/>
        <v>1</v>
      </c>
      <c r="C1033" s="93" t="str">
        <f t="shared" si="106"/>
        <v>7</v>
      </c>
      <c r="D1033" s="93" t="str">
        <f t="shared" si="107"/>
        <v>1</v>
      </c>
      <c r="E1033" s="93" t="str">
        <f t="shared" si="108"/>
        <v>8</v>
      </c>
      <c r="F1033" s="93" t="str">
        <f t="shared" si="109"/>
        <v>03</v>
      </c>
      <c r="G1033" s="93" t="str">
        <f t="shared" si="110"/>
        <v>1</v>
      </c>
      <c r="H1033" s="93" t="str">
        <f t="shared" si="111"/>
        <v>1</v>
      </c>
      <c r="I1033" s="135">
        <v>17180311</v>
      </c>
      <c r="J1033" s="93" t="s">
        <v>4808</v>
      </c>
      <c r="K1033" s="93" t="s">
        <v>1257</v>
      </c>
      <c r="L1033" s="84"/>
      <c r="M1033" s="93"/>
      <c r="N1033" s="93"/>
      <c r="O1033" s="93"/>
      <c r="P1033" s="154" t="s">
        <v>2890</v>
      </c>
    </row>
    <row r="1034" spans="2:16" s="153" customFormat="1" ht="45" x14ac:dyDescent="0.25">
      <c r="B1034" s="113" t="str">
        <f t="shared" si="105"/>
        <v>1</v>
      </c>
      <c r="C1034" s="113" t="str">
        <f t="shared" si="106"/>
        <v>7</v>
      </c>
      <c r="D1034" s="113" t="str">
        <f t="shared" si="107"/>
        <v>1</v>
      </c>
      <c r="E1034" s="113" t="str">
        <f t="shared" si="108"/>
        <v>8</v>
      </c>
      <c r="F1034" s="113" t="str">
        <f t="shared" si="109"/>
        <v>04</v>
      </c>
      <c r="G1034" s="113" t="str">
        <f t="shared" si="110"/>
        <v>0</v>
      </c>
      <c r="H1034" s="113" t="str">
        <f t="shared" si="111"/>
        <v>0</v>
      </c>
      <c r="I1034" s="112">
        <v>17180400</v>
      </c>
      <c r="J1034" s="113" t="s">
        <v>1258</v>
      </c>
      <c r="K1034" s="113" t="s">
        <v>1259</v>
      </c>
      <c r="L1034" s="110"/>
      <c r="M1034" s="113" t="s">
        <v>2878</v>
      </c>
      <c r="N1034" s="113"/>
      <c r="O1034" s="113" t="s">
        <v>2878</v>
      </c>
      <c r="P1034" s="163" t="s">
        <v>2880</v>
      </c>
    </row>
    <row r="1035" spans="2:16" s="153" customFormat="1" ht="45" x14ac:dyDescent="0.25">
      <c r="B1035" s="130" t="str">
        <f t="shared" si="105"/>
        <v>1</v>
      </c>
      <c r="C1035" s="130" t="str">
        <f t="shared" si="106"/>
        <v>7</v>
      </c>
      <c r="D1035" s="130" t="str">
        <f t="shared" si="107"/>
        <v>1</v>
      </c>
      <c r="E1035" s="130" t="str">
        <f t="shared" si="108"/>
        <v>8</v>
      </c>
      <c r="F1035" s="130" t="str">
        <f t="shared" si="109"/>
        <v>04</v>
      </c>
      <c r="G1035" s="130" t="str">
        <f t="shared" si="110"/>
        <v>1</v>
      </c>
      <c r="H1035" s="130" t="str">
        <f t="shared" si="111"/>
        <v>0</v>
      </c>
      <c r="I1035" s="129">
        <v>17180410</v>
      </c>
      <c r="J1035" s="130" t="s">
        <v>1258</v>
      </c>
      <c r="K1035" s="130" t="s">
        <v>1259</v>
      </c>
      <c r="L1035" s="116"/>
      <c r="M1035" s="130"/>
      <c r="N1035" s="130"/>
      <c r="O1035" s="130" t="s">
        <v>2878</v>
      </c>
      <c r="P1035" s="152" t="s">
        <v>2880</v>
      </c>
    </row>
    <row r="1036" spans="2:16" s="153" customFormat="1" ht="45" x14ac:dyDescent="0.25">
      <c r="B1036" s="93" t="str">
        <f t="shared" si="105"/>
        <v>1</v>
      </c>
      <c r="C1036" s="93" t="str">
        <f t="shared" si="106"/>
        <v>7</v>
      </c>
      <c r="D1036" s="93" t="str">
        <f t="shared" si="107"/>
        <v>1</v>
      </c>
      <c r="E1036" s="93" t="str">
        <f t="shared" si="108"/>
        <v>8</v>
      </c>
      <c r="F1036" s="93" t="str">
        <f t="shared" si="109"/>
        <v>04</v>
      </c>
      <c r="G1036" s="93" t="str">
        <f t="shared" si="110"/>
        <v>1</v>
      </c>
      <c r="H1036" s="93" t="str">
        <f t="shared" si="111"/>
        <v>1</v>
      </c>
      <c r="I1036" s="135">
        <v>17180411</v>
      </c>
      <c r="J1036" s="93" t="s">
        <v>4809</v>
      </c>
      <c r="K1036" s="93" t="s">
        <v>1259</v>
      </c>
      <c r="L1036" s="84"/>
      <c r="M1036" s="93"/>
      <c r="N1036" s="93"/>
      <c r="O1036" s="93"/>
      <c r="P1036" s="154" t="s">
        <v>2890</v>
      </c>
    </row>
    <row r="1037" spans="2:16" s="153" customFormat="1" ht="60" x14ac:dyDescent="0.25">
      <c r="B1037" s="113" t="str">
        <f t="shared" si="105"/>
        <v>1</v>
      </c>
      <c r="C1037" s="113" t="str">
        <f t="shared" si="106"/>
        <v>7</v>
      </c>
      <c r="D1037" s="113" t="str">
        <f t="shared" si="107"/>
        <v>1</v>
      </c>
      <c r="E1037" s="113" t="str">
        <f t="shared" si="108"/>
        <v>8</v>
      </c>
      <c r="F1037" s="113" t="str">
        <f t="shared" si="109"/>
        <v>05</v>
      </c>
      <c r="G1037" s="113" t="str">
        <f t="shared" si="110"/>
        <v>0</v>
      </c>
      <c r="H1037" s="113" t="str">
        <f t="shared" si="111"/>
        <v>0</v>
      </c>
      <c r="I1037" s="112">
        <v>17180500</v>
      </c>
      <c r="J1037" s="113" t="s">
        <v>1260</v>
      </c>
      <c r="K1037" s="113" t="s">
        <v>1261</v>
      </c>
      <c r="L1037" s="110"/>
      <c r="M1037" s="113" t="s">
        <v>2878</v>
      </c>
      <c r="N1037" s="113"/>
      <c r="O1037" s="113" t="s">
        <v>2878</v>
      </c>
      <c r="P1037" s="163" t="s">
        <v>2880</v>
      </c>
    </row>
    <row r="1038" spans="2:16" s="153" customFormat="1" ht="30" x14ac:dyDescent="0.25">
      <c r="B1038" s="130" t="str">
        <f t="shared" si="105"/>
        <v>1</v>
      </c>
      <c r="C1038" s="130" t="str">
        <f t="shared" si="106"/>
        <v>7</v>
      </c>
      <c r="D1038" s="130" t="str">
        <f t="shared" si="107"/>
        <v>1</v>
      </c>
      <c r="E1038" s="130" t="str">
        <f t="shared" si="108"/>
        <v>8</v>
      </c>
      <c r="F1038" s="130" t="str">
        <f t="shared" si="109"/>
        <v>05</v>
      </c>
      <c r="G1038" s="130" t="str">
        <f t="shared" si="110"/>
        <v>1</v>
      </c>
      <c r="H1038" s="130" t="str">
        <f t="shared" si="111"/>
        <v>0</v>
      </c>
      <c r="I1038" s="129">
        <v>17180510</v>
      </c>
      <c r="J1038" s="130" t="s">
        <v>1262</v>
      </c>
      <c r="K1038" s="130" t="s">
        <v>1263</v>
      </c>
      <c r="L1038" s="116"/>
      <c r="M1038" s="130"/>
      <c r="N1038" s="130"/>
      <c r="O1038" s="130" t="s">
        <v>2878</v>
      </c>
      <c r="P1038" s="152" t="s">
        <v>2880</v>
      </c>
    </row>
    <row r="1039" spans="2:16" s="153" customFormat="1" ht="30" x14ac:dyDescent="0.25">
      <c r="B1039" s="93" t="str">
        <f t="shared" si="105"/>
        <v>1</v>
      </c>
      <c r="C1039" s="93" t="str">
        <f t="shared" si="106"/>
        <v>7</v>
      </c>
      <c r="D1039" s="93" t="str">
        <f t="shared" si="107"/>
        <v>1</v>
      </c>
      <c r="E1039" s="93" t="str">
        <f t="shared" si="108"/>
        <v>8</v>
      </c>
      <c r="F1039" s="93" t="str">
        <f t="shared" si="109"/>
        <v>05</v>
      </c>
      <c r="G1039" s="93" t="str">
        <f t="shared" si="110"/>
        <v>1</v>
      </c>
      <c r="H1039" s="93" t="str">
        <f t="shared" si="111"/>
        <v>1</v>
      </c>
      <c r="I1039" s="135">
        <v>17180511</v>
      </c>
      <c r="J1039" s="93" t="s">
        <v>4810</v>
      </c>
      <c r="K1039" s="93" t="s">
        <v>1263</v>
      </c>
      <c r="L1039" s="84"/>
      <c r="M1039" s="93"/>
      <c r="N1039" s="93"/>
      <c r="O1039" s="93"/>
      <c r="P1039" s="154" t="s">
        <v>2890</v>
      </c>
    </row>
    <row r="1040" spans="2:16" s="153" customFormat="1" ht="30" x14ac:dyDescent="0.25">
      <c r="B1040" s="130" t="str">
        <f t="shared" si="105"/>
        <v>1</v>
      </c>
      <c r="C1040" s="130" t="str">
        <f t="shared" si="106"/>
        <v>7</v>
      </c>
      <c r="D1040" s="130" t="str">
        <f t="shared" si="107"/>
        <v>1</v>
      </c>
      <c r="E1040" s="130" t="str">
        <f t="shared" si="108"/>
        <v>8</v>
      </c>
      <c r="F1040" s="130" t="str">
        <f t="shared" si="109"/>
        <v>05</v>
      </c>
      <c r="G1040" s="130" t="str">
        <f t="shared" si="110"/>
        <v>2</v>
      </c>
      <c r="H1040" s="130" t="str">
        <f t="shared" si="111"/>
        <v>0</v>
      </c>
      <c r="I1040" s="129">
        <v>17180520</v>
      </c>
      <c r="J1040" s="130" t="s">
        <v>1264</v>
      </c>
      <c r="K1040" s="130" t="s">
        <v>1265</v>
      </c>
      <c r="L1040" s="116"/>
      <c r="M1040" s="130"/>
      <c r="N1040" s="130"/>
      <c r="O1040" s="130" t="s">
        <v>2878</v>
      </c>
      <c r="P1040" s="152" t="s">
        <v>2880</v>
      </c>
    </row>
    <row r="1041" spans="2:16" s="153" customFormat="1" ht="30" x14ac:dyDescent="0.25">
      <c r="B1041" s="93" t="str">
        <f t="shared" si="105"/>
        <v>1</v>
      </c>
      <c r="C1041" s="93" t="str">
        <f t="shared" si="106"/>
        <v>7</v>
      </c>
      <c r="D1041" s="93" t="str">
        <f t="shared" si="107"/>
        <v>1</v>
      </c>
      <c r="E1041" s="93" t="str">
        <f t="shared" si="108"/>
        <v>8</v>
      </c>
      <c r="F1041" s="93" t="str">
        <f t="shared" si="109"/>
        <v>05</v>
      </c>
      <c r="G1041" s="93" t="str">
        <f t="shared" si="110"/>
        <v>2</v>
      </c>
      <c r="H1041" s="93" t="str">
        <f t="shared" si="111"/>
        <v>1</v>
      </c>
      <c r="I1041" s="135">
        <v>17180521</v>
      </c>
      <c r="J1041" s="93" t="s">
        <v>4811</v>
      </c>
      <c r="K1041" s="93" t="s">
        <v>1265</v>
      </c>
      <c r="L1041" s="84"/>
      <c r="M1041" s="93"/>
      <c r="N1041" s="93"/>
      <c r="O1041" s="93"/>
      <c r="P1041" s="154" t="s">
        <v>2890</v>
      </c>
    </row>
    <row r="1042" spans="2:16" s="153" customFormat="1" ht="45" x14ac:dyDescent="0.25">
      <c r="B1042" s="130" t="str">
        <f t="shared" si="105"/>
        <v>1</v>
      </c>
      <c r="C1042" s="130" t="str">
        <f t="shared" si="106"/>
        <v>7</v>
      </c>
      <c r="D1042" s="130" t="str">
        <f t="shared" si="107"/>
        <v>1</v>
      </c>
      <c r="E1042" s="130" t="str">
        <f t="shared" si="108"/>
        <v>8</v>
      </c>
      <c r="F1042" s="130" t="str">
        <f t="shared" si="109"/>
        <v>05</v>
      </c>
      <c r="G1042" s="130" t="str">
        <f t="shared" si="110"/>
        <v>3</v>
      </c>
      <c r="H1042" s="130" t="str">
        <f t="shared" si="111"/>
        <v>0</v>
      </c>
      <c r="I1042" s="129">
        <v>17180530</v>
      </c>
      <c r="J1042" s="130" t="s">
        <v>1266</v>
      </c>
      <c r="K1042" s="130" t="s">
        <v>1267</v>
      </c>
      <c r="L1042" s="116"/>
      <c r="M1042" s="130"/>
      <c r="N1042" s="130"/>
      <c r="O1042" s="130" t="s">
        <v>2878</v>
      </c>
      <c r="P1042" s="152" t="s">
        <v>2880</v>
      </c>
    </row>
    <row r="1043" spans="2:16" s="153" customFormat="1" ht="45" x14ac:dyDescent="0.25">
      <c r="B1043" s="93" t="str">
        <f t="shared" si="105"/>
        <v>1</v>
      </c>
      <c r="C1043" s="93" t="str">
        <f t="shared" si="106"/>
        <v>7</v>
      </c>
      <c r="D1043" s="93" t="str">
        <f t="shared" si="107"/>
        <v>1</v>
      </c>
      <c r="E1043" s="93" t="str">
        <f t="shared" si="108"/>
        <v>8</v>
      </c>
      <c r="F1043" s="93" t="str">
        <f t="shared" si="109"/>
        <v>05</v>
      </c>
      <c r="G1043" s="93" t="str">
        <f t="shared" si="110"/>
        <v>3</v>
      </c>
      <c r="H1043" s="93" t="str">
        <f t="shared" si="111"/>
        <v>1</v>
      </c>
      <c r="I1043" s="135">
        <v>17180531</v>
      </c>
      <c r="J1043" s="93" t="s">
        <v>4812</v>
      </c>
      <c r="K1043" s="93" t="s">
        <v>1267</v>
      </c>
      <c r="L1043" s="84"/>
      <c r="M1043" s="93"/>
      <c r="N1043" s="93"/>
      <c r="O1043" s="93"/>
      <c r="P1043" s="154" t="s">
        <v>2890</v>
      </c>
    </row>
    <row r="1044" spans="2:16" s="153" customFormat="1" ht="45" x14ac:dyDescent="0.25">
      <c r="B1044" s="130" t="str">
        <f t="shared" si="105"/>
        <v>1</v>
      </c>
      <c r="C1044" s="130" t="str">
        <f t="shared" si="106"/>
        <v>7</v>
      </c>
      <c r="D1044" s="130" t="str">
        <f t="shared" si="107"/>
        <v>1</v>
      </c>
      <c r="E1044" s="130" t="str">
        <f t="shared" si="108"/>
        <v>8</v>
      </c>
      <c r="F1044" s="130" t="str">
        <f t="shared" si="109"/>
        <v>05</v>
      </c>
      <c r="G1044" s="130" t="str">
        <f t="shared" si="110"/>
        <v>4</v>
      </c>
      <c r="H1044" s="130" t="str">
        <f t="shared" si="111"/>
        <v>0</v>
      </c>
      <c r="I1044" s="129">
        <v>17180540</v>
      </c>
      <c r="J1044" s="130" t="s">
        <v>1268</v>
      </c>
      <c r="K1044" s="130" t="s">
        <v>1269</v>
      </c>
      <c r="L1044" s="116"/>
      <c r="M1044" s="130"/>
      <c r="N1044" s="130"/>
      <c r="O1044" s="130" t="s">
        <v>2878</v>
      </c>
      <c r="P1044" s="152" t="s">
        <v>2880</v>
      </c>
    </row>
    <row r="1045" spans="2:16" s="153" customFormat="1" ht="45" x14ac:dyDescent="0.25">
      <c r="B1045" s="93" t="str">
        <f t="shared" si="105"/>
        <v>1</v>
      </c>
      <c r="C1045" s="93" t="str">
        <f t="shared" si="106"/>
        <v>7</v>
      </c>
      <c r="D1045" s="93" t="str">
        <f t="shared" si="107"/>
        <v>1</v>
      </c>
      <c r="E1045" s="93" t="str">
        <f t="shared" si="108"/>
        <v>8</v>
      </c>
      <c r="F1045" s="93" t="str">
        <f t="shared" si="109"/>
        <v>05</v>
      </c>
      <c r="G1045" s="93" t="str">
        <f t="shared" si="110"/>
        <v>4</v>
      </c>
      <c r="H1045" s="93" t="str">
        <f t="shared" si="111"/>
        <v>1</v>
      </c>
      <c r="I1045" s="135">
        <v>17180541</v>
      </c>
      <c r="J1045" s="93" t="s">
        <v>4813</v>
      </c>
      <c r="K1045" s="93" t="s">
        <v>1269</v>
      </c>
      <c r="L1045" s="84"/>
      <c r="M1045" s="93"/>
      <c r="N1045" s="93"/>
      <c r="O1045" s="93"/>
      <c r="P1045" s="154" t="s">
        <v>2890</v>
      </c>
    </row>
    <row r="1046" spans="2:16" s="153" customFormat="1" ht="60" x14ac:dyDescent="0.25">
      <c r="B1046" s="130" t="str">
        <f t="shared" si="105"/>
        <v>1</v>
      </c>
      <c r="C1046" s="130" t="str">
        <f t="shared" si="106"/>
        <v>7</v>
      </c>
      <c r="D1046" s="130" t="str">
        <f t="shared" si="107"/>
        <v>1</v>
      </c>
      <c r="E1046" s="130" t="str">
        <f t="shared" si="108"/>
        <v>8</v>
      </c>
      <c r="F1046" s="130" t="str">
        <f t="shared" si="109"/>
        <v>05</v>
      </c>
      <c r="G1046" s="130" t="str">
        <f t="shared" si="110"/>
        <v>9</v>
      </c>
      <c r="H1046" s="130" t="str">
        <f t="shared" si="111"/>
        <v>0</v>
      </c>
      <c r="I1046" s="129">
        <v>17180590</v>
      </c>
      <c r="J1046" s="130" t="s">
        <v>1270</v>
      </c>
      <c r="K1046" s="130" t="s">
        <v>1271</v>
      </c>
      <c r="L1046" s="116"/>
      <c r="M1046" s="130"/>
      <c r="N1046" s="130"/>
      <c r="O1046" s="130" t="s">
        <v>2878</v>
      </c>
      <c r="P1046" s="152" t="s">
        <v>2880</v>
      </c>
    </row>
    <row r="1047" spans="2:16" s="153" customFormat="1" ht="60" x14ac:dyDescent="0.25">
      <c r="B1047" s="93" t="str">
        <f t="shared" si="105"/>
        <v>1</v>
      </c>
      <c r="C1047" s="93" t="str">
        <f t="shared" si="106"/>
        <v>7</v>
      </c>
      <c r="D1047" s="93" t="str">
        <f t="shared" si="107"/>
        <v>1</v>
      </c>
      <c r="E1047" s="93" t="str">
        <f t="shared" si="108"/>
        <v>8</v>
      </c>
      <c r="F1047" s="93" t="str">
        <f t="shared" si="109"/>
        <v>05</v>
      </c>
      <c r="G1047" s="93" t="str">
        <f t="shared" si="110"/>
        <v>9</v>
      </c>
      <c r="H1047" s="93" t="str">
        <f t="shared" si="111"/>
        <v>1</v>
      </c>
      <c r="I1047" s="135">
        <v>17180591</v>
      </c>
      <c r="J1047" s="93" t="s">
        <v>4814</v>
      </c>
      <c r="K1047" s="93" t="s">
        <v>1271</v>
      </c>
      <c r="L1047" s="84"/>
      <c r="M1047" s="93"/>
      <c r="N1047" s="93"/>
      <c r="O1047" s="93"/>
      <c r="P1047" s="154" t="s">
        <v>2890</v>
      </c>
    </row>
    <row r="1048" spans="2:16" s="153" customFormat="1" ht="90" x14ac:dyDescent="0.25">
      <c r="B1048" s="113" t="str">
        <f t="shared" si="105"/>
        <v>1</v>
      </c>
      <c r="C1048" s="113" t="str">
        <f t="shared" si="106"/>
        <v>7</v>
      </c>
      <c r="D1048" s="113" t="str">
        <f t="shared" si="107"/>
        <v>1</v>
      </c>
      <c r="E1048" s="113" t="str">
        <f t="shared" si="108"/>
        <v>8</v>
      </c>
      <c r="F1048" s="113" t="str">
        <f t="shared" si="109"/>
        <v>06</v>
      </c>
      <c r="G1048" s="113" t="str">
        <f t="shared" si="110"/>
        <v>0</v>
      </c>
      <c r="H1048" s="113" t="str">
        <f t="shared" si="111"/>
        <v>0</v>
      </c>
      <c r="I1048" s="112">
        <v>17180600</v>
      </c>
      <c r="J1048" s="113" t="s">
        <v>1272</v>
      </c>
      <c r="K1048" s="113" t="s">
        <v>1273</v>
      </c>
      <c r="L1048" s="110"/>
      <c r="M1048" s="113"/>
      <c r="N1048" s="113"/>
      <c r="O1048" s="113" t="s">
        <v>2878</v>
      </c>
      <c r="P1048" s="163" t="s">
        <v>2880</v>
      </c>
    </row>
    <row r="1049" spans="2:16" s="153" customFormat="1" ht="90" x14ac:dyDescent="0.25">
      <c r="B1049" s="130" t="str">
        <f t="shared" si="105"/>
        <v>1</v>
      </c>
      <c r="C1049" s="130" t="str">
        <f t="shared" si="106"/>
        <v>7</v>
      </c>
      <c r="D1049" s="130" t="str">
        <f t="shared" si="107"/>
        <v>1</v>
      </c>
      <c r="E1049" s="130" t="str">
        <f t="shared" si="108"/>
        <v>8</v>
      </c>
      <c r="F1049" s="130" t="str">
        <f t="shared" si="109"/>
        <v>06</v>
      </c>
      <c r="G1049" s="130" t="str">
        <f t="shared" si="110"/>
        <v>1</v>
      </c>
      <c r="H1049" s="130" t="str">
        <f t="shared" si="111"/>
        <v>0</v>
      </c>
      <c r="I1049" s="129">
        <v>17180610</v>
      </c>
      <c r="J1049" s="130" t="s">
        <v>1272</v>
      </c>
      <c r="K1049" s="130" t="s">
        <v>1273</v>
      </c>
      <c r="L1049" s="116"/>
      <c r="M1049" s="130"/>
      <c r="N1049" s="130"/>
      <c r="O1049" s="130" t="s">
        <v>2878</v>
      </c>
      <c r="P1049" s="152" t="s">
        <v>2880</v>
      </c>
    </row>
    <row r="1050" spans="2:16" s="153" customFormat="1" ht="90" x14ac:dyDescent="0.25">
      <c r="B1050" s="93" t="str">
        <f t="shared" si="105"/>
        <v>1</v>
      </c>
      <c r="C1050" s="93" t="str">
        <f t="shared" si="106"/>
        <v>7</v>
      </c>
      <c r="D1050" s="93" t="str">
        <f t="shared" si="107"/>
        <v>1</v>
      </c>
      <c r="E1050" s="93" t="str">
        <f t="shared" si="108"/>
        <v>8</v>
      </c>
      <c r="F1050" s="93" t="str">
        <f t="shared" si="109"/>
        <v>06</v>
      </c>
      <c r="G1050" s="93" t="str">
        <f t="shared" si="110"/>
        <v>1</v>
      </c>
      <c r="H1050" s="93" t="str">
        <f t="shared" si="111"/>
        <v>1</v>
      </c>
      <c r="I1050" s="135">
        <v>17180611</v>
      </c>
      <c r="J1050" s="93" t="s">
        <v>4815</v>
      </c>
      <c r="K1050" s="93" t="s">
        <v>1273</v>
      </c>
      <c r="L1050" s="84"/>
      <c r="M1050" s="93"/>
      <c r="N1050" s="93"/>
      <c r="O1050" s="93"/>
      <c r="P1050" s="154" t="s">
        <v>2890</v>
      </c>
    </row>
    <row r="1051" spans="2:16" s="153" customFormat="1" ht="30" x14ac:dyDescent="0.25">
      <c r="B1051" s="113" t="str">
        <f t="shared" si="105"/>
        <v>1</v>
      </c>
      <c r="C1051" s="113" t="str">
        <f t="shared" si="106"/>
        <v>7</v>
      </c>
      <c r="D1051" s="113" t="str">
        <f t="shared" si="107"/>
        <v>1</v>
      </c>
      <c r="E1051" s="113" t="str">
        <f t="shared" si="108"/>
        <v>8</v>
      </c>
      <c r="F1051" s="113" t="str">
        <f t="shared" si="109"/>
        <v>07</v>
      </c>
      <c r="G1051" s="113" t="str">
        <f t="shared" si="110"/>
        <v>0</v>
      </c>
      <c r="H1051" s="113" t="str">
        <f t="shared" si="111"/>
        <v>0</v>
      </c>
      <c r="I1051" s="112">
        <v>17180700</v>
      </c>
      <c r="J1051" s="113" t="s">
        <v>1276</v>
      </c>
      <c r="K1051" s="113" t="s">
        <v>1275</v>
      </c>
      <c r="L1051" s="110"/>
      <c r="M1051" s="113"/>
      <c r="N1051" s="113"/>
      <c r="O1051" s="113" t="s">
        <v>2878</v>
      </c>
      <c r="P1051" s="163" t="s">
        <v>2880</v>
      </c>
    </row>
    <row r="1052" spans="2:16" s="153" customFormat="1" ht="30" x14ac:dyDescent="0.25">
      <c r="B1052" s="130" t="str">
        <f t="shared" si="105"/>
        <v>1</v>
      </c>
      <c r="C1052" s="130" t="str">
        <f t="shared" si="106"/>
        <v>7</v>
      </c>
      <c r="D1052" s="130" t="str">
        <f t="shared" si="107"/>
        <v>1</v>
      </c>
      <c r="E1052" s="130" t="str">
        <f t="shared" si="108"/>
        <v>8</v>
      </c>
      <c r="F1052" s="130" t="str">
        <f t="shared" si="109"/>
        <v>07</v>
      </c>
      <c r="G1052" s="130" t="str">
        <f t="shared" si="110"/>
        <v>1</v>
      </c>
      <c r="H1052" s="130" t="str">
        <f t="shared" si="111"/>
        <v>0</v>
      </c>
      <c r="I1052" s="129">
        <v>17180710</v>
      </c>
      <c r="J1052" s="130" t="s">
        <v>1276</v>
      </c>
      <c r="K1052" s="130" t="s">
        <v>1275</v>
      </c>
      <c r="L1052" s="116"/>
      <c r="M1052" s="130"/>
      <c r="N1052" s="130"/>
      <c r="O1052" s="130" t="s">
        <v>2878</v>
      </c>
      <c r="P1052" s="152" t="s">
        <v>2880</v>
      </c>
    </row>
    <row r="1053" spans="2:16" s="153" customFormat="1" ht="30" x14ac:dyDescent="0.25">
      <c r="B1053" s="93" t="str">
        <f t="shared" si="105"/>
        <v>1</v>
      </c>
      <c r="C1053" s="93" t="str">
        <f t="shared" si="106"/>
        <v>7</v>
      </c>
      <c r="D1053" s="93" t="str">
        <f t="shared" si="107"/>
        <v>1</v>
      </c>
      <c r="E1053" s="93" t="str">
        <f t="shared" si="108"/>
        <v>8</v>
      </c>
      <c r="F1053" s="93" t="str">
        <f t="shared" si="109"/>
        <v>07</v>
      </c>
      <c r="G1053" s="93" t="str">
        <f t="shared" si="110"/>
        <v>1</v>
      </c>
      <c r="H1053" s="93" t="str">
        <f t="shared" si="111"/>
        <v>1</v>
      </c>
      <c r="I1053" s="135">
        <v>17180711</v>
      </c>
      <c r="J1053" s="93" t="s">
        <v>4816</v>
      </c>
      <c r="K1053" s="93" t="s">
        <v>1275</v>
      </c>
      <c r="L1053" s="84"/>
      <c r="M1053" s="93"/>
      <c r="N1053" s="93"/>
      <c r="O1053" s="93"/>
      <c r="P1053" s="154" t="s">
        <v>2890</v>
      </c>
    </row>
    <row r="1054" spans="2:16" s="153" customFormat="1" ht="45" x14ac:dyDescent="0.25">
      <c r="B1054" s="113" t="str">
        <f t="shared" si="105"/>
        <v>1</v>
      </c>
      <c r="C1054" s="113" t="str">
        <f t="shared" si="106"/>
        <v>7</v>
      </c>
      <c r="D1054" s="113" t="str">
        <f t="shared" si="107"/>
        <v>1</v>
      </c>
      <c r="E1054" s="113" t="str">
        <f t="shared" si="108"/>
        <v>8</v>
      </c>
      <c r="F1054" s="113" t="str">
        <f t="shared" si="109"/>
        <v>08</v>
      </c>
      <c r="G1054" s="113" t="str">
        <f t="shared" si="110"/>
        <v>0</v>
      </c>
      <c r="H1054" s="113" t="str">
        <f t="shared" si="111"/>
        <v>0</v>
      </c>
      <c r="I1054" s="112">
        <v>17180800</v>
      </c>
      <c r="J1054" s="113" t="s">
        <v>5105</v>
      </c>
      <c r="K1054" s="113" t="s">
        <v>5106</v>
      </c>
      <c r="L1054" s="110"/>
      <c r="M1054" s="113"/>
      <c r="N1054" s="113"/>
      <c r="O1054" s="113" t="s">
        <v>2878</v>
      </c>
      <c r="P1054" s="163" t="s">
        <v>2880</v>
      </c>
    </row>
    <row r="1055" spans="2:16" s="153" customFormat="1" ht="45" x14ac:dyDescent="0.25">
      <c r="B1055" s="130" t="str">
        <f t="shared" si="105"/>
        <v>1</v>
      </c>
      <c r="C1055" s="130" t="str">
        <f t="shared" si="106"/>
        <v>7</v>
      </c>
      <c r="D1055" s="130" t="str">
        <f t="shared" si="107"/>
        <v>1</v>
      </c>
      <c r="E1055" s="130" t="str">
        <f t="shared" si="108"/>
        <v>8</v>
      </c>
      <c r="F1055" s="130" t="str">
        <f t="shared" si="109"/>
        <v>08</v>
      </c>
      <c r="G1055" s="130" t="str">
        <f t="shared" si="110"/>
        <v>1</v>
      </c>
      <c r="H1055" s="130" t="str">
        <f t="shared" si="111"/>
        <v>0</v>
      </c>
      <c r="I1055" s="129">
        <v>17180810</v>
      </c>
      <c r="J1055" s="130" t="s">
        <v>5105</v>
      </c>
      <c r="K1055" s="130" t="s">
        <v>5106</v>
      </c>
      <c r="L1055" s="116"/>
      <c r="M1055" s="130"/>
      <c r="N1055" s="130"/>
      <c r="O1055" s="130" t="s">
        <v>2878</v>
      </c>
      <c r="P1055" s="152" t="s">
        <v>2880</v>
      </c>
    </row>
    <row r="1056" spans="2:16" s="153" customFormat="1" ht="45" x14ac:dyDescent="0.25">
      <c r="B1056" s="93" t="str">
        <f t="shared" si="105"/>
        <v>1</v>
      </c>
      <c r="C1056" s="93" t="str">
        <f t="shared" si="106"/>
        <v>7</v>
      </c>
      <c r="D1056" s="93" t="str">
        <f t="shared" si="107"/>
        <v>1</v>
      </c>
      <c r="E1056" s="93" t="str">
        <f t="shared" si="108"/>
        <v>8</v>
      </c>
      <c r="F1056" s="93" t="str">
        <f t="shared" si="109"/>
        <v>08</v>
      </c>
      <c r="G1056" s="93" t="str">
        <f t="shared" si="110"/>
        <v>1</v>
      </c>
      <c r="H1056" s="93" t="str">
        <f t="shared" si="111"/>
        <v>1</v>
      </c>
      <c r="I1056" s="135">
        <v>17180811</v>
      </c>
      <c r="J1056" s="93" t="s">
        <v>5107</v>
      </c>
      <c r="K1056" s="93" t="s">
        <v>5106</v>
      </c>
      <c r="L1056" s="84"/>
      <c r="M1056" s="93"/>
      <c r="N1056" s="93"/>
      <c r="O1056" s="93"/>
      <c r="P1056" s="154" t="s">
        <v>2890</v>
      </c>
    </row>
    <row r="1057" spans="2:16" s="153" customFormat="1" ht="75" x14ac:dyDescent="0.25">
      <c r="B1057" s="113" t="str">
        <f t="shared" si="105"/>
        <v>1</v>
      </c>
      <c r="C1057" s="113" t="str">
        <f t="shared" si="106"/>
        <v>7</v>
      </c>
      <c r="D1057" s="113" t="str">
        <f t="shared" si="107"/>
        <v>1</v>
      </c>
      <c r="E1057" s="113" t="str">
        <f t="shared" si="108"/>
        <v>8</v>
      </c>
      <c r="F1057" s="113" t="str">
        <f t="shared" si="109"/>
        <v>10</v>
      </c>
      <c r="G1057" s="113" t="str">
        <f t="shared" si="110"/>
        <v>0</v>
      </c>
      <c r="H1057" s="113" t="str">
        <f t="shared" si="111"/>
        <v>0</v>
      </c>
      <c r="I1057" s="112">
        <v>17181000</v>
      </c>
      <c r="J1057" s="113" t="s">
        <v>1334</v>
      </c>
      <c r="K1057" s="113" t="s">
        <v>1335</v>
      </c>
      <c r="L1057" s="110"/>
      <c r="M1057" s="113"/>
      <c r="N1057" s="113"/>
      <c r="O1057" s="113" t="s">
        <v>2878</v>
      </c>
      <c r="P1057" s="163" t="s">
        <v>2880</v>
      </c>
    </row>
    <row r="1058" spans="2:16" s="153" customFormat="1" ht="75" x14ac:dyDescent="0.25">
      <c r="B1058" s="130" t="str">
        <f t="shared" si="105"/>
        <v>1</v>
      </c>
      <c r="C1058" s="130" t="str">
        <f t="shared" si="106"/>
        <v>7</v>
      </c>
      <c r="D1058" s="130" t="str">
        <f t="shared" si="107"/>
        <v>1</v>
      </c>
      <c r="E1058" s="130" t="str">
        <f t="shared" si="108"/>
        <v>8</v>
      </c>
      <c r="F1058" s="130" t="str">
        <f t="shared" si="109"/>
        <v>10</v>
      </c>
      <c r="G1058" s="130" t="str">
        <f t="shared" si="110"/>
        <v>1</v>
      </c>
      <c r="H1058" s="130" t="str">
        <f t="shared" si="111"/>
        <v>0</v>
      </c>
      <c r="I1058" s="129">
        <v>17181010</v>
      </c>
      <c r="J1058" s="130" t="s">
        <v>1336</v>
      </c>
      <c r="K1058" s="130" t="s">
        <v>1337</v>
      </c>
      <c r="L1058" s="116"/>
      <c r="M1058" s="130"/>
      <c r="N1058" s="130"/>
      <c r="O1058" s="130" t="s">
        <v>2878</v>
      </c>
      <c r="P1058" s="152" t="s">
        <v>2880</v>
      </c>
    </row>
    <row r="1059" spans="2:16" s="153" customFormat="1" ht="75" x14ac:dyDescent="0.25">
      <c r="B1059" s="93" t="str">
        <f t="shared" si="105"/>
        <v>1</v>
      </c>
      <c r="C1059" s="93" t="str">
        <f t="shared" si="106"/>
        <v>7</v>
      </c>
      <c r="D1059" s="93" t="str">
        <f t="shared" si="107"/>
        <v>1</v>
      </c>
      <c r="E1059" s="93" t="str">
        <f t="shared" si="108"/>
        <v>8</v>
      </c>
      <c r="F1059" s="93" t="str">
        <f t="shared" si="109"/>
        <v>10</v>
      </c>
      <c r="G1059" s="93" t="str">
        <f t="shared" si="110"/>
        <v>1</v>
      </c>
      <c r="H1059" s="93" t="str">
        <f t="shared" si="111"/>
        <v>1</v>
      </c>
      <c r="I1059" s="135">
        <v>17181011</v>
      </c>
      <c r="J1059" s="93" t="s">
        <v>4817</v>
      </c>
      <c r="K1059" s="93" t="s">
        <v>1337</v>
      </c>
      <c r="L1059" s="84"/>
      <c r="M1059" s="93"/>
      <c r="N1059" s="93"/>
      <c r="O1059" s="93"/>
      <c r="P1059" s="154" t="s">
        <v>2890</v>
      </c>
    </row>
    <row r="1060" spans="2:16" s="153" customFormat="1" ht="30" x14ac:dyDescent="0.25">
      <c r="B1060" s="130" t="str">
        <f t="shared" si="105"/>
        <v>1</v>
      </c>
      <c r="C1060" s="130" t="str">
        <f t="shared" si="106"/>
        <v>7</v>
      </c>
      <c r="D1060" s="130" t="str">
        <f t="shared" si="107"/>
        <v>1</v>
      </c>
      <c r="E1060" s="130" t="str">
        <f t="shared" si="108"/>
        <v>8</v>
      </c>
      <c r="F1060" s="130" t="str">
        <f t="shared" si="109"/>
        <v>10</v>
      </c>
      <c r="G1060" s="130" t="str">
        <f t="shared" si="110"/>
        <v>2</v>
      </c>
      <c r="H1060" s="130" t="str">
        <f t="shared" si="111"/>
        <v>0</v>
      </c>
      <c r="I1060" s="129">
        <v>17181020</v>
      </c>
      <c r="J1060" s="130" t="s">
        <v>1338</v>
      </c>
      <c r="K1060" s="130" t="s">
        <v>1339</v>
      </c>
      <c r="L1060" s="116"/>
      <c r="M1060" s="130"/>
      <c r="N1060" s="130"/>
      <c r="O1060" s="130" t="s">
        <v>2878</v>
      </c>
      <c r="P1060" s="152" t="s">
        <v>2880</v>
      </c>
    </row>
    <row r="1061" spans="2:16" s="153" customFormat="1" ht="30" x14ac:dyDescent="0.25">
      <c r="B1061" s="93" t="str">
        <f t="shared" si="105"/>
        <v>1</v>
      </c>
      <c r="C1061" s="93" t="str">
        <f t="shared" si="106"/>
        <v>7</v>
      </c>
      <c r="D1061" s="93" t="str">
        <f t="shared" si="107"/>
        <v>1</v>
      </c>
      <c r="E1061" s="93" t="str">
        <f t="shared" si="108"/>
        <v>8</v>
      </c>
      <c r="F1061" s="93" t="str">
        <f t="shared" si="109"/>
        <v>10</v>
      </c>
      <c r="G1061" s="93" t="str">
        <f t="shared" si="110"/>
        <v>2</v>
      </c>
      <c r="H1061" s="93" t="str">
        <f t="shared" si="111"/>
        <v>1</v>
      </c>
      <c r="I1061" s="135">
        <v>17181021</v>
      </c>
      <c r="J1061" s="93" t="s">
        <v>4818</v>
      </c>
      <c r="K1061" s="93" t="s">
        <v>1339</v>
      </c>
      <c r="L1061" s="84"/>
      <c r="M1061" s="93"/>
      <c r="N1061" s="93"/>
      <c r="O1061" s="93"/>
      <c r="P1061" s="154" t="s">
        <v>2890</v>
      </c>
    </row>
    <row r="1062" spans="2:16" s="153" customFormat="1" ht="60" x14ac:dyDescent="0.25">
      <c r="B1062" s="130" t="str">
        <f t="shared" si="105"/>
        <v>1</v>
      </c>
      <c r="C1062" s="130" t="str">
        <f t="shared" si="106"/>
        <v>7</v>
      </c>
      <c r="D1062" s="130" t="str">
        <f t="shared" si="107"/>
        <v>1</v>
      </c>
      <c r="E1062" s="130" t="str">
        <f t="shared" si="108"/>
        <v>8</v>
      </c>
      <c r="F1062" s="130" t="str">
        <f t="shared" si="109"/>
        <v>10</v>
      </c>
      <c r="G1062" s="130" t="str">
        <f t="shared" si="110"/>
        <v>3</v>
      </c>
      <c r="H1062" s="130" t="str">
        <f t="shared" si="111"/>
        <v>0</v>
      </c>
      <c r="I1062" s="129">
        <v>17181030</v>
      </c>
      <c r="J1062" s="130" t="s">
        <v>1340</v>
      </c>
      <c r="K1062" s="130" t="s">
        <v>1341</v>
      </c>
      <c r="L1062" s="116"/>
      <c r="M1062" s="130"/>
      <c r="N1062" s="130"/>
      <c r="O1062" s="130" t="s">
        <v>2878</v>
      </c>
      <c r="P1062" s="152" t="s">
        <v>2880</v>
      </c>
    </row>
    <row r="1063" spans="2:16" s="153" customFormat="1" ht="60" x14ac:dyDescent="0.25">
      <c r="B1063" s="93" t="str">
        <f t="shared" si="105"/>
        <v>1</v>
      </c>
      <c r="C1063" s="93" t="str">
        <f t="shared" si="106"/>
        <v>7</v>
      </c>
      <c r="D1063" s="93" t="str">
        <f t="shared" si="107"/>
        <v>1</v>
      </c>
      <c r="E1063" s="93" t="str">
        <f t="shared" si="108"/>
        <v>8</v>
      </c>
      <c r="F1063" s="93" t="str">
        <f t="shared" si="109"/>
        <v>10</v>
      </c>
      <c r="G1063" s="93" t="str">
        <f t="shared" si="110"/>
        <v>3</v>
      </c>
      <c r="H1063" s="93" t="str">
        <f t="shared" si="111"/>
        <v>1</v>
      </c>
      <c r="I1063" s="135">
        <v>17181031</v>
      </c>
      <c r="J1063" s="93" t="s">
        <v>4819</v>
      </c>
      <c r="K1063" s="93" t="s">
        <v>1341</v>
      </c>
      <c r="L1063" s="84"/>
      <c r="M1063" s="93"/>
      <c r="N1063" s="93"/>
      <c r="O1063" s="93"/>
      <c r="P1063" s="154" t="s">
        <v>2890</v>
      </c>
    </row>
    <row r="1064" spans="2:16" s="153" customFormat="1" ht="30" x14ac:dyDescent="0.25">
      <c r="B1064" s="130" t="str">
        <f t="shared" si="105"/>
        <v>1</v>
      </c>
      <c r="C1064" s="130" t="str">
        <f t="shared" si="106"/>
        <v>7</v>
      </c>
      <c r="D1064" s="130" t="str">
        <f t="shared" si="107"/>
        <v>1</v>
      </c>
      <c r="E1064" s="130" t="str">
        <f t="shared" si="108"/>
        <v>8</v>
      </c>
      <c r="F1064" s="130" t="str">
        <f t="shared" si="109"/>
        <v>10</v>
      </c>
      <c r="G1064" s="130" t="str">
        <f t="shared" si="110"/>
        <v>4</v>
      </c>
      <c r="H1064" s="130" t="str">
        <f t="shared" si="111"/>
        <v>0</v>
      </c>
      <c r="I1064" s="129">
        <v>17181040</v>
      </c>
      <c r="J1064" s="130" t="s">
        <v>1342</v>
      </c>
      <c r="K1064" s="130" t="s">
        <v>1343</v>
      </c>
      <c r="L1064" s="116"/>
      <c r="M1064" s="130"/>
      <c r="N1064" s="130"/>
      <c r="O1064" s="130" t="s">
        <v>2878</v>
      </c>
      <c r="P1064" s="152" t="s">
        <v>2880</v>
      </c>
    </row>
    <row r="1065" spans="2:16" s="153" customFormat="1" ht="30" x14ac:dyDescent="0.25">
      <c r="B1065" s="93" t="str">
        <f t="shared" si="105"/>
        <v>1</v>
      </c>
      <c r="C1065" s="93" t="str">
        <f t="shared" si="106"/>
        <v>7</v>
      </c>
      <c r="D1065" s="93" t="str">
        <f t="shared" si="107"/>
        <v>1</v>
      </c>
      <c r="E1065" s="93" t="str">
        <f t="shared" si="108"/>
        <v>8</v>
      </c>
      <c r="F1065" s="93" t="str">
        <f t="shared" si="109"/>
        <v>10</v>
      </c>
      <c r="G1065" s="93" t="str">
        <f t="shared" si="110"/>
        <v>4</v>
      </c>
      <c r="H1065" s="93" t="str">
        <f t="shared" si="111"/>
        <v>1</v>
      </c>
      <c r="I1065" s="135">
        <v>17181041</v>
      </c>
      <c r="J1065" s="93" t="s">
        <v>4820</v>
      </c>
      <c r="K1065" s="93" t="s">
        <v>1343</v>
      </c>
      <c r="L1065" s="84"/>
      <c r="M1065" s="93"/>
      <c r="N1065" s="93"/>
      <c r="O1065" s="93"/>
      <c r="P1065" s="154" t="s">
        <v>2890</v>
      </c>
    </row>
    <row r="1066" spans="2:16" s="153" customFormat="1" ht="30" x14ac:dyDescent="0.25">
      <c r="B1066" s="130" t="str">
        <f t="shared" si="105"/>
        <v>1</v>
      </c>
      <c r="C1066" s="130" t="str">
        <f t="shared" si="106"/>
        <v>7</v>
      </c>
      <c r="D1066" s="130" t="str">
        <f t="shared" si="107"/>
        <v>1</v>
      </c>
      <c r="E1066" s="130" t="str">
        <f t="shared" si="108"/>
        <v>8</v>
      </c>
      <c r="F1066" s="130" t="str">
        <f t="shared" si="109"/>
        <v>10</v>
      </c>
      <c r="G1066" s="130" t="str">
        <f t="shared" si="110"/>
        <v>5</v>
      </c>
      <c r="H1066" s="130" t="str">
        <f t="shared" si="111"/>
        <v>0</v>
      </c>
      <c r="I1066" s="129">
        <v>17181050</v>
      </c>
      <c r="J1066" s="130" t="s">
        <v>1344</v>
      </c>
      <c r="K1066" s="130" t="s">
        <v>1345</v>
      </c>
      <c r="L1066" s="116"/>
      <c r="M1066" s="130"/>
      <c r="N1066" s="130"/>
      <c r="O1066" s="130" t="s">
        <v>2878</v>
      </c>
      <c r="P1066" s="152" t="s">
        <v>2880</v>
      </c>
    </row>
    <row r="1067" spans="2:16" s="153" customFormat="1" ht="30" x14ac:dyDescent="0.25">
      <c r="B1067" s="93" t="str">
        <f t="shared" si="105"/>
        <v>1</v>
      </c>
      <c r="C1067" s="93" t="str">
        <f t="shared" si="106"/>
        <v>7</v>
      </c>
      <c r="D1067" s="93" t="str">
        <f t="shared" si="107"/>
        <v>1</v>
      </c>
      <c r="E1067" s="93" t="str">
        <f t="shared" si="108"/>
        <v>8</v>
      </c>
      <c r="F1067" s="93" t="str">
        <f t="shared" si="109"/>
        <v>10</v>
      </c>
      <c r="G1067" s="93" t="str">
        <f t="shared" si="110"/>
        <v>5</v>
      </c>
      <c r="H1067" s="93" t="str">
        <f t="shared" si="111"/>
        <v>1</v>
      </c>
      <c r="I1067" s="135">
        <v>17181051</v>
      </c>
      <c r="J1067" s="93" t="s">
        <v>4821</v>
      </c>
      <c r="K1067" s="93" t="s">
        <v>1345</v>
      </c>
      <c r="L1067" s="84"/>
      <c r="M1067" s="93"/>
      <c r="N1067" s="93"/>
      <c r="O1067" s="93"/>
      <c r="P1067" s="154" t="s">
        <v>2890</v>
      </c>
    </row>
    <row r="1068" spans="2:16" s="153" customFormat="1" ht="30" x14ac:dyDescent="0.25">
      <c r="B1068" s="130" t="str">
        <f t="shared" si="105"/>
        <v>1</v>
      </c>
      <c r="C1068" s="130" t="str">
        <f t="shared" si="106"/>
        <v>7</v>
      </c>
      <c r="D1068" s="130" t="str">
        <f t="shared" si="107"/>
        <v>1</v>
      </c>
      <c r="E1068" s="130" t="str">
        <f t="shared" si="108"/>
        <v>8</v>
      </c>
      <c r="F1068" s="130" t="str">
        <f t="shared" si="109"/>
        <v>10</v>
      </c>
      <c r="G1068" s="130" t="str">
        <f t="shared" si="110"/>
        <v>9</v>
      </c>
      <c r="H1068" s="130" t="str">
        <f t="shared" si="111"/>
        <v>0</v>
      </c>
      <c r="I1068" s="129">
        <v>17181090</v>
      </c>
      <c r="J1068" s="130" t="s">
        <v>1346</v>
      </c>
      <c r="K1068" s="130" t="s">
        <v>1347</v>
      </c>
      <c r="L1068" s="116"/>
      <c r="M1068" s="130"/>
      <c r="N1068" s="130"/>
      <c r="O1068" s="130" t="s">
        <v>2878</v>
      </c>
      <c r="P1068" s="152" t="s">
        <v>2880</v>
      </c>
    </row>
    <row r="1069" spans="2:16" s="153" customFormat="1" ht="30" x14ac:dyDescent="0.25">
      <c r="B1069" s="93" t="str">
        <f t="shared" si="105"/>
        <v>1</v>
      </c>
      <c r="C1069" s="93" t="str">
        <f t="shared" si="106"/>
        <v>7</v>
      </c>
      <c r="D1069" s="93" t="str">
        <f t="shared" si="107"/>
        <v>1</v>
      </c>
      <c r="E1069" s="93" t="str">
        <f t="shared" si="108"/>
        <v>8</v>
      </c>
      <c r="F1069" s="93" t="str">
        <f t="shared" si="109"/>
        <v>10</v>
      </c>
      <c r="G1069" s="93" t="str">
        <f t="shared" si="110"/>
        <v>9</v>
      </c>
      <c r="H1069" s="93" t="str">
        <f t="shared" si="111"/>
        <v>1</v>
      </c>
      <c r="I1069" s="135">
        <v>17181091</v>
      </c>
      <c r="J1069" s="93" t="s">
        <v>4822</v>
      </c>
      <c r="K1069" s="93" t="s">
        <v>1347</v>
      </c>
      <c r="L1069" s="84"/>
      <c r="M1069" s="93"/>
      <c r="N1069" s="93"/>
      <c r="O1069" s="93"/>
      <c r="P1069" s="154" t="s">
        <v>2890</v>
      </c>
    </row>
    <row r="1070" spans="2:16" s="153" customFormat="1" ht="45" x14ac:dyDescent="0.25">
      <c r="B1070" s="113" t="str">
        <f t="shared" si="105"/>
        <v>1</v>
      </c>
      <c r="C1070" s="113" t="str">
        <f t="shared" si="106"/>
        <v>7</v>
      </c>
      <c r="D1070" s="113" t="str">
        <f t="shared" si="107"/>
        <v>1</v>
      </c>
      <c r="E1070" s="113" t="str">
        <f t="shared" si="108"/>
        <v>8</v>
      </c>
      <c r="F1070" s="113" t="str">
        <f t="shared" si="109"/>
        <v>11</v>
      </c>
      <c r="G1070" s="113" t="str">
        <f t="shared" si="110"/>
        <v>0</v>
      </c>
      <c r="H1070" s="113" t="str">
        <f t="shared" si="111"/>
        <v>0</v>
      </c>
      <c r="I1070" s="112">
        <v>17181100</v>
      </c>
      <c r="J1070" s="113" t="s">
        <v>5108</v>
      </c>
      <c r="K1070" s="113" t="s">
        <v>5109</v>
      </c>
      <c r="L1070" s="110"/>
      <c r="M1070" s="113"/>
      <c r="N1070" s="113"/>
      <c r="O1070" s="113"/>
      <c r="P1070" s="163" t="s">
        <v>2880</v>
      </c>
    </row>
    <row r="1071" spans="2:16" s="153" customFormat="1" ht="45" x14ac:dyDescent="0.25">
      <c r="B1071" s="130" t="str">
        <f t="shared" si="105"/>
        <v>1</v>
      </c>
      <c r="C1071" s="130" t="str">
        <f t="shared" si="106"/>
        <v>7</v>
      </c>
      <c r="D1071" s="130" t="str">
        <f t="shared" si="107"/>
        <v>1</v>
      </c>
      <c r="E1071" s="130" t="str">
        <f t="shared" si="108"/>
        <v>8</v>
      </c>
      <c r="F1071" s="130" t="str">
        <f t="shared" si="109"/>
        <v>11</v>
      </c>
      <c r="G1071" s="130" t="str">
        <f t="shared" si="110"/>
        <v>1</v>
      </c>
      <c r="H1071" s="130" t="str">
        <f t="shared" si="111"/>
        <v>0</v>
      </c>
      <c r="I1071" s="129">
        <v>17181110</v>
      </c>
      <c r="J1071" s="130" t="s">
        <v>5110</v>
      </c>
      <c r="K1071" s="130" t="s">
        <v>5111</v>
      </c>
      <c r="L1071" s="116"/>
      <c r="M1071" s="130"/>
      <c r="N1071" s="130" t="s">
        <v>5112</v>
      </c>
      <c r="O1071" s="130"/>
      <c r="P1071" s="152" t="s">
        <v>2880</v>
      </c>
    </row>
    <row r="1072" spans="2:16" s="153" customFormat="1" ht="45" x14ac:dyDescent="0.25">
      <c r="B1072" s="93" t="str">
        <f t="shared" si="105"/>
        <v>1</v>
      </c>
      <c r="C1072" s="93" t="str">
        <f t="shared" si="106"/>
        <v>7</v>
      </c>
      <c r="D1072" s="93" t="str">
        <f t="shared" si="107"/>
        <v>1</v>
      </c>
      <c r="E1072" s="93" t="str">
        <f t="shared" si="108"/>
        <v>8</v>
      </c>
      <c r="F1072" s="93" t="str">
        <f t="shared" si="109"/>
        <v>11</v>
      </c>
      <c r="G1072" s="93" t="str">
        <f t="shared" si="110"/>
        <v>1</v>
      </c>
      <c r="H1072" s="93" t="str">
        <f t="shared" si="111"/>
        <v>1</v>
      </c>
      <c r="I1072" s="135">
        <v>17181111</v>
      </c>
      <c r="J1072" s="93" t="s">
        <v>5113</v>
      </c>
      <c r="K1072" s="93" t="s">
        <v>5111</v>
      </c>
      <c r="L1072" s="84"/>
      <c r="M1072" s="93"/>
      <c r="N1072" s="93" t="s">
        <v>5112</v>
      </c>
      <c r="O1072" s="93"/>
      <c r="P1072" s="154" t="s">
        <v>2890</v>
      </c>
    </row>
    <row r="1073" spans="2:16" s="153" customFormat="1" ht="30" x14ac:dyDescent="0.25">
      <c r="B1073" s="113" t="str">
        <f t="shared" si="105"/>
        <v>1</v>
      </c>
      <c r="C1073" s="113" t="str">
        <f t="shared" si="106"/>
        <v>7</v>
      </c>
      <c r="D1073" s="113" t="str">
        <f t="shared" si="107"/>
        <v>1</v>
      </c>
      <c r="E1073" s="113" t="str">
        <f t="shared" si="108"/>
        <v>8</v>
      </c>
      <c r="F1073" s="113" t="str">
        <f t="shared" si="109"/>
        <v>99</v>
      </c>
      <c r="G1073" s="113" t="str">
        <f t="shared" si="110"/>
        <v>0</v>
      </c>
      <c r="H1073" s="113" t="str">
        <f t="shared" si="111"/>
        <v>0</v>
      </c>
      <c r="I1073" s="112">
        <v>17189900</v>
      </c>
      <c r="J1073" s="113" t="s">
        <v>1277</v>
      </c>
      <c r="K1073" s="113" t="s">
        <v>1278</v>
      </c>
      <c r="L1073" s="110"/>
      <c r="M1073" s="113"/>
      <c r="N1073" s="113"/>
      <c r="O1073" s="113" t="s">
        <v>2878</v>
      </c>
      <c r="P1073" s="163" t="s">
        <v>2880</v>
      </c>
    </row>
    <row r="1074" spans="2:16" s="153" customFormat="1" ht="30" x14ac:dyDescent="0.25">
      <c r="B1074" s="130" t="str">
        <f t="shared" si="105"/>
        <v>1</v>
      </c>
      <c r="C1074" s="130" t="str">
        <f t="shared" si="106"/>
        <v>7</v>
      </c>
      <c r="D1074" s="130" t="str">
        <f t="shared" si="107"/>
        <v>1</v>
      </c>
      <c r="E1074" s="130" t="str">
        <f t="shared" si="108"/>
        <v>8</v>
      </c>
      <c r="F1074" s="130" t="str">
        <f t="shared" si="109"/>
        <v>99</v>
      </c>
      <c r="G1074" s="130" t="str">
        <f t="shared" si="110"/>
        <v>1</v>
      </c>
      <c r="H1074" s="130" t="str">
        <f t="shared" si="111"/>
        <v>0</v>
      </c>
      <c r="I1074" s="129">
        <v>17189910</v>
      </c>
      <c r="J1074" s="130" t="s">
        <v>1277</v>
      </c>
      <c r="K1074" s="130" t="s">
        <v>1278</v>
      </c>
      <c r="L1074" s="116"/>
      <c r="M1074" s="130"/>
      <c r="N1074" s="130"/>
      <c r="O1074" s="130" t="s">
        <v>2878</v>
      </c>
      <c r="P1074" s="152" t="s">
        <v>2880</v>
      </c>
    </row>
    <row r="1075" spans="2:16" s="153" customFormat="1" ht="30" x14ac:dyDescent="0.25">
      <c r="B1075" s="93" t="str">
        <f t="shared" si="105"/>
        <v>1</v>
      </c>
      <c r="C1075" s="93" t="str">
        <f t="shared" si="106"/>
        <v>7</v>
      </c>
      <c r="D1075" s="93" t="str">
        <f t="shared" si="107"/>
        <v>1</v>
      </c>
      <c r="E1075" s="93" t="str">
        <f t="shared" si="108"/>
        <v>8</v>
      </c>
      <c r="F1075" s="93" t="str">
        <f t="shared" si="109"/>
        <v>99</v>
      </c>
      <c r="G1075" s="93" t="str">
        <f t="shared" si="110"/>
        <v>1</v>
      </c>
      <c r="H1075" s="93" t="str">
        <f t="shared" si="111"/>
        <v>1</v>
      </c>
      <c r="I1075" s="135">
        <v>17189911</v>
      </c>
      <c r="J1075" s="93" t="s">
        <v>4823</v>
      </c>
      <c r="K1075" s="93" t="s">
        <v>1278</v>
      </c>
      <c r="L1075" s="84"/>
      <c r="M1075" s="93"/>
      <c r="N1075" s="93"/>
      <c r="O1075" s="93"/>
      <c r="P1075" s="154" t="s">
        <v>2890</v>
      </c>
    </row>
    <row r="1076" spans="2:16" ht="60" x14ac:dyDescent="0.25">
      <c r="B1076" s="126" t="str">
        <f t="shared" si="105"/>
        <v>1</v>
      </c>
      <c r="C1076" s="126" t="str">
        <f t="shared" si="106"/>
        <v>7</v>
      </c>
      <c r="D1076" s="126" t="str">
        <f t="shared" si="107"/>
        <v>2</v>
      </c>
      <c r="E1076" s="126" t="str">
        <f t="shared" si="108"/>
        <v>0</v>
      </c>
      <c r="F1076" s="126" t="str">
        <f t="shared" si="109"/>
        <v>00</v>
      </c>
      <c r="G1076" s="126" t="str">
        <f t="shared" si="110"/>
        <v>0</v>
      </c>
      <c r="H1076" s="126" t="str">
        <f t="shared" si="111"/>
        <v>0</v>
      </c>
      <c r="I1076" s="127">
        <v>17200000</v>
      </c>
      <c r="J1076" s="126" t="s">
        <v>4198</v>
      </c>
      <c r="K1076" s="126" t="s">
        <v>4199</v>
      </c>
      <c r="L1076" s="122"/>
      <c r="M1076" s="126" t="s">
        <v>2878</v>
      </c>
      <c r="N1076" s="126" t="s">
        <v>5016</v>
      </c>
      <c r="O1076" s="126" t="s">
        <v>2878</v>
      </c>
      <c r="P1076" s="128" t="s">
        <v>2880</v>
      </c>
    </row>
    <row r="1077" spans="2:16" ht="60" x14ac:dyDescent="0.25">
      <c r="B1077" s="114" t="str">
        <f t="shared" si="105"/>
        <v>1</v>
      </c>
      <c r="C1077" s="114" t="str">
        <f t="shared" si="106"/>
        <v>7</v>
      </c>
      <c r="D1077" s="114" t="str">
        <f t="shared" si="107"/>
        <v>2</v>
      </c>
      <c r="E1077" s="114" t="str">
        <f t="shared" si="108"/>
        <v>0</v>
      </c>
      <c r="F1077" s="114" t="str">
        <f t="shared" si="109"/>
        <v>00</v>
      </c>
      <c r="G1077" s="114" t="str">
        <f t="shared" si="110"/>
        <v>1</v>
      </c>
      <c r="H1077" s="114" t="str">
        <f t="shared" si="111"/>
        <v>0</v>
      </c>
      <c r="I1077" s="115">
        <v>17200010</v>
      </c>
      <c r="J1077" s="114" t="s">
        <v>4198</v>
      </c>
      <c r="K1077" s="114" t="s">
        <v>4199</v>
      </c>
      <c r="L1077" s="116"/>
      <c r="M1077" s="114" t="s">
        <v>2878</v>
      </c>
      <c r="N1077" s="114"/>
      <c r="O1077" s="114" t="s">
        <v>2878</v>
      </c>
      <c r="P1077" s="117" t="s">
        <v>2880</v>
      </c>
    </row>
    <row r="1078" spans="2:16" ht="75" x14ac:dyDescent="0.25">
      <c r="B1078" s="85" t="str">
        <f t="shared" si="105"/>
        <v>1</v>
      </c>
      <c r="C1078" s="85" t="str">
        <f t="shared" si="106"/>
        <v>7</v>
      </c>
      <c r="D1078" s="85" t="str">
        <f t="shared" si="107"/>
        <v>2</v>
      </c>
      <c r="E1078" s="85" t="str">
        <f t="shared" si="108"/>
        <v>0</v>
      </c>
      <c r="F1078" s="85" t="str">
        <f t="shared" si="109"/>
        <v>00</v>
      </c>
      <c r="G1078" s="85" t="str">
        <f t="shared" si="110"/>
        <v>1</v>
      </c>
      <c r="H1078" s="85" t="str">
        <f t="shared" si="111"/>
        <v>1</v>
      </c>
      <c r="I1078" s="87">
        <v>17200011</v>
      </c>
      <c r="J1078" s="85" t="s">
        <v>5061</v>
      </c>
      <c r="K1078" s="85" t="s">
        <v>5062</v>
      </c>
      <c r="L1078" s="84"/>
      <c r="M1078" s="85" t="s">
        <v>4024</v>
      </c>
      <c r="N1078" s="85"/>
      <c r="O1078" s="85" t="s">
        <v>4197</v>
      </c>
      <c r="P1078" s="86" t="s">
        <v>2890</v>
      </c>
    </row>
    <row r="1079" spans="2:16" s="153" customFormat="1" ht="45" x14ac:dyDescent="0.25">
      <c r="B1079" s="155" t="str">
        <f t="shared" si="105"/>
        <v>1</v>
      </c>
      <c r="C1079" s="155" t="str">
        <f t="shared" si="106"/>
        <v>7</v>
      </c>
      <c r="D1079" s="155" t="str">
        <f t="shared" si="107"/>
        <v>2</v>
      </c>
      <c r="E1079" s="155" t="str">
        <f t="shared" si="108"/>
        <v>8</v>
      </c>
      <c r="F1079" s="155" t="str">
        <f t="shared" si="109"/>
        <v>00</v>
      </c>
      <c r="G1079" s="155" t="str">
        <f t="shared" si="110"/>
        <v>0</v>
      </c>
      <c r="H1079" s="155" t="str">
        <f t="shared" si="111"/>
        <v>0</v>
      </c>
      <c r="I1079" s="161">
        <v>17280000</v>
      </c>
      <c r="J1079" s="155" t="s">
        <v>5023</v>
      </c>
      <c r="K1079" s="155" t="s">
        <v>1280</v>
      </c>
      <c r="L1079" s="106"/>
      <c r="M1079" s="155" t="s">
        <v>2878</v>
      </c>
      <c r="N1079" s="155"/>
      <c r="O1079" s="155" t="s">
        <v>5018</v>
      </c>
      <c r="P1079" s="162" t="s">
        <v>2880</v>
      </c>
    </row>
    <row r="1080" spans="2:16" s="153" customFormat="1" ht="120" x14ac:dyDescent="0.25">
      <c r="B1080" s="113" t="str">
        <f t="shared" si="105"/>
        <v>1</v>
      </c>
      <c r="C1080" s="113" t="str">
        <f t="shared" si="106"/>
        <v>7</v>
      </c>
      <c r="D1080" s="113" t="str">
        <f t="shared" si="107"/>
        <v>2</v>
      </c>
      <c r="E1080" s="113" t="str">
        <f t="shared" si="108"/>
        <v>8</v>
      </c>
      <c r="F1080" s="113" t="str">
        <f t="shared" si="109"/>
        <v>01</v>
      </c>
      <c r="G1080" s="113" t="str">
        <f t="shared" si="110"/>
        <v>0</v>
      </c>
      <c r="H1080" s="113" t="str">
        <f t="shared" si="111"/>
        <v>0</v>
      </c>
      <c r="I1080" s="112">
        <v>17280100</v>
      </c>
      <c r="J1080" s="113" t="s">
        <v>1281</v>
      </c>
      <c r="K1080" s="113" t="s">
        <v>1282</v>
      </c>
      <c r="L1080" s="110"/>
      <c r="M1080" s="113" t="s">
        <v>2878</v>
      </c>
      <c r="N1080" s="113"/>
      <c r="O1080" s="113" t="s">
        <v>2878</v>
      </c>
      <c r="P1080" s="163" t="s">
        <v>2880</v>
      </c>
    </row>
    <row r="1081" spans="2:16" s="153" customFormat="1" ht="45" x14ac:dyDescent="0.25">
      <c r="B1081" s="130" t="str">
        <f t="shared" si="105"/>
        <v>1</v>
      </c>
      <c r="C1081" s="130" t="str">
        <f t="shared" si="106"/>
        <v>7</v>
      </c>
      <c r="D1081" s="130" t="str">
        <f t="shared" si="107"/>
        <v>2</v>
      </c>
      <c r="E1081" s="130" t="str">
        <f t="shared" si="108"/>
        <v>8</v>
      </c>
      <c r="F1081" s="130" t="str">
        <f t="shared" si="109"/>
        <v>01</v>
      </c>
      <c r="G1081" s="130" t="str">
        <f t="shared" si="110"/>
        <v>1</v>
      </c>
      <c r="H1081" s="130" t="str">
        <f t="shared" si="111"/>
        <v>0</v>
      </c>
      <c r="I1081" s="129">
        <v>17280110</v>
      </c>
      <c r="J1081" s="130" t="s">
        <v>1283</v>
      </c>
      <c r="K1081" s="130" t="s">
        <v>1284</v>
      </c>
      <c r="L1081" s="116"/>
      <c r="M1081" s="130"/>
      <c r="N1081" s="130"/>
      <c r="O1081" s="130" t="s">
        <v>2878</v>
      </c>
      <c r="P1081" s="152" t="s">
        <v>2880</v>
      </c>
    </row>
    <row r="1082" spans="2:16" s="153" customFormat="1" ht="45" x14ac:dyDescent="0.25">
      <c r="B1082" s="93" t="str">
        <f t="shared" ref="B1082:B1151" si="112">MID($I1082,1,1)</f>
        <v>1</v>
      </c>
      <c r="C1082" s="93" t="str">
        <f t="shared" ref="C1082:C1151" si="113">MID($I1082,2,1)</f>
        <v>7</v>
      </c>
      <c r="D1082" s="93" t="str">
        <f t="shared" ref="D1082:D1151" si="114">MID($I1082,3,1)</f>
        <v>2</v>
      </c>
      <c r="E1082" s="93" t="str">
        <f t="shared" ref="E1082:E1151" si="115">MID($I1082,4,1)</f>
        <v>8</v>
      </c>
      <c r="F1082" s="93" t="str">
        <f t="shared" ref="F1082:F1151" si="116">MID($I1082,5,2)</f>
        <v>01</v>
      </c>
      <c r="G1082" s="93" t="str">
        <f t="shared" ref="G1082:G1151" si="117">MID($I1082,7,1)</f>
        <v>1</v>
      </c>
      <c r="H1082" s="93" t="str">
        <f t="shared" ref="H1082:H1151" si="118">MID($I1082,8,1)</f>
        <v>1</v>
      </c>
      <c r="I1082" s="135">
        <v>17280111</v>
      </c>
      <c r="J1082" s="93" t="s">
        <v>4824</v>
      </c>
      <c r="K1082" s="93" t="s">
        <v>1284</v>
      </c>
      <c r="L1082" s="84"/>
      <c r="M1082" s="93"/>
      <c r="N1082" s="93"/>
      <c r="O1082" s="93"/>
      <c r="P1082" s="154" t="s">
        <v>2890</v>
      </c>
    </row>
    <row r="1083" spans="2:16" s="153" customFormat="1" ht="45" x14ac:dyDescent="0.25">
      <c r="B1083" s="130" t="str">
        <f t="shared" si="112"/>
        <v>1</v>
      </c>
      <c r="C1083" s="130" t="str">
        <f t="shared" si="113"/>
        <v>7</v>
      </c>
      <c r="D1083" s="130" t="str">
        <f t="shared" si="114"/>
        <v>2</v>
      </c>
      <c r="E1083" s="130" t="str">
        <f t="shared" si="115"/>
        <v>8</v>
      </c>
      <c r="F1083" s="130" t="str">
        <f t="shared" si="116"/>
        <v>01</v>
      </c>
      <c r="G1083" s="130" t="str">
        <f t="shared" si="117"/>
        <v>2</v>
      </c>
      <c r="H1083" s="130" t="str">
        <f t="shared" si="118"/>
        <v>0</v>
      </c>
      <c r="I1083" s="129">
        <v>17280120</v>
      </c>
      <c r="J1083" s="130" t="s">
        <v>1285</v>
      </c>
      <c r="K1083" s="130" t="s">
        <v>1286</v>
      </c>
      <c r="L1083" s="116"/>
      <c r="M1083" s="130"/>
      <c r="N1083" s="130"/>
      <c r="O1083" s="130" t="s">
        <v>2878</v>
      </c>
      <c r="P1083" s="152" t="s">
        <v>2880</v>
      </c>
    </row>
    <row r="1084" spans="2:16" s="153" customFormat="1" ht="45" x14ac:dyDescent="0.25">
      <c r="B1084" s="93" t="str">
        <f t="shared" si="112"/>
        <v>1</v>
      </c>
      <c r="C1084" s="93" t="str">
        <f t="shared" si="113"/>
        <v>7</v>
      </c>
      <c r="D1084" s="93" t="str">
        <f t="shared" si="114"/>
        <v>2</v>
      </c>
      <c r="E1084" s="93" t="str">
        <f t="shared" si="115"/>
        <v>8</v>
      </c>
      <c r="F1084" s="93" t="str">
        <f t="shared" si="116"/>
        <v>01</v>
      </c>
      <c r="G1084" s="93" t="str">
        <f t="shared" si="117"/>
        <v>2</v>
      </c>
      <c r="H1084" s="93" t="str">
        <f t="shared" si="118"/>
        <v>1</v>
      </c>
      <c r="I1084" s="135">
        <v>17280121</v>
      </c>
      <c r="J1084" s="93" t="s">
        <v>4825</v>
      </c>
      <c r="K1084" s="93" t="s">
        <v>1286</v>
      </c>
      <c r="L1084" s="84"/>
      <c r="M1084" s="93"/>
      <c r="N1084" s="93"/>
      <c r="O1084" s="93"/>
      <c r="P1084" s="154" t="s">
        <v>2890</v>
      </c>
    </row>
    <row r="1085" spans="2:16" s="153" customFormat="1" ht="45" x14ac:dyDescent="0.25">
      <c r="B1085" s="130" t="str">
        <f t="shared" si="112"/>
        <v>1</v>
      </c>
      <c r="C1085" s="130" t="str">
        <f t="shared" si="113"/>
        <v>7</v>
      </c>
      <c r="D1085" s="130" t="str">
        <f t="shared" si="114"/>
        <v>2</v>
      </c>
      <c r="E1085" s="130" t="str">
        <f t="shared" si="115"/>
        <v>8</v>
      </c>
      <c r="F1085" s="130" t="str">
        <f t="shared" si="116"/>
        <v>01</v>
      </c>
      <c r="G1085" s="130" t="str">
        <f t="shared" si="117"/>
        <v>3</v>
      </c>
      <c r="H1085" s="130" t="str">
        <f t="shared" si="118"/>
        <v>0</v>
      </c>
      <c r="I1085" s="129">
        <v>17280130</v>
      </c>
      <c r="J1085" s="130" t="s">
        <v>1289</v>
      </c>
      <c r="K1085" s="130" t="s">
        <v>1290</v>
      </c>
      <c r="L1085" s="116"/>
      <c r="M1085" s="130"/>
      <c r="N1085" s="130"/>
      <c r="O1085" s="130" t="s">
        <v>2878</v>
      </c>
      <c r="P1085" s="152" t="s">
        <v>2880</v>
      </c>
    </row>
    <row r="1086" spans="2:16" s="153" customFormat="1" ht="45" x14ac:dyDescent="0.25">
      <c r="B1086" s="93" t="str">
        <f t="shared" si="112"/>
        <v>1</v>
      </c>
      <c r="C1086" s="93" t="str">
        <f t="shared" si="113"/>
        <v>7</v>
      </c>
      <c r="D1086" s="93" t="str">
        <f t="shared" si="114"/>
        <v>2</v>
      </c>
      <c r="E1086" s="93" t="str">
        <f t="shared" si="115"/>
        <v>8</v>
      </c>
      <c r="F1086" s="93" t="str">
        <f t="shared" si="116"/>
        <v>01</v>
      </c>
      <c r="G1086" s="93" t="str">
        <f t="shared" si="117"/>
        <v>3</v>
      </c>
      <c r="H1086" s="93" t="str">
        <f t="shared" si="118"/>
        <v>1</v>
      </c>
      <c r="I1086" s="135">
        <v>17280131</v>
      </c>
      <c r="J1086" s="93" t="s">
        <v>4826</v>
      </c>
      <c r="K1086" s="93" t="s">
        <v>1290</v>
      </c>
      <c r="L1086" s="84"/>
      <c r="M1086" s="93"/>
      <c r="N1086" s="93"/>
      <c r="O1086" s="93"/>
      <c r="P1086" s="154" t="s">
        <v>2890</v>
      </c>
    </row>
    <row r="1087" spans="2:16" s="153" customFormat="1" ht="45" x14ac:dyDescent="0.25">
      <c r="B1087" s="130" t="str">
        <f t="shared" si="112"/>
        <v>1</v>
      </c>
      <c r="C1087" s="130" t="str">
        <f t="shared" si="113"/>
        <v>7</v>
      </c>
      <c r="D1087" s="130" t="str">
        <f t="shared" si="114"/>
        <v>2</v>
      </c>
      <c r="E1087" s="130" t="str">
        <f t="shared" si="115"/>
        <v>8</v>
      </c>
      <c r="F1087" s="130" t="str">
        <f t="shared" si="116"/>
        <v>01</v>
      </c>
      <c r="G1087" s="130" t="str">
        <f t="shared" si="117"/>
        <v>4</v>
      </c>
      <c r="H1087" s="130" t="str">
        <f t="shared" si="118"/>
        <v>0</v>
      </c>
      <c r="I1087" s="129">
        <v>17280140</v>
      </c>
      <c r="J1087" s="130" t="s">
        <v>1236</v>
      </c>
      <c r="K1087" s="130" t="s">
        <v>1291</v>
      </c>
      <c r="L1087" s="116"/>
      <c r="M1087" s="130"/>
      <c r="N1087" s="130"/>
      <c r="O1087" s="130" t="s">
        <v>2878</v>
      </c>
      <c r="P1087" s="152" t="s">
        <v>2880</v>
      </c>
    </row>
    <row r="1088" spans="2:16" s="153" customFormat="1" ht="45" x14ac:dyDescent="0.25">
      <c r="B1088" s="93" t="str">
        <f t="shared" si="112"/>
        <v>1</v>
      </c>
      <c r="C1088" s="93" t="str">
        <f t="shared" si="113"/>
        <v>7</v>
      </c>
      <c r="D1088" s="93" t="str">
        <f t="shared" si="114"/>
        <v>2</v>
      </c>
      <c r="E1088" s="93" t="str">
        <f t="shared" si="115"/>
        <v>8</v>
      </c>
      <c r="F1088" s="93" t="str">
        <f t="shared" si="116"/>
        <v>01</v>
      </c>
      <c r="G1088" s="93" t="str">
        <f t="shared" si="117"/>
        <v>4</v>
      </c>
      <c r="H1088" s="93" t="str">
        <f t="shared" si="118"/>
        <v>1</v>
      </c>
      <c r="I1088" s="135">
        <v>17280141</v>
      </c>
      <c r="J1088" s="93" t="s">
        <v>4799</v>
      </c>
      <c r="K1088" s="93" t="s">
        <v>1291</v>
      </c>
      <c r="L1088" s="84"/>
      <c r="M1088" s="93"/>
      <c r="N1088" s="93"/>
      <c r="O1088" s="93"/>
      <c r="P1088" s="154" t="s">
        <v>2890</v>
      </c>
    </row>
    <row r="1089" spans="2:16" s="153" customFormat="1" ht="30" x14ac:dyDescent="0.25">
      <c r="B1089" s="130" t="str">
        <f t="shared" si="112"/>
        <v>1</v>
      </c>
      <c r="C1089" s="130" t="str">
        <f t="shared" si="113"/>
        <v>7</v>
      </c>
      <c r="D1089" s="130" t="str">
        <f t="shared" si="114"/>
        <v>2</v>
      </c>
      <c r="E1089" s="130" t="str">
        <f t="shared" si="115"/>
        <v>8</v>
      </c>
      <c r="F1089" s="130" t="str">
        <f t="shared" si="116"/>
        <v>01</v>
      </c>
      <c r="G1089" s="130" t="str">
        <f t="shared" si="117"/>
        <v>5</v>
      </c>
      <c r="H1089" s="130" t="str">
        <f t="shared" si="118"/>
        <v>0</v>
      </c>
      <c r="I1089" s="129">
        <v>17280150</v>
      </c>
      <c r="J1089" s="130" t="s">
        <v>1292</v>
      </c>
      <c r="K1089" s="130" t="s">
        <v>1293</v>
      </c>
      <c r="L1089" s="116"/>
      <c r="M1089" s="130"/>
      <c r="N1089" s="130"/>
      <c r="O1089" s="130" t="s">
        <v>2878</v>
      </c>
      <c r="P1089" s="152" t="s">
        <v>2880</v>
      </c>
    </row>
    <row r="1090" spans="2:16" s="153" customFormat="1" ht="30" x14ac:dyDescent="0.25">
      <c r="B1090" s="93" t="str">
        <f t="shared" si="112"/>
        <v>1</v>
      </c>
      <c r="C1090" s="93" t="str">
        <f t="shared" si="113"/>
        <v>7</v>
      </c>
      <c r="D1090" s="93" t="str">
        <f t="shared" si="114"/>
        <v>2</v>
      </c>
      <c r="E1090" s="93" t="str">
        <f t="shared" si="115"/>
        <v>8</v>
      </c>
      <c r="F1090" s="93" t="str">
        <f t="shared" si="116"/>
        <v>01</v>
      </c>
      <c r="G1090" s="93" t="str">
        <f t="shared" si="117"/>
        <v>5</v>
      </c>
      <c r="H1090" s="93" t="str">
        <f t="shared" si="118"/>
        <v>1</v>
      </c>
      <c r="I1090" s="135">
        <v>17280151</v>
      </c>
      <c r="J1090" s="93" t="s">
        <v>4827</v>
      </c>
      <c r="K1090" s="93" t="s">
        <v>1293</v>
      </c>
      <c r="L1090" s="84"/>
      <c r="M1090" s="93"/>
      <c r="N1090" s="93"/>
      <c r="O1090" s="93"/>
      <c r="P1090" s="154" t="s">
        <v>2890</v>
      </c>
    </row>
    <row r="1091" spans="2:16" s="153" customFormat="1" ht="30" x14ac:dyDescent="0.25">
      <c r="B1091" s="130" t="str">
        <f t="shared" si="112"/>
        <v>1</v>
      </c>
      <c r="C1091" s="130" t="str">
        <f t="shared" si="113"/>
        <v>7</v>
      </c>
      <c r="D1091" s="130" t="str">
        <f t="shared" si="114"/>
        <v>2</v>
      </c>
      <c r="E1091" s="130" t="str">
        <f t="shared" si="115"/>
        <v>8</v>
      </c>
      <c r="F1091" s="130" t="str">
        <f t="shared" si="116"/>
        <v>01</v>
      </c>
      <c r="G1091" s="130" t="str">
        <f t="shared" si="117"/>
        <v>9</v>
      </c>
      <c r="H1091" s="130" t="str">
        <f t="shared" si="118"/>
        <v>0</v>
      </c>
      <c r="I1091" s="129">
        <v>17280190</v>
      </c>
      <c r="J1091" s="130" t="s">
        <v>1294</v>
      </c>
      <c r="K1091" s="130" t="s">
        <v>1295</v>
      </c>
      <c r="L1091" s="116"/>
      <c r="M1091" s="130"/>
      <c r="N1091" s="130"/>
      <c r="O1091" s="130" t="s">
        <v>2878</v>
      </c>
      <c r="P1091" s="152" t="s">
        <v>2880</v>
      </c>
    </row>
    <row r="1092" spans="2:16" s="153" customFormat="1" ht="15.75" x14ac:dyDescent="0.25">
      <c r="B1092" s="93" t="str">
        <f t="shared" si="112"/>
        <v>1</v>
      </c>
      <c r="C1092" s="93" t="str">
        <f t="shared" si="113"/>
        <v>7</v>
      </c>
      <c r="D1092" s="93" t="str">
        <f t="shared" si="114"/>
        <v>2</v>
      </c>
      <c r="E1092" s="93" t="str">
        <f t="shared" si="115"/>
        <v>8</v>
      </c>
      <c r="F1092" s="93" t="str">
        <f t="shared" si="116"/>
        <v>01</v>
      </c>
      <c r="G1092" s="93" t="str">
        <f t="shared" si="117"/>
        <v>9</v>
      </c>
      <c r="H1092" s="93" t="str">
        <f t="shared" si="118"/>
        <v>1</v>
      </c>
      <c r="I1092" s="135">
        <v>17280191</v>
      </c>
      <c r="J1092" s="93" t="s">
        <v>4828</v>
      </c>
      <c r="K1092" s="93" t="s">
        <v>1295</v>
      </c>
      <c r="L1092" s="84"/>
      <c r="M1092" s="93"/>
      <c r="N1092" s="93"/>
      <c r="O1092" s="93"/>
      <c r="P1092" s="154" t="s">
        <v>2890</v>
      </c>
    </row>
    <row r="1093" spans="2:16" s="153" customFormat="1" ht="30" x14ac:dyDescent="0.25">
      <c r="B1093" s="113" t="str">
        <f t="shared" si="112"/>
        <v>1</v>
      </c>
      <c r="C1093" s="113" t="str">
        <f t="shared" si="113"/>
        <v>7</v>
      </c>
      <c r="D1093" s="113" t="str">
        <f t="shared" si="114"/>
        <v>2</v>
      </c>
      <c r="E1093" s="113" t="str">
        <f t="shared" si="115"/>
        <v>8</v>
      </c>
      <c r="F1093" s="113" t="str">
        <f t="shared" si="116"/>
        <v>02</v>
      </c>
      <c r="G1093" s="113" t="str">
        <f t="shared" si="117"/>
        <v>0</v>
      </c>
      <c r="H1093" s="113" t="str">
        <f t="shared" si="118"/>
        <v>0</v>
      </c>
      <c r="I1093" s="112">
        <v>17280200</v>
      </c>
      <c r="J1093" s="113" t="s">
        <v>1296</v>
      </c>
      <c r="K1093" s="113" t="s">
        <v>1297</v>
      </c>
      <c r="L1093" s="110"/>
      <c r="M1093" s="113"/>
      <c r="N1093" s="113"/>
      <c r="O1093" s="113" t="s">
        <v>2878</v>
      </c>
      <c r="P1093" s="163" t="s">
        <v>2880</v>
      </c>
    </row>
    <row r="1094" spans="2:16" s="153" customFormat="1" ht="30" x14ac:dyDescent="0.25">
      <c r="B1094" s="130" t="str">
        <f t="shared" si="112"/>
        <v>1</v>
      </c>
      <c r="C1094" s="130" t="str">
        <f t="shared" si="113"/>
        <v>7</v>
      </c>
      <c r="D1094" s="130" t="str">
        <f t="shared" si="114"/>
        <v>2</v>
      </c>
      <c r="E1094" s="130" t="str">
        <f t="shared" si="115"/>
        <v>8</v>
      </c>
      <c r="F1094" s="130" t="str">
        <f t="shared" si="116"/>
        <v>02</v>
      </c>
      <c r="G1094" s="130" t="str">
        <f t="shared" si="117"/>
        <v>1</v>
      </c>
      <c r="H1094" s="130" t="str">
        <f t="shared" si="118"/>
        <v>0</v>
      </c>
      <c r="I1094" s="129">
        <v>17280210</v>
      </c>
      <c r="J1094" s="130" t="s">
        <v>1242</v>
      </c>
      <c r="K1094" s="130" t="s">
        <v>1298</v>
      </c>
      <c r="L1094" s="116"/>
      <c r="M1094" s="130"/>
      <c r="N1094" s="130"/>
      <c r="O1094" s="130" t="s">
        <v>2878</v>
      </c>
      <c r="P1094" s="152" t="s">
        <v>2880</v>
      </c>
    </row>
    <row r="1095" spans="2:16" s="153" customFormat="1" ht="30" x14ac:dyDescent="0.25">
      <c r="B1095" s="93" t="str">
        <f t="shared" si="112"/>
        <v>1</v>
      </c>
      <c r="C1095" s="93" t="str">
        <f t="shared" si="113"/>
        <v>7</v>
      </c>
      <c r="D1095" s="93" t="str">
        <f t="shared" si="114"/>
        <v>2</v>
      </c>
      <c r="E1095" s="93" t="str">
        <f t="shared" si="115"/>
        <v>8</v>
      </c>
      <c r="F1095" s="93" t="str">
        <f t="shared" si="116"/>
        <v>02</v>
      </c>
      <c r="G1095" s="93" t="str">
        <f t="shared" si="117"/>
        <v>1</v>
      </c>
      <c r="H1095" s="93" t="str">
        <f t="shared" si="118"/>
        <v>1</v>
      </c>
      <c r="I1095" s="135">
        <v>17280211</v>
      </c>
      <c r="J1095" s="93" t="s">
        <v>4801</v>
      </c>
      <c r="K1095" s="93" t="s">
        <v>1298</v>
      </c>
      <c r="L1095" s="84"/>
      <c r="M1095" s="93"/>
      <c r="N1095" s="93"/>
      <c r="O1095" s="93"/>
      <c r="P1095" s="154" t="s">
        <v>2890</v>
      </c>
    </row>
    <row r="1096" spans="2:16" s="153" customFormat="1" ht="30" x14ac:dyDescent="0.25">
      <c r="B1096" s="130" t="str">
        <f t="shared" si="112"/>
        <v>1</v>
      </c>
      <c r="C1096" s="130" t="str">
        <f t="shared" si="113"/>
        <v>7</v>
      </c>
      <c r="D1096" s="130" t="str">
        <f t="shared" si="114"/>
        <v>2</v>
      </c>
      <c r="E1096" s="130" t="str">
        <f t="shared" si="115"/>
        <v>8</v>
      </c>
      <c r="F1096" s="130" t="str">
        <f t="shared" si="116"/>
        <v>02</v>
      </c>
      <c r="G1096" s="130" t="str">
        <f t="shared" si="117"/>
        <v>2</v>
      </c>
      <c r="H1096" s="130" t="str">
        <f t="shared" si="118"/>
        <v>0</v>
      </c>
      <c r="I1096" s="129">
        <v>17280220</v>
      </c>
      <c r="J1096" s="130" t="s">
        <v>1244</v>
      </c>
      <c r="K1096" s="130" t="s">
        <v>1299</v>
      </c>
      <c r="L1096" s="116"/>
      <c r="M1096" s="130"/>
      <c r="N1096" s="130"/>
      <c r="O1096" s="130" t="s">
        <v>2878</v>
      </c>
      <c r="P1096" s="152" t="s">
        <v>2880</v>
      </c>
    </row>
    <row r="1097" spans="2:16" s="153" customFormat="1" ht="30" x14ac:dyDescent="0.25">
      <c r="B1097" s="93" t="str">
        <f t="shared" si="112"/>
        <v>1</v>
      </c>
      <c r="C1097" s="93" t="str">
        <f t="shared" si="113"/>
        <v>7</v>
      </c>
      <c r="D1097" s="93" t="str">
        <f t="shared" si="114"/>
        <v>2</v>
      </c>
      <c r="E1097" s="93" t="str">
        <f t="shared" si="115"/>
        <v>8</v>
      </c>
      <c r="F1097" s="93" t="str">
        <f t="shared" si="116"/>
        <v>02</v>
      </c>
      <c r="G1097" s="93" t="str">
        <f t="shared" si="117"/>
        <v>2</v>
      </c>
      <c r="H1097" s="93" t="str">
        <f t="shared" si="118"/>
        <v>1</v>
      </c>
      <c r="I1097" s="135">
        <v>17280221</v>
      </c>
      <c r="J1097" s="93" t="s">
        <v>4802</v>
      </c>
      <c r="K1097" s="93" t="s">
        <v>1299</v>
      </c>
      <c r="L1097" s="84"/>
      <c r="M1097" s="93"/>
      <c r="N1097" s="93"/>
      <c r="O1097" s="93"/>
      <c r="P1097" s="154" t="s">
        <v>2890</v>
      </c>
    </row>
    <row r="1098" spans="2:16" s="153" customFormat="1" ht="30" x14ac:dyDescent="0.25">
      <c r="B1098" s="130" t="str">
        <f t="shared" si="112"/>
        <v>1</v>
      </c>
      <c r="C1098" s="130" t="str">
        <f t="shared" si="113"/>
        <v>7</v>
      </c>
      <c r="D1098" s="130" t="str">
        <f t="shared" si="114"/>
        <v>2</v>
      </c>
      <c r="E1098" s="130" t="str">
        <f t="shared" si="115"/>
        <v>8</v>
      </c>
      <c r="F1098" s="130" t="str">
        <f t="shared" si="116"/>
        <v>02</v>
      </c>
      <c r="G1098" s="130" t="str">
        <f t="shared" si="117"/>
        <v>3</v>
      </c>
      <c r="H1098" s="130" t="str">
        <f t="shared" si="118"/>
        <v>0</v>
      </c>
      <c r="I1098" s="129">
        <v>17280230</v>
      </c>
      <c r="J1098" s="130" t="s">
        <v>1300</v>
      </c>
      <c r="K1098" s="130" t="s">
        <v>1301</v>
      </c>
      <c r="L1098" s="116"/>
      <c r="M1098" s="130"/>
      <c r="N1098" s="130"/>
      <c r="O1098" s="130" t="s">
        <v>2878</v>
      </c>
      <c r="P1098" s="152" t="s">
        <v>2880</v>
      </c>
    </row>
    <row r="1099" spans="2:16" s="153" customFormat="1" ht="30" x14ac:dyDescent="0.25">
      <c r="B1099" s="93" t="str">
        <f t="shared" si="112"/>
        <v>1</v>
      </c>
      <c r="C1099" s="93" t="str">
        <f t="shared" si="113"/>
        <v>7</v>
      </c>
      <c r="D1099" s="93" t="str">
        <f t="shared" si="114"/>
        <v>2</v>
      </c>
      <c r="E1099" s="93" t="str">
        <f t="shared" si="115"/>
        <v>8</v>
      </c>
      <c r="F1099" s="93" t="str">
        <f t="shared" si="116"/>
        <v>02</v>
      </c>
      <c r="G1099" s="93" t="str">
        <f t="shared" si="117"/>
        <v>3</v>
      </c>
      <c r="H1099" s="93" t="str">
        <f t="shared" si="118"/>
        <v>1</v>
      </c>
      <c r="I1099" s="135">
        <v>17280231</v>
      </c>
      <c r="J1099" s="93" t="s">
        <v>4829</v>
      </c>
      <c r="K1099" s="93" t="s">
        <v>1301</v>
      </c>
      <c r="L1099" s="84"/>
      <c r="M1099" s="93"/>
      <c r="N1099" s="93"/>
      <c r="O1099" s="93"/>
      <c r="P1099" s="154" t="s">
        <v>2890</v>
      </c>
    </row>
    <row r="1100" spans="2:16" s="153" customFormat="1" ht="30" x14ac:dyDescent="0.25">
      <c r="B1100" s="130" t="str">
        <f t="shared" si="112"/>
        <v>1</v>
      </c>
      <c r="C1100" s="130" t="str">
        <f t="shared" si="113"/>
        <v>7</v>
      </c>
      <c r="D1100" s="130" t="str">
        <f t="shared" si="114"/>
        <v>2</v>
      </c>
      <c r="E1100" s="130" t="str">
        <f t="shared" si="115"/>
        <v>8</v>
      </c>
      <c r="F1100" s="130" t="str">
        <f t="shared" si="116"/>
        <v>02</v>
      </c>
      <c r="G1100" s="130" t="str">
        <f t="shared" si="117"/>
        <v>9</v>
      </c>
      <c r="H1100" s="130" t="str">
        <f t="shared" si="118"/>
        <v>0</v>
      </c>
      <c r="I1100" s="129">
        <v>17280290</v>
      </c>
      <c r="J1100" s="130" t="s">
        <v>1302</v>
      </c>
      <c r="K1100" s="130" t="s">
        <v>1303</v>
      </c>
      <c r="L1100" s="116"/>
      <c r="M1100" s="130"/>
      <c r="N1100" s="130"/>
      <c r="O1100" s="130" t="s">
        <v>2878</v>
      </c>
      <c r="P1100" s="152" t="s">
        <v>2880</v>
      </c>
    </row>
    <row r="1101" spans="2:16" s="153" customFormat="1" ht="30" x14ac:dyDescent="0.25">
      <c r="B1101" s="93" t="str">
        <f t="shared" si="112"/>
        <v>1</v>
      </c>
      <c r="C1101" s="93" t="str">
        <f t="shared" si="113"/>
        <v>7</v>
      </c>
      <c r="D1101" s="93" t="str">
        <f t="shared" si="114"/>
        <v>2</v>
      </c>
      <c r="E1101" s="93" t="str">
        <f t="shared" si="115"/>
        <v>8</v>
      </c>
      <c r="F1101" s="93" t="str">
        <f t="shared" si="116"/>
        <v>02</v>
      </c>
      <c r="G1101" s="93" t="str">
        <f t="shared" si="117"/>
        <v>9</v>
      </c>
      <c r="H1101" s="93" t="str">
        <f t="shared" si="118"/>
        <v>1</v>
      </c>
      <c r="I1101" s="135">
        <v>17280291</v>
      </c>
      <c r="J1101" s="93" t="s">
        <v>4830</v>
      </c>
      <c r="K1101" s="93" t="s">
        <v>1303</v>
      </c>
      <c r="L1101" s="84"/>
      <c r="M1101" s="93"/>
      <c r="N1101" s="93"/>
      <c r="O1101" s="93"/>
      <c r="P1101" s="154" t="s">
        <v>2890</v>
      </c>
    </row>
    <row r="1102" spans="2:16" s="153" customFormat="1" ht="90" x14ac:dyDescent="0.25">
      <c r="B1102" s="113" t="str">
        <f t="shared" si="112"/>
        <v>1</v>
      </c>
      <c r="C1102" s="113" t="str">
        <f t="shared" si="113"/>
        <v>7</v>
      </c>
      <c r="D1102" s="113" t="str">
        <f t="shared" si="114"/>
        <v>2</v>
      </c>
      <c r="E1102" s="113" t="str">
        <f t="shared" si="115"/>
        <v>8</v>
      </c>
      <c r="F1102" s="113" t="str">
        <f t="shared" si="116"/>
        <v>03</v>
      </c>
      <c r="G1102" s="113" t="str">
        <f t="shared" si="117"/>
        <v>0</v>
      </c>
      <c r="H1102" s="113" t="str">
        <f t="shared" si="118"/>
        <v>0</v>
      </c>
      <c r="I1102" s="112">
        <v>17280300</v>
      </c>
      <c r="J1102" s="113" t="s">
        <v>1304</v>
      </c>
      <c r="K1102" s="113" t="s">
        <v>1305</v>
      </c>
      <c r="L1102" s="110"/>
      <c r="M1102" s="113"/>
      <c r="N1102" s="113"/>
      <c r="O1102" s="113" t="s">
        <v>2878</v>
      </c>
      <c r="P1102" s="163" t="s">
        <v>2880</v>
      </c>
    </row>
    <row r="1103" spans="2:16" s="153" customFormat="1" ht="90" x14ac:dyDescent="0.25">
      <c r="B1103" s="130" t="str">
        <f t="shared" si="112"/>
        <v>1</v>
      </c>
      <c r="C1103" s="130" t="str">
        <f t="shared" si="113"/>
        <v>7</v>
      </c>
      <c r="D1103" s="130" t="str">
        <f t="shared" si="114"/>
        <v>2</v>
      </c>
      <c r="E1103" s="130" t="str">
        <f t="shared" si="115"/>
        <v>8</v>
      </c>
      <c r="F1103" s="130" t="str">
        <f t="shared" si="116"/>
        <v>03</v>
      </c>
      <c r="G1103" s="130" t="str">
        <f t="shared" si="117"/>
        <v>1</v>
      </c>
      <c r="H1103" s="130" t="str">
        <f t="shared" si="118"/>
        <v>0</v>
      </c>
      <c r="I1103" s="129">
        <v>17280310</v>
      </c>
      <c r="J1103" s="130" t="s">
        <v>1304</v>
      </c>
      <c r="K1103" s="130" t="s">
        <v>1305</v>
      </c>
      <c r="L1103" s="116"/>
      <c r="M1103" s="130"/>
      <c r="N1103" s="130"/>
      <c r="O1103" s="130" t="s">
        <v>2878</v>
      </c>
      <c r="P1103" s="152" t="s">
        <v>2880</v>
      </c>
    </row>
    <row r="1104" spans="2:16" s="153" customFormat="1" ht="90" x14ac:dyDescent="0.25">
      <c r="B1104" s="93" t="str">
        <f t="shared" si="112"/>
        <v>1</v>
      </c>
      <c r="C1104" s="93" t="str">
        <f t="shared" si="113"/>
        <v>7</v>
      </c>
      <c r="D1104" s="93" t="str">
        <f t="shared" si="114"/>
        <v>2</v>
      </c>
      <c r="E1104" s="93" t="str">
        <f t="shared" si="115"/>
        <v>8</v>
      </c>
      <c r="F1104" s="93" t="str">
        <f t="shared" si="116"/>
        <v>03</v>
      </c>
      <c r="G1104" s="93" t="str">
        <f t="shared" si="117"/>
        <v>1</v>
      </c>
      <c r="H1104" s="93" t="str">
        <f t="shared" si="118"/>
        <v>1</v>
      </c>
      <c r="I1104" s="135">
        <v>17280311</v>
      </c>
      <c r="J1104" s="93" t="s">
        <v>4831</v>
      </c>
      <c r="K1104" s="93" t="s">
        <v>1305</v>
      </c>
      <c r="L1104" s="84"/>
      <c r="M1104" s="93"/>
      <c r="N1104" s="93"/>
      <c r="O1104" s="93"/>
      <c r="P1104" s="154" t="s">
        <v>2890</v>
      </c>
    </row>
    <row r="1105" spans="2:16" s="153" customFormat="1" ht="30" x14ac:dyDescent="0.25">
      <c r="B1105" s="113" t="str">
        <f t="shared" si="112"/>
        <v>1</v>
      </c>
      <c r="C1105" s="113" t="str">
        <f t="shared" si="113"/>
        <v>7</v>
      </c>
      <c r="D1105" s="113" t="str">
        <f t="shared" si="114"/>
        <v>2</v>
      </c>
      <c r="E1105" s="113" t="str">
        <f t="shared" si="115"/>
        <v>8</v>
      </c>
      <c r="F1105" s="113" t="str">
        <f t="shared" si="116"/>
        <v>04</v>
      </c>
      <c r="G1105" s="113" t="str">
        <f t="shared" si="117"/>
        <v>0</v>
      </c>
      <c r="H1105" s="113" t="str">
        <f t="shared" si="118"/>
        <v>0</v>
      </c>
      <c r="I1105" s="112">
        <v>17280400</v>
      </c>
      <c r="J1105" s="113" t="s">
        <v>1307</v>
      </c>
      <c r="K1105" s="113" t="s">
        <v>1306</v>
      </c>
      <c r="L1105" s="110"/>
      <c r="M1105" s="113"/>
      <c r="N1105" s="113"/>
      <c r="O1105" s="113" t="s">
        <v>2878</v>
      </c>
      <c r="P1105" s="163" t="s">
        <v>2880</v>
      </c>
    </row>
    <row r="1106" spans="2:16" s="153" customFormat="1" ht="30" x14ac:dyDescent="0.25">
      <c r="B1106" s="130" t="str">
        <f t="shared" si="112"/>
        <v>1</v>
      </c>
      <c r="C1106" s="130" t="str">
        <f t="shared" si="113"/>
        <v>7</v>
      </c>
      <c r="D1106" s="130" t="str">
        <f t="shared" si="114"/>
        <v>2</v>
      </c>
      <c r="E1106" s="130" t="str">
        <f t="shared" si="115"/>
        <v>8</v>
      </c>
      <c r="F1106" s="130" t="str">
        <f t="shared" si="116"/>
        <v>04</v>
      </c>
      <c r="G1106" s="130" t="str">
        <f t="shared" si="117"/>
        <v>1</v>
      </c>
      <c r="H1106" s="130" t="str">
        <f t="shared" si="118"/>
        <v>0</v>
      </c>
      <c r="I1106" s="129">
        <v>17280410</v>
      </c>
      <c r="J1106" s="130" t="s">
        <v>1307</v>
      </c>
      <c r="K1106" s="130" t="s">
        <v>1306</v>
      </c>
      <c r="L1106" s="116"/>
      <c r="M1106" s="130"/>
      <c r="N1106" s="130"/>
      <c r="O1106" s="130" t="s">
        <v>2878</v>
      </c>
      <c r="P1106" s="152" t="s">
        <v>2880</v>
      </c>
    </row>
    <row r="1107" spans="2:16" s="153" customFormat="1" ht="30" x14ac:dyDescent="0.25">
      <c r="B1107" s="93" t="str">
        <f t="shared" si="112"/>
        <v>1</v>
      </c>
      <c r="C1107" s="93" t="str">
        <f t="shared" si="113"/>
        <v>7</v>
      </c>
      <c r="D1107" s="93" t="str">
        <f t="shared" si="114"/>
        <v>2</v>
      </c>
      <c r="E1107" s="93" t="str">
        <f t="shared" si="115"/>
        <v>8</v>
      </c>
      <c r="F1107" s="93" t="str">
        <f t="shared" si="116"/>
        <v>04</v>
      </c>
      <c r="G1107" s="93" t="str">
        <f t="shared" si="117"/>
        <v>1</v>
      </c>
      <c r="H1107" s="93" t="str">
        <f t="shared" si="118"/>
        <v>1</v>
      </c>
      <c r="I1107" s="135">
        <v>17280411</v>
      </c>
      <c r="J1107" s="93" t="s">
        <v>4832</v>
      </c>
      <c r="K1107" s="93" t="s">
        <v>1306</v>
      </c>
      <c r="L1107" s="84"/>
      <c r="M1107" s="93"/>
      <c r="N1107" s="93"/>
      <c r="O1107" s="93"/>
      <c r="P1107" s="154" t="s">
        <v>2890</v>
      </c>
    </row>
    <row r="1108" spans="2:16" s="153" customFormat="1" ht="30" x14ac:dyDescent="0.25">
      <c r="B1108" s="113" t="str">
        <f t="shared" si="112"/>
        <v>1</v>
      </c>
      <c r="C1108" s="113" t="str">
        <f t="shared" si="113"/>
        <v>7</v>
      </c>
      <c r="D1108" s="113" t="str">
        <f t="shared" si="114"/>
        <v>2</v>
      </c>
      <c r="E1108" s="113" t="str">
        <f t="shared" si="115"/>
        <v>8</v>
      </c>
      <c r="F1108" s="113" t="str">
        <f t="shared" si="116"/>
        <v>07</v>
      </c>
      <c r="G1108" s="113" t="str">
        <f t="shared" si="117"/>
        <v>0</v>
      </c>
      <c r="H1108" s="113" t="str">
        <f t="shared" si="118"/>
        <v>0</v>
      </c>
      <c r="I1108" s="112">
        <v>17280700</v>
      </c>
      <c r="J1108" s="113" t="s">
        <v>5114</v>
      </c>
      <c r="K1108" s="113" t="s">
        <v>5115</v>
      </c>
      <c r="L1108" s="110"/>
      <c r="M1108" s="113"/>
      <c r="N1108" s="113"/>
      <c r="O1108" s="113" t="s">
        <v>2878</v>
      </c>
      <c r="P1108" s="163" t="s">
        <v>2880</v>
      </c>
    </row>
    <row r="1109" spans="2:16" s="153" customFormat="1" ht="30" x14ac:dyDescent="0.25">
      <c r="B1109" s="130" t="str">
        <f t="shared" si="112"/>
        <v>1</v>
      </c>
      <c r="C1109" s="130" t="str">
        <f t="shared" si="113"/>
        <v>7</v>
      </c>
      <c r="D1109" s="130" t="str">
        <f t="shared" si="114"/>
        <v>2</v>
      </c>
      <c r="E1109" s="130" t="str">
        <f t="shared" si="115"/>
        <v>8</v>
      </c>
      <c r="F1109" s="130" t="str">
        <f t="shared" si="116"/>
        <v>07</v>
      </c>
      <c r="G1109" s="130" t="str">
        <f t="shared" si="117"/>
        <v>1</v>
      </c>
      <c r="H1109" s="130" t="str">
        <f t="shared" si="118"/>
        <v>0</v>
      </c>
      <c r="I1109" s="129">
        <v>17280710</v>
      </c>
      <c r="J1109" s="130" t="s">
        <v>5114</v>
      </c>
      <c r="K1109" s="130" t="s">
        <v>5115</v>
      </c>
      <c r="L1109" s="116"/>
      <c r="M1109" s="130"/>
      <c r="N1109" s="130"/>
      <c r="O1109" s="130" t="s">
        <v>2878</v>
      </c>
      <c r="P1109" s="152" t="s">
        <v>2880</v>
      </c>
    </row>
    <row r="1110" spans="2:16" s="153" customFormat="1" ht="30" x14ac:dyDescent="0.25">
      <c r="B1110" s="93" t="str">
        <f t="shared" si="112"/>
        <v>1</v>
      </c>
      <c r="C1110" s="93" t="str">
        <f t="shared" si="113"/>
        <v>7</v>
      </c>
      <c r="D1110" s="93" t="str">
        <f t="shared" si="114"/>
        <v>2</v>
      </c>
      <c r="E1110" s="93" t="str">
        <f t="shared" si="115"/>
        <v>8</v>
      </c>
      <c r="F1110" s="93" t="str">
        <f t="shared" si="116"/>
        <v>07</v>
      </c>
      <c r="G1110" s="93" t="str">
        <f t="shared" si="117"/>
        <v>1</v>
      </c>
      <c r="H1110" s="93" t="str">
        <f t="shared" si="118"/>
        <v>1</v>
      </c>
      <c r="I1110" s="135">
        <v>17280711</v>
      </c>
      <c r="J1110" s="93" t="s">
        <v>5116</v>
      </c>
      <c r="K1110" s="93" t="s">
        <v>5115</v>
      </c>
      <c r="L1110" s="84"/>
      <c r="M1110" s="93"/>
      <c r="N1110" s="93"/>
      <c r="O1110" s="93"/>
      <c r="P1110" s="154" t="s">
        <v>2890</v>
      </c>
    </row>
    <row r="1111" spans="2:16" s="153" customFormat="1" ht="60" x14ac:dyDescent="0.25">
      <c r="B1111" s="113" t="str">
        <f t="shared" si="112"/>
        <v>1</v>
      </c>
      <c r="C1111" s="113" t="str">
        <f t="shared" si="113"/>
        <v>7</v>
      </c>
      <c r="D1111" s="113" t="str">
        <f t="shared" si="114"/>
        <v>2</v>
      </c>
      <c r="E1111" s="113" t="str">
        <f t="shared" si="115"/>
        <v>8</v>
      </c>
      <c r="F1111" s="113" t="str">
        <f t="shared" si="116"/>
        <v>10</v>
      </c>
      <c r="G1111" s="113" t="str">
        <f t="shared" si="117"/>
        <v>0</v>
      </c>
      <c r="H1111" s="113" t="str">
        <f t="shared" si="118"/>
        <v>0</v>
      </c>
      <c r="I1111" s="112">
        <v>17281000</v>
      </c>
      <c r="J1111" s="113" t="s">
        <v>1348</v>
      </c>
      <c r="K1111" s="113" t="s">
        <v>1349</v>
      </c>
      <c r="L1111" s="110"/>
      <c r="M1111" s="113"/>
      <c r="N1111" s="113"/>
      <c r="O1111" s="113" t="s">
        <v>2878</v>
      </c>
      <c r="P1111" s="163" t="s">
        <v>2880</v>
      </c>
    </row>
    <row r="1112" spans="2:16" s="153" customFormat="1" ht="60" x14ac:dyDescent="0.25">
      <c r="B1112" s="130" t="str">
        <f t="shared" si="112"/>
        <v>1</v>
      </c>
      <c r="C1112" s="130" t="str">
        <f t="shared" si="113"/>
        <v>7</v>
      </c>
      <c r="D1112" s="130" t="str">
        <f t="shared" si="114"/>
        <v>2</v>
      </c>
      <c r="E1112" s="130" t="str">
        <f t="shared" si="115"/>
        <v>8</v>
      </c>
      <c r="F1112" s="130" t="str">
        <f t="shared" si="116"/>
        <v>10</v>
      </c>
      <c r="G1112" s="130" t="str">
        <f t="shared" si="117"/>
        <v>1</v>
      </c>
      <c r="H1112" s="130" t="str">
        <f t="shared" si="118"/>
        <v>0</v>
      </c>
      <c r="I1112" s="129">
        <v>17281010</v>
      </c>
      <c r="J1112" s="130" t="s">
        <v>1350</v>
      </c>
      <c r="K1112" s="130" t="s">
        <v>1351</v>
      </c>
      <c r="L1112" s="116"/>
      <c r="M1112" s="130"/>
      <c r="N1112" s="130"/>
      <c r="O1112" s="130" t="s">
        <v>2878</v>
      </c>
      <c r="P1112" s="152" t="s">
        <v>2880</v>
      </c>
    </row>
    <row r="1113" spans="2:16" s="153" customFormat="1" ht="60" x14ac:dyDescent="0.25">
      <c r="B1113" s="93" t="str">
        <f t="shared" si="112"/>
        <v>1</v>
      </c>
      <c r="C1113" s="93" t="str">
        <f t="shared" si="113"/>
        <v>7</v>
      </c>
      <c r="D1113" s="93" t="str">
        <f t="shared" si="114"/>
        <v>2</v>
      </c>
      <c r="E1113" s="93" t="str">
        <f t="shared" si="115"/>
        <v>8</v>
      </c>
      <c r="F1113" s="93" t="str">
        <f t="shared" si="116"/>
        <v>10</v>
      </c>
      <c r="G1113" s="93" t="str">
        <f t="shared" si="117"/>
        <v>1</v>
      </c>
      <c r="H1113" s="93" t="str">
        <f t="shared" si="118"/>
        <v>1</v>
      </c>
      <c r="I1113" s="135">
        <v>17281011</v>
      </c>
      <c r="J1113" s="93" t="s">
        <v>4833</v>
      </c>
      <c r="K1113" s="93" t="s">
        <v>1351</v>
      </c>
      <c r="L1113" s="84"/>
      <c r="M1113" s="93"/>
      <c r="N1113" s="93"/>
      <c r="O1113" s="93"/>
      <c r="P1113" s="154" t="s">
        <v>2890</v>
      </c>
    </row>
    <row r="1114" spans="2:16" s="153" customFormat="1" ht="60" x14ac:dyDescent="0.25">
      <c r="B1114" s="130" t="str">
        <f t="shared" si="112"/>
        <v>1</v>
      </c>
      <c r="C1114" s="130" t="str">
        <f t="shared" si="113"/>
        <v>7</v>
      </c>
      <c r="D1114" s="130" t="str">
        <f t="shared" si="114"/>
        <v>2</v>
      </c>
      <c r="E1114" s="130" t="str">
        <f t="shared" si="115"/>
        <v>8</v>
      </c>
      <c r="F1114" s="130" t="str">
        <f t="shared" si="116"/>
        <v>10</v>
      </c>
      <c r="G1114" s="130" t="str">
        <f t="shared" si="117"/>
        <v>2</v>
      </c>
      <c r="H1114" s="130" t="str">
        <f t="shared" si="118"/>
        <v>0</v>
      </c>
      <c r="I1114" s="129">
        <v>17281020</v>
      </c>
      <c r="J1114" s="130" t="s">
        <v>1352</v>
      </c>
      <c r="K1114" s="130" t="s">
        <v>1353</v>
      </c>
      <c r="L1114" s="116"/>
      <c r="M1114" s="130"/>
      <c r="N1114" s="130"/>
      <c r="O1114" s="130" t="s">
        <v>2878</v>
      </c>
      <c r="P1114" s="152" t="s">
        <v>2880</v>
      </c>
    </row>
    <row r="1115" spans="2:16" s="153" customFormat="1" ht="60" x14ac:dyDescent="0.25">
      <c r="B1115" s="93" t="str">
        <f t="shared" si="112"/>
        <v>1</v>
      </c>
      <c r="C1115" s="93" t="str">
        <f t="shared" si="113"/>
        <v>7</v>
      </c>
      <c r="D1115" s="93" t="str">
        <f t="shared" si="114"/>
        <v>2</v>
      </c>
      <c r="E1115" s="93" t="str">
        <f t="shared" si="115"/>
        <v>8</v>
      </c>
      <c r="F1115" s="93" t="str">
        <f t="shared" si="116"/>
        <v>10</v>
      </c>
      <c r="G1115" s="93" t="str">
        <f t="shared" si="117"/>
        <v>2</v>
      </c>
      <c r="H1115" s="93" t="str">
        <f t="shared" si="118"/>
        <v>1</v>
      </c>
      <c r="I1115" s="135">
        <v>17281021</v>
      </c>
      <c r="J1115" s="93" t="s">
        <v>4834</v>
      </c>
      <c r="K1115" s="93" t="s">
        <v>1353</v>
      </c>
      <c r="L1115" s="84"/>
      <c r="M1115" s="93"/>
      <c r="N1115" s="93"/>
      <c r="O1115" s="93"/>
      <c r="P1115" s="154" t="s">
        <v>2890</v>
      </c>
    </row>
    <row r="1116" spans="2:16" s="153" customFormat="1" ht="75" x14ac:dyDescent="0.25">
      <c r="B1116" s="130" t="str">
        <f t="shared" si="112"/>
        <v>1</v>
      </c>
      <c r="C1116" s="130" t="str">
        <f t="shared" si="113"/>
        <v>7</v>
      </c>
      <c r="D1116" s="130" t="str">
        <f t="shared" si="114"/>
        <v>2</v>
      </c>
      <c r="E1116" s="130" t="str">
        <f t="shared" si="115"/>
        <v>8</v>
      </c>
      <c r="F1116" s="130" t="str">
        <f t="shared" si="116"/>
        <v>10</v>
      </c>
      <c r="G1116" s="130" t="str">
        <f t="shared" si="117"/>
        <v>9</v>
      </c>
      <c r="H1116" s="130" t="str">
        <f t="shared" si="118"/>
        <v>0</v>
      </c>
      <c r="I1116" s="129">
        <v>17281090</v>
      </c>
      <c r="J1116" s="130" t="s">
        <v>1354</v>
      </c>
      <c r="K1116" s="130" t="s">
        <v>1355</v>
      </c>
      <c r="L1116" s="116"/>
      <c r="M1116" s="130"/>
      <c r="N1116" s="130"/>
      <c r="O1116" s="130" t="s">
        <v>2878</v>
      </c>
      <c r="P1116" s="152" t="s">
        <v>2880</v>
      </c>
    </row>
    <row r="1117" spans="2:16" s="153" customFormat="1" ht="75" x14ac:dyDescent="0.25">
      <c r="B1117" s="93" t="str">
        <f t="shared" si="112"/>
        <v>1</v>
      </c>
      <c r="C1117" s="93" t="str">
        <f t="shared" si="113"/>
        <v>7</v>
      </c>
      <c r="D1117" s="93" t="str">
        <f t="shared" si="114"/>
        <v>2</v>
      </c>
      <c r="E1117" s="93" t="str">
        <f t="shared" si="115"/>
        <v>8</v>
      </c>
      <c r="F1117" s="93" t="str">
        <f t="shared" si="116"/>
        <v>10</v>
      </c>
      <c r="G1117" s="93" t="str">
        <f t="shared" si="117"/>
        <v>9</v>
      </c>
      <c r="H1117" s="93" t="str">
        <f t="shared" si="118"/>
        <v>1</v>
      </c>
      <c r="I1117" s="135">
        <v>17281091</v>
      </c>
      <c r="J1117" s="93" t="s">
        <v>4835</v>
      </c>
      <c r="K1117" s="93" t="s">
        <v>1355</v>
      </c>
      <c r="L1117" s="84"/>
      <c r="M1117" s="93"/>
      <c r="N1117" s="93"/>
      <c r="O1117" s="93"/>
      <c r="P1117" s="154" t="s">
        <v>2890</v>
      </c>
    </row>
    <row r="1118" spans="2:16" s="153" customFormat="1" ht="45" x14ac:dyDescent="0.25">
      <c r="B1118" s="113" t="str">
        <f t="shared" si="112"/>
        <v>1</v>
      </c>
      <c r="C1118" s="113" t="str">
        <f t="shared" si="113"/>
        <v>7</v>
      </c>
      <c r="D1118" s="113" t="str">
        <f t="shared" si="114"/>
        <v>2</v>
      </c>
      <c r="E1118" s="113" t="str">
        <f t="shared" si="115"/>
        <v>8</v>
      </c>
      <c r="F1118" s="113" t="str">
        <f t="shared" si="116"/>
        <v>99</v>
      </c>
      <c r="G1118" s="113" t="str">
        <f t="shared" si="117"/>
        <v>0</v>
      </c>
      <c r="H1118" s="113" t="str">
        <f t="shared" si="118"/>
        <v>0</v>
      </c>
      <c r="I1118" s="112">
        <v>17289900</v>
      </c>
      <c r="J1118" s="113" t="s">
        <v>1294</v>
      </c>
      <c r="K1118" s="113" t="s">
        <v>1308</v>
      </c>
      <c r="L1118" s="110"/>
      <c r="M1118" s="113"/>
      <c r="N1118" s="113"/>
      <c r="O1118" s="113" t="s">
        <v>2878</v>
      </c>
      <c r="P1118" s="163" t="s">
        <v>2880</v>
      </c>
    </row>
    <row r="1119" spans="2:16" s="153" customFormat="1" ht="45" x14ac:dyDescent="0.25">
      <c r="B1119" s="130" t="str">
        <f t="shared" si="112"/>
        <v>1</v>
      </c>
      <c r="C1119" s="130" t="str">
        <f t="shared" si="113"/>
        <v>7</v>
      </c>
      <c r="D1119" s="130" t="str">
        <f t="shared" si="114"/>
        <v>2</v>
      </c>
      <c r="E1119" s="130" t="str">
        <f t="shared" si="115"/>
        <v>8</v>
      </c>
      <c r="F1119" s="130" t="str">
        <f t="shared" si="116"/>
        <v>99</v>
      </c>
      <c r="G1119" s="130" t="str">
        <f t="shared" si="117"/>
        <v>1</v>
      </c>
      <c r="H1119" s="130" t="str">
        <f t="shared" si="118"/>
        <v>0</v>
      </c>
      <c r="I1119" s="129">
        <v>17289910</v>
      </c>
      <c r="J1119" s="130" t="s">
        <v>1294</v>
      </c>
      <c r="K1119" s="130" t="s">
        <v>1308</v>
      </c>
      <c r="L1119" s="116"/>
      <c r="M1119" s="130"/>
      <c r="N1119" s="130"/>
      <c r="O1119" s="130" t="s">
        <v>2878</v>
      </c>
      <c r="P1119" s="152" t="s">
        <v>2880</v>
      </c>
    </row>
    <row r="1120" spans="2:16" s="153" customFormat="1" ht="45" x14ac:dyDescent="0.25">
      <c r="B1120" s="93" t="str">
        <f t="shared" si="112"/>
        <v>1</v>
      </c>
      <c r="C1120" s="93" t="str">
        <f t="shared" si="113"/>
        <v>7</v>
      </c>
      <c r="D1120" s="93" t="str">
        <f t="shared" si="114"/>
        <v>2</v>
      </c>
      <c r="E1120" s="93" t="str">
        <f t="shared" si="115"/>
        <v>8</v>
      </c>
      <c r="F1120" s="93" t="str">
        <f t="shared" si="116"/>
        <v>99</v>
      </c>
      <c r="G1120" s="93" t="str">
        <f t="shared" si="117"/>
        <v>1</v>
      </c>
      <c r="H1120" s="93" t="str">
        <f t="shared" si="118"/>
        <v>1</v>
      </c>
      <c r="I1120" s="135">
        <v>17289911</v>
      </c>
      <c r="J1120" s="93" t="s">
        <v>4828</v>
      </c>
      <c r="K1120" s="93" t="s">
        <v>1308</v>
      </c>
      <c r="L1120" s="84"/>
      <c r="M1120" s="93"/>
      <c r="N1120" s="93"/>
      <c r="O1120" s="93"/>
      <c r="P1120" s="154" t="s">
        <v>2890</v>
      </c>
    </row>
    <row r="1121" spans="2:16" ht="60" x14ac:dyDescent="0.25">
      <c r="B1121" s="126" t="str">
        <f t="shared" si="112"/>
        <v>1</v>
      </c>
      <c r="C1121" s="126" t="str">
        <f t="shared" si="113"/>
        <v>7</v>
      </c>
      <c r="D1121" s="126" t="str">
        <f t="shared" si="114"/>
        <v>3</v>
      </c>
      <c r="E1121" s="126" t="str">
        <f t="shared" si="115"/>
        <v>0</v>
      </c>
      <c r="F1121" s="126" t="str">
        <f t="shared" si="116"/>
        <v>00</v>
      </c>
      <c r="G1121" s="126" t="str">
        <f t="shared" si="117"/>
        <v>0</v>
      </c>
      <c r="H1121" s="126" t="str">
        <f t="shared" si="118"/>
        <v>0</v>
      </c>
      <c r="I1121" s="127">
        <v>17300000</v>
      </c>
      <c r="J1121" s="126" t="s">
        <v>4200</v>
      </c>
      <c r="K1121" s="126" t="s">
        <v>4201</v>
      </c>
      <c r="L1121" s="122"/>
      <c r="M1121" s="126" t="s">
        <v>2878</v>
      </c>
      <c r="N1121" s="126" t="s">
        <v>5016</v>
      </c>
      <c r="O1121" s="126" t="s">
        <v>2878</v>
      </c>
      <c r="P1121" s="128" t="s">
        <v>2880</v>
      </c>
    </row>
    <row r="1122" spans="2:16" ht="60" x14ac:dyDescent="0.25">
      <c r="B1122" s="114" t="str">
        <f t="shared" si="112"/>
        <v>1</v>
      </c>
      <c r="C1122" s="114" t="str">
        <f t="shared" si="113"/>
        <v>7</v>
      </c>
      <c r="D1122" s="114" t="str">
        <f t="shared" si="114"/>
        <v>3</v>
      </c>
      <c r="E1122" s="114" t="str">
        <f t="shared" si="115"/>
        <v>0</v>
      </c>
      <c r="F1122" s="114" t="str">
        <f t="shared" si="116"/>
        <v>00</v>
      </c>
      <c r="G1122" s="114" t="str">
        <f t="shared" si="117"/>
        <v>1</v>
      </c>
      <c r="H1122" s="114" t="str">
        <f t="shared" si="118"/>
        <v>0</v>
      </c>
      <c r="I1122" s="115">
        <v>17300010</v>
      </c>
      <c r="J1122" s="114" t="s">
        <v>4200</v>
      </c>
      <c r="K1122" s="114" t="s">
        <v>4201</v>
      </c>
      <c r="L1122" s="116"/>
      <c r="M1122" s="114" t="s">
        <v>2878</v>
      </c>
      <c r="N1122" s="114"/>
      <c r="O1122" s="114" t="s">
        <v>2878</v>
      </c>
      <c r="P1122" s="117" t="s">
        <v>2880</v>
      </c>
    </row>
    <row r="1123" spans="2:16" ht="75" x14ac:dyDescent="0.25">
      <c r="B1123" s="85" t="str">
        <f t="shared" si="112"/>
        <v>1</v>
      </c>
      <c r="C1123" s="85" t="str">
        <f t="shared" si="113"/>
        <v>7</v>
      </c>
      <c r="D1123" s="85" t="str">
        <f t="shared" si="114"/>
        <v>3</v>
      </c>
      <c r="E1123" s="85" t="str">
        <f t="shared" si="115"/>
        <v>0</v>
      </c>
      <c r="F1123" s="85" t="str">
        <f t="shared" si="116"/>
        <v>00</v>
      </c>
      <c r="G1123" s="85" t="str">
        <f t="shared" si="117"/>
        <v>1</v>
      </c>
      <c r="H1123" s="85" t="str">
        <f t="shared" si="118"/>
        <v>1</v>
      </c>
      <c r="I1123" s="87">
        <v>17300011</v>
      </c>
      <c r="J1123" s="85" t="s">
        <v>5057</v>
      </c>
      <c r="K1123" s="85" t="s">
        <v>5058</v>
      </c>
      <c r="L1123" s="84"/>
      <c r="M1123" s="85" t="s">
        <v>4024</v>
      </c>
      <c r="N1123" s="85"/>
      <c r="O1123" s="85" t="s">
        <v>4197</v>
      </c>
      <c r="P1123" s="86" t="s">
        <v>2890</v>
      </c>
    </row>
    <row r="1124" spans="2:16" s="153" customFormat="1" ht="60" x14ac:dyDescent="0.25">
      <c r="B1124" s="155" t="str">
        <f t="shared" si="112"/>
        <v>1</v>
      </c>
      <c r="C1124" s="155" t="str">
        <f t="shared" si="113"/>
        <v>7</v>
      </c>
      <c r="D1124" s="155" t="str">
        <f t="shared" si="114"/>
        <v>3</v>
      </c>
      <c r="E1124" s="155" t="str">
        <f t="shared" si="115"/>
        <v>8</v>
      </c>
      <c r="F1124" s="155" t="str">
        <f t="shared" si="116"/>
        <v>00</v>
      </c>
      <c r="G1124" s="155" t="str">
        <f t="shared" si="117"/>
        <v>0</v>
      </c>
      <c r="H1124" s="155" t="str">
        <f t="shared" si="118"/>
        <v>0</v>
      </c>
      <c r="I1124" s="161">
        <v>17380000</v>
      </c>
      <c r="J1124" s="155" t="s">
        <v>5024</v>
      </c>
      <c r="K1124" s="155" t="s">
        <v>5033</v>
      </c>
      <c r="L1124" s="106"/>
      <c r="M1124" s="155" t="s">
        <v>2878</v>
      </c>
      <c r="N1124" s="155"/>
      <c r="O1124" s="155" t="s">
        <v>5018</v>
      </c>
      <c r="P1124" s="162" t="s">
        <v>2880</v>
      </c>
    </row>
    <row r="1125" spans="2:16" s="153" customFormat="1" ht="45" x14ac:dyDescent="0.25">
      <c r="B1125" s="113" t="str">
        <f t="shared" si="112"/>
        <v>1</v>
      </c>
      <c r="C1125" s="113" t="str">
        <f t="shared" si="113"/>
        <v>7</v>
      </c>
      <c r="D1125" s="113" t="str">
        <f t="shared" si="114"/>
        <v>3</v>
      </c>
      <c r="E1125" s="113" t="str">
        <f t="shared" si="115"/>
        <v>8</v>
      </c>
      <c r="F1125" s="113" t="str">
        <f t="shared" si="116"/>
        <v>01</v>
      </c>
      <c r="G1125" s="113" t="str">
        <f t="shared" si="117"/>
        <v>0</v>
      </c>
      <c r="H1125" s="113" t="str">
        <f t="shared" si="118"/>
        <v>0</v>
      </c>
      <c r="I1125" s="112">
        <v>17380100</v>
      </c>
      <c r="J1125" s="113" t="s">
        <v>1311</v>
      </c>
      <c r="K1125" s="113" t="s">
        <v>1312</v>
      </c>
      <c r="L1125" s="110"/>
      <c r="M1125" s="113"/>
      <c r="N1125" s="113"/>
      <c r="O1125" s="113" t="s">
        <v>2878</v>
      </c>
      <c r="P1125" s="163" t="s">
        <v>2880</v>
      </c>
    </row>
    <row r="1126" spans="2:16" s="153" customFormat="1" ht="45" x14ac:dyDescent="0.25">
      <c r="B1126" s="130" t="str">
        <f t="shared" si="112"/>
        <v>1</v>
      </c>
      <c r="C1126" s="130" t="str">
        <f t="shared" si="113"/>
        <v>7</v>
      </c>
      <c r="D1126" s="130" t="str">
        <f t="shared" si="114"/>
        <v>3</v>
      </c>
      <c r="E1126" s="130" t="str">
        <f t="shared" si="115"/>
        <v>8</v>
      </c>
      <c r="F1126" s="130" t="str">
        <f t="shared" si="116"/>
        <v>01</v>
      </c>
      <c r="G1126" s="130" t="str">
        <f t="shared" si="117"/>
        <v>1</v>
      </c>
      <c r="H1126" s="130" t="str">
        <f t="shared" si="118"/>
        <v>0</v>
      </c>
      <c r="I1126" s="129">
        <v>17380110</v>
      </c>
      <c r="J1126" s="130" t="s">
        <v>1311</v>
      </c>
      <c r="K1126" s="130" t="s">
        <v>1312</v>
      </c>
      <c r="L1126" s="116"/>
      <c r="M1126" s="130"/>
      <c r="N1126" s="130"/>
      <c r="O1126" s="130" t="s">
        <v>2878</v>
      </c>
      <c r="P1126" s="152" t="s">
        <v>2880</v>
      </c>
    </row>
    <row r="1127" spans="2:16" s="153" customFormat="1" ht="45" x14ac:dyDescent="0.25">
      <c r="B1127" s="93" t="str">
        <f t="shared" si="112"/>
        <v>1</v>
      </c>
      <c r="C1127" s="93" t="str">
        <f t="shared" si="113"/>
        <v>7</v>
      </c>
      <c r="D1127" s="93" t="str">
        <f t="shared" si="114"/>
        <v>3</v>
      </c>
      <c r="E1127" s="93" t="str">
        <f t="shared" si="115"/>
        <v>8</v>
      </c>
      <c r="F1127" s="93" t="str">
        <f t="shared" si="116"/>
        <v>01</v>
      </c>
      <c r="G1127" s="93" t="str">
        <f t="shared" si="117"/>
        <v>1</v>
      </c>
      <c r="H1127" s="93" t="str">
        <f t="shared" si="118"/>
        <v>1</v>
      </c>
      <c r="I1127" s="135">
        <v>17380111</v>
      </c>
      <c r="J1127" s="93" t="s">
        <v>4836</v>
      </c>
      <c r="K1127" s="93" t="s">
        <v>1312</v>
      </c>
      <c r="L1127" s="84"/>
      <c r="M1127" s="93"/>
      <c r="N1127" s="93"/>
      <c r="O1127" s="93"/>
      <c r="P1127" s="154" t="s">
        <v>2890</v>
      </c>
    </row>
    <row r="1128" spans="2:16" s="153" customFormat="1" ht="30" x14ac:dyDescent="0.25">
      <c r="B1128" s="113" t="str">
        <f t="shared" si="112"/>
        <v>1</v>
      </c>
      <c r="C1128" s="113" t="str">
        <f t="shared" si="113"/>
        <v>7</v>
      </c>
      <c r="D1128" s="113" t="str">
        <f t="shared" si="114"/>
        <v>3</v>
      </c>
      <c r="E1128" s="113" t="str">
        <f t="shared" si="115"/>
        <v>8</v>
      </c>
      <c r="F1128" s="113" t="str">
        <f t="shared" si="116"/>
        <v>02</v>
      </c>
      <c r="G1128" s="113" t="str">
        <f t="shared" si="117"/>
        <v>0</v>
      </c>
      <c r="H1128" s="113" t="str">
        <f t="shared" si="118"/>
        <v>0</v>
      </c>
      <c r="I1128" s="112">
        <v>17380200</v>
      </c>
      <c r="J1128" s="113" t="s">
        <v>1314</v>
      </c>
      <c r="K1128" s="113" t="s">
        <v>1313</v>
      </c>
      <c r="L1128" s="110"/>
      <c r="M1128" s="113"/>
      <c r="N1128" s="113"/>
      <c r="O1128" s="113" t="s">
        <v>2878</v>
      </c>
      <c r="P1128" s="163" t="s">
        <v>2880</v>
      </c>
    </row>
    <row r="1129" spans="2:16" s="153" customFormat="1" ht="30" x14ac:dyDescent="0.25">
      <c r="B1129" s="130" t="str">
        <f t="shared" si="112"/>
        <v>1</v>
      </c>
      <c r="C1129" s="130" t="str">
        <f t="shared" si="113"/>
        <v>7</v>
      </c>
      <c r="D1129" s="130" t="str">
        <f t="shared" si="114"/>
        <v>3</v>
      </c>
      <c r="E1129" s="130" t="str">
        <f t="shared" si="115"/>
        <v>8</v>
      </c>
      <c r="F1129" s="130" t="str">
        <f t="shared" si="116"/>
        <v>02</v>
      </c>
      <c r="G1129" s="130" t="str">
        <f t="shared" si="117"/>
        <v>1</v>
      </c>
      <c r="H1129" s="130" t="str">
        <f t="shared" si="118"/>
        <v>0</v>
      </c>
      <c r="I1129" s="129">
        <v>17380210</v>
      </c>
      <c r="J1129" s="130" t="s">
        <v>1314</v>
      </c>
      <c r="K1129" s="130" t="s">
        <v>1313</v>
      </c>
      <c r="L1129" s="116"/>
      <c r="M1129" s="130"/>
      <c r="N1129" s="130"/>
      <c r="O1129" s="130" t="s">
        <v>2878</v>
      </c>
      <c r="P1129" s="152" t="s">
        <v>2880</v>
      </c>
    </row>
    <row r="1130" spans="2:16" s="153" customFormat="1" ht="30" x14ac:dyDescent="0.25">
      <c r="B1130" s="93" t="str">
        <f t="shared" si="112"/>
        <v>1</v>
      </c>
      <c r="C1130" s="93" t="str">
        <f t="shared" si="113"/>
        <v>7</v>
      </c>
      <c r="D1130" s="93" t="str">
        <f t="shared" si="114"/>
        <v>3</v>
      </c>
      <c r="E1130" s="93" t="str">
        <f t="shared" si="115"/>
        <v>8</v>
      </c>
      <c r="F1130" s="93" t="str">
        <f t="shared" si="116"/>
        <v>02</v>
      </c>
      <c r="G1130" s="93" t="str">
        <f t="shared" si="117"/>
        <v>1</v>
      </c>
      <c r="H1130" s="93" t="str">
        <f t="shared" si="118"/>
        <v>1</v>
      </c>
      <c r="I1130" s="135">
        <v>17380211</v>
      </c>
      <c r="J1130" s="93" t="s">
        <v>4837</v>
      </c>
      <c r="K1130" s="93" t="s">
        <v>1313</v>
      </c>
      <c r="L1130" s="84"/>
      <c r="M1130" s="93"/>
      <c r="N1130" s="93"/>
      <c r="O1130" s="93"/>
      <c r="P1130" s="154" t="s">
        <v>2890</v>
      </c>
    </row>
    <row r="1131" spans="2:16" s="153" customFormat="1" ht="60" x14ac:dyDescent="0.25">
      <c r="B1131" s="113" t="str">
        <f t="shared" si="112"/>
        <v>1</v>
      </c>
      <c r="C1131" s="113" t="str">
        <f t="shared" si="113"/>
        <v>7</v>
      </c>
      <c r="D1131" s="113" t="str">
        <f t="shared" si="114"/>
        <v>3</v>
      </c>
      <c r="E1131" s="113" t="str">
        <f t="shared" si="115"/>
        <v>8</v>
      </c>
      <c r="F1131" s="113" t="str">
        <f t="shared" si="116"/>
        <v>10</v>
      </c>
      <c r="G1131" s="113" t="str">
        <f t="shared" si="117"/>
        <v>0</v>
      </c>
      <c r="H1131" s="113" t="str">
        <f t="shared" si="118"/>
        <v>0</v>
      </c>
      <c r="I1131" s="112">
        <v>17381000</v>
      </c>
      <c r="J1131" s="113" t="s">
        <v>1356</v>
      </c>
      <c r="K1131" s="113" t="s">
        <v>1357</v>
      </c>
      <c r="L1131" s="110"/>
      <c r="M1131" s="113"/>
      <c r="N1131" s="113"/>
      <c r="O1131" s="113" t="s">
        <v>2878</v>
      </c>
      <c r="P1131" s="163" t="s">
        <v>2880</v>
      </c>
    </row>
    <row r="1132" spans="2:16" s="153" customFormat="1" ht="60" x14ac:dyDescent="0.25">
      <c r="B1132" s="130" t="str">
        <f t="shared" si="112"/>
        <v>1</v>
      </c>
      <c r="C1132" s="130" t="str">
        <f t="shared" si="113"/>
        <v>7</v>
      </c>
      <c r="D1132" s="130" t="str">
        <f t="shared" si="114"/>
        <v>3</v>
      </c>
      <c r="E1132" s="130" t="str">
        <f t="shared" si="115"/>
        <v>8</v>
      </c>
      <c r="F1132" s="130" t="str">
        <f t="shared" si="116"/>
        <v>10</v>
      </c>
      <c r="G1132" s="130" t="str">
        <f t="shared" si="117"/>
        <v>1</v>
      </c>
      <c r="H1132" s="130" t="str">
        <f t="shared" si="118"/>
        <v>0</v>
      </c>
      <c r="I1132" s="129">
        <v>17381010</v>
      </c>
      <c r="J1132" s="130" t="s">
        <v>1358</v>
      </c>
      <c r="K1132" s="130" t="s">
        <v>1359</v>
      </c>
      <c r="L1132" s="116"/>
      <c r="M1132" s="130"/>
      <c r="N1132" s="130"/>
      <c r="O1132" s="130" t="s">
        <v>2878</v>
      </c>
      <c r="P1132" s="152" t="s">
        <v>2880</v>
      </c>
    </row>
    <row r="1133" spans="2:16" s="153" customFormat="1" ht="60" x14ac:dyDescent="0.25">
      <c r="B1133" s="93" t="str">
        <f t="shared" si="112"/>
        <v>1</v>
      </c>
      <c r="C1133" s="93" t="str">
        <f t="shared" si="113"/>
        <v>7</v>
      </c>
      <c r="D1133" s="93" t="str">
        <f t="shared" si="114"/>
        <v>3</v>
      </c>
      <c r="E1133" s="93" t="str">
        <f t="shared" si="115"/>
        <v>8</v>
      </c>
      <c r="F1133" s="93" t="str">
        <f t="shared" si="116"/>
        <v>10</v>
      </c>
      <c r="G1133" s="93" t="str">
        <f t="shared" si="117"/>
        <v>1</v>
      </c>
      <c r="H1133" s="93" t="str">
        <f t="shared" si="118"/>
        <v>1</v>
      </c>
      <c r="I1133" s="135">
        <v>17381011</v>
      </c>
      <c r="J1133" s="93" t="s">
        <v>4838</v>
      </c>
      <c r="K1133" s="93" t="s">
        <v>1359</v>
      </c>
      <c r="L1133" s="84"/>
      <c r="M1133" s="93"/>
      <c r="N1133" s="93"/>
      <c r="O1133" s="93"/>
      <c r="P1133" s="154" t="s">
        <v>2890</v>
      </c>
    </row>
    <row r="1134" spans="2:16" s="153" customFormat="1" ht="60" x14ac:dyDescent="0.25">
      <c r="B1134" s="130" t="str">
        <f t="shared" si="112"/>
        <v>1</v>
      </c>
      <c r="C1134" s="130" t="str">
        <f t="shared" si="113"/>
        <v>7</v>
      </c>
      <c r="D1134" s="130" t="str">
        <f t="shared" si="114"/>
        <v>3</v>
      </c>
      <c r="E1134" s="130" t="str">
        <f t="shared" si="115"/>
        <v>8</v>
      </c>
      <c r="F1134" s="130" t="str">
        <f t="shared" si="116"/>
        <v>10</v>
      </c>
      <c r="G1134" s="130" t="str">
        <f t="shared" si="117"/>
        <v>2</v>
      </c>
      <c r="H1134" s="130" t="str">
        <f t="shared" si="118"/>
        <v>0</v>
      </c>
      <c r="I1134" s="129">
        <v>17381020</v>
      </c>
      <c r="J1134" s="130" t="s">
        <v>1360</v>
      </c>
      <c r="K1134" s="130" t="s">
        <v>1361</v>
      </c>
      <c r="L1134" s="116"/>
      <c r="M1134" s="130"/>
      <c r="N1134" s="130"/>
      <c r="O1134" s="130" t="s">
        <v>2878</v>
      </c>
      <c r="P1134" s="152" t="s">
        <v>2880</v>
      </c>
    </row>
    <row r="1135" spans="2:16" s="153" customFormat="1" ht="60" x14ac:dyDescent="0.25">
      <c r="B1135" s="93" t="str">
        <f t="shared" si="112"/>
        <v>1</v>
      </c>
      <c r="C1135" s="93" t="str">
        <f t="shared" si="113"/>
        <v>7</v>
      </c>
      <c r="D1135" s="93" t="str">
        <f t="shared" si="114"/>
        <v>3</v>
      </c>
      <c r="E1135" s="93" t="str">
        <f t="shared" si="115"/>
        <v>8</v>
      </c>
      <c r="F1135" s="93" t="str">
        <f t="shared" si="116"/>
        <v>10</v>
      </c>
      <c r="G1135" s="93" t="str">
        <f t="shared" si="117"/>
        <v>2</v>
      </c>
      <c r="H1135" s="93" t="str">
        <f t="shared" si="118"/>
        <v>1</v>
      </c>
      <c r="I1135" s="135">
        <v>17381021</v>
      </c>
      <c r="J1135" s="93" t="s">
        <v>4839</v>
      </c>
      <c r="K1135" s="93" t="s">
        <v>1361</v>
      </c>
      <c r="L1135" s="84"/>
      <c r="M1135" s="93"/>
      <c r="N1135" s="93"/>
      <c r="O1135" s="93"/>
      <c r="P1135" s="154" t="s">
        <v>2890</v>
      </c>
    </row>
    <row r="1136" spans="2:16" s="153" customFormat="1" ht="60" x14ac:dyDescent="0.25">
      <c r="B1136" s="130" t="str">
        <f t="shared" si="112"/>
        <v>1</v>
      </c>
      <c r="C1136" s="130" t="str">
        <f t="shared" si="113"/>
        <v>7</v>
      </c>
      <c r="D1136" s="130" t="str">
        <f t="shared" si="114"/>
        <v>3</v>
      </c>
      <c r="E1136" s="130" t="str">
        <f t="shared" si="115"/>
        <v>8</v>
      </c>
      <c r="F1136" s="130" t="str">
        <f t="shared" si="116"/>
        <v>10</v>
      </c>
      <c r="G1136" s="130" t="str">
        <f t="shared" si="117"/>
        <v>9</v>
      </c>
      <c r="H1136" s="130" t="str">
        <f t="shared" si="118"/>
        <v>0</v>
      </c>
      <c r="I1136" s="129">
        <v>17381090</v>
      </c>
      <c r="J1136" s="130" t="s">
        <v>1362</v>
      </c>
      <c r="K1136" s="130" t="s">
        <v>1363</v>
      </c>
      <c r="L1136" s="116"/>
      <c r="M1136" s="130"/>
      <c r="N1136" s="130"/>
      <c r="O1136" s="130" t="s">
        <v>2878</v>
      </c>
      <c r="P1136" s="152" t="s">
        <v>2880</v>
      </c>
    </row>
    <row r="1137" spans="2:16" s="153" customFormat="1" ht="60" x14ac:dyDescent="0.25">
      <c r="B1137" s="93" t="str">
        <f t="shared" si="112"/>
        <v>1</v>
      </c>
      <c r="C1137" s="93" t="str">
        <f t="shared" si="113"/>
        <v>7</v>
      </c>
      <c r="D1137" s="93" t="str">
        <f t="shared" si="114"/>
        <v>3</v>
      </c>
      <c r="E1137" s="93" t="str">
        <f t="shared" si="115"/>
        <v>8</v>
      </c>
      <c r="F1137" s="93" t="str">
        <f t="shared" si="116"/>
        <v>10</v>
      </c>
      <c r="G1137" s="93" t="str">
        <f t="shared" si="117"/>
        <v>9</v>
      </c>
      <c r="H1137" s="93" t="str">
        <f t="shared" si="118"/>
        <v>1</v>
      </c>
      <c r="I1137" s="135">
        <v>17381091</v>
      </c>
      <c r="J1137" s="93" t="s">
        <v>4840</v>
      </c>
      <c r="K1137" s="93" t="s">
        <v>1363</v>
      </c>
      <c r="L1137" s="84"/>
      <c r="M1137" s="93"/>
      <c r="N1137" s="93"/>
      <c r="O1137" s="93"/>
      <c r="P1137" s="154" t="s">
        <v>2890</v>
      </c>
    </row>
    <row r="1138" spans="2:16" s="153" customFormat="1" ht="60" x14ac:dyDescent="0.25">
      <c r="B1138" s="113" t="str">
        <f t="shared" si="112"/>
        <v>1</v>
      </c>
      <c r="C1138" s="113" t="str">
        <f t="shared" si="113"/>
        <v>7</v>
      </c>
      <c r="D1138" s="113" t="str">
        <f t="shared" si="114"/>
        <v>3</v>
      </c>
      <c r="E1138" s="113" t="str">
        <f t="shared" si="115"/>
        <v>8</v>
      </c>
      <c r="F1138" s="113" t="str">
        <f t="shared" si="116"/>
        <v>99</v>
      </c>
      <c r="G1138" s="113" t="str">
        <f t="shared" si="117"/>
        <v>0</v>
      </c>
      <c r="H1138" s="113" t="str">
        <f t="shared" si="118"/>
        <v>0</v>
      </c>
      <c r="I1138" s="112">
        <v>17389900</v>
      </c>
      <c r="J1138" s="113" t="s">
        <v>1315</v>
      </c>
      <c r="K1138" s="113" t="s">
        <v>1316</v>
      </c>
      <c r="L1138" s="110"/>
      <c r="M1138" s="113"/>
      <c r="N1138" s="113" t="s">
        <v>1317</v>
      </c>
      <c r="O1138" s="113" t="s">
        <v>2878</v>
      </c>
      <c r="P1138" s="163" t="s">
        <v>2880</v>
      </c>
    </row>
    <row r="1139" spans="2:16" s="153" customFormat="1" ht="60" x14ac:dyDescent="0.25">
      <c r="B1139" s="130" t="str">
        <f t="shared" si="112"/>
        <v>1</v>
      </c>
      <c r="C1139" s="130" t="str">
        <f t="shared" si="113"/>
        <v>7</v>
      </c>
      <c r="D1139" s="130" t="str">
        <f t="shared" si="114"/>
        <v>3</v>
      </c>
      <c r="E1139" s="130" t="str">
        <f t="shared" si="115"/>
        <v>8</v>
      </c>
      <c r="F1139" s="130" t="str">
        <f t="shared" si="116"/>
        <v>99</v>
      </c>
      <c r="G1139" s="130" t="str">
        <f t="shared" si="117"/>
        <v>1</v>
      </c>
      <c r="H1139" s="130" t="str">
        <f t="shared" si="118"/>
        <v>0</v>
      </c>
      <c r="I1139" s="129">
        <v>17389910</v>
      </c>
      <c r="J1139" s="130" t="s">
        <v>1315</v>
      </c>
      <c r="K1139" s="130" t="s">
        <v>1316</v>
      </c>
      <c r="L1139" s="116"/>
      <c r="M1139" s="130"/>
      <c r="N1139" s="130" t="s">
        <v>1317</v>
      </c>
      <c r="O1139" s="130" t="s">
        <v>2878</v>
      </c>
      <c r="P1139" s="152" t="s">
        <v>2880</v>
      </c>
    </row>
    <row r="1140" spans="2:16" s="153" customFormat="1" ht="60" x14ac:dyDescent="0.25">
      <c r="B1140" s="93" t="str">
        <f t="shared" si="112"/>
        <v>1</v>
      </c>
      <c r="C1140" s="93" t="str">
        <f t="shared" si="113"/>
        <v>7</v>
      </c>
      <c r="D1140" s="93" t="str">
        <f t="shared" si="114"/>
        <v>3</v>
      </c>
      <c r="E1140" s="93" t="str">
        <f t="shared" si="115"/>
        <v>8</v>
      </c>
      <c r="F1140" s="93" t="str">
        <f t="shared" si="116"/>
        <v>99</v>
      </c>
      <c r="G1140" s="93" t="str">
        <f t="shared" si="117"/>
        <v>1</v>
      </c>
      <c r="H1140" s="93" t="str">
        <f t="shared" si="118"/>
        <v>1</v>
      </c>
      <c r="I1140" s="135">
        <v>17389911</v>
      </c>
      <c r="J1140" s="93" t="s">
        <v>4841</v>
      </c>
      <c r="K1140" s="93" t="s">
        <v>1316</v>
      </c>
      <c r="L1140" s="84"/>
      <c r="M1140" s="93"/>
      <c r="N1140" s="93" t="s">
        <v>1317</v>
      </c>
      <c r="O1140" s="93"/>
      <c r="P1140" s="154" t="s">
        <v>2890</v>
      </c>
    </row>
    <row r="1141" spans="2:16" ht="60" x14ac:dyDescent="0.25">
      <c r="B1141" s="126" t="str">
        <f t="shared" si="112"/>
        <v>1</v>
      </c>
      <c r="C1141" s="126" t="str">
        <f t="shared" si="113"/>
        <v>7</v>
      </c>
      <c r="D1141" s="126" t="str">
        <f t="shared" si="114"/>
        <v>4</v>
      </c>
      <c r="E1141" s="126" t="str">
        <f t="shared" si="115"/>
        <v>0</v>
      </c>
      <c r="F1141" s="126" t="str">
        <f t="shared" si="116"/>
        <v>00</v>
      </c>
      <c r="G1141" s="126" t="str">
        <f t="shared" si="117"/>
        <v>0</v>
      </c>
      <c r="H1141" s="126" t="str">
        <f t="shared" si="118"/>
        <v>0</v>
      </c>
      <c r="I1141" s="127">
        <v>17400000</v>
      </c>
      <c r="J1141" s="126" t="s">
        <v>1326</v>
      </c>
      <c r="K1141" s="126" t="s">
        <v>4202</v>
      </c>
      <c r="L1141" s="122"/>
      <c r="M1141" s="126" t="s">
        <v>2878</v>
      </c>
      <c r="N1141" s="126" t="s">
        <v>5016</v>
      </c>
      <c r="O1141" s="126" t="s">
        <v>2878</v>
      </c>
      <c r="P1141" s="128" t="s">
        <v>2880</v>
      </c>
    </row>
    <row r="1142" spans="2:16" ht="60" x14ac:dyDescent="0.25">
      <c r="B1142" s="114" t="str">
        <f t="shared" si="112"/>
        <v>1</v>
      </c>
      <c r="C1142" s="114" t="str">
        <f t="shared" si="113"/>
        <v>7</v>
      </c>
      <c r="D1142" s="114" t="str">
        <f t="shared" si="114"/>
        <v>4</v>
      </c>
      <c r="E1142" s="114" t="str">
        <f t="shared" si="115"/>
        <v>0</v>
      </c>
      <c r="F1142" s="114" t="str">
        <f t="shared" si="116"/>
        <v>00</v>
      </c>
      <c r="G1142" s="114" t="str">
        <f t="shared" si="117"/>
        <v>1</v>
      </c>
      <c r="H1142" s="114" t="str">
        <f t="shared" si="118"/>
        <v>0</v>
      </c>
      <c r="I1142" s="115">
        <v>17400010</v>
      </c>
      <c r="J1142" s="114" t="s">
        <v>1326</v>
      </c>
      <c r="K1142" s="114" t="s">
        <v>4202</v>
      </c>
      <c r="L1142" s="116"/>
      <c r="M1142" s="114" t="s">
        <v>2878</v>
      </c>
      <c r="N1142" s="114"/>
      <c r="O1142" s="114" t="s">
        <v>2878</v>
      </c>
      <c r="P1142" s="117" t="s">
        <v>2880</v>
      </c>
    </row>
    <row r="1143" spans="2:16" ht="75" x14ac:dyDescent="0.25">
      <c r="B1143" s="85" t="str">
        <f t="shared" si="112"/>
        <v>1</v>
      </c>
      <c r="C1143" s="85" t="str">
        <f t="shared" si="113"/>
        <v>7</v>
      </c>
      <c r="D1143" s="85" t="str">
        <f t="shared" si="114"/>
        <v>4</v>
      </c>
      <c r="E1143" s="85" t="str">
        <f t="shared" si="115"/>
        <v>0</v>
      </c>
      <c r="F1143" s="85" t="str">
        <f t="shared" si="116"/>
        <v>00</v>
      </c>
      <c r="G1143" s="85" t="str">
        <f t="shared" si="117"/>
        <v>1</v>
      </c>
      <c r="H1143" s="85" t="str">
        <f t="shared" si="118"/>
        <v>1</v>
      </c>
      <c r="I1143" s="87">
        <v>17400011</v>
      </c>
      <c r="J1143" s="85" t="s">
        <v>4203</v>
      </c>
      <c r="K1143" s="85" t="s">
        <v>5056</v>
      </c>
      <c r="L1143" s="84"/>
      <c r="M1143" s="85" t="s">
        <v>4024</v>
      </c>
      <c r="N1143" s="85"/>
      <c r="O1143" s="85" t="s">
        <v>4197</v>
      </c>
      <c r="P1143" s="86" t="s">
        <v>2890</v>
      </c>
    </row>
    <row r="1144" spans="2:16" s="153" customFormat="1" ht="75" x14ac:dyDescent="0.25">
      <c r="B1144" s="155" t="str">
        <f t="shared" si="112"/>
        <v>1</v>
      </c>
      <c r="C1144" s="155" t="str">
        <f t="shared" si="113"/>
        <v>7</v>
      </c>
      <c r="D1144" s="155" t="str">
        <f t="shared" si="114"/>
        <v>4</v>
      </c>
      <c r="E1144" s="155" t="str">
        <f t="shared" si="115"/>
        <v>8</v>
      </c>
      <c r="F1144" s="155" t="str">
        <f t="shared" si="116"/>
        <v>00</v>
      </c>
      <c r="G1144" s="155" t="str">
        <f t="shared" si="117"/>
        <v>0</v>
      </c>
      <c r="H1144" s="155" t="str">
        <f t="shared" si="118"/>
        <v>0</v>
      </c>
      <c r="I1144" s="161">
        <v>17480000</v>
      </c>
      <c r="J1144" s="155" t="s">
        <v>5025</v>
      </c>
      <c r="K1144" s="155" t="s">
        <v>5034</v>
      </c>
      <c r="L1144" s="106"/>
      <c r="M1144" s="155" t="s">
        <v>2878</v>
      </c>
      <c r="N1144" s="155" t="s">
        <v>2879</v>
      </c>
      <c r="O1144" s="155" t="s">
        <v>5018</v>
      </c>
      <c r="P1144" s="162" t="s">
        <v>2880</v>
      </c>
    </row>
    <row r="1145" spans="2:16" s="153" customFormat="1" ht="60" x14ac:dyDescent="0.25">
      <c r="B1145" s="113" t="str">
        <f t="shared" si="112"/>
        <v>1</v>
      </c>
      <c r="C1145" s="113" t="str">
        <f t="shared" si="113"/>
        <v>7</v>
      </c>
      <c r="D1145" s="113" t="str">
        <f t="shared" si="114"/>
        <v>4</v>
      </c>
      <c r="E1145" s="113" t="str">
        <f t="shared" si="115"/>
        <v>8</v>
      </c>
      <c r="F1145" s="113" t="str">
        <f t="shared" si="116"/>
        <v>10</v>
      </c>
      <c r="G1145" s="113" t="str">
        <f t="shared" si="117"/>
        <v>0</v>
      </c>
      <c r="H1145" s="113" t="str">
        <f t="shared" si="118"/>
        <v>0</v>
      </c>
      <c r="I1145" s="112">
        <v>17481000</v>
      </c>
      <c r="J1145" s="113" t="s">
        <v>1364</v>
      </c>
      <c r="K1145" s="113" t="s">
        <v>1365</v>
      </c>
      <c r="L1145" s="110"/>
      <c r="M1145" s="113"/>
      <c r="N1145" s="113"/>
      <c r="O1145" s="113" t="s">
        <v>2878</v>
      </c>
      <c r="P1145" s="163" t="s">
        <v>2880</v>
      </c>
    </row>
    <row r="1146" spans="2:16" s="153" customFormat="1" ht="60" x14ac:dyDescent="0.25">
      <c r="B1146" s="130" t="str">
        <f t="shared" si="112"/>
        <v>1</v>
      </c>
      <c r="C1146" s="130" t="str">
        <f t="shared" si="113"/>
        <v>7</v>
      </c>
      <c r="D1146" s="130" t="str">
        <f t="shared" si="114"/>
        <v>4</v>
      </c>
      <c r="E1146" s="130" t="str">
        <f t="shared" si="115"/>
        <v>8</v>
      </c>
      <c r="F1146" s="130" t="str">
        <f t="shared" si="116"/>
        <v>10</v>
      </c>
      <c r="G1146" s="130" t="str">
        <f t="shared" si="117"/>
        <v>1</v>
      </c>
      <c r="H1146" s="130" t="str">
        <f t="shared" si="118"/>
        <v>0</v>
      </c>
      <c r="I1146" s="129">
        <v>17481010</v>
      </c>
      <c r="J1146" s="130" t="s">
        <v>1364</v>
      </c>
      <c r="K1146" s="130" t="s">
        <v>1365</v>
      </c>
      <c r="L1146" s="116"/>
      <c r="M1146" s="130"/>
      <c r="N1146" s="130"/>
      <c r="O1146" s="130" t="s">
        <v>2878</v>
      </c>
      <c r="P1146" s="152" t="s">
        <v>2880</v>
      </c>
    </row>
    <row r="1147" spans="2:16" s="153" customFormat="1" ht="60" x14ac:dyDescent="0.25">
      <c r="B1147" s="93" t="str">
        <f t="shared" si="112"/>
        <v>1</v>
      </c>
      <c r="C1147" s="93" t="str">
        <f t="shared" si="113"/>
        <v>7</v>
      </c>
      <c r="D1147" s="93" t="str">
        <f t="shared" si="114"/>
        <v>4</v>
      </c>
      <c r="E1147" s="93" t="str">
        <f t="shared" si="115"/>
        <v>8</v>
      </c>
      <c r="F1147" s="93" t="str">
        <f t="shared" si="116"/>
        <v>10</v>
      </c>
      <c r="G1147" s="93" t="str">
        <f t="shared" si="117"/>
        <v>1</v>
      </c>
      <c r="H1147" s="93" t="str">
        <f t="shared" si="118"/>
        <v>1</v>
      </c>
      <c r="I1147" s="135">
        <v>17481011</v>
      </c>
      <c r="J1147" s="93" t="s">
        <v>4842</v>
      </c>
      <c r="K1147" s="93" t="s">
        <v>1365</v>
      </c>
      <c r="L1147" s="84"/>
      <c r="M1147" s="93"/>
      <c r="N1147" s="93"/>
      <c r="O1147" s="93"/>
      <c r="P1147" s="154" t="s">
        <v>2890</v>
      </c>
    </row>
    <row r="1148" spans="2:16" ht="60" x14ac:dyDescent="0.25">
      <c r="B1148" s="126" t="str">
        <f t="shared" si="112"/>
        <v>1</v>
      </c>
      <c r="C1148" s="126" t="str">
        <f t="shared" si="113"/>
        <v>7</v>
      </c>
      <c r="D1148" s="126" t="str">
        <f t="shared" si="114"/>
        <v>5</v>
      </c>
      <c r="E1148" s="126" t="str">
        <f t="shared" si="115"/>
        <v>0</v>
      </c>
      <c r="F1148" s="126" t="str">
        <f t="shared" si="116"/>
        <v>00</v>
      </c>
      <c r="G1148" s="126" t="str">
        <f t="shared" si="117"/>
        <v>0</v>
      </c>
      <c r="H1148" s="126" t="str">
        <f t="shared" si="118"/>
        <v>0</v>
      </c>
      <c r="I1148" s="127">
        <v>17500000</v>
      </c>
      <c r="J1148" s="126" t="s">
        <v>4204</v>
      </c>
      <c r="K1148" s="126" t="s">
        <v>4205</v>
      </c>
      <c r="L1148" s="122"/>
      <c r="M1148" s="126" t="s">
        <v>2878</v>
      </c>
      <c r="N1148" s="126" t="s">
        <v>5016</v>
      </c>
      <c r="O1148" s="126" t="s">
        <v>2878</v>
      </c>
      <c r="P1148" s="128" t="s">
        <v>2880</v>
      </c>
    </row>
    <row r="1149" spans="2:16" ht="60" x14ac:dyDescent="0.25">
      <c r="B1149" s="114" t="str">
        <f t="shared" si="112"/>
        <v>1</v>
      </c>
      <c r="C1149" s="114" t="str">
        <f t="shared" si="113"/>
        <v>7</v>
      </c>
      <c r="D1149" s="114" t="str">
        <f t="shared" si="114"/>
        <v>5</v>
      </c>
      <c r="E1149" s="114" t="str">
        <f t="shared" si="115"/>
        <v>0</v>
      </c>
      <c r="F1149" s="114" t="str">
        <f t="shared" si="116"/>
        <v>00</v>
      </c>
      <c r="G1149" s="114" t="str">
        <f t="shared" si="117"/>
        <v>1</v>
      </c>
      <c r="H1149" s="114" t="str">
        <f t="shared" si="118"/>
        <v>0</v>
      </c>
      <c r="I1149" s="115">
        <v>17500010</v>
      </c>
      <c r="J1149" s="114" t="s">
        <v>4204</v>
      </c>
      <c r="K1149" s="114" t="s">
        <v>4205</v>
      </c>
      <c r="L1149" s="116"/>
      <c r="M1149" s="114" t="s">
        <v>2878</v>
      </c>
      <c r="N1149" s="114"/>
      <c r="O1149" s="114" t="s">
        <v>2878</v>
      </c>
      <c r="P1149" s="117" t="s">
        <v>2880</v>
      </c>
    </row>
    <row r="1150" spans="2:16" ht="75" x14ac:dyDescent="0.25">
      <c r="B1150" s="85" t="str">
        <f t="shared" si="112"/>
        <v>1</v>
      </c>
      <c r="C1150" s="85" t="str">
        <f t="shared" si="113"/>
        <v>7</v>
      </c>
      <c r="D1150" s="85" t="str">
        <f t="shared" si="114"/>
        <v>5</v>
      </c>
      <c r="E1150" s="85" t="str">
        <f t="shared" si="115"/>
        <v>0</v>
      </c>
      <c r="F1150" s="85" t="str">
        <f t="shared" si="116"/>
        <v>00</v>
      </c>
      <c r="G1150" s="85" t="str">
        <f t="shared" si="117"/>
        <v>1</v>
      </c>
      <c r="H1150" s="85" t="str">
        <f t="shared" si="118"/>
        <v>1</v>
      </c>
      <c r="I1150" s="87">
        <v>17500011</v>
      </c>
      <c r="J1150" s="85" t="s">
        <v>4206</v>
      </c>
      <c r="K1150" s="85" t="s">
        <v>5055</v>
      </c>
      <c r="L1150" s="84"/>
      <c r="M1150" s="85" t="s">
        <v>4024</v>
      </c>
      <c r="N1150" s="85"/>
      <c r="O1150" s="85" t="s">
        <v>4197</v>
      </c>
      <c r="P1150" s="86" t="s">
        <v>2890</v>
      </c>
    </row>
    <row r="1151" spans="2:16" s="153" customFormat="1" ht="75" x14ac:dyDescent="0.25">
      <c r="B1151" s="155" t="str">
        <f t="shared" si="112"/>
        <v>1</v>
      </c>
      <c r="C1151" s="155" t="str">
        <f t="shared" si="113"/>
        <v>7</v>
      </c>
      <c r="D1151" s="155" t="str">
        <f t="shared" si="114"/>
        <v>5</v>
      </c>
      <c r="E1151" s="155" t="str">
        <f t="shared" si="115"/>
        <v>8</v>
      </c>
      <c r="F1151" s="155" t="str">
        <f t="shared" si="116"/>
        <v>00</v>
      </c>
      <c r="G1151" s="155" t="str">
        <f t="shared" si="117"/>
        <v>0</v>
      </c>
      <c r="H1151" s="155" t="str">
        <f t="shared" si="118"/>
        <v>0</v>
      </c>
      <c r="I1151" s="161">
        <v>17580000</v>
      </c>
      <c r="J1151" s="155" t="s">
        <v>5026</v>
      </c>
      <c r="K1151" s="155" t="s">
        <v>5035</v>
      </c>
      <c r="L1151" s="106"/>
      <c r="M1151" s="155" t="s">
        <v>2878</v>
      </c>
      <c r="N1151" s="155" t="s">
        <v>2879</v>
      </c>
      <c r="O1151" s="155" t="s">
        <v>5018</v>
      </c>
      <c r="P1151" s="162" t="s">
        <v>2880</v>
      </c>
    </row>
    <row r="1152" spans="2:16" s="153" customFormat="1" ht="45" x14ac:dyDescent="0.25">
      <c r="B1152" s="113" t="str">
        <f t="shared" ref="B1152:B1215" si="119">MID($I1152,1,1)</f>
        <v>1</v>
      </c>
      <c r="C1152" s="113" t="str">
        <f t="shared" ref="C1152:C1215" si="120">MID($I1152,2,1)</f>
        <v>7</v>
      </c>
      <c r="D1152" s="113" t="str">
        <f t="shared" ref="D1152:D1215" si="121">MID($I1152,3,1)</f>
        <v>5</v>
      </c>
      <c r="E1152" s="113" t="str">
        <f t="shared" ref="E1152:E1215" si="122">MID($I1152,4,1)</f>
        <v>8</v>
      </c>
      <c r="F1152" s="113" t="str">
        <f t="shared" ref="F1152:F1215" si="123">MID($I1152,5,2)</f>
        <v>01</v>
      </c>
      <c r="G1152" s="113" t="str">
        <f t="shared" ref="G1152:G1215" si="124">MID($I1152,7,1)</f>
        <v>0</v>
      </c>
      <c r="H1152" s="113" t="str">
        <f t="shared" ref="H1152:H1215" si="125">MID($I1152,8,1)</f>
        <v>0</v>
      </c>
      <c r="I1152" s="112">
        <v>17580100</v>
      </c>
      <c r="J1152" s="113" t="s">
        <v>1320</v>
      </c>
      <c r="K1152" s="113" t="s">
        <v>1321</v>
      </c>
      <c r="L1152" s="110"/>
      <c r="M1152" s="113"/>
      <c r="N1152" s="113"/>
      <c r="O1152" s="113" t="s">
        <v>2878</v>
      </c>
      <c r="P1152" s="163" t="s">
        <v>2880</v>
      </c>
    </row>
    <row r="1153" spans="2:16" s="153" customFormat="1" ht="45" x14ac:dyDescent="0.25">
      <c r="B1153" s="130" t="str">
        <f t="shared" si="119"/>
        <v>1</v>
      </c>
      <c r="C1153" s="130" t="str">
        <f t="shared" si="120"/>
        <v>7</v>
      </c>
      <c r="D1153" s="130" t="str">
        <f t="shared" si="121"/>
        <v>5</v>
      </c>
      <c r="E1153" s="130" t="str">
        <f t="shared" si="122"/>
        <v>8</v>
      </c>
      <c r="F1153" s="130" t="str">
        <f t="shared" si="123"/>
        <v>01</v>
      </c>
      <c r="G1153" s="130" t="str">
        <f t="shared" si="124"/>
        <v>1</v>
      </c>
      <c r="H1153" s="130" t="str">
        <f t="shared" si="125"/>
        <v>0</v>
      </c>
      <c r="I1153" s="129">
        <v>17580110</v>
      </c>
      <c r="J1153" s="130" t="s">
        <v>1320</v>
      </c>
      <c r="K1153" s="130" t="s">
        <v>1321</v>
      </c>
      <c r="L1153" s="116"/>
      <c r="M1153" s="130"/>
      <c r="N1153" s="130"/>
      <c r="O1153" s="130" t="s">
        <v>2878</v>
      </c>
      <c r="P1153" s="152" t="s">
        <v>2880</v>
      </c>
    </row>
    <row r="1154" spans="2:16" s="153" customFormat="1" ht="45" x14ac:dyDescent="0.25">
      <c r="B1154" s="93" t="str">
        <f t="shared" si="119"/>
        <v>1</v>
      </c>
      <c r="C1154" s="93" t="str">
        <f t="shared" si="120"/>
        <v>7</v>
      </c>
      <c r="D1154" s="93" t="str">
        <f t="shared" si="121"/>
        <v>5</v>
      </c>
      <c r="E1154" s="93" t="str">
        <f t="shared" si="122"/>
        <v>8</v>
      </c>
      <c r="F1154" s="93" t="str">
        <f t="shared" si="123"/>
        <v>01</v>
      </c>
      <c r="G1154" s="93" t="str">
        <f t="shared" si="124"/>
        <v>1</v>
      </c>
      <c r="H1154" s="93" t="str">
        <f t="shared" si="125"/>
        <v>1</v>
      </c>
      <c r="I1154" s="135">
        <v>17580111</v>
      </c>
      <c r="J1154" s="93" t="s">
        <v>4844</v>
      </c>
      <c r="K1154" s="93" t="s">
        <v>1321</v>
      </c>
      <c r="L1154" s="84"/>
      <c r="M1154" s="93"/>
      <c r="N1154" s="93"/>
      <c r="O1154" s="93"/>
      <c r="P1154" s="154" t="s">
        <v>2890</v>
      </c>
    </row>
    <row r="1155" spans="2:16" s="153" customFormat="1" ht="45" x14ac:dyDescent="0.25">
      <c r="B1155" s="130" t="str">
        <f t="shared" si="119"/>
        <v>1</v>
      </c>
      <c r="C1155" s="130" t="str">
        <f t="shared" si="120"/>
        <v>7</v>
      </c>
      <c r="D1155" s="130" t="str">
        <f t="shared" si="121"/>
        <v>5</v>
      </c>
      <c r="E1155" s="130" t="str">
        <f t="shared" si="122"/>
        <v>8</v>
      </c>
      <c r="F1155" s="130" t="str">
        <f t="shared" si="123"/>
        <v>01</v>
      </c>
      <c r="G1155" s="130" t="str">
        <f t="shared" si="124"/>
        <v>2</v>
      </c>
      <c r="H1155" s="130" t="str">
        <f t="shared" si="125"/>
        <v>0</v>
      </c>
      <c r="I1155" s="129">
        <v>17580120</v>
      </c>
      <c r="J1155" s="130" t="s">
        <v>1322</v>
      </c>
      <c r="K1155" s="130" t="s">
        <v>1323</v>
      </c>
      <c r="L1155" s="116"/>
      <c r="M1155" s="130"/>
      <c r="N1155" s="130"/>
      <c r="O1155" s="130" t="s">
        <v>2878</v>
      </c>
      <c r="P1155" s="152" t="s">
        <v>2880</v>
      </c>
    </row>
    <row r="1156" spans="2:16" s="153" customFormat="1" ht="45" x14ac:dyDescent="0.25">
      <c r="B1156" s="93" t="str">
        <f t="shared" si="119"/>
        <v>1</v>
      </c>
      <c r="C1156" s="93" t="str">
        <f t="shared" si="120"/>
        <v>7</v>
      </c>
      <c r="D1156" s="93" t="str">
        <f t="shared" si="121"/>
        <v>5</v>
      </c>
      <c r="E1156" s="93" t="str">
        <f t="shared" si="122"/>
        <v>8</v>
      </c>
      <c r="F1156" s="93" t="str">
        <f t="shared" si="123"/>
        <v>01</v>
      </c>
      <c r="G1156" s="93" t="str">
        <f t="shared" si="124"/>
        <v>2</v>
      </c>
      <c r="H1156" s="93" t="str">
        <f t="shared" si="125"/>
        <v>1</v>
      </c>
      <c r="I1156" s="135">
        <v>17580121</v>
      </c>
      <c r="J1156" s="93" t="s">
        <v>4845</v>
      </c>
      <c r="K1156" s="93" t="s">
        <v>1323</v>
      </c>
      <c r="L1156" s="84"/>
      <c r="M1156" s="93"/>
      <c r="N1156" s="93"/>
      <c r="O1156" s="93"/>
      <c r="P1156" s="154" t="s">
        <v>2890</v>
      </c>
    </row>
    <row r="1157" spans="2:16" s="153" customFormat="1" ht="30" x14ac:dyDescent="0.25">
      <c r="B1157" s="113" t="str">
        <f t="shared" si="119"/>
        <v>1</v>
      </c>
      <c r="C1157" s="113" t="str">
        <f t="shared" si="120"/>
        <v>7</v>
      </c>
      <c r="D1157" s="113" t="str">
        <f t="shared" si="121"/>
        <v>5</v>
      </c>
      <c r="E1157" s="113" t="str">
        <f t="shared" si="122"/>
        <v>8</v>
      </c>
      <c r="F1157" s="113" t="str">
        <f t="shared" si="123"/>
        <v>99</v>
      </c>
      <c r="G1157" s="113" t="str">
        <f t="shared" si="124"/>
        <v>0</v>
      </c>
      <c r="H1157" s="113" t="str">
        <f t="shared" si="125"/>
        <v>0</v>
      </c>
      <c r="I1157" s="112">
        <v>17589900</v>
      </c>
      <c r="J1157" s="113" t="s">
        <v>1324</v>
      </c>
      <c r="K1157" s="113" t="s">
        <v>1325</v>
      </c>
      <c r="L1157" s="110"/>
      <c r="M1157" s="113"/>
      <c r="N1157" s="113"/>
      <c r="O1157" s="113" t="s">
        <v>2878</v>
      </c>
      <c r="P1157" s="163" t="s">
        <v>2880</v>
      </c>
    </row>
    <row r="1158" spans="2:16" s="153" customFormat="1" ht="30" x14ac:dyDescent="0.25">
      <c r="B1158" s="130" t="str">
        <f t="shared" si="119"/>
        <v>1</v>
      </c>
      <c r="C1158" s="130" t="str">
        <f t="shared" si="120"/>
        <v>7</v>
      </c>
      <c r="D1158" s="130" t="str">
        <f t="shared" si="121"/>
        <v>5</v>
      </c>
      <c r="E1158" s="130" t="str">
        <f t="shared" si="122"/>
        <v>8</v>
      </c>
      <c r="F1158" s="130" t="str">
        <f t="shared" si="123"/>
        <v>99</v>
      </c>
      <c r="G1158" s="130" t="str">
        <f t="shared" si="124"/>
        <v>1</v>
      </c>
      <c r="H1158" s="130" t="str">
        <f t="shared" si="125"/>
        <v>0</v>
      </c>
      <c r="I1158" s="129">
        <v>17589910</v>
      </c>
      <c r="J1158" s="130" t="s">
        <v>1324</v>
      </c>
      <c r="K1158" s="130" t="s">
        <v>1325</v>
      </c>
      <c r="L1158" s="116"/>
      <c r="M1158" s="130"/>
      <c r="N1158" s="130"/>
      <c r="O1158" s="130" t="s">
        <v>2878</v>
      </c>
      <c r="P1158" s="152" t="s">
        <v>2880</v>
      </c>
    </row>
    <row r="1159" spans="2:16" s="153" customFormat="1" ht="30" x14ac:dyDescent="0.25">
      <c r="B1159" s="93" t="str">
        <f t="shared" si="119"/>
        <v>1</v>
      </c>
      <c r="C1159" s="93" t="str">
        <f t="shared" si="120"/>
        <v>7</v>
      </c>
      <c r="D1159" s="93" t="str">
        <f t="shared" si="121"/>
        <v>5</v>
      </c>
      <c r="E1159" s="93" t="str">
        <f t="shared" si="122"/>
        <v>8</v>
      </c>
      <c r="F1159" s="93" t="str">
        <f t="shared" si="123"/>
        <v>99</v>
      </c>
      <c r="G1159" s="93" t="str">
        <f t="shared" si="124"/>
        <v>1</v>
      </c>
      <c r="H1159" s="93" t="str">
        <f t="shared" si="125"/>
        <v>1</v>
      </c>
      <c r="I1159" s="135">
        <v>17589911</v>
      </c>
      <c r="J1159" s="93" t="s">
        <v>4846</v>
      </c>
      <c r="K1159" s="93" t="s">
        <v>1325</v>
      </c>
      <c r="L1159" s="84"/>
      <c r="M1159" s="93"/>
      <c r="N1159" s="93"/>
      <c r="O1159" s="93"/>
      <c r="P1159" s="154" t="s">
        <v>2890</v>
      </c>
    </row>
    <row r="1160" spans="2:16" ht="45" x14ac:dyDescent="0.25">
      <c r="B1160" s="126" t="str">
        <f t="shared" si="119"/>
        <v>1</v>
      </c>
      <c r="C1160" s="126" t="str">
        <f t="shared" si="120"/>
        <v>7</v>
      </c>
      <c r="D1160" s="126" t="str">
        <f t="shared" si="121"/>
        <v>6</v>
      </c>
      <c r="E1160" s="126" t="str">
        <f t="shared" si="122"/>
        <v>0</v>
      </c>
      <c r="F1160" s="126" t="str">
        <f t="shared" si="123"/>
        <v>00</v>
      </c>
      <c r="G1160" s="126" t="str">
        <f t="shared" si="124"/>
        <v>0</v>
      </c>
      <c r="H1160" s="126" t="str">
        <f t="shared" si="125"/>
        <v>0</v>
      </c>
      <c r="I1160" s="127">
        <v>17600000</v>
      </c>
      <c r="J1160" s="126" t="s">
        <v>1328</v>
      </c>
      <c r="K1160" s="126" t="s">
        <v>4207</v>
      </c>
      <c r="L1160" s="122"/>
      <c r="M1160" s="126" t="s">
        <v>2878</v>
      </c>
      <c r="N1160" s="126" t="s">
        <v>5016</v>
      </c>
      <c r="O1160" s="126" t="s">
        <v>2878</v>
      </c>
      <c r="P1160" s="128" t="s">
        <v>2880</v>
      </c>
    </row>
    <row r="1161" spans="2:16" ht="45" x14ac:dyDescent="0.25">
      <c r="B1161" s="114" t="str">
        <f t="shared" si="119"/>
        <v>1</v>
      </c>
      <c r="C1161" s="114" t="str">
        <f t="shared" si="120"/>
        <v>7</v>
      </c>
      <c r="D1161" s="114" t="str">
        <f t="shared" si="121"/>
        <v>6</v>
      </c>
      <c r="E1161" s="114" t="str">
        <f t="shared" si="122"/>
        <v>0</v>
      </c>
      <c r="F1161" s="114" t="str">
        <f t="shared" si="123"/>
        <v>00</v>
      </c>
      <c r="G1161" s="114" t="str">
        <f t="shared" si="124"/>
        <v>1</v>
      </c>
      <c r="H1161" s="114" t="str">
        <f t="shared" si="125"/>
        <v>0</v>
      </c>
      <c r="I1161" s="115">
        <v>17600010</v>
      </c>
      <c r="J1161" s="114" t="s">
        <v>1328</v>
      </c>
      <c r="K1161" s="114" t="s">
        <v>4207</v>
      </c>
      <c r="L1161" s="116"/>
      <c r="M1161" s="114" t="s">
        <v>2878</v>
      </c>
      <c r="N1161" s="114"/>
      <c r="O1161" s="114" t="s">
        <v>2878</v>
      </c>
      <c r="P1161" s="117" t="s">
        <v>2880</v>
      </c>
    </row>
    <row r="1162" spans="2:16" ht="75" x14ac:dyDescent="0.25">
      <c r="B1162" s="85" t="str">
        <f t="shared" si="119"/>
        <v>1</v>
      </c>
      <c r="C1162" s="85" t="str">
        <f t="shared" si="120"/>
        <v>7</v>
      </c>
      <c r="D1162" s="85" t="str">
        <f t="shared" si="121"/>
        <v>6</v>
      </c>
      <c r="E1162" s="85" t="str">
        <f t="shared" si="122"/>
        <v>0</v>
      </c>
      <c r="F1162" s="85" t="str">
        <f t="shared" si="123"/>
        <v>00</v>
      </c>
      <c r="G1162" s="85" t="str">
        <f t="shared" si="124"/>
        <v>1</v>
      </c>
      <c r="H1162" s="85" t="str">
        <f t="shared" si="125"/>
        <v>1</v>
      </c>
      <c r="I1162" s="87">
        <v>17600011</v>
      </c>
      <c r="J1162" s="85" t="s">
        <v>4208</v>
      </c>
      <c r="K1162" s="85" t="s">
        <v>5054</v>
      </c>
      <c r="L1162" s="84"/>
      <c r="M1162" s="85" t="s">
        <v>4024</v>
      </c>
      <c r="N1162" s="85"/>
      <c r="O1162" s="85" t="s">
        <v>4197</v>
      </c>
      <c r="P1162" s="86" t="s">
        <v>2890</v>
      </c>
    </row>
    <row r="1163" spans="2:16" s="153" customFormat="1" ht="60" x14ac:dyDescent="0.25">
      <c r="B1163" s="155" t="str">
        <f t="shared" si="119"/>
        <v>1</v>
      </c>
      <c r="C1163" s="155" t="str">
        <f t="shared" si="120"/>
        <v>7</v>
      </c>
      <c r="D1163" s="155" t="str">
        <f t="shared" si="121"/>
        <v>6</v>
      </c>
      <c r="E1163" s="155" t="str">
        <f t="shared" si="122"/>
        <v>8</v>
      </c>
      <c r="F1163" s="155" t="str">
        <f t="shared" si="123"/>
        <v>00</v>
      </c>
      <c r="G1163" s="155" t="str">
        <f t="shared" si="124"/>
        <v>0</v>
      </c>
      <c r="H1163" s="155" t="str">
        <f t="shared" si="125"/>
        <v>0</v>
      </c>
      <c r="I1163" s="161">
        <v>17680000</v>
      </c>
      <c r="J1163" s="155" t="s">
        <v>5027</v>
      </c>
      <c r="K1163" s="155" t="s">
        <v>5036</v>
      </c>
      <c r="L1163" s="106"/>
      <c r="M1163" s="155" t="s">
        <v>2878</v>
      </c>
      <c r="N1163" s="155" t="s">
        <v>2879</v>
      </c>
      <c r="O1163" s="155" t="s">
        <v>5018</v>
      </c>
      <c r="P1163" s="162" t="s">
        <v>2880</v>
      </c>
    </row>
    <row r="1164" spans="2:16" s="153" customFormat="1" ht="45" x14ac:dyDescent="0.25">
      <c r="B1164" s="113" t="str">
        <f t="shared" si="119"/>
        <v>1</v>
      </c>
      <c r="C1164" s="113" t="str">
        <f t="shared" si="120"/>
        <v>7</v>
      </c>
      <c r="D1164" s="113" t="str">
        <f t="shared" si="121"/>
        <v>6</v>
      </c>
      <c r="E1164" s="113" t="str">
        <f t="shared" si="122"/>
        <v>8</v>
      </c>
      <c r="F1164" s="113" t="str">
        <f t="shared" si="123"/>
        <v>10</v>
      </c>
      <c r="G1164" s="113" t="str">
        <f t="shared" si="124"/>
        <v>0</v>
      </c>
      <c r="H1164" s="113" t="str">
        <f t="shared" si="125"/>
        <v>0</v>
      </c>
      <c r="I1164" s="112">
        <v>17681000</v>
      </c>
      <c r="J1164" s="113" t="s">
        <v>1366</v>
      </c>
      <c r="K1164" s="113" t="s">
        <v>1367</v>
      </c>
      <c r="L1164" s="110"/>
      <c r="M1164" s="113"/>
      <c r="N1164" s="113"/>
      <c r="O1164" s="113" t="s">
        <v>2878</v>
      </c>
      <c r="P1164" s="163" t="s">
        <v>2880</v>
      </c>
    </row>
    <row r="1165" spans="2:16" s="153" customFormat="1" ht="45" x14ac:dyDescent="0.25">
      <c r="B1165" s="130" t="str">
        <f t="shared" si="119"/>
        <v>1</v>
      </c>
      <c r="C1165" s="130" t="str">
        <f t="shared" si="120"/>
        <v>7</v>
      </c>
      <c r="D1165" s="130" t="str">
        <f t="shared" si="121"/>
        <v>6</v>
      </c>
      <c r="E1165" s="130" t="str">
        <f t="shared" si="122"/>
        <v>8</v>
      </c>
      <c r="F1165" s="130" t="str">
        <f t="shared" si="123"/>
        <v>10</v>
      </c>
      <c r="G1165" s="130" t="str">
        <f t="shared" si="124"/>
        <v>1</v>
      </c>
      <c r="H1165" s="130" t="str">
        <f t="shared" si="125"/>
        <v>0</v>
      </c>
      <c r="I1165" s="129">
        <v>17681010</v>
      </c>
      <c r="J1165" s="130" t="s">
        <v>1366</v>
      </c>
      <c r="K1165" s="130" t="s">
        <v>1367</v>
      </c>
      <c r="L1165" s="116"/>
      <c r="M1165" s="130"/>
      <c r="N1165" s="130"/>
      <c r="O1165" s="130" t="s">
        <v>2878</v>
      </c>
      <c r="P1165" s="152" t="s">
        <v>2880</v>
      </c>
    </row>
    <row r="1166" spans="2:16" s="153" customFormat="1" ht="45" x14ac:dyDescent="0.25">
      <c r="B1166" s="93" t="str">
        <f t="shared" si="119"/>
        <v>1</v>
      </c>
      <c r="C1166" s="93" t="str">
        <f t="shared" si="120"/>
        <v>7</v>
      </c>
      <c r="D1166" s="93" t="str">
        <f t="shared" si="121"/>
        <v>6</v>
      </c>
      <c r="E1166" s="93" t="str">
        <f t="shared" si="122"/>
        <v>8</v>
      </c>
      <c r="F1166" s="93" t="str">
        <f t="shared" si="123"/>
        <v>10</v>
      </c>
      <c r="G1166" s="93" t="str">
        <f t="shared" si="124"/>
        <v>1</v>
      </c>
      <c r="H1166" s="93" t="str">
        <f t="shared" si="125"/>
        <v>1</v>
      </c>
      <c r="I1166" s="135">
        <v>17681011</v>
      </c>
      <c r="J1166" s="93" t="s">
        <v>4847</v>
      </c>
      <c r="K1166" s="93" t="s">
        <v>1367</v>
      </c>
      <c r="L1166" s="84"/>
      <c r="M1166" s="93"/>
      <c r="N1166" s="93"/>
      <c r="O1166" s="93"/>
      <c r="P1166" s="154" t="s">
        <v>2890</v>
      </c>
    </row>
    <row r="1167" spans="2:16" ht="60" x14ac:dyDescent="0.25">
      <c r="B1167" s="126" t="str">
        <f t="shared" si="119"/>
        <v>1</v>
      </c>
      <c r="C1167" s="126" t="str">
        <f t="shared" si="120"/>
        <v>7</v>
      </c>
      <c r="D1167" s="126" t="str">
        <f t="shared" si="121"/>
        <v>7</v>
      </c>
      <c r="E1167" s="126" t="str">
        <f t="shared" si="122"/>
        <v>0</v>
      </c>
      <c r="F1167" s="126" t="str">
        <f t="shared" si="123"/>
        <v>00</v>
      </c>
      <c r="G1167" s="126" t="str">
        <f t="shared" si="124"/>
        <v>0</v>
      </c>
      <c r="H1167" s="126" t="str">
        <f t="shared" si="125"/>
        <v>0</v>
      </c>
      <c r="I1167" s="127">
        <v>17700000</v>
      </c>
      <c r="J1167" s="126" t="s">
        <v>4209</v>
      </c>
      <c r="K1167" s="126" t="s">
        <v>4210</v>
      </c>
      <c r="L1167" s="122"/>
      <c r="M1167" s="126" t="s">
        <v>2878</v>
      </c>
      <c r="N1167" s="126" t="s">
        <v>5016</v>
      </c>
      <c r="O1167" s="126" t="s">
        <v>2878</v>
      </c>
      <c r="P1167" s="128" t="s">
        <v>2880</v>
      </c>
    </row>
    <row r="1168" spans="2:16" ht="60" x14ac:dyDescent="0.25">
      <c r="B1168" s="114" t="str">
        <f t="shared" si="119"/>
        <v>1</v>
      </c>
      <c r="C1168" s="114" t="str">
        <f t="shared" si="120"/>
        <v>7</v>
      </c>
      <c r="D1168" s="114" t="str">
        <f t="shared" si="121"/>
        <v>7</v>
      </c>
      <c r="E1168" s="114" t="str">
        <f t="shared" si="122"/>
        <v>0</v>
      </c>
      <c r="F1168" s="114" t="str">
        <f t="shared" si="123"/>
        <v>00</v>
      </c>
      <c r="G1168" s="114" t="str">
        <f t="shared" si="124"/>
        <v>1</v>
      </c>
      <c r="H1168" s="114" t="str">
        <f t="shared" si="125"/>
        <v>0</v>
      </c>
      <c r="I1168" s="115">
        <v>17700010</v>
      </c>
      <c r="J1168" s="114" t="s">
        <v>4209</v>
      </c>
      <c r="K1168" s="114" t="s">
        <v>4210</v>
      </c>
      <c r="L1168" s="116"/>
      <c r="M1168" s="114" t="s">
        <v>2878</v>
      </c>
      <c r="N1168" s="114"/>
      <c r="O1168" s="114"/>
      <c r="P1168" s="117" t="s">
        <v>2880</v>
      </c>
    </row>
    <row r="1169" spans="2:16" ht="75" x14ac:dyDescent="0.25">
      <c r="B1169" s="85" t="str">
        <f t="shared" si="119"/>
        <v>1</v>
      </c>
      <c r="C1169" s="85" t="str">
        <f t="shared" si="120"/>
        <v>7</v>
      </c>
      <c r="D1169" s="85" t="str">
        <f t="shared" si="121"/>
        <v>7</v>
      </c>
      <c r="E1169" s="85" t="str">
        <f t="shared" si="122"/>
        <v>0</v>
      </c>
      <c r="F1169" s="85" t="str">
        <f t="shared" si="123"/>
        <v>00</v>
      </c>
      <c r="G1169" s="85" t="str">
        <f t="shared" si="124"/>
        <v>1</v>
      </c>
      <c r="H1169" s="85" t="str">
        <f t="shared" si="125"/>
        <v>1</v>
      </c>
      <c r="I1169" s="87">
        <v>17700011</v>
      </c>
      <c r="J1169" s="85" t="s">
        <v>4211</v>
      </c>
      <c r="K1169" s="85" t="s">
        <v>5053</v>
      </c>
      <c r="L1169" s="84"/>
      <c r="M1169" s="85" t="s">
        <v>4024</v>
      </c>
      <c r="N1169" s="85"/>
      <c r="O1169" s="85" t="s">
        <v>4197</v>
      </c>
      <c r="P1169" s="86" t="s">
        <v>2890</v>
      </c>
    </row>
    <row r="1170" spans="2:16" ht="30" x14ac:dyDescent="0.25">
      <c r="B1170" s="126" t="str">
        <f t="shared" si="119"/>
        <v>1</v>
      </c>
      <c r="C1170" s="126" t="str">
        <f t="shared" si="120"/>
        <v>7</v>
      </c>
      <c r="D1170" s="126" t="str">
        <f t="shared" si="121"/>
        <v>8</v>
      </c>
      <c r="E1170" s="126" t="str">
        <f t="shared" si="122"/>
        <v>0</v>
      </c>
      <c r="F1170" s="126" t="str">
        <f t="shared" si="123"/>
        <v>00</v>
      </c>
      <c r="G1170" s="126" t="str">
        <f t="shared" si="124"/>
        <v>0</v>
      </c>
      <c r="H1170" s="126" t="str">
        <f t="shared" si="125"/>
        <v>0</v>
      </c>
      <c r="I1170" s="127">
        <v>17800000</v>
      </c>
      <c r="J1170" s="126" t="s">
        <v>4212</v>
      </c>
      <c r="K1170" s="126" t="s">
        <v>4213</v>
      </c>
      <c r="L1170" s="122"/>
      <c r="M1170" s="126" t="s">
        <v>2878</v>
      </c>
      <c r="N1170" s="126" t="s">
        <v>5016</v>
      </c>
      <c r="O1170" s="126" t="s">
        <v>2878</v>
      </c>
      <c r="P1170" s="128" t="s">
        <v>2880</v>
      </c>
    </row>
    <row r="1171" spans="2:16" ht="30" x14ac:dyDescent="0.25">
      <c r="B1171" s="114" t="str">
        <f t="shared" si="119"/>
        <v>1</v>
      </c>
      <c r="C1171" s="114" t="str">
        <f t="shared" si="120"/>
        <v>7</v>
      </c>
      <c r="D1171" s="114" t="str">
        <f t="shared" si="121"/>
        <v>8</v>
      </c>
      <c r="E1171" s="114" t="str">
        <f t="shared" si="122"/>
        <v>0</v>
      </c>
      <c r="F1171" s="114" t="str">
        <f t="shared" si="123"/>
        <v>00</v>
      </c>
      <c r="G1171" s="114" t="str">
        <f t="shared" si="124"/>
        <v>1</v>
      </c>
      <c r="H1171" s="114" t="str">
        <f t="shared" si="125"/>
        <v>0</v>
      </c>
      <c r="I1171" s="115">
        <v>17800010</v>
      </c>
      <c r="J1171" s="114" t="s">
        <v>4212</v>
      </c>
      <c r="K1171" s="114" t="s">
        <v>4213</v>
      </c>
      <c r="L1171" s="116"/>
      <c r="M1171" s="114" t="s">
        <v>2878</v>
      </c>
      <c r="N1171" s="114" t="s">
        <v>2879</v>
      </c>
      <c r="O1171" s="114" t="s">
        <v>2878</v>
      </c>
      <c r="P1171" s="117" t="s">
        <v>2880</v>
      </c>
    </row>
    <row r="1172" spans="2:16" ht="75" x14ac:dyDescent="0.25">
      <c r="B1172" s="85" t="str">
        <f t="shared" si="119"/>
        <v>1</v>
      </c>
      <c r="C1172" s="85" t="str">
        <f t="shared" si="120"/>
        <v>7</v>
      </c>
      <c r="D1172" s="85" t="str">
        <f t="shared" si="121"/>
        <v>8</v>
      </c>
      <c r="E1172" s="85" t="str">
        <f t="shared" si="122"/>
        <v>0</v>
      </c>
      <c r="F1172" s="85" t="str">
        <f t="shared" si="123"/>
        <v>00</v>
      </c>
      <c r="G1172" s="85" t="str">
        <f t="shared" si="124"/>
        <v>1</v>
      </c>
      <c r="H1172" s="85" t="str">
        <f t="shared" si="125"/>
        <v>1</v>
      </c>
      <c r="I1172" s="87">
        <v>17800011</v>
      </c>
      <c r="J1172" s="85" t="s">
        <v>4214</v>
      </c>
      <c r="K1172" s="85" t="s">
        <v>4215</v>
      </c>
      <c r="L1172" s="84"/>
      <c r="M1172" s="85" t="s">
        <v>4024</v>
      </c>
      <c r="N1172" s="85" t="s">
        <v>2879</v>
      </c>
      <c r="O1172" s="85" t="s">
        <v>4197</v>
      </c>
      <c r="P1172" s="86" t="s">
        <v>2890</v>
      </c>
    </row>
    <row r="1173" spans="2:16" ht="30" x14ac:dyDescent="0.25">
      <c r="B1173" s="123" t="str">
        <f t="shared" si="119"/>
        <v>1</v>
      </c>
      <c r="C1173" s="123" t="str">
        <f t="shared" si="120"/>
        <v>9</v>
      </c>
      <c r="D1173" s="123" t="str">
        <f t="shared" si="121"/>
        <v>0</v>
      </c>
      <c r="E1173" s="123" t="str">
        <f t="shared" si="122"/>
        <v>0</v>
      </c>
      <c r="F1173" s="123" t="str">
        <f t="shared" si="123"/>
        <v>00</v>
      </c>
      <c r="G1173" s="123" t="str">
        <f t="shared" si="124"/>
        <v>0</v>
      </c>
      <c r="H1173" s="123" t="str">
        <f t="shared" si="125"/>
        <v>0</v>
      </c>
      <c r="I1173" s="124">
        <v>19000000</v>
      </c>
      <c r="J1173" s="123" t="s">
        <v>1378</v>
      </c>
      <c r="K1173" s="123" t="s">
        <v>4216</v>
      </c>
      <c r="L1173" s="103"/>
      <c r="M1173" s="123" t="s">
        <v>2878</v>
      </c>
      <c r="N1173" s="123" t="s">
        <v>5016</v>
      </c>
      <c r="O1173" s="123" t="s">
        <v>2878</v>
      </c>
      <c r="P1173" s="125" t="s">
        <v>2880</v>
      </c>
    </row>
    <row r="1174" spans="2:16" ht="30" x14ac:dyDescent="0.25">
      <c r="B1174" s="126" t="str">
        <f t="shared" si="119"/>
        <v>1</v>
      </c>
      <c r="C1174" s="126" t="str">
        <f t="shared" si="120"/>
        <v>9</v>
      </c>
      <c r="D1174" s="126" t="str">
        <f t="shared" si="121"/>
        <v>1</v>
      </c>
      <c r="E1174" s="126" t="str">
        <f t="shared" si="122"/>
        <v>0</v>
      </c>
      <c r="F1174" s="126" t="str">
        <f t="shared" si="123"/>
        <v>00</v>
      </c>
      <c r="G1174" s="126" t="str">
        <f t="shared" si="124"/>
        <v>0</v>
      </c>
      <c r="H1174" s="126" t="str">
        <f t="shared" si="125"/>
        <v>0</v>
      </c>
      <c r="I1174" s="127">
        <v>19100000</v>
      </c>
      <c r="J1174" s="126" t="s">
        <v>4217</v>
      </c>
      <c r="K1174" s="126" t="s">
        <v>4218</v>
      </c>
      <c r="L1174" s="122"/>
      <c r="M1174" s="126" t="s">
        <v>2878</v>
      </c>
      <c r="N1174" s="126" t="s">
        <v>5016</v>
      </c>
      <c r="O1174" s="126" t="s">
        <v>2878</v>
      </c>
      <c r="P1174" s="128" t="s">
        <v>2880</v>
      </c>
    </row>
    <row r="1175" spans="2:16" ht="75" x14ac:dyDescent="0.25">
      <c r="B1175" s="108" t="str">
        <f t="shared" si="119"/>
        <v>1</v>
      </c>
      <c r="C1175" s="108" t="str">
        <f t="shared" si="120"/>
        <v>9</v>
      </c>
      <c r="D1175" s="108" t="str">
        <f t="shared" si="121"/>
        <v>1</v>
      </c>
      <c r="E1175" s="108" t="str">
        <f t="shared" si="122"/>
        <v>0</v>
      </c>
      <c r="F1175" s="108" t="str">
        <f t="shared" si="123"/>
        <v>01</v>
      </c>
      <c r="G1175" s="108" t="str">
        <f t="shared" si="124"/>
        <v>0</v>
      </c>
      <c r="H1175" s="108" t="str">
        <f t="shared" si="125"/>
        <v>0</v>
      </c>
      <c r="I1175" s="109">
        <v>19100100</v>
      </c>
      <c r="J1175" s="108" t="s">
        <v>4219</v>
      </c>
      <c r="K1175" s="108" t="s">
        <v>4220</v>
      </c>
      <c r="L1175" s="110"/>
      <c r="M1175" s="108" t="s">
        <v>2878</v>
      </c>
      <c r="N1175" s="108" t="s">
        <v>2879</v>
      </c>
      <c r="O1175" s="108" t="s">
        <v>2878</v>
      </c>
      <c r="P1175" s="111" t="s">
        <v>2880</v>
      </c>
    </row>
    <row r="1176" spans="2:16" ht="79.5" customHeight="1" x14ac:dyDescent="0.25">
      <c r="B1176" s="114" t="str">
        <f t="shared" si="119"/>
        <v>1</v>
      </c>
      <c r="C1176" s="114" t="str">
        <f t="shared" si="120"/>
        <v>9</v>
      </c>
      <c r="D1176" s="114" t="str">
        <f t="shared" si="121"/>
        <v>1</v>
      </c>
      <c r="E1176" s="114" t="str">
        <f t="shared" si="122"/>
        <v>0</v>
      </c>
      <c r="F1176" s="114" t="str">
        <f t="shared" si="123"/>
        <v>01</v>
      </c>
      <c r="G1176" s="114" t="str">
        <f t="shared" si="124"/>
        <v>1</v>
      </c>
      <c r="H1176" s="114" t="str">
        <f t="shared" si="125"/>
        <v>0</v>
      </c>
      <c r="I1176" s="115">
        <v>19100110</v>
      </c>
      <c r="J1176" s="114" t="s">
        <v>4219</v>
      </c>
      <c r="K1176" s="114" t="s">
        <v>4220</v>
      </c>
      <c r="L1176" s="116"/>
      <c r="M1176" s="114" t="s">
        <v>2878</v>
      </c>
      <c r="N1176" s="114" t="s">
        <v>2879</v>
      </c>
      <c r="O1176" s="114" t="s">
        <v>2878</v>
      </c>
      <c r="P1176" s="117" t="s">
        <v>2880</v>
      </c>
    </row>
    <row r="1177" spans="2:16" ht="60" customHeight="1" x14ac:dyDescent="0.25">
      <c r="B1177" s="85" t="str">
        <f t="shared" si="119"/>
        <v>1</v>
      </c>
      <c r="C1177" s="85" t="str">
        <f t="shared" si="120"/>
        <v>9</v>
      </c>
      <c r="D1177" s="85" t="str">
        <f t="shared" si="121"/>
        <v>1</v>
      </c>
      <c r="E1177" s="85" t="str">
        <f t="shared" si="122"/>
        <v>0</v>
      </c>
      <c r="F1177" s="85" t="str">
        <f t="shared" si="123"/>
        <v>01</v>
      </c>
      <c r="G1177" s="85" t="str">
        <f t="shared" si="124"/>
        <v>1</v>
      </c>
      <c r="H1177" s="85" t="str">
        <f t="shared" si="125"/>
        <v>1</v>
      </c>
      <c r="I1177" s="87">
        <v>19100111</v>
      </c>
      <c r="J1177" s="85" t="s">
        <v>4221</v>
      </c>
      <c r="K1177" s="85" t="s">
        <v>4222</v>
      </c>
      <c r="L1177" s="84"/>
      <c r="M1177" s="85" t="s">
        <v>3044</v>
      </c>
      <c r="N1177" s="85" t="s">
        <v>2879</v>
      </c>
      <c r="O1177" s="85" t="s">
        <v>4223</v>
      </c>
      <c r="P1177" s="86" t="s">
        <v>2890</v>
      </c>
    </row>
    <row r="1178" spans="2:16" ht="15.75" x14ac:dyDescent="0.25">
      <c r="B1178" s="85" t="str">
        <f t="shared" si="119"/>
        <v>1</v>
      </c>
      <c r="C1178" s="85" t="str">
        <f t="shared" si="120"/>
        <v>9</v>
      </c>
      <c r="D1178" s="85" t="str">
        <f t="shared" si="121"/>
        <v>1</v>
      </c>
      <c r="E1178" s="85" t="str">
        <f t="shared" si="122"/>
        <v>0</v>
      </c>
      <c r="F1178" s="85" t="str">
        <f t="shared" si="123"/>
        <v>01</v>
      </c>
      <c r="G1178" s="85" t="str">
        <f t="shared" si="124"/>
        <v>1</v>
      </c>
      <c r="H1178" s="85" t="str">
        <f t="shared" si="125"/>
        <v>2</v>
      </c>
      <c r="I1178" s="87">
        <v>19100112</v>
      </c>
      <c r="J1178" s="85" t="s">
        <v>4224</v>
      </c>
      <c r="K1178" s="85" t="s">
        <v>2892</v>
      </c>
      <c r="L1178" s="84"/>
      <c r="M1178" s="85" t="s">
        <v>2892</v>
      </c>
      <c r="N1178" s="85" t="s">
        <v>2003</v>
      </c>
      <c r="O1178" s="85" t="s">
        <v>2892</v>
      </c>
      <c r="P1178" s="86" t="s">
        <v>2890</v>
      </c>
    </row>
    <row r="1179" spans="2:16" ht="15.75" x14ac:dyDescent="0.25">
      <c r="B1179" s="85" t="str">
        <f t="shared" si="119"/>
        <v>1</v>
      </c>
      <c r="C1179" s="85" t="str">
        <f t="shared" si="120"/>
        <v>9</v>
      </c>
      <c r="D1179" s="85" t="str">
        <f t="shared" si="121"/>
        <v>1</v>
      </c>
      <c r="E1179" s="85" t="str">
        <f t="shared" si="122"/>
        <v>0</v>
      </c>
      <c r="F1179" s="85" t="str">
        <f t="shared" si="123"/>
        <v>01</v>
      </c>
      <c r="G1179" s="85" t="str">
        <f t="shared" si="124"/>
        <v>1</v>
      </c>
      <c r="H1179" s="85" t="str">
        <f t="shared" si="125"/>
        <v>3</v>
      </c>
      <c r="I1179" s="87">
        <v>19100113</v>
      </c>
      <c r="J1179" s="85" t="s">
        <v>4225</v>
      </c>
      <c r="K1179" s="85" t="s">
        <v>2892</v>
      </c>
      <c r="L1179" s="84"/>
      <c r="M1179" s="85" t="s">
        <v>2892</v>
      </c>
      <c r="N1179" s="85" t="s">
        <v>423</v>
      </c>
      <c r="O1179" s="85" t="s">
        <v>2892</v>
      </c>
      <c r="P1179" s="86" t="s">
        <v>2890</v>
      </c>
    </row>
    <row r="1180" spans="2:16" ht="15.75" x14ac:dyDescent="0.25">
      <c r="B1180" s="85" t="str">
        <f t="shared" si="119"/>
        <v>1</v>
      </c>
      <c r="C1180" s="85" t="str">
        <f t="shared" si="120"/>
        <v>9</v>
      </c>
      <c r="D1180" s="85" t="str">
        <f t="shared" si="121"/>
        <v>1</v>
      </c>
      <c r="E1180" s="85" t="str">
        <f t="shared" si="122"/>
        <v>0</v>
      </c>
      <c r="F1180" s="85" t="str">
        <f t="shared" si="123"/>
        <v>01</v>
      </c>
      <c r="G1180" s="85" t="str">
        <f t="shared" si="124"/>
        <v>1</v>
      </c>
      <c r="H1180" s="85" t="str">
        <f t="shared" si="125"/>
        <v>4</v>
      </c>
      <c r="I1180" s="87">
        <v>19100114</v>
      </c>
      <c r="J1180" s="85" t="s">
        <v>4226</v>
      </c>
      <c r="K1180" s="85" t="s">
        <v>2892</v>
      </c>
      <c r="L1180" s="84"/>
      <c r="M1180" s="85" t="s">
        <v>2892</v>
      </c>
      <c r="N1180" s="85" t="s">
        <v>2879</v>
      </c>
      <c r="O1180" s="85" t="s">
        <v>2892</v>
      </c>
      <c r="P1180" s="86" t="s">
        <v>2890</v>
      </c>
    </row>
    <row r="1181" spans="2:16" ht="45" x14ac:dyDescent="0.25">
      <c r="B1181" s="108" t="str">
        <f t="shared" si="119"/>
        <v>1</v>
      </c>
      <c r="C1181" s="108" t="str">
        <f t="shared" si="120"/>
        <v>9</v>
      </c>
      <c r="D1181" s="108" t="str">
        <f t="shared" si="121"/>
        <v>1</v>
      </c>
      <c r="E1181" s="108" t="str">
        <f t="shared" si="122"/>
        <v>0</v>
      </c>
      <c r="F1181" s="108" t="str">
        <f t="shared" si="123"/>
        <v>02</v>
      </c>
      <c r="G1181" s="108" t="str">
        <f t="shared" si="124"/>
        <v>0</v>
      </c>
      <c r="H1181" s="108" t="str">
        <f t="shared" si="125"/>
        <v>0</v>
      </c>
      <c r="I1181" s="109">
        <v>19100200</v>
      </c>
      <c r="J1181" s="108" t="s">
        <v>2032</v>
      </c>
      <c r="K1181" s="108" t="s">
        <v>4227</v>
      </c>
      <c r="L1181" s="110"/>
      <c r="M1181" s="108" t="s">
        <v>2878</v>
      </c>
      <c r="N1181" s="108" t="s">
        <v>2879</v>
      </c>
      <c r="O1181" s="108" t="s">
        <v>2878</v>
      </c>
      <c r="P1181" s="111" t="s">
        <v>2880</v>
      </c>
    </row>
    <row r="1182" spans="2:16" ht="45" x14ac:dyDescent="0.25">
      <c r="B1182" s="114" t="str">
        <f t="shared" si="119"/>
        <v>1</v>
      </c>
      <c r="C1182" s="114" t="str">
        <f t="shared" si="120"/>
        <v>9</v>
      </c>
      <c r="D1182" s="114" t="str">
        <f t="shared" si="121"/>
        <v>1</v>
      </c>
      <c r="E1182" s="114" t="str">
        <f t="shared" si="122"/>
        <v>0</v>
      </c>
      <c r="F1182" s="114" t="str">
        <f t="shared" si="123"/>
        <v>02</v>
      </c>
      <c r="G1182" s="114" t="str">
        <f t="shared" si="124"/>
        <v>1</v>
      </c>
      <c r="H1182" s="114" t="str">
        <f t="shared" si="125"/>
        <v>0</v>
      </c>
      <c r="I1182" s="115">
        <v>19100210</v>
      </c>
      <c r="J1182" s="114" t="s">
        <v>2032</v>
      </c>
      <c r="K1182" s="114" t="s">
        <v>4227</v>
      </c>
      <c r="L1182" s="116"/>
      <c r="M1182" s="114" t="s">
        <v>2878</v>
      </c>
      <c r="N1182" s="114" t="s">
        <v>2879</v>
      </c>
      <c r="O1182" s="114" t="s">
        <v>2878</v>
      </c>
      <c r="P1182" s="117" t="s">
        <v>2880</v>
      </c>
    </row>
    <row r="1183" spans="2:16" ht="65.25" customHeight="1" x14ac:dyDescent="0.25">
      <c r="B1183" s="85" t="str">
        <f t="shared" si="119"/>
        <v>1</v>
      </c>
      <c r="C1183" s="85" t="str">
        <f t="shared" si="120"/>
        <v>9</v>
      </c>
      <c r="D1183" s="85" t="str">
        <f t="shared" si="121"/>
        <v>1</v>
      </c>
      <c r="E1183" s="85" t="str">
        <f t="shared" si="122"/>
        <v>0</v>
      </c>
      <c r="F1183" s="85" t="str">
        <f t="shared" si="123"/>
        <v>02</v>
      </c>
      <c r="G1183" s="85" t="str">
        <f t="shared" si="124"/>
        <v>1</v>
      </c>
      <c r="H1183" s="85" t="str">
        <f t="shared" si="125"/>
        <v>1</v>
      </c>
      <c r="I1183" s="87">
        <v>19100211</v>
      </c>
      <c r="J1183" s="85" t="s">
        <v>4228</v>
      </c>
      <c r="K1183" s="85" t="s">
        <v>4229</v>
      </c>
      <c r="L1183" s="84"/>
      <c r="M1183" s="85" t="s">
        <v>4230</v>
      </c>
      <c r="N1183" s="85" t="s">
        <v>2879</v>
      </c>
      <c r="O1183" s="85" t="s">
        <v>4231</v>
      </c>
      <c r="P1183" s="86" t="s">
        <v>2890</v>
      </c>
    </row>
    <row r="1184" spans="2:16" ht="15.75" x14ac:dyDescent="0.25">
      <c r="B1184" s="85" t="str">
        <f t="shared" si="119"/>
        <v>1</v>
      </c>
      <c r="C1184" s="85" t="str">
        <f t="shared" si="120"/>
        <v>9</v>
      </c>
      <c r="D1184" s="85" t="str">
        <f t="shared" si="121"/>
        <v>1</v>
      </c>
      <c r="E1184" s="85" t="str">
        <f t="shared" si="122"/>
        <v>0</v>
      </c>
      <c r="F1184" s="85" t="str">
        <f t="shared" si="123"/>
        <v>02</v>
      </c>
      <c r="G1184" s="85" t="str">
        <f t="shared" si="124"/>
        <v>1</v>
      </c>
      <c r="H1184" s="85" t="str">
        <f t="shared" si="125"/>
        <v>2</v>
      </c>
      <c r="I1184" s="87">
        <v>19100212</v>
      </c>
      <c r="J1184" s="85" t="s">
        <v>4232</v>
      </c>
      <c r="K1184" s="85" t="s">
        <v>2892</v>
      </c>
      <c r="L1184" s="84"/>
      <c r="M1184" s="85" t="s">
        <v>2892</v>
      </c>
      <c r="N1184" s="85" t="s">
        <v>1439</v>
      </c>
      <c r="O1184" s="85" t="s">
        <v>2892</v>
      </c>
      <c r="P1184" s="86" t="s">
        <v>2890</v>
      </c>
    </row>
    <row r="1185" spans="2:16" ht="15.75" x14ac:dyDescent="0.25">
      <c r="B1185" s="85" t="str">
        <f t="shared" si="119"/>
        <v>1</v>
      </c>
      <c r="C1185" s="85" t="str">
        <f t="shared" si="120"/>
        <v>9</v>
      </c>
      <c r="D1185" s="85" t="str">
        <f t="shared" si="121"/>
        <v>1</v>
      </c>
      <c r="E1185" s="85" t="str">
        <f t="shared" si="122"/>
        <v>0</v>
      </c>
      <c r="F1185" s="85" t="str">
        <f t="shared" si="123"/>
        <v>02</v>
      </c>
      <c r="G1185" s="85" t="str">
        <f t="shared" si="124"/>
        <v>1</v>
      </c>
      <c r="H1185" s="85" t="str">
        <f t="shared" si="125"/>
        <v>3</v>
      </c>
      <c r="I1185" s="87">
        <v>19100213</v>
      </c>
      <c r="J1185" s="85" t="s">
        <v>4233</v>
      </c>
      <c r="K1185" s="85" t="s">
        <v>2892</v>
      </c>
      <c r="L1185" s="84"/>
      <c r="M1185" s="85" t="s">
        <v>2892</v>
      </c>
      <c r="N1185" s="85" t="s">
        <v>2879</v>
      </c>
      <c r="O1185" s="85" t="s">
        <v>2892</v>
      </c>
      <c r="P1185" s="86" t="s">
        <v>2890</v>
      </c>
    </row>
    <row r="1186" spans="2:16" ht="30" x14ac:dyDescent="0.25">
      <c r="B1186" s="85" t="str">
        <f t="shared" si="119"/>
        <v>1</v>
      </c>
      <c r="C1186" s="85" t="str">
        <f t="shared" si="120"/>
        <v>9</v>
      </c>
      <c r="D1186" s="85" t="str">
        <f t="shared" si="121"/>
        <v>1</v>
      </c>
      <c r="E1186" s="85" t="str">
        <f t="shared" si="122"/>
        <v>0</v>
      </c>
      <c r="F1186" s="85" t="str">
        <f t="shared" si="123"/>
        <v>02</v>
      </c>
      <c r="G1186" s="85" t="str">
        <f t="shared" si="124"/>
        <v>1</v>
      </c>
      <c r="H1186" s="85" t="str">
        <f t="shared" si="125"/>
        <v>4</v>
      </c>
      <c r="I1186" s="87">
        <v>19100214</v>
      </c>
      <c r="J1186" s="85" t="s">
        <v>4234</v>
      </c>
      <c r="K1186" s="85" t="s">
        <v>2892</v>
      </c>
      <c r="L1186" s="84"/>
      <c r="M1186" s="85" t="s">
        <v>2892</v>
      </c>
      <c r="N1186" s="85" t="s">
        <v>2879</v>
      </c>
      <c r="O1186" s="85" t="s">
        <v>2892</v>
      </c>
      <c r="P1186" s="86" t="s">
        <v>2890</v>
      </c>
    </row>
    <row r="1187" spans="2:16" ht="30" x14ac:dyDescent="0.25">
      <c r="B1187" s="108" t="str">
        <f t="shared" si="119"/>
        <v>1</v>
      </c>
      <c r="C1187" s="108" t="str">
        <f t="shared" si="120"/>
        <v>9</v>
      </c>
      <c r="D1187" s="108" t="str">
        <f t="shared" si="121"/>
        <v>1</v>
      </c>
      <c r="E1187" s="108" t="str">
        <f t="shared" si="122"/>
        <v>0</v>
      </c>
      <c r="F1187" s="108" t="str">
        <f t="shared" si="123"/>
        <v>03</v>
      </c>
      <c r="G1187" s="108" t="str">
        <f t="shared" si="124"/>
        <v>0</v>
      </c>
      <c r="H1187" s="108" t="str">
        <f t="shared" si="125"/>
        <v>0</v>
      </c>
      <c r="I1187" s="109">
        <v>19100300</v>
      </c>
      <c r="J1187" s="108" t="s">
        <v>2044</v>
      </c>
      <c r="K1187" s="108" t="s">
        <v>4235</v>
      </c>
      <c r="L1187" s="110"/>
      <c r="M1187" s="108" t="s">
        <v>2878</v>
      </c>
      <c r="N1187" s="108" t="s">
        <v>2879</v>
      </c>
      <c r="O1187" s="108" t="s">
        <v>2878</v>
      </c>
      <c r="P1187" s="111" t="s">
        <v>2880</v>
      </c>
    </row>
    <row r="1188" spans="2:16" ht="30" x14ac:dyDescent="0.25">
      <c r="B1188" s="114" t="str">
        <f t="shared" si="119"/>
        <v>1</v>
      </c>
      <c r="C1188" s="114" t="str">
        <f t="shared" si="120"/>
        <v>9</v>
      </c>
      <c r="D1188" s="114" t="str">
        <f t="shared" si="121"/>
        <v>1</v>
      </c>
      <c r="E1188" s="114" t="str">
        <f t="shared" si="122"/>
        <v>0</v>
      </c>
      <c r="F1188" s="114" t="str">
        <f t="shared" si="123"/>
        <v>03</v>
      </c>
      <c r="G1188" s="114" t="str">
        <f t="shared" si="124"/>
        <v>1</v>
      </c>
      <c r="H1188" s="114" t="str">
        <f t="shared" si="125"/>
        <v>0</v>
      </c>
      <c r="I1188" s="115">
        <v>19100310</v>
      </c>
      <c r="J1188" s="114" t="s">
        <v>2044</v>
      </c>
      <c r="K1188" s="114" t="s">
        <v>4235</v>
      </c>
      <c r="L1188" s="116"/>
      <c r="M1188" s="114" t="s">
        <v>2878</v>
      </c>
      <c r="N1188" s="114" t="s">
        <v>2879</v>
      </c>
      <c r="O1188" s="114" t="s">
        <v>2878</v>
      </c>
      <c r="P1188" s="117" t="s">
        <v>2880</v>
      </c>
    </row>
    <row r="1189" spans="2:16" ht="30" x14ac:dyDescent="0.25">
      <c r="B1189" s="85" t="str">
        <f t="shared" si="119"/>
        <v>1</v>
      </c>
      <c r="C1189" s="85" t="str">
        <f t="shared" si="120"/>
        <v>9</v>
      </c>
      <c r="D1189" s="85" t="str">
        <f t="shared" si="121"/>
        <v>1</v>
      </c>
      <c r="E1189" s="85" t="str">
        <f t="shared" si="122"/>
        <v>0</v>
      </c>
      <c r="F1189" s="85" t="str">
        <f t="shared" si="123"/>
        <v>03</v>
      </c>
      <c r="G1189" s="85" t="str">
        <f t="shared" si="124"/>
        <v>1</v>
      </c>
      <c r="H1189" s="85" t="str">
        <f t="shared" si="125"/>
        <v>1</v>
      </c>
      <c r="I1189" s="87">
        <v>19100311</v>
      </c>
      <c r="J1189" s="85" t="s">
        <v>4236</v>
      </c>
      <c r="K1189" s="85" t="s">
        <v>4237</v>
      </c>
      <c r="L1189" s="84"/>
      <c r="M1189" s="85" t="s">
        <v>3044</v>
      </c>
      <c r="N1189" s="85" t="s">
        <v>2879</v>
      </c>
      <c r="O1189" s="85" t="s">
        <v>4238</v>
      </c>
      <c r="P1189" s="86" t="s">
        <v>2890</v>
      </c>
    </row>
    <row r="1190" spans="2:16" ht="30" x14ac:dyDescent="0.25">
      <c r="B1190" s="108" t="str">
        <f t="shared" si="119"/>
        <v>1</v>
      </c>
      <c r="C1190" s="108" t="str">
        <f t="shared" si="120"/>
        <v>9</v>
      </c>
      <c r="D1190" s="108" t="str">
        <f t="shared" si="121"/>
        <v>1</v>
      </c>
      <c r="E1190" s="108" t="str">
        <f t="shared" si="122"/>
        <v>0</v>
      </c>
      <c r="F1190" s="108" t="str">
        <f t="shared" si="123"/>
        <v>04</v>
      </c>
      <c r="G1190" s="108" t="str">
        <f t="shared" si="124"/>
        <v>0</v>
      </c>
      <c r="H1190" s="108" t="str">
        <f t="shared" si="125"/>
        <v>0</v>
      </c>
      <c r="I1190" s="109">
        <v>19100400</v>
      </c>
      <c r="J1190" s="108" t="s">
        <v>2052</v>
      </c>
      <c r="K1190" s="108" t="s">
        <v>4239</v>
      </c>
      <c r="L1190" s="110"/>
      <c r="M1190" s="108" t="s">
        <v>2878</v>
      </c>
      <c r="N1190" s="108" t="s">
        <v>2879</v>
      </c>
      <c r="O1190" s="108" t="s">
        <v>2878</v>
      </c>
      <c r="P1190" s="111" t="s">
        <v>2880</v>
      </c>
    </row>
    <row r="1191" spans="2:16" ht="30" x14ac:dyDescent="0.25">
      <c r="B1191" s="114" t="str">
        <f t="shared" si="119"/>
        <v>1</v>
      </c>
      <c r="C1191" s="114" t="str">
        <f t="shared" si="120"/>
        <v>9</v>
      </c>
      <c r="D1191" s="114" t="str">
        <f t="shared" si="121"/>
        <v>1</v>
      </c>
      <c r="E1191" s="114" t="str">
        <f t="shared" si="122"/>
        <v>0</v>
      </c>
      <c r="F1191" s="114" t="str">
        <f t="shared" si="123"/>
        <v>04</v>
      </c>
      <c r="G1191" s="114" t="str">
        <f t="shared" si="124"/>
        <v>1</v>
      </c>
      <c r="H1191" s="114" t="str">
        <f t="shared" si="125"/>
        <v>0</v>
      </c>
      <c r="I1191" s="115">
        <v>19100410</v>
      </c>
      <c r="J1191" s="114" t="s">
        <v>2052</v>
      </c>
      <c r="K1191" s="114" t="s">
        <v>4239</v>
      </c>
      <c r="L1191" s="116"/>
      <c r="M1191" s="114" t="s">
        <v>2878</v>
      </c>
      <c r="N1191" s="114" t="s">
        <v>2879</v>
      </c>
      <c r="O1191" s="114" t="s">
        <v>2878</v>
      </c>
      <c r="P1191" s="117" t="s">
        <v>2880</v>
      </c>
    </row>
    <row r="1192" spans="2:16" ht="45" x14ac:dyDescent="0.25">
      <c r="B1192" s="85" t="str">
        <f t="shared" si="119"/>
        <v>1</v>
      </c>
      <c r="C1192" s="85" t="str">
        <f t="shared" si="120"/>
        <v>9</v>
      </c>
      <c r="D1192" s="85" t="str">
        <f t="shared" si="121"/>
        <v>1</v>
      </c>
      <c r="E1192" s="85" t="str">
        <f t="shared" si="122"/>
        <v>0</v>
      </c>
      <c r="F1192" s="85" t="str">
        <f t="shared" si="123"/>
        <v>04</v>
      </c>
      <c r="G1192" s="85" t="str">
        <f t="shared" si="124"/>
        <v>1</v>
      </c>
      <c r="H1192" s="85" t="str">
        <f t="shared" si="125"/>
        <v>1</v>
      </c>
      <c r="I1192" s="87">
        <v>19100411</v>
      </c>
      <c r="J1192" s="85" t="s">
        <v>4240</v>
      </c>
      <c r="K1192" s="85" t="s">
        <v>4241</v>
      </c>
      <c r="L1192" s="84"/>
      <c r="M1192" s="85" t="s">
        <v>4242</v>
      </c>
      <c r="N1192" s="85" t="s">
        <v>2879</v>
      </c>
      <c r="O1192" s="85" t="s">
        <v>4243</v>
      </c>
      <c r="P1192" s="86" t="s">
        <v>2890</v>
      </c>
    </row>
    <row r="1193" spans="2:16" ht="30" x14ac:dyDescent="0.25">
      <c r="B1193" s="108" t="str">
        <f t="shared" si="119"/>
        <v>1</v>
      </c>
      <c r="C1193" s="108" t="str">
        <f t="shared" si="120"/>
        <v>9</v>
      </c>
      <c r="D1193" s="108" t="str">
        <f t="shared" si="121"/>
        <v>1</v>
      </c>
      <c r="E1193" s="108" t="str">
        <f t="shared" si="122"/>
        <v>0</v>
      </c>
      <c r="F1193" s="108" t="str">
        <f t="shared" si="123"/>
        <v>05</v>
      </c>
      <c r="G1193" s="108" t="str">
        <f t="shared" si="124"/>
        <v>0</v>
      </c>
      <c r="H1193" s="108" t="str">
        <f t="shared" si="125"/>
        <v>0</v>
      </c>
      <c r="I1193" s="109">
        <v>19100500</v>
      </c>
      <c r="J1193" s="108" t="s">
        <v>4244</v>
      </c>
      <c r="K1193" s="108" t="s">
        <v>4245</v>
      </c>
      <c r="L1193" s="110"/>
      <c r="M1193" s="108" t="s">
        <v>2878</v>
      </c>
      <c r="N1193" s="108" t="s">
        <v>2879</v>
      </c>
      <c r="O1193" s="108" t="s">
        <v>2878</v>
      </c>
      <c r="P1193" s="111" t="s">
        <v>2880</v>
      </c>
    </row>
    <row r="1194" spans="2:16" ht="30" x14ac:dyDescent="0.25">
      <c r="B1194" s="114" t="str">
        <f t="shared" si="119"/>
        <v>1</v>
      </c>
      <c r="C1194" s="114" t="str">
        <f t="shared" si="120"/>
        <v>9</v>
      </c>
      <c r="D1194" s="114" t="str">
        <f t="shared" si="121"/>
        <v>1</v>
      </c>
      <c r="E1194" s="114" t="str">
        <f t="shared" si="122"/>
        <v>0</v>
      </c>
      <c r="F1194" s="114" t="str">
        <f t="shared" si="123"/>
        <v>05</v>
      </c>
      <c r="G1194" s="114" t="str">
        <f t="shared" si="124"/>
        <v>1</v>
      </c>
      <c r="H1194" s="114" t="str">
        <f t="shared" si="125"/>
        <v>0</v>
      </c>
      <c r="I1194" s="115">
        <v>19100510</v>
      </c>
      <c r="J1194" s="114" t="s">
        <v>4244</v>
      </c>
      <c r="K1194" s="114" t="s">
        <v>4245</v>
      </c>
      <c r="L1194" s="116"/>
      <c r="M1194" s="114" t="s">
        <v>2878</v>
      </c>
      <c r="N1194" s="114" t="s">
        <v>2879</v>
      </c>
      <c r="O1194" s="114" t="s">
        <v>2878</v>
      </c>
      <c r="P1194" s="117" t="s">
        <v>2880</v>
      </c>
    </row>
    <row r="1195" spans="2:16" ht="60" x14ac:dyDescent="0.25">
      <c r="B1195" s="85" t="str">
        <f t="shared" si="119"/>
        <v>1</v>
      </c>
      <c r="C1195" s="85" t="str">
        <f t="shared" si="120"/>
        <v>9</v>
      </c>
      <c r="D1195" s="85" t="str">
        <f t="shared" si="121"/>
        <v>1</v>
      </c>
      <c r="E1195" s="85" t="str">
        <f t="shared" si="122"/>
        <v>0</v>
      </c>
      <c r="F1195" s="85" t="str">
        <f t="shared" si="123"/>
        <v>05</v>
      </c>
      <c r="G1195" s="85" t="str">
        <f t="shared" si="124"/>
        <v>1</v>
      </c>
      <c r="H1195" s="85" t="str">
        <f t="shared" si="125"/>
        <v>1</v>
      </c>
      <c r="I1195" s="87">
        <v>19100511</v>
      </c>
      <c r="J1195" s="85" t="s">
        <v>4850</v>
      </c>
      <c r="K1195" s="85" t="s">
        <v>4246</v>
      </c>
      <c r="L1195" s="84"/>
      <c r="M1195" s="85" t="s">
        <v>4247</v>
      </c>
      <c r="N1195" s="85" t="s">
        <v>2879</v>
      </c>
      <c r="O1195" s="85" t="s">
        <v>4248</v>
      </c>
      <c r="P1195" s="86" t="s">
        <v>2890</v>
      </c>
    </row>
    <row r="1196" spans="2:16" ht="30" x14ac:dyDescent="0.25">
      <c r="B1196" s="85" t="str">
        <f t="shared" si="119"/>
        <v>1</v>
      </c>
      <c r="C1196" s="85" t="str">
        <f t="shared" si="120"/>
        <v>9</v>
      </c>
      <c r="D1196" s="85" t="str">
        <f t="shared" si="121"/>
        <v>1</v>
      </c>
      <c r="E1196" s="85" t="str">
        <f t="shared" si="122"/>
        <v>0</v>
      </c>
      <c r="F1196" s="85" t="str">
        <f t="shared" si="123"/>
        <v>05</v>
      </c>
      <c r="G1196" s="85" t="str">
        <f t="shared" si="124"/>
        <v>1</v>
      </c>
      <c r="H1196" s="85" t="str">
        <f t="shared" si="125"/>
        <v>3</v>
      </c>
      <c r="I1196" s="87">
        <v>19100513</v>
      </c>
      <c r="J1196" s="85" t="s">
        <v>4851</v>
      </c>
      <c r="K1196" s="85" t="s">
        <v>2892</v>
      </c>
      <c r="L1196" s="84"/>
      <c r="M1196" s="85" t="s">
        <v>2892</v>
      </c>
      <c r="N1196" s="85" t="s">
        <v>2879</v>
      </c>
      <c r="O1196" s="85" t="s">
        <v>2892</v>
      </c>
      <c r="P1196" s="86" t="s">
        <v>2890</v>
      </c>
    </row>
    <row r="1197" spans="2:16" ht="30" x14ac:dyDescent="0.25">
      <c r="B1197" s="85" t="str">
        <f t="shared" si="119"/>
        <v>1</v>
      </c>
      <c r="C1197" s="85" t="str">
        <f t="shared" si="120"/>
        <v>9</v>
      </c>
      <c r="D1197" s="85" t="str">
        <f t="shared" si="121"/>
        <v>1</v>
      </c>
      <c r="E1197" s="85" t="str">
        <f t="shared" si="122"/>
        <v>0</v>
      </c>
      <c r="F1197" s="85" t="str">
        <f t="shared" si="123"/>
        <v>05</v>
      </c>
      <c r="G1197" s="85" t="str">
        <f t="shared" si="124"/>
        <v>1</v>
      </c>
      <c r="H1197" s="85" t="str">
        <f t="shared" si="125"/>
        <v>4</v>
      </c>
      <c r="I1197" s="87">
        <v>19100514</v>
      </c>
      <c r="J1197" s="85" t="s">
        <v>4852</v>
      </c>
      <c r="K1197" s="85" t="s">
        <v>2892</v>
      </c>
      <c r="L1197" s="84"/>
      <c r="M1197" s="85" t="s">
        <v>2892</v>
      </c>
      <c r="N1197" s="85" t="s">
        <v>2879</v>
      </c>
      <c r="O1197" s="85" t="s">
        <v>2892</v>
      </c>
      <c r="P1197" s="86" t="s">
        <v>2890</v>
      </c>
    </row>
    <row r="1198" spans="2:16" ht="30" x14ac:dyDescent="0.25">
      <c r="B1198" s="108" t="str">
        <f t="shared" si="119"/>
        <v>1</v>
      </c>
      <c r="C1198" s="108" t="str">
        <f t="shared" si="120"/>
        <v>9</v>
      </c>
      <c r="D1198" s="108" t="str">
        <f t="shared" si="121"/>
        <v>1</v>
      </c>
      <c r="E1198" s="108" t="str">
        <f t="shared" si="122"/>
        <v>0</v>
      </c>
      <c r="F1198" s="108" t="str">
        <f t="shared" si="123"/>
        <v>06</v>
      </c>
      <c r="G1198" s="108" t="str">
        <f t="shared" si="124"/>
        <v>0</v>
      </c>
      <c r="H1198" s="108" t="str">
        <f t="shared" si="125"/>
        <v>0</v>
      </c>
      <c r="I1198" s="109">
        <v>19100600</v>
      </c>
      <c r="J1198" s="108" t="s">
        <v>2079</v>
      </c>
      <c r="K1198" s="108" t="s">
        <v>4249</v>
      </c>
      <c r="L1198" s="110"/>
      <c r="M1198" s="108" t="s">
        <v>2878</v>
      </c>
      <c r="N1198" s="108" t="s">
        <v>2879</v>
      </c>
      <c r="O1198" s="108" t="s">
        <v>2878</v>
      </c>
      <c r="P1198" s="111" t="s">
        <v>2880</v>
      </c>
    </row>
    <row r="1199" spans="2:16" ht="30" x14ac:dyDescent="0.25">
      <c r="B1199" s="114" t="str">
        <f t="shared" si="119"/>
        <v>1</v>
      </c>
      <c r="C1199" s="114" t="str">
        <f t="shared" si="120"/>
        <v>9</v>
      </c>
      <c r="D1199" s="114" t="str">
        <f t="shared" si="121"/>
        <v>1</v>
      </c>
      <c r="E1199" s="114" t="str">
        <f t="shared" si="122"/>
        <v>0</v>
      </c>
      <c r="F1199" s="114" t="str">
        <f t="shared" si="123"/>
        <v>06</v>
      </c>
      <c r="G1199" s="114" t="str">
        <f t="shared" si="124"/>
        <v>1</v>
      </c>
      <c r="H1199" s="114" t="str">
        <f t="shared" si="125"/>
        <v>0</v>
      </c>
      <c r="I1199" s="115">
        <v>19100610</v>
      </c>
      <c r="J1199" s="114" t="s">
        <v>2081</v>
      </c>
      <c r="K1199" s="114" t="s">
        <v>4250</v>
      </c>
      <c r="L1199" s="116"/>
      <c r="M1199" s="114" t="s">
        <v>2878</v>
      </c>
      <c r="N1199" s="114" t="s">
        <v>2879</v>
      </c>
      <c r="O1199" s="114" t="s">
        <v>2878</v>
      </c>
      <c r="P1199" s="117" t="s">
        <v>2880</v>
      </c>
    </row>
    <row r="1200" spans="2:16" ht="135" x14ac:dyDescent="0.25">
      <c r="B1200" s="85" t="str">
        <f t="shared" si="119"/>
        <v>1</v>
      </c>
      <c r="C1200" s="85" t="str">
        <f t="shared" si="120"/>
        <v>9</v>
      </c>
      <c r="D1200" s="85" t="str">
        <f t="shared" si="121"/>
        <v>1</v>
      </c>
      <c r="E1200" s="85" t="str">
        <f t="shared" si="122"/>
        <v>0</v>
      </c>
      <c r="F1200" s="85" t="str">
        <f t="shared" si="123"/>
        <v>06</v>
      </c>
      <c r="G1200" s="85" t="str">
        <f t="shared" si="124"/>
        <v>1</v>
      </c>
      <c r="H1200" s="85" t="str">
        <f t="shared" si="125"/>
        <v>1</v>
      </c>
      <c r="I1200" s="87">
        <v>19100611</v>
      </c>
      <c r="J1200" s="85" t="s">
        <v>4251</v>
      </c>
      <c r="K1200" s="85" t="s">
        <v>4252</v>
      </c>
      <c r="L1200" s="84"/>
      <c r="M1200" s="85" t="s">
        <v>4253</v>
      </c>
      <c r="N1200" s="85" t="s">
        <v>2879</v>
      </c>
      <c r="O1200" s="85" t="s">
        <v>4254</v>
      </c>
      <c r="P1200" s="86" t="s">
        <v>2890</v>
      </c>
    </row>
    <row r="1201" spans="2:16" ht="15.75" x14ac:dyDescent="0.25">
      <c r="B1201" s="85" t="str">
        <f t="shared" si="119"/>
        <v>1</v>
      </c>
      <c r="C1201" s="85" t="str">
        <f t="shared" si="120"/>
        <v>9</v>
      </c>
      <c r="D1201" s="85" t="str">
        <f t="shared" si="121"/>
        <v>1</v>
      </c>
      <c r="E1201" s="85" t="str">
        <f t="shared" si="122"/>
        <v>0</v>
      </c>
      <c r="F1201" s="85" t="str">
        <f t="shared" si="123"/>
        <v>06</v>
      </c>
      <c r="G1201" s="85" t="str">
        <f t="shared" si="124"/>
        <v>1</v>
      </c>
      <c r="H1201" s="85" t="str">
        <f t="shared" si="125"/>
        <v>2</v>
      </c>
      <c r="I1201" s="87">
        <v>19100612</v>
      </c>
      <c r="J1201" s="85" t="s">
        <v>4255</v>
      </c>
      <c r="K1201" s="85" t="s">
        <v>2892</v>
      </c>
      <c r="L1201" s="84"/>
      <c r="M1201" s="85" t="s">
        <v>2892</v>
      </c>
      <c r="N1201" s="85" t="s">
        <v>2879</v>
      </c>
      <c r="O1201" s="85" t="s">
        <v>2892</v>
      </c>
      <c r="P1201" s="86" t="s">
        <v>2890</v>
      </c>
    </row>
    <row r="1202" spans="2:16" ht="30" x14ac:dyDescent="0.25">
      <c r="B1202" s="114" t="str">
        <f t="shared" si="119"/>
        <v>1</v>
      </c>
      <c r="C1202" s="114" t="str">
        <f t="shared" si="120"/>
        <v>9</v>
      </c>
      <c r="D1202" s="114" t="str">
        <f t="shared" si="121"/>
        <v>1</v>
      </c>
      <c r="E1202" s="114" t="str">
        <f t="shared" si="122"/>
        <v>0</v>
      </c>
      <c r="F1202" s="114" t="str">
        <f t="shared" si="123"/>
        <v>06</v>
      </c>
      <c r="G1202" s="114" t="str">
        <f t="shared" si="124"/>
        <v>2</v>
      </c>
      <c r="H1202" s="114" t="str">
        <f t="shared" si="125"/>
        <v>0</v>
      </c>
      <c r="I1202" s="115">
        <v>19100620</v>
      </c>
      <c r="J1202" s="114" t="s">
        <v>2083</v>
      </c>
      <c r="K1202" s="114" t="s">
        <v>4256</v>
      </c>
      <c r="L1202" s="116"/>
      <c r="M1202" s="114" t="s">
        <v>2878</v>
      </c>
      <c r="N1202" s="114" t="s">
        <v>2879</v>
      </c>
      <c r="O1202" s="114" t="s">
        <v>2878</v>
      </c>
      <c r="P1202" s="117" t="s">
        <v>2880</v>
      </c>
    </row>
    <row r="1203" spans="2:16" ht="60" x14ac:dyDescent="0.25">
      <c r="B1203" s="85" t="str">
        <f t="shared" si="119"/>
        <v>1</v>
      </c>
      <c r="C1203" s="85" t="str">
        <f t="shared" si="120"/>
        <v>9</v>
      </c>
      <c r="D1203" s="85" t="str">
        <f t="shared" si="121"/>
        <v>1</v>
      </c>
      <c r="E1203" s="85" t="str">
        <f t="shared" si="122"/>
        <v>0</v>
      </c>
      <c r="F1203" s="85" t="str">
        <f t="shared" si="123"/>
        <v>06</v>
      </c>
      <c r="G1203" s="85" t="str">
        <f t="shared" si="124"/>
        <v>2</v>
      </c>
      <c r="H1203" s="85" t="str">
        <f t="shared" si="125"/>
        <v>1</v>
      </c>
      <c r="I1203" s="87">
        <v>19100621</v>
      </c>
      <c r="J1203" s="85" t="s">
        <v>4257</v>
      </c>
      <c r="K1203" s="85" t="s">
        <v>4258</v>
      </c>
      <c r="L1203" s="84"/>
      <c r="M1203" s="85" t="s">
        <v>4259</v>
      </c>
      <c r="N1203" s="85" t="s">
        <v>2879</v>
      </c>
      <c r="O1203" s="85" t="s">
        <v>4260</v>
      </c>
      <c r="P1203" s="86" t="s">
        <v>2890</v>
      </c>
    </row>
    <row r="1204" spans="2:16" ht="30" x14ac:dyDescent="0.25">
      <c r="B1204" s="108" t="str">
        <f t="shared" si="119"/>
        <v>1</v>
      </c>
      <c r="C1204" s="108" t="str">
        <f t="shared" si="120"/>
        <v>9</v>
      </c>
      <c r="D1204" s="108" t="str">
        <f t="shared" si="121"/>
        <v>1</v>
      </c>
      <c r="E1204" s="108" t="str">
        <f t="shared" si="122"/>
        <v>0</v>
      </c>
      <c r="F1204" s="108" t="str">
        <f t="shared" si="123"/>
        <v>07</v>
      </c>
      <c r="G1204" s="108" t="str">
        <f t="shared" si="124"/>
        <v>0</v>
      </c>
      <c r="H1204" s="108" t="str">
        <f t="shared" si="125"/>
        <v>0</v>
      </c>
      <c r="I1204" s="109">
        <v>19100700</v>
      </c>
      <c r="J1204" s="108" t="s">
        <v>2093</v>
      </c>
      <c r="K1204" s="108" t="s">
        <v>4261</v>
      </c>
      <c r="L1204" s="110"/>
      <c r="M1204" s="108" t="s">
        <v>2878</v>
      </c>
      <c r="N1204" s="108" t="s">
        <v>2879</v>
      </c>
      <c r="O1204" s="108" t="s">
        <v>2878</v>
      </c>
      <c r="P1204" s="111" t="s">
        <v>2880</v>
      </c>
    </row>
    <row r="1205" spans="2:16" ht="30" x14ac:dyDescent="0.25">
      <c r="B1205" s="114" t="str">
        <f t="shared" si="119"/>
        <v>1</v>
      </c>
      <c r="C1205" s="114" t="str">
        <f t="shared" si="120"/>
        <v>9</v>
      </c>
      <c r="D1205" s="114" t="str">
        <f t="shared" si="121"/>
        <v>1</v>
      </c>
      <c r="E1205" s="114" t="str">
        <f t="shared" si="122"/>
        <v>0</v>
      </c>
      <c r="F1205" s="114" t="str">
        <f t="shared" si="123"/>
        <v>07</v>
      </c>
      <c r="G1205" s="114" t="str">
        <f t="shared" si="124"/>
        <v>1</v>
      </c>
      <c r="H1205" s="114" t="str">
        <f t="shared" si="125"/>
        <v>0</v>
      </c>
      <c r="I1205" s="115">
        <v>19100710</v>
      </c>
      <c r="J1205" s="114" t="s">
        <v>2093</v>
      </c>
      <c r="K1205" s="114" t="s">
        <v>4261</v>
      </c>
      <c r="L1205" s="116"/>
      <c r="M1205" s="114" t="s">
        <v>2878</v>
      </c>
      <c r="N1205" s="114" t="s">
        <v>2879</v>
      </c>
      <c r="O1205" s="114" t="s">
        <v>2878</v>
      </c>
      <c r="P1205" s="117" t="s">
        <v>2880</v>
      </c>
    </row>
    <row r="1206" spans="2:16" ht="30" x14ac:dyDescent="0.25">
      <c r="B1206" s="85" t="str">
        <f t="shared" si="119"/>
        <v>1</v>
      </c>
      <c r="C1206" s="85" t="str">
        <f t="shared" si="120"/>
        <v>9</v>
      </c>
      <c r="D1206" s="85" t="str">
        <f t="shared" si="121"/>
        <v>1</v>
      </c>
      <c r="E1206" s="85" t="str">
        <f t="shared" si="122"/>
        <v>0</v>
      </c>
      <c r="F1206" s="85" t="str">
        <f t="shared" si="123"/>
        <v>07</v>
      </c>
      <c r="G1206" s="85" t="str">
        <f t="shared" si="124"/>
        <v>1</v>
      </c>
      <c r="H1206" s="85" t="str">
        <f t="shared" si="125"/>
        <v>1</v>
      </c>
      <c r="I1206" s="87">
        <v>19100711</v>
      </c>
      <c r="J1206" s="85" t="s">
        <v>4262</v>
      </c>
      <c r="K1206" s="85" t="s">
        <v>4263</v>
      </c>
      <c r="L1206" s="84"/>
      <c r="M1206" s="85" t="s">
        <v>3728</v>
      </c>
      <c r="N1206" s="85" t="s">
        <v>2879</v>
      </c>
      <c r="O1206" s="85" t="s">
        <v>4264</v>
      </c>
      <c r="P1206" s="86" t="s">
        <v>2890</v>
      </c>
    </row>
    <row r="1207" spans="2:16" ht="30" x14ac:dyDescent="0.25">
      <c r="B1207" s="108" t="str">
        <f t="shared" si="119"/>
        <v>1</v>
      </c>
      <c r="C1207" s="108" t="str">
        <f t="shared" si="120"/>
        <v>9</v>
      </c>
      <c r="D1207" s="108" t="str">
        <f t="shared" si="121"/>
        <v>1</v>
      </c>
      <c r="E1207" s="108" t="str">
        <f t="shared" si="122"/>
        <v>0</v>
      </c>
      <c r="F1207" s="108" t="str">
        <f t="shared" si="123"/>
        <v>08</v>
      </c>
      <c r="G1207" s="108" t="str">
        <f t="shared" si="124"/>
        <v>0</v>
      </c>
      <c r="H1207" s="108" t="str">
        <f t="shared" si="125"/>
        <v>0</v>
      </c>
      <c r="I1207" s="109">
        <v>19100800</v>
      </c>
      <c r="J1207" s="108" t="s">
        <v>2073</v>
      </c>
      <c r="K1207" s="108" t="s">
        <v>4265</v>
      </c>
      <c r="L1207" s="110"/>
      <c r="M1207" s="108" t="s">
        <v>2878</v>
      </c>
      <c r="N1207" s="108" t="s">
        <v>2879</v>
      </c>
      <c r="O1207" s="108" t="s">
        <v>2878</v>
      </c>
      <c r="P1207" s="111" t="s">
        <v>2880</v>
      </c>
    </row>
    <row r="1208" spans="2:16" ht="30" x14ac:dyDescent="0.25">
      <c r="B1208" s="114" t="str">
        <f t="shared" si="119"/>
        <v>1</v>
      </c>
      <c r="C1208" s="114" t="str">
        <f t="shared" si="120"/>
        <v>9</v>
      </c>
      <c r="D1208" s="114" t="str">
        <f t="shared" si="121"/>
        <v>1</v>
      </c>
      <c r="E1208" s="114" t="str">
        <f t="shared" si="122"/>
        <v>0</v>
      </c>
      <c r="F1208" s="114" t="str">
        <f t="shared" si="123"/>
        <v>08</v>
      </c>
      <c r="G1208" s="114" t="str">
        <f t="shared" si="124"/>
        <v>1</v>
      </c>
      <c r="H1208" s="114" t="str">
        <f t="shared" si="125"/>
        <v>0</v>
      </c>
      <c r="I1208" s="115">
        <v>19100810</v>
      </c>
      <c r="J1208" s="114" t="s">
        <v>2073</v>
      </c>
      <c r="K1208" s="114" t="s">
        <v>4265</v>
      </c>
      <c r="L1208" s="116"/>
      <c r="M1208" s="114" t="s">
        <v>2878</v>
      </c>
      <c r="N1208" s="114" t="s">
        <v>2879</v>
      </c>
      <c r="O1208" s="114" t="s">
        <v>2878</v>
      </c>
      <c r="P1208" s="117" t="s">
        <v>2880</v>
      </c>
    </row>
    <row r="1209" spans="2:16" ht="150" x14ac:dyDescent="0.25">
      <c r="B1209" s="85" t="str">
        <f t="shared" si="119"/>
        <v>1</v>
      </c>
      <c r="C1209" s="85" t="str">
        <f t="shared" si="120"/>
        <v>9</v>
      </c>
      <c r="D1209" s="85" t="str">
        <f t="shared" si="121"/>
        <v>1</v>
      </c>
      <c r="E1209" s="85" t="str">
        <f t="shared" si="122"/>
        <v>0</v>
      </c>
      <c r="F1209" s="85" t="str">
        <f t="shared" si="123"/>
        <v>08</v>
      </c>
      <c r="G1209" s="85" t="str">
        <f t="shared" si="124"/>
        <v>1</v>
      </c>
      <c r="H1209" s="85" t="str">
        <f t="shared" si="125"/>
        <v>1</v>
      </c>
      <c r="I1209" s="87">
        <v>19100811</v>
      </c>
      <c r="J1209" s="85" t="s">
        <v>4266</v>
      </c>
      <c r="K1209" s="85" t="s">
        <v>4267</v>
      </c>
      <c r="L1209" s="84"/>
      <c r="M1209" s="85" t="s">
        <v>4268</v>
      </c>
      <c r="N1209" s="85" t="s">
        <v>2879</v>
      </c>
      <c r="O1209" s="85" t="s">
        <v>4269</v>
      </c>
      <c r="P1209" s="86" t="s">
        <v>2890</v>
      </c>
    </row>
    <row r="1210" spans="2:16" ht="15.75" x14ac:dyDescent="0.25">
      <c r="B1210" s="85" t="str">
        <f t="shared" si="119"/>
        <v>1</v>
      </c>
      <c r="C1210" s="85" t="str">
        <f t="shared" si="120"/>
        <v>9</v>
      </c>
      <c r="D1210" s="85" t="str">
        <f t="shared" si="121"/>
        <v>1</v>
      </c>
      <c r="E1210" s="85" t="str">
        <f t="shared" si="122"/>
        <v>0</v>
      </c>
      <c r="F1210" s="85" t="str">
        <f t="shared" si="123"/>
        <v>08</v>
      </c>
      <c r="G1210" s="85" t="str">
        <f t="shared" si="124"/>
        <v>1</v>
      </c>
      <c r="H1210" s="85" t="str">
        <f t="shared" si="125"/>
        <v>3</v>
      </c>
      <c r="I1210" s="87">
        <v>19100813</v>
      </c>
      <c r="J1210" s="85" t="s">
        <v>4270</v>
      </c>
      <c r="K1210" s="85" t="s">
        <v>2892</v>
      </c>
      <c r="L1210" s="84"/>
      <c r="M1210" s="85" t="s">
        <v>2892</v>
      </c>
      <c r="N1210" s="85" t="s">
        <v>2879</v>
      </c>
      <c r="O1210" s="85" t="s">
        <v>2892</v>
      </c>
      <c r="P1210" s="86" t="s">
        <v>2890</v>
      </c>
    </row>
    <row r="1211" spans="2:16" ht="45" x14ac:dyDescent="0.25">
      <c r="B1211" s="108" t="str">
        <f t="shared" si="119"/>
        <v>1</v>
      </c>
      <c r="C1211" s="108" t="str">
        <f t="shared" si="120"/>
        <v>9</v>
      </c>
      <c r="D1211" s="108" t="str">
        <f t="shared" si="121"/>
        <v>1</v>
      </c>
      <c r="E1211" s="108" t="str">
        <f t="shared" si="122"/>
        <v>0</v>
      </c>
      <c r="F1211" s="108" t="str">
        <f t="shared" si="123"/>
        <v>09</v>
      </c>
      <c r="G1211" s="108" t="str">
        <f t="shared" si="124"/>
        <v>0</v>
      </c>
      <c r="H1211" s="108" t="str">
        <f t="shared" si="125"/>
        <v>0</v>
      </c>
      <c r="I1211" s="109">
        <v>19100900</v>
      </c>
      <c r="J1211" s="108" t="s">
        <v>2058</v>
      </c>
      <c r="K1211" s="108" t="s">
        <v>4271</v>
      </c>
      <c r="L1211" s="110"/>
      <c r="M1211" s="108" t="s">
        <v>2878</v>
      </c>
      <c r="N1211" s="108" t="s">
        <v>2879</v>
      </c>
      <c r="O1211" s="108" t="s">
        <v>2878</v>
      </c>
      <c r="P1211" s="111" t="s">
        <v>2880</v>
      </c>
    </row>
    <row r="1212" spans="2:16" ht="45" x14ac:dyDescent="0.25">
      <c r="B1212" s="114" t="str">
        <f t="shared" si="119"/>
        <v>1</v>
      </c>
      <c r="C1212" s="114" t="str">
        <f t="shared" si="120"/>
        <v>9</v>
      </c>
      <c r="D1212" s="114" t="str">
        <f t="shared" si="121"/>
        <v>1</v>
      </c>
      <c r="E1212" s="114" t="str">
        <f t="shared" si="122"/>
        <v>0</v>
      </c>
      <c r="F1212" s="114" t="str">
        <f t="shared" si="123"/>
        <v>09</v>
      </c>
      <c r="G1212" s="114" t="str">
        <f t="shared" si="124"/>
        <v>1</v>
      </c>
      <c r="H1212" s="114" t="str">
        <f t="shared" si="125"/>
        <v>0</v>
      </c>
      <c r="I1212" s="115">
        <v>19100910</v>
      </c>
      <c r="J1212" s="114" t="s">
        <v>2058</v>
      </c>
      <c r="K1212" s="114" t="s">
        <v>4271</v>
      </c>
      <c r="L1212" s="116"/>
      <c r="M1212" s="114" t="s">
        <v>2878</v>
      </c>
      <c r="N1212" s="114" t="s">
        <v>2879</v>
      </c>
      <c r="O1212" s="114" t="s">
        <v>2878</v>
      </c>
      <c r="P1212" s="117" t="s">
        <v>2880</v>
      </c>
    </row>
    <row r="1213" spans="2:16" ht="45" x14ac:dyDescent="0.25">
      <c r="B1213" s="85" t="str">
        <f t="shared" si="119"/>
        <v>1</v>
      </c>
      <c r="C1213" s="85" t="str">
        <f t="shared" si="120"/>
        <v>9</v>
      </c>
      <c r="D1213" s="85" t="str">
        <f t="shared" si="121"/>
        <v>1</v>
      </c>
      <c r="E1213" s="85" t="str">
        <f t="shared" si="122"/>
        <v>0</v>
      </c>
      <c r="F1213" s="85" t="str">
        <f t="shared" si="123"/>
        <v>09</v>
      </c>
      <c r="G1213" s="85" t="str">
        <f t="shared" si="124"/>
        <v>1</v>
      </c>
      <c r="H1213" s="85" t="str">
        <f t="shared" si="125"/>
        <v>1</v>
      </c>
      <c r="I1213" s="87">
        <v>19100911</v>
      </c>
      <c r="J1213" s="85" t="s">
        <v>4272</v>
      </c>
      <c r="K1213" s="85" t="s">
        <v>4273</v>
      </c>
      <c r="L1213" s="84"/>
      <c r="M1213" s="85" t="s">
        <v>3044</v>
      </c>
      <c r="N1213" s="85" t="s">
        <v>2060</v>
      </c>
      <c r="O1213" s="85" t="s">
        <v>4033</v>
      </c>
      <c r="P1213" s="86" t="s">
        <v>2890</v>
      </c>
    </row>
    <row r="1214" spans="2:16" ht="15.75" x14ac:dyDescent="0.25">
      <c r="B1214" s="85" t="str">
        <f t="shared" si="119"/>
        <v>1</v>
      </c>
      <c r="C1214" s="85" t="str">
        <f t="shared" si="120"/>
        <v>9</v>
      </c>
      <c r="D1214" s="85" t="str">
        <f t="shared" si="121"/>
        <v>1</v>
      </c>
      <c r="E1214" s="85" t="str">
        <f t="shared" si="122"/>
        <v>0</v>
      </c>
      <c r="F1214" s="85" t="str">
        <f t="shared" si="123"/>
        <v>09</v>
      </c>
      <c r="G1214" s="85" t="str">
        <f t="shared" si="124"/>
        <v>1</v>
      </c>
      <c r="H1214" s="85" t="str">
        <f t="shared" si="125"/>
        <v>3</v>
      </c>
      <c r="I1214" s="87">
        <v>19100913</v>
      </c>
      <c r="J1214" s="85" t="s">
        <v>4274</v>
      </c>
      <c r="K1214" s="85" t="s">
        <v>2892</v>
      </c>
      <c r="L1214" s="84"/>
      <c r="M1214" s="85" t="s">
        <v>2892</v>
      </c>
      <c r="N1214" s="85" t="s">
        <v>2879</v>
      </c>
      <c r="O1214" s="85" t="s">
        <v>2892</v>
      </c>
      <c r="P1214" s="86" t="s">
        <v>2890</v>
      </c>
    </row>
    <row r="1215" spans="2:16" ht="45" x14ac:dyDescent="0.25">
      <c r="B1215" s="108" t="str">
        <f t="shared" si="119"/>
        <v>1</v>
      </c>
      <c r="C1215" s="108" t="str">
        <f t="shared" si="120"/>
        <v>9</v>
      </c>
      <c r="D1215" s="108" t="str">
        <f t="shared" si="121"/>
        <v>1</v>
      </c>
      <c r="E1215" s="108" t="str">
        <f t="shared" si="122"/>
        <v>0</v>
      </c>
      <c r="F1215" s="108" t="str">
        <f t="shared" si="123"/>
        <v>10</v>
      </c>
      <c r="G1215" s="108" t="str">
        <f t="shared" si="124"/>
        <v>0</v>
      </c>
      <c r="H1215" s="108" t="str">
        <f t="shared" si="125"/>
        <v>0</v>
      </c>
      <c r="I1215" s="109">
        <v>19101000</v>
      </c>
      <c r="J1215" s="108" t="s">
        <v>2095</v>
      </c>
      <c r="K1215" s="108" t="s">
        <v>4275</v>
      </c>
      <c r="L1215" s="110"/>
      <c r="M1215" s="108" t="s">
        <v>2878</v>
      </c>
      <c r="N1215" s="108" t="s">
        <v>2879</v>
      </c>
      <c r="O1215" s="108" t="s">
        <v>2878</v>
      </c>
      <c r="P1215" s="111" t="s">
        <v>2880</v>
      </c>
    </row>
    <row r="1216" spans="2:16" ht="45" x14ac:dyDescent="0.25">
      <c r="B1216" s="114" t="str">
        <f t="shared" ref="B1216:B1284" si="126">MID($I1216,1,1)</f>
        <v>1</v>
      </c>
      <c r="C1216" s="114" t="str">
        <f t="shared" ref="C1216:C1284" si="127">MID($I1216,2,1)</f>
        <v>9</v>
      </c>
      <c r="D1216" s="114" t="str">
        <f t="shared" ref="D1216:D1284" si="128">MID($I1216,3,1)</f>
        <v>1</v>
      </c>
      <c r="E1216" s="114" t="str">
        <f t="shared" ref="E1216:E1284" si="129">MID($I1216,4,1)</f>
        <v>0</v>
      </c>
      <c r="F1216" s="114" t="str">
        <f t="shared" ref="F1216:F1284" si="130">MID($I1216,5,2)</f>
        <v>10</v>
      </c>
      <c r="G1216" s="114" t="str">
        <f t="shared" ref="G1216:G1284" si="131">MID($I1216,7,1)</f>
        <v>1</v>
      </c>
      <c r="H1216" s="114" t="str">
        <f t="shared" ref="H1216:H1284" si="132">MID($I1216,8,1)</f>
        <v>0</v>
      </c>
      <c r="I1216" s="115">
        <v>19101010</v>
      </c>
      <c r="J1216" s="114" t="s">
        <v>2095</v>
      </c>
      <c r="K1216" s="114" t="s">
        <v>4275</v>
      </c>
      <c r="L1216" s="116"/>
      <c r="M1216" s="114" t="s">
        <v>2878</v>
      </c>
      <c r="N1216" s="114" t="s">
        <v>2879</v>
      </c>
      <c r="O1216" s="114" t="s">
        <v>2878</v>
      </c>
      <c r="P1216" s="117" t="s">
        <v>2880</v>
      </c>
    </row>
    <row r="1217" spans="2:16" ht="45" x14ac:dyDescent="0.25">
      <c r="B1217" s="85" t="str">
        <f t="shared" si="126"/>
        <v>1</v>
      </c>
      <c r="C1217" s="85" t="str">
        <f t="shared" si="127"/>
        <v>9</v>
      </c>
      <c r="D1217" s="85" t="str">
        <f t="shared" si="128"/>
        <v>1</v>
      </c>
      <c r="E1217" s="85" t="str">
        <f t="shared" si="129"/>
        <v>0</v>
      </c>
      <c r="F1217" s="85" t="str">
        <f t="shared" si="130"/>
        <v>10</v>
      </c>
      <c r="G1217" s="85" t="str">
        <f t="shared" si="131"/>
        <v>1</v>
      </c>
      <c r="H1217" s="85" t="str">
        <f t="shared" si="132"/>
        <v>1</v>
      </c>
      <c r="I1217" s="87">
        <v>19101011</v>
      </c>
      <c r="J1217" s="85" t="s">
        <v>4276</v>
      </c>
      <c r="K1217" s="85" t="s">
        <v>4277</v>
      </c>
      <c r="L1217" s="84"/>
      <c r="M1217" s="85" t="s">
        <v>4278</v>
      </c>
      <c r="N1217" s="85" t="s">
        <v>2879</v>
      </c>
      <c r="O1217" s="85" t="s">
        <v>4279</v>
      </c>
      <c r="P1217" s="86" t="s">
        <v>2890</v>
      </c>
    </row>
    <row r="1218" spans="2:16" ht="30" x14ac:dyDescent="0.25">
      <c r="B1218" s="85" t="str">
        <f t="shared" si="126"/>
        <v>1</v>
      </c>
      <c r="C1218" s="85" t="str">
        <f t="shared" si="127"/>
        <v>9</v>
      </c>
      <c r="D1218" s="85" t="str">
        <f t="shared" si="128"/>
        <v>1</v>
      </c>
      <c r="E1218" s="85" t="str">
        <f t="shared" si="129"/>
        <v>0</v>
      </c>
      <c r="F1218" s="85" t="str">
        <f t="shared" si="130"/>
        <v>10</v>
      </c>
      <c r="G1218" s="85" t="str">
        <f t="shared" si="131"/>
        <v>1</v>
      </c>
      <c r="H1218" s="85" t="str">
        <f t="shared" si="132"/>
        <v>2</v>
      </c>
      <c r="I1218" s="87">
        <v>19101012</v>
      </c>
      <c r="J1218" s="85" t="s">
        <v>4280</v>
      </c>
      <c r="K1218" s="85" t="s">
        <v>2892</v>
      </c>
      <c r="L1218" s="84"/>
      <c r="M1218" s="85" t="s">
        <v>2892</v>
      </c>
      <c r="N1218" s="85" t="s">
        <v>2879</v>
      </c>
      <c r="O1218" s="85" t="s">
        <v>2892</v>
      </c>
      <c r="P1218" s="86" t="s">
        <v>2890</v>
      </c>
    </row>
    <row r="1219" spans="2:16" ht="30" x14ac:dyDescent="0.25">
      <c r="B1219" s="85" t="str">
        <f t="shared" si="126"/>
        <v>1</v>
      </c>
      <c r="C1219" s="85" t="str">
        <f t="shared" si="127"/>
        <v>9</v>
      </c>
      <c r="D1219" s="85" t="str">
        <f t="shared" si="128"/>
        <v>1</v>
      </c>
      <c r="E1219" s="85" t="str">
        <f t="shared" si="129"/>
        <v>0</v>
      </c>
      <c r="F1219" s="85" t="str">
        <f t="shared" si="130"/>
        <v>10</v>
      </c>
      <c r="G1219" s="85" t="str">
        <f t="shared" si="131"/>
        <v>1</v>
      </c>
      <c r="H1219" s="85" t="str">
        <f t="shared" si="132"/>
        <v>3</v>
      </c>
      <c r="I1219" s="87">
        <v>19101013</v>
      </c>
      <c r="J1219" s="85" t="s">
        <v>4281</v>
      </c>
      <c r="K1219" s="85" t="s">
        <v>2892</v>
      </c>
      <c r="L1219" s="84"/>
      <c r="M1219" s="85" t="s">
        <v>2892</v>
      </c>
      <c r="N1219" s="85" t="s">
        <v>2879</v>
      </c>
      <c r="O1219" s="85" t="s">
        <v>2892</v>
      </c>
      <c r="P1219" s="86" t="s">
        <v>2890</v>
      </c>
    </row>
    <row r="1220" spans="2:16" ht="30" x14ac:dyDescent="0.25">
      <c r="B1220" s="85" t="str">
        <f t="shared" si="126"/>
        <v>1</v>
      </c>
      <c r="C1220" s="85" t="str">
        <f t="shared" si="127"/>
        <v>9</v>
      </c>
      <c r="D1220" s="85" t="str">
        <f t="shared" si="128"/>
        <v>1</v>
      </c>
      <c r="E1220" s="85" t="str">
        <f t="shared" si="129"/>
        <v>0</v>
      </c>
      <c r="F1220" s="85" t="str">
        <f t="shared" si="130"/>
        <v>10</v>
      </c>
      <c r="G1220" s="85" t="str">
        <f t="shared" si="131"/>
        <v>1</v>
      </c>
      <c r="H1220" s="85" t="str">
        <f t="shared" si="132"/>
        <v>4</v>
      </c>
      <c r="I1220" s="87">
        <v>19101014</v>
      </c>
      <c r="J1220" s="85" t="s">
        <v>4282</v>
      </c>
      <c r="K1220" s="85" t="s">
        <v>2892</v>
      </c>
      <c r="L1220" s="84"/>
      <c r="M1220" s="85" t="s">
        <v>2892</v>
      </c>
      <c r="N1220" s="85" t="s">
        <v>2879</v>
      </c>
      <c r="O1220" s="85" t="s">
        <v>2892</v>
      </c>
      <c r="P1220" s="86" t="s">
        <v>2890</v>
      </c>
    </row>
    <row r="1221" spans="2:16" ht="210" x14ac:dyDescent="0.25">
      <c r="B1221" s="108" t="str">
        <f t="shared" si="126"/>
        <v>1</v>
      </c>
      <c r="C1221" s="108" t="str">
        <f t="shared" si="127"/>
        <v>9</v>
      </c>
      <c r="D1221" s="108" t="str">
        <f t="shared" si="128"/>
        <v>1</v>
      </c>
      <c r="E1221" s="108" t="str">
        <f t="shared" si="129"/>
        <v>0</v>
      </c>
      <c r="F1221" s="108" t="str">
        <f t="shared" si="130"/>
        <v>11</v>
      </c>
      <c r="G1221" s="108" t="str">
        <f t="shared" si="131"/>
        <v>0</v>
      </c>
      <c r="H1221" s="108" t="str">
        <f t="shared" si="132"/>
        <v>0</v>
      </c>
      <c r="I1221" s="109">
        <v>19101100</v>
      </c>
      <c r="J1221" s="108" t="s">
        <v>4283</v>
      </c>
      <c r="K1221" s="108" t="s">
        <v>4284</v>
      </c>
      <c r="L1221" s="110"/>
      <c r="M1221" s="108" t="s">
        <v>2878</v>
      </c>
      <c r="N1221" s="108" t="s">
        <v>2879</v>
      </c>
      <c r="O1221" s="108" t="s">
        <v>2878</v>
      </c>
      <c r="P1221" s="111" t="s">
        <v>2880</v>
      </c>
    </row>
    <row r="1222" spans="2:16" ht="210" x14ac:dyDescent="0.25">
      <c r="B1222" s="114" t="str">
        <f t="shared" si="126"/>
        <v>1</v>
      </c>
      <c r="C1222" s="114" t="str">
        <f t="shared" si="127"/>
        <v>9</v>
      </c>
      <c r="D1222" s="114" t="str">
        <f t="shared" si="128"/>
        <v>1</v>
      </c>
      <c r="E1222" s="114" t="str">
        <f t="shared" si="129"/>
        <v>0</v>
      </c>
      <c r="F1222" s="114" t="str">
        <f t="shared" si="130"/>
        <v>11</v>
      </c>
      <c r="G1222" s="114" t="str">
        <f t="shared" si="131"/>
        <v>1</v>
      </c>
      <c r="H1222" s="114" t="str">
        <f t="shared" si="132"/>
        <v>0</v>
      </c>
      <c r="I1222" s="115">
        <v>19101110</v>
      </c>
      <c r="J1222" s="114" t="s">
        <v>4283</v>
      </c>
      <c r="K1222" s="114" t="s">
        <v>4284</v>
      </c>
      <c r="L1222" s="116"/>
      <c r="M1222" s="114" t="s">
        <v>2878</v>
      </c>
      <c r="N1222" s="114" t="s">
        <v>2879</v>
      </c>
      <c r="O1222" s="114" t="s">
        <v>2878</v>
      </c>
      <c r="P1222" s="117" t="s">
        <v>2880</v>
      </c>
    </row>
    <row r="1223" spans="2:16" ht="210" x14ac:dyDescent="0.25">
      <c r="B1223" s="85" t="str">
        <f t="shared" si="126"/>
        <v>1</v>
      </c>
      <c r="C1223" s="85" t="str">
        <f t="shared" si="127"/>
        <v>9</v>
      </c>
      <c r="D1223" s="85" t="str">
        <f t="shared" si="128"/>
        <v>1</v>
      </c>
      <c r="E1223" s="85" t="str">
        <f t="shared" si="129"/>
        <v>0</v>
      </c>
      <c r="F1223" s="85" t="str">
        <f t="shared" si="130"/>
        <v>11</v>
      </c>
      <c r="G1223" s="85" t="str">
        <f t="shared" si="131"/>
        <v>1</v>
      </c>
      <c r="H1223" s="85" t="str">
        <f t="shared" si="132"/>
        <v>1</v>
      </c>
      <c r="I1223" s="87">
        <v>19101111</v>
      </c>
      <c r="J1223" s="85" t="s">
        <v>4285</v>
      </c>
      <c r="K1223" s="85" t="s">
        <v>4286</v>
      </c>
      <c r="L1223" s="84"/>
      <c r="M1223" s="85" t="s">
        <v>3130</v>
      </c>
      <c r="N1223" s="85" t="s">
        <v>2060</v>
      </c>
      <c r="O1223" s="85" t="s">
        <v>4287</v>
      </c>
      <c r="P1223" s="86" t="s">
        <v>2890</v>
      </c>
    </row>
    <row r="1224" spans="2:16" s="148" customFormat="1" ht="60" x14ac:dyDescent="0.25">
      <c r="B1224" s="145" t="str">
        <f t="shared" si="126"/>
        <v>1</v>
      </c>
      <c r="C1224" s="145" t="str">
        <f t="shared" si="127"/>
        <v>9</v>
      </c>
      <c r="D1224" s="145" t="str">
        <f t="shared" si="128"/>
        <v>1</v>
      </c>
      <c r="E1224" s="145" t="str">
        <f t="shared" si="129"/>
        <v>0</v>
      </c>
      <c r="F1224" s="145" t="str">
        <f t="shared" si="130"/>
        <v>12</v>
      </c>
      <c r="G1224" s="145" t="str">
        <f t="shared" si="131"/>
        <v>0</v>
      </c>
      <c r="H1224" s="145" t="str">
        <f t="shared" si="132"/>
        <v>0</v>
      </c>
      <c r="I1224" s="143">
        <v>19101200</v>
      </c>
      <c r="J1224" s="145" t="s">
        <v>5588</v>
      </c>
      <c r="K1224" s="145" t="s">
        <v>5589</v>
      </c>
      <c r="L1224" s="146"/>
      <c r="M1224" s="145" t="s">
        <v>2878</v>
      </c>
      <c r="N1224" s="145" t="s">
        <v>5590</v>
      </c>
      <c r="O1224" s="145" t="s">
        <v>2878</v>
      </c>
      <c r="P1224" s="147" t="s">
        <v>2880</v>
      </c>
    </row>
    <row r="1225" spans="2:16" s="148" customFormat="1" ht="60" x14ac:dyDescent="0.25">
      <c r="B1225" s="149" t="str">
        <f t="shared" si="126"/>
        <v>1</v>
      </c>
      <c r="C1225" s="149" t="str">
        <f t="shared" si="127"/>
        <v>9</v>
      </c>
      <c r="D1225" s="149" t="str">
        <f t="shared" si="128"/>
        <v>1</v>
      </c>
      <c r="E1225" s="149" t="str">
        <f t="shared" si="129"/>
        <v>0</v>
      </c>
      <c r="F1225" s="149" t="str">
        <f t="shared" si="130"/>
        <v>12</v>
      </c>
      <c r="G1225" s="149" t="str">
        <f t="shared" si="131"/>
        <v>1</v>
      </c>
      <c r="H1225" s="149" t="str">
        <f t="shared" si="132"/>
        <v>0</v>
      </c>
      <c r="I1225" s="144">
        <v>19101210</v>
      </c>
      <c r="J1225" s="149" t="s">
        <v>5588</v>
      </c>
      <c r="K1225" s="149" t="s">
        <v>5589</v>
      </c>
      <c r="L1225" s="150"/>
      <c r="M1225" s="149" t="s">
        <v>2878</v>
      </c>
      <c r="N1225" s="149" t="s">
        <v>5590</v>
      </c>
      <c r="O1225" s="149" t="s">
        <v>2878</v>
      </c>
      <c r="P1225" s="151" t="s">
        <v>2880</v>
      </c>
    </row>
    <row r="1226" spans="2:16" s="148" customFormat="1" ht="45" x14ac:dyDescent="0.25">
      <c r="B1226" s="145" t="str">
        <f t="shared" si="126"/>
        <v>1</v>
      </c>
      <c r="C1226" s="145" t="str">
        <f t="shared" si="127"/>
        <v>9</v>
      </c>
      <c r="D1226" s="145" t="str">
        <f t="shared" si="128"/>
        <v>1</v>
      </c>
      <c r="E1226" s="145" t="str">
        <f t="shared" si="129"/>
        <v>0</v>
      </c>
      <c r="F1226" s="145" t="str">
        <f t="shared" si="130"/>
        <v>13</v>
      </c>
      <c r="G1226" s="145" t="str">
        <f t="shared" si="131"/>
        <v>0</v>
      </c>
      <c r="H1226" s="145" t="str">
        <f t="shared" si="132"/>
        <v>0</v>
      </c>
      <c r="I1226" s="143">
        <v>19101300</v>
      </c>
      <c r="J1226" s="145" t="s">
        <v>5591</v>
      </c>
      <c r="K1226" s="145" t="s">
        <v>5594</v>
      </c>
      <c r="L1226" s="146"/>
      <c r="M1226" s="145" t="s">
        <v>2878</v>
      </c>
      <c r="N1226" s="145" t="s">
        <v>5587</v>
      </c>
      <c r="O1226" s="145" t="s">
        <v>5596</v>
      </c>
      <c r="P1226" s="147" t="s">
        <v>2880</v>
      </c>
    </row>
    <row r="1227" spans="2:16" s="148" customFormat="1" ht="60" x14ac:dyDescent="0.25">
      <c r="B1227" s="149" t="str">
        <f t="shared" si="126"/>
        <v>1</v>
      </c>
      <c r="C1227" s="149" t="str">
        <f t="shared" si="127"/>
        <v>9</v>
      </c>
      <c r="D1227" s="149" t="str">
        <f t="shared" si="128"/>
        <v>1</v>
      </c>
      <c r="E1227" s="149" t="str">
        <f t="shared" si="129"/>
        <v>0</v>
      </c>
      <c r="F1227" s="149" t="str">
        <f t="shared" si="130"/>
        <v>13</v>
      </c>
      <c r="G1227" s="149" t="str">
        <f t="shared" si="131"/>
        <v>1</v>
      </c>
      <c r="H1227" s="149" t="str">
        <f t="shared" si="132"/>
        <v>0</v>
      </c>
      <c r="I1227" s="144">
        <v>19101310</v>
      </c>
      <c r="J1227" s="149" t="s">
        <v>5592</v>
      </c>
      <c r="K1227" s="149" t="s">
        <v>5593</v>
      </c>
      <c r="L1227" s="150"/>
      <c r="M1227" s="149" t="s">
        <v>2878</v>
      </c>
      <c r="N1227" s="149" t="s">
        <v>5587</v>
      </c>
      <c r="O1227" s="149" t="s">
        <v>5596</v>
      </c>
      <c r="P1227" s="151" t="s">
        <v>2880</v>
      </c>
    </row>
    <row r="1228" spans="2:16" s="148" customFormat="1" ht="60" x14ac:dyDescent="0.25">
      <c r="B1228" s="149" t="str">
        <f t="shared" si="126"/>
        <v>1</v>
      </c>
      <c r="C1228" s="149" t="str">
        <f t="shared" si="127"/>
        <v>9</v>
      </c>
      <c r="D1228" s="149" t="str">
        <f t="shared" si="128"/>
        <v>1</v>
      </c>
      <c r="E1228" s="149" t="str">
        <f t="shared" si="129"/>
        <v>0</v>
      </c>
      <c r="F1228" s="149" t="str">
        <f t="shared" si="130"/>
        <v>13</v>
      </c>
      <c r="G1228" s="149" t="str">
        <f t="shared" si="131"/>
        <v>2</v>
      </c>
      <c r="H1228" s="149" t="str">
        <f t="shared" si="132"/>
        <v>0</v>
      </c>
      <c r="I1228" s="144">
        <v>19101320</v>
      </c>
      <c r="J1228" s="149" t="s">
        <v>2095</v>
      </c>
      <c r="K1228" s="149" t="s">
        <v>5595</v>
      </c>
      <c r="L1228" s="150"/>
      <c r="M1228" s="149" t="s">
        <v>2878</v>
      </c>
      <c r="N1228" s="149" t="s">
        <v>5587</v>
      </c>
      <c r="O1228" s="149" t="s">
        <v>5596</v>
      </c>
      <c r="P1228" s="151" t="s">
        <v>2880</v>
      </c>
    </row>
    <row r="1229" spans="2:16" ht="30" x14ac:dyDescent="0.25">
      <c r="B1229" s="126" t="str">
        <f t="shared" si="126"/>
        <v>1</v>
      </c>
      <c r="C1229" s="126" t="str">
        <f t="shared" si="127"/>
        <v>9</v>
      </c>
      <c r="D1229" s="126" t="str">
        <f t="shared" si="128"/>
        <v>2</v>
      </c>
      <c r="E1229" s="126" t="str">
        <f t="shared" si="129"/>
        <v>0</v>
      </c>
      <c r="F1229" s="126" t="str">
        <f t="shared" si="130"/>
        <v>00</v>
      </c>
      <c r="G1229" s="126" t="str">
        <f t="shared" si="131"/>
        <v>0</v>
      </c>
      <c r="H1229" s="126" t="str">
        <f t="shared" si="132"/>
        <v>0</v>
      </c>
      <c r="I1229" s="127">
        <v>19200000</v>
      </c>
      <c r="J1229" s="126" t="s">
        <v>4288</v>
      </c>
      <c r="K1229" s="126" t="s">
        <v>4289</v>
      </c>
      <c r="L1229" s="122"/>
      <c r="M1229" s="126" t="s">
        <v>2878</v>
      </c>
      <c r="N1229" s="126" t="s">
        <v>5016</v>
      </c>
      <c r="O1229" s="126" t="s">
        <v>2878</v>
      </c>
      <c r="P1229" s="128" t="s">
        <v>2880</v>
      </c>
    </row>
    <row r="1230" spans="2:16" ht="30" x14ac:dyDescent="0.25">
      <c r="B1230" s="104" t="str">
        <f t="shared" si="126"/>
        <v>1</v>
      </c>
      <c r="C1230" s="104" t="str">
        <f t="shared" si="127"/>
        <v>9</v>
      </c>
      <c r="D1230" s="104" t="str">
        <f t="shared" si="128"/>
        <v>2</v>
      </c>
      <c r="E1230" s="104" t="str">
        <f t="shared" si="129"/>
        <v>1</v>
      </c>
      <c r="F1230" s="104" t="str">
        <f t="shared" si="130"/>
        <v>00</v>
      </c>
      <c r="G1230" s="104" t="str">
        <f t="shared" si="131"/>
        <v>0</v>
      </c>
      <c r="H1230" s="104" t="str">
        <f t="shared" si="132"/>
        <v>0</v>
      </c>
      <c r="I1230" s="105">
        <v>19210000</v>
      </c>
      <c r="J1230" s="104" t="s">
        <v>2129</v>
      </c>
      <c r="K1230" s="104" t="s">
        <v>4290</v>
      </c>
      <c r="L1230" s="106"/>
      <c r="M1230" s="104" t="s">
        <v>2878</v>
      </c>
      <c r="N1230" s="104" t="s">
        <v>2879</v>
      </c>
      <c r="O1230" s="104" t="s">
        <v>2878</v>
      </c>
      <c r="P1230" s="107" t="s">
        <v>2880</v>
      </c>
    </row>
    <row r="1231" spans="2:16" ht="30" x14ac:dyDescent="0.25">
      <c r="B1231" s="108" t="str">
        <f t="shared" si="126"/>
        <v>1</v>
      </c>
      <c r="C1231" s="108" t="str">
        <f t="shared" si="127"/>
        <v>9</v>
      </c>
      <c r="D1231" s="108" t="str">
        <f t="shared" si="128"/>
        <v>2</v>
      </c>
      <c r="E1231" s="108" t="str">
        <f t="shared" si="129"/>
        <v>1</v>
      </c>
      <c r="F1231" s="108" t="str">
        <f t="shared" si="130"/>
        <v>01</v>
      </c>
      <c r="G1231" s="108" t="str">
        <f t="shared" si="131"/>
        <v>0</v>
      </c>
      <c r="H1231" s="108" t="str">
        <f t="shared" si="132"/>
        <v>0</v>
      </c>
      <c r="I1231" s="109">
        <v>19210100</v>
      </c>
      <c r="J1231" s="108" t="s">
        <v>2134</v>
      </c>
      <c r="K1231" s="108" t="s">
        <v>4291</v>
      </c>
      <c r="L1231" s="110"/>
      <c r="M1231" s="108" t="s">
        <v>2878</v>
      </c>
      <c r="N1231" s="108" t="s">
        <v>2879</v>
      </c>
      <c r="O1231" s="108" t="s">
        <v>2878</v>
      </c>
      <c r="P1231" s="111" t="s">
        <v>2880</v>
      </c>
    </row>
    <row r="1232" spans="2:16" ht="30" x14ac:dyDescent="0.25">
      <c r="B1232" s="114" t="str">
        <f t="shared" si="126"/>
        <v>1</v>
      </c>
      <c r="C1232" s="114" t="str">
        <f t="shared" si="127"/>
        <v>9</v>
      </c>
      <c r="D1232" s="114" t="str">
        <f t="shared" si="128"/>
        <v>2</v>
      </c>
      <c r="E1232" s="114" t="str">
        <f t="shared" si="129"/>
        <v>1</v>
      </c>
      <c r="F1232" s="114" t="str">
        <f t="shared" si="130"/>
        <v>01</v>
      </c>
      <c r="G1232" s="114" t="str">
        <f t="shared" si="131"/>
        <v>1</v>
      </c>
      <c r="H1232" s="114" t="str">
        <f t="shared" si="132"/>
        <v>0</v>
      </c>
      <c r="I1232" s="115">
        <v>19210110</v>
      </c>
      <c r="J1232" s="114" t="s">
        <v>2134</v>
      </c>
      <c r="K1232" s="114" t="s">
        <v>4291</v>
      </c>
      <c r="L1232" s="116"/>
      <c r="M1232" s="114" t="s">
        <v>2878</v>
      </c>
      <c r="N1232" s="114" t="s">
        <v>2879</v>
      </c>
      <c r="O1232" s="114" t="s">
        <v>2878</v>
      </c>
      <c r="P1232" s="117" t="s">
        <v>2880</v>
      </c>
    </row>
    <row r="1233" spans="2:16" ht="60" x14ac:dyDescent="0.25">
      <c r="B1233" s="85" t="str">
        <f t="shared" si="126"/>
        <v>1</v>
      </c>
      <c r="C1233" s="85" t="str">
        <f t="shared" si="127"/>
        <v>9</v>
      </c>
      <c r="D1233" s="85" t="str">
        <f t="shared" si="128"/>
        <v>2</v>
      </c>
      <c r="E1233" s="85" t="str">
        <f t="shared" si="129"/>
        <v>1</v>
      </c>
      <c r="F1233" s="85" t="str">
        <f t="shared" si="130"/>
        <v>01</v>
      </c>
      <c r="G1233" s="85" t="str">
        <f t="shared" si="131"/>
        <v>1</v>
      </c>
      <c r="H1233" s="85" t="str">
        <f t="shared" si="132"/>
        <v>1</v>
      </c>
      <c r="I1233" s="87">
        <v>19210111</v>
      </c>
      <c r="J1233" s="85" t="s">
        <v>4292</v>
      </c>
      <c r="K1233" s="85" t="s">
        <v>4293</v>
      </c>
      <c r="L1233" s="84"/>
      <c r="M1233" s="85" t="s">
        <v>4294</v>
      </c>
      <c r="N1233" s="85" t="s">
        <v>2060</v>
      </c>
      <c r="O1233" s="85" t="s">
        <v>4295</v>
      </c>
      <c r="P1233" s="86" t="s">
        <v>2890</v>
      </c>
    </row>
    <row r="1234" spans="2:16" ht="30" x14ac:dyDescent="0.25">
      <c r="B1234" s="108" t="str">
        <f t="shared" si="126"/>
        <v>1</v>
      </c>
      <c r="C1234" s="108" t="str">
        <f t="shared" si="127"/>
        <v>9</v>
      </c>
      <c r="D1234" s="108" t="str">
        <f t="shared" si="128"/>
        <v>2</v>
      </c>
      <c r="E1234" s="108" t="str">
        <f t="shared" si="129"/>
        <v>1</v>
      </c>
      <c r="F1234" s="108" t="str">
        <f t="shared" si="130"/>
        <v>02</v>
      </c>
      <c r="G1234" s="108" t="str">
        <f t="shared" si="131"/>
        <v>0</v>
      </c>
      <c r="H1234" s="108" t="str">
        <f t="shared" si="132"/>
        <v>0</v>
      </c>
      <c r="I1234" s="109">
        <v>19210200</v>
      </c>
      <c r="J1234" s="108" t="s">
        <v>4296</v>
      </c>
      <c r="K1234" s="108" t="s">
        <v>4297</v>
      </c>
      <c r="L1234" s="110"/>
      <c r="M1234" s="108" t="s">
        <v>2878</v>
      </c>
      <c r="N1234" s="108" t="s">
        <v>2879</v>
      </c>
      <c r="O1234" s="108" t="s">
        <v>2878</v>
      </c>
      <c r="P1234" s="111" t="s">
        <v>2880</v>
      </c>
    </row>
    <row r="1235" spans="2:16" ht="30" x14ac:dyDescent="0.25">
      <c r="B1235" s="114" t="str">
        <f t="shared" si="126"/>
        <v>1</v>
      </c>
      <c r="C1235" s="114" t="str">
        <f t="shared" si="127"/>
        <v>9</v>
      </c>
      <c r="D1235" s="114" t="str">
        <f t="shared" si="128"/>
        <v>2</v>
      </c>
      <c r="E1235" s="114" t="str">
        <f t="shared" si="129"/>
        <v>1</v>
      </c>
      <c r="F1235" s="114" t="str">
        <f t="shared" si="130"/>
        <v>02</v>
      </c>
      <c r="G1235" s="114" t="str">
        <f t="shared" si="131"/>
        <v>1</v>
      </c>
      <c r="H1235" s="114" t="str">
        <f t="shared" si="132"/>
        <v>0</v>
      </c>
      <c r="I1235" s="115">
        <v>19210210</v>
      </c>
      <c r="J1235" s="114" t="s">
        <v>4296</v>
      </c>
      <c r="K1235" s="114" t="s">
        <v>4297</v>
      </c>
      <c r="L1235" s="116"/>
      <c r="M1235" s="114" t="s">
        <v>2878</v>
      </c>
      <c r="N1235" s="114" t="s">
        <v>2879</v>
      </c>
      <c r="O1235" s="114" t="s">
        <v>2878</v>
      </c>
      <c r="P1235" s="117" t="s">
        <v>2880</v>
      </c>
    </row>
    <row r="1236" spans="2:16" ht="60" x14ac:dyDescent="0.25">
      <c r="B1236" s="85" t="str">
        <f t="shared" si="126"/>
        <v>1</v>
      </c>
      <c r="C1236" s="85" t="str">
        <f t="shared" si="127"/>
        <v>9</v>
      </c>
      <c r="D1236" s="85" t="str">
        <f t="shared" si="128"/>
        <v>2</v>
      </c>
      <c r="E1236" s="85" t="str">
        <f t="shared" si="129"/>
        <v>1</v>
      </c>
      <c r="F1236" s="85" t="str">
        <f t="shared" si="130"/>
        <v>02</v>
      </c>
      <c r="G1236" s="85" t="str">
        <f t="shared" si="131"/>
        <v>1</v>
      </c>
      <c r="H1236" s="85" t="str">
        <f t="shared" si="132"/>
        <v>1</v>
      </c>
      <c r="I1236" s="87">
        <v>19210211</v>
      </c>
      <c r="J1236" s="85" t="s">
        <v>4298</v>
      </c>
      <c r="K1236" s="85" t="s">
        <v>2137</v>
      </c>
      <c r="L1236" s="84"/>
      <c r="M1236" s="85" t="s">
        <v>4294</v>
      </c>
      <c r="N1236" s="85" t="s">
        <v>2879</v>
      </c>
      <c r="O1236" s="85" t="s">
        <v>4299</v>
      </c>
      <c r="P1236" s="86" t="s">
        <v>2890</v>
      </c>
    </row>
    <row r="1237" spans="2:16" ht="15.75" x14ac:dyDescent="0.25">
      <c r="B1237" s="85" t="str">
        <f t="shared" si="126"/>
        <v>1</v>
      </c>
      <c r="C1237" s="85" t="str">
        <f t="shared" si="127"/>
        <v>9</v>
      </c>
      <c r="D1237" s="85" t="str">
        <f t="shared" si="128"/>
        <v>2</v>
      </c>
      <c r="E1237" s="85" t="str">
        <f t="shared" si="129"/>
        <v>1</v>
      </c>
      <c r="F1237" s="85" t="str">
        <f t="shared" si="130"/>
        <v>02</v>
      </c>
      <c r="G1237" s="85" t="str">
        <f t="shared" si="131"/>
        <v>1</v>
      </c>
      <c r="H1237" s="85" t="str">
        <f t="shared" si="132"/>
        <v>2</v>
      </c>
      <c r="I1237" s="87">
        <v>19210212</v>
      </c>
      <c r="J1237" s="85" t="s">
        <v>4300</v>
      </c>
      <c r="K1237" s="85" t="s">
        <v>2892</v>
      </c>
      <c r="L1237" s="84"/>
      <c r="M1237" s="85" t="s">
        <v>2892</v>
      </c>
      <c r="N1237" s="85" t="s">
        <v>2879</v>
      </c>
      <c r="O1237" s="85" t="s">
        <v>2892</v>
      </c>
      <c r="P1237" s="86" t="s">
        <v>2890</v>
      </c>
    </row>
    <row r="1238" spans="2:16" ht="75" x14ac:dyDescent="0.25">
      <c r="B1238" s="108" t="str">
        <f t="shared" si="126"/>
        <v>1</v>
      </c>
      <c r="C1238" s="108" t="str">
        <f t="shared" si="127"/>
        <v>9</v>
      </c>
      <c r="D1238" s="108" t="str">
        <f t="shared" si="128"/>
        <v>2</v>
      </c>
      <c r="E1238" s="108" t="str">
        <f t="shared" si="129"/>
        <v>1</v>
      </c>
      <c r="F1238" s="108" t="str">
        <f t="shared" si="130"/>
        <v>03</v>
      </c>
      <c r="G1238" s="108" t="str">
        <f t="shared" si="131"/>
        <v>0</v>
      </c>
      <c r="H1238" s="108" t="str">
        <f t="shared" si="132"/>
        <v>0</v>
      </c>
      <c r="I1238" s="109">
        <v>19210300</v>
      </c>
      <c r="J1238" s="108" t="s">
        <v>4301</v>
      </c>
      <c r="K1238" s="108" t="s">
        <v>4302</v>
      </c>
      <c r="L1238" s="110"/>
      <c r="M1238" s="108" t="s">
        <v>2878</v>
      </c>
      <c r="N1238" s="108" t="s">
        <v>2879</v>
      </c>
      <c r="O1238" s="108" t="s">
        <v>2878</v>
      </c>
      <c r="P1238" s="111" t="s">
        <v>2880</v>
      </c>
    </row>
    <row r="1239" spans="2:16" ht="75" x14ac:dyDescent="0.25">
      <c r="B1239" s="114" t="str">
        <f t="shared" si="126"/>
        <v>1</v>
      </c>
      <c r="C1239" s="114" t="str">
        <f t="shared" si="127"/>
        <v>9</v>
      </c>
      <c r="D1239" s="114" t="str">
        <f t="shared" si="128"/>
        <v>2</v>
      </c>
      <c r="E1239" s="114" t="str">
        <f t="shared" si="129"/>
        <v>1</v>
      </c>
      <c r="F1239" s="114" t="str">
        <f t="shared" si="130"/>
        <v>03</v>
      </c>
      <c r="G1239" s="114" t="str">
        <f t="shared" si="131"/>
        <v>1</v>
      </c>
      <c r="H1239" s="114" t="str">
        <f t="shared" si="132"/>
        <v>0</v>
      </c>
      <c r="I1239" s="115">
        <v>19210310</v>
      </c>
      <c r="J1239" s="114" t="s">
        <v>4301</v>
      </c>
      <c r="K1239" s="114" t="s">
        <v>4302</v>
      </c>
      <c r="L1239" s="116"/>
      <c r="M1239" s="114" t="s">
        <v>2878</v>
      </c>
      <c r="N1239" s="114" t="s">
        <v>2879</v>
      </c>
      <c r="O1239" s="114" t="s">
        <v>2878</v>
      </c>
      <c r="P1239" s="117" t="s">
        <v>2880</v>
      </c>
    </row>
    <row r="1240" spans="2:16" ht="75" x14ac:dyDescent="0.25">
      <c r="B1240" s="85" t="str">
        <f t="shared" si="126"/>
        <v>1</v>
      </c>
      <c r="C1240" s="85" t="str">
        <f t="shared" si="127"/>
        <v>9</v>
      </c>
      <c r="D1240" s="85" t="str">
        <f t="shared" si="128"/>
        <v>2</v>
      </c>
      <c r="E1240" s="85" t="str">
        <f t="shared" si="129"/>
        <v>1</v>
      </c>
      <c r="F1240" s="85" t="str">
        <f t="shared" si="130"/>
        <v>03</v>
      </c>
      <c r="G1240" s="85" t="str">
        <f t="shared" si="131"/>
        <v>1</v>
      </c>
      <c r="H1240" s="85" t="str">
        <f t="shared" si="132"/>
        <v>1</v>
      </c>
      <c r="I1240" s="87">
        <v>19210311</v>
      </c>
      <c r="J1240" s="85" t="s">
        <v>4303</v>
      </c>
      <c r="K1240" s="85" t="s">
        <v>4304</v>
      </c>
      <c r="L1240" s="84"/>
      <c r="M1240" s="85" t="s">
        <v>3044</v>
      </c>
      <c r="N1240" s="85" t="s">
        <v>2578</v>
      </c>
      <c r="O1240" s="85" t="s">
        <v>4305</v>
      </c>
      <c r="P1240" s="86" t="s">
        <v>2890</v>
      </c>
    </row>
    <row r="1241" spans="2:16" ht="30" x14ac:dyDescent="0.25">
      <c r="B1241" s="108" t="str">
        <f t="shared" si="126"/>
        <v>1</v>
      </c>
      <c r="C1241" s="108" t="str">
        <f t="shared" si="127"/>
        <v>9</v>
      </c>
      <c r="D1241" s="108" t="str">
        <f t="shared" si="128"/>
        <v>2</v>
      </c>
      <c r="E1241" s="108" t="str">
        <f t="shared" si="129"/>
        <v>1</v>
      </c>
      <c r="F1241" s="108" t="str">
        <f t="shared" si="130"/>
        <v>99</v>
      </c>
      <c r="G1241" s="108" t="str">
        <f t="shared" si="131"/>
        <v>0</v>
      </c>
      <c r="H1241" s="108" t="str">
        <f t="shared" si="132"/>
        <v>0</v>
      </c>
      <c r="I1241" s="109">
        <v>19219900</v>
      </c>
      <c r="J1241" s="108" t="s">
        <v>2138</v>
      </c>
      <c r="K1241" s="108" t="s">
        <v>4306</v>
      </c>
      <c r="L1241" s="110"/>
      <c r="M1241" s="108" t="s">
        <v>2878</v>
      </c>
      <c r="N1241" s="108" t="s">
        <v>2879</v>
      </c>
      <c r="O1241" s="108" t="s">
        <v>2878</v>
      </c>
      <c r="P1241" s="111" t="s">
        <v>2880</v>
      </c>
    </row>
    <row r="1242" spans="2:16" ht="30" x14ac:dyDescent="0.25">
      <c r="B1242" s="114" t="str">
        <f t="shared" si="126"/>
        <v>1</v>
      </c>
      <c r="C1242" s="114" t="str">
        <f t="shared" si="127"/>
        <v>9</v>
      </c>
      <c r="D1242" s="114" t="str">
        <f t="shared" si="128"/>
        <v>2</v>
      </c>
      <c r="E1242" s="114" t="str">
        <f t="shared" si="129"/>
        <v>1</v>
      </c>
      <c r="F1242" s="114" t="str">
        <f t="shared" si="130"/>
        <v>99</v>
      </c>
      <c r="G1242" s="114" t="str">
        <f t="shared" si="131"/>
        <v>1</v>
      </c>
      <c r="H1242" s="114" t="str">
        <f t="shared" si="132"/>
        <v>0</v>
      </c>
      <c r="I1242" s="115">
        <v>19219910</v>
      </c>
      <c r="J1242" s="114" t="s">
        <v>2138</v>
      </c>
      <c r="K1242" s="114" t="s">
        <v>4306</v>
      </c>
      <c r="L1242" s="116"/>
      <c r="M1242" s="114" t="s">
        <v>2878</v>
      </c>
      <c r="N1242" s="114" t="s">
        <v>2879</v>
      </c>
      <c r="O1242" s="114" t="s">
        <v>2878</v>
      </c>
      <c r="P1242" s="117" t="s">
        <v>2880</v>
      </c>
    </row>
    <row r="1243" spans="2:16" ht="30" x14ac:dyDescent="0.25">
      <c r="B1243" s="85" t="str">
        <f t="shared" si="126"/>
        <v>1</v>
      </c>
      <c r="C1243" s="85" t="str">
        <f t="shared" si="127"/>
        <v>9</v>
      </c>
      <c r="D1243" s="85" t="str">
        <f t="shared" si="128"/>
        <v>2</v>
      </c>
      <c r="E1243" s="85" t="str">
        <f t="shared" si="129"/>
        <v>1</v>
      </c>
      <c r="F1243" s="85" t="str">
        <f t="shared" si="130"/>
        <v>99</v>
      </c>
      <c r="G1243" s="85" t="str">
        <f t="shared" si="131"/>
        <v>1</v>
      </c>
      <c r="H1243" s="85" t="str">
        <f t="shared" si="132"/>
        <v>1</v>
      </c>
      <c r="I1243" s="87">
        <v>19219911</v>
      </c>
      <c r="J1243" s="85" t="s">
        <v>4307</v>
      </c>
      <c r="K1243" s="85" t="s">
        <v>4308</v>
      </c>
      <c r="L1243" s="84"/>
      <c r="M1243" s="85" t="s">
        <v>3044</v>
      </c>
      <c r="N1243" s="85" t="s">
        <v>2879</v>
      </c>
      <c r="O1243" s="85" t="s">
        <v>4309</v>
      </c>
      <c r="P1243" s="86" t="s">
        <v>2890</v>
      </c>
    </row>
    <row r="1244" spans="2:16" ht="45" x14ac:dyDescent="0.25">
      <c r="B1244" s="104" t="str">
        <f t="shared" si="126"/>
        <v>1</v>
      </c>
      <c r="C1244" s="104" t="str">
        <f t="shared" si="127"/>
        <v>9</v>
      </c>
      <c r="D1244" s="104" t="str">
        <f t="shared" si="128"/>
        <v>2</v>
      </c>
      <c r="E1244" s="104" t="str">
        <f t="shared" si="129"/>
        <v>2</v>
      </c>
      <c r="F1244" s="104" t="str">
        <f t="shared" si="130"/>
        <v>00</v>
      </c>
      <c r="G1244" s="104" t="str">
        <f t="shared" si="131"/>
        <v>0</v>
      </c>
      <c r="H1244" s="104" t="str">
        <f t="shared" si="132"/>
        <v>0</v>
      </c>
      <c r="I1244" s="105">
        <v>19220000</v>
      </c>
      <c r="J1244" s="104" t="s">
        <v>2140</v>
      </c>
      <c r="K1244" s="104" t="s">
        <v>4310</v>
      </c>
      <c r="L1244" s="106"/>
      <c r="M1244" s="104" t="s">
        <v>2878</v>
      </c>
      <c r="N1244" s="104" t="s">
        <v>2879</v>
      </c>
      <c r="O1244" s="104" t="s">
        <v>2878</v>
      </c>
      <c r="P1244" s="107" t="s">
        <v>2880</v>
      </c>
    </row>
    <row r="1245" spans="2:16" ht="60" x14ac:dyDescent="0.25">
      <c r="B1245" s="108" t="str">
        <f t="shared" si="126"/>
        <v>1</v>
      </c>
      <c r="C1245" s="108" t="str">
        <f t="shared" si="127"/>
        <v>9</v>
      </c>
      <c r="D1245" s="108" t="str">
        <f t="shared" si="128"/>
        <v>2</v>
      </c>
      <c r="E1245" s="108" t="str">
        <f t="shared" si="129"/>
        <v>2</v>
      </c>
      <c r="F1245" s="108" t="str">
        <f t="shared" si="130"/>
        <v>01</v>
      </c>
      <c r="G1245" s="108" t="str">
        <f t="shared" si="131"/>
        <v>0</v>
      </c>
      <c r="H1245" s="108" t="str">
        <f t="shared" si="132"/>
        <v>0</v>
      </c>
      <c r="I1245" s="109">
        <v>19220100</v>
      </c>
      <c r="J1245" s="108" t="s">
        <v>4311</v>
      </c>
      <c r="K1245" s="108" t="s">
        <v>4312</v>
      </c>
      <c r="L1245" s="110"/>
      <c r="M1245" s="108" t="s">
        <v>2878</v>
      </c>
      <c r="N1245" s="108" t="s">
        <v>2144</v>
      </c>
      <c r="O1245" s="108" t="s">
        <v>2878</v>
      </c>
      <c r="P1245" s="111" t="s">
        <v>2880</v>
      </c>
    </row>
    <row r="1246" spans="2:16" ht="60" x14ac:dyDescent="0.25">
      <c r="B1246" s="114" t="str">
        <f t="shared" si="126"/>
        <v>1</v>
      </c>
      <c r="C1246" s="114" t="str">
        <f t="shared" si="127"/>
        <v>9</v>
      </c>
      <c r="D1246" s="114" t="str">
        <f t="shared" si="128"/>
        <v>2</v>
      </c>
      <c r="E1246" s="114" t="str">
        <f t="shared" si="129"/>
        <v>2</v>
      </c>
      <c r="F1246" s="114" t="str">
        <f t="shared" si="130"/>
        <v>01</v>
      </c>
      <c r="G1246" s="114" t="str">
        <f t="shared" si="131"/>
        <v>1</v>
      </c>
      <c r="H1246" s="114" t="str">
        <f t="shared" si="132"/>
        <v>0</v>
      </c>
      <c r="I1246" s="115">
        <v>19220110</v>
      </c>
      <c r="J1246" s="114" t="s">
        <v>4313</v>
      </c>
      <c r="K1246" s="114" t="s">
        <v>4314</v>
      </c>
      <c r="L1246" s="116"/>
      <c r="M1246" s="114" t="s">
        <v>2878</v>
      </c>
      <c r="N1246" s="114" t="s">
        <v>2879</v>
      </c>
      <c r="O1246" s="114" t="s">
        <v>2878</v>
      </c>
      <c r="P1246" s="117" t="s">
        <v>2880</v>
      </c>
    </row>
    <row r="1247" spans="2:16" ht="90" x14ac:dyDescent="0.25">
      <c r="B1247" s="85" t="str">
        <f t="shared" si="126"/>
        <v>1</v>
      </c>
      <c r="C1247" s="85" t="str">
        <f t="shared" si="127"/>
        <v>9</v>
      </c>
      <c r="D1247" s="85" t="str">
        <f t="shared" si="128"/>
        <v>2</v>
      </c>
      <c r="E1247" s="85" t="str">
        <f t="shared" si="129"/>
        <v>2</v>
      </c>
      <c r="F1247" s="85" t="str">
        <f t="shared" si="130"/>
        <v>01</v>
      </c>
      <c r="G1247" s="85" t="str">
        <f t="shared" si="131"/>
        <v>1</v>
      </c>
      <c r="H1247" s="85" t="str">
        <f t="shared" si="132"/>
        <v>1</v>
      </c>
      <c r="I1247" s="87">
        <v>19220111</v>
      </c>
      <c r="J1247" s="85" t="s">
        <v>4315</v>
      </c>
      <c r="K1247" s="85" t="s">
        <v>4316</v>
      </c>
      <c r="L1247" s="84"/>
      <c r="M1247" s="85" t="s">
        <v>3044</v>
      </c>
      <c r="N1247" s="85" t="s">
        <v>2147</v>
      </c>
      <c r="O1247" s="85" t="s">
        <v>4317</v>
      </c>
      <c r="P1247" s="86" t="s">
        <v>2890</v>
      </c>
    </row>
    <row r="1248" spans="2:16" ht="60" x14ac:dyDescent="0.25">
      <c r="B1248" s="114" t="str">
        <f t="shared" si="126"/>
        <v>1</v>
      </c>
      <c r="C1248" s="114" t="str">
        <f t="shared" si="127"/>
        <v>9</v>
      </c>
      <c r="D1248" s="114" t="str">
        <f t="shared" si="128"/>
        <v>2</v>
      </c>
      <c r="E1248" s="114" t="str">
        <f t="shared" si="129"/>
        <v>2</v>
      </c>
      <c r="F1248" s="114" t="str">
        <f t="shared" si="130"/>
        <v>01</v>
      </c>
      <c r="G1248" s="114" t="str">
        <f t="shared" si="131"/>
        <v>2</v>
      </c>
      <c r="H1248" s="114" t="str">
        <f t="shared" si="132"/>
        <v>0</v>
      </c>
      <c r="I1248" s="115">
        <v>19220120</v>
      </c>
      <c r="J1248" s="114" t="s">
        <v>4318</v>
      </c>
      <c r="K1248" s="114" t="s">
        <v>4314</v>
      </c>
      <c r="L1248" s="116"/>
      <c r="M1248" s="114" t="s">
        <v>2878</v>
      </c>
      <c r="N1248" s="114" t="s">
        <v>2879</v>
      </c>
      <c r="O1248" s="114" t="s">
        <v>2878</v>
      </c>
      <c r="P1248" s="117" t="s">
        <v>2880</v>
      </c>
    </row>
    <row r="1249" spans="2:16" ht="90" x14ac:dyDescent="0.25">
      <c r="B1249" s="85" t="str">
        <f t="shared" si="126"/>
        <v>1</v>
      </c>
      <c r="C1249" s="85" t="str">
        <f t="shared" si="127"/>
        <v>9</v>
      </c>
      <c r="D1249" s="85" t="str">
        <f t="shared" si="128"/>
        <v>2</v>
      </c>
      <c r="E1249" s="85" t="str">
        <f t="shared" si="129"/>
        <v>2</v>
      </c>
      <c r="F1249" s="85" t="str">
        <f t="shared" si="130"/>
        <v>01</v>
      </c>
      <c r="G1249" s="85" t="str">
        <f t="shared" si="131"/>
        <v>2</v>
      </c>
      <c r="H1249" s="85" t="str">
        <f t="shared" si="132"/>
        <v>1</v>
      </c>
      <c r="I1249" s="87">
        <v>19220121</v>
      </c>
      <c r="J1249" s="85" t="s">
        <v>4319</v>
      </c>
      <c r="K1249" s="85" t="s">
        <v>4320</v>
      </c>
      <c r="L1249" s="84"/>
      <c r="M1249" s="85" t="s">
        <v>3044</v>
      </c>
      <c r="N1249" s="85" t="s">
        <v>2147</v>
      </c>
      <c r="O1249" s="85" t="s">
        <v>4317</v>
      </c>
      <c r="P1249" s="86" t="s">
        <v>2890</v>
      </c>
    </row>
    <row r="1250" spans="2:16" ht="45" x14ac:dyDescent="0.25">
      <c r="B1250" s="108" t="str">
        <f t="shared" si="126"/>
        <v>1</v>
      </c>
      <c r="C1250" s="108" t="str">
        <f t="shared" si="127"/>
        <v>9</v>
      </c>
      <c r="D1250" s="108" t="str">
        <f t="shared" si="128"/>
        <v>2</v>
      </c>
      <c r="E1250" s="108" t="str">
        <f t="shared" si="129"/>
        <v>2</v>
      </c>
      <c r="F1250" s="108" t="str">
        <f t="shared" si="130"/>
        <v>02</v>
      </c>
      <c r="G1250" s="108" t="str">
        <f t="shared" si="131"/>
        <v>0</v>
      </c>
      <c r="H1250" s="108" t="str">
        <f t="shared" si="132"/>
        <v>0</v>
      </c>
      <c r="I1250" s="109">
        <v>19220200</v>
      </c>
      <c r="J1250" s="108" t="s">
        <v>4321</v>
      </c>
      <c r="K1250" s="108" t="s">
        <v>4322</v>
      </c>
      <c r="L1250" s="110"/>
      <c r="M1250" s="108" t="s">
        <v>2878</v>
      </c>
      <c r="N1250" s="108" t="s">
        <v>2879</v>
      </c>
      <c r="O1250" s="108" t="s">
        <v>2878</v>
      </c>
      <c r="P1250" s="111" t="s">
        <v>2880</v>
      </c>
    </row>
    <row r="1251" spans="2:16" ht="45" x14ac:dyDescent="0.25">
      <c r="B1251" s="114" t="str">
        <f t="shared" si="126"/>
        <v>1</v>
      </c>
      <c r="C1251" s="114" t="str">
        <f t="shared" si="127"/>
        <v>9</v>
      </c>
      <c r="D1251" s="114" t="str">
        <f t="shared" si="128"/>
        <v>2</v>
      </c>
      <c r="E1251" s="114" t="str">
        <f t="shared" si="129"/>
        <v>2</v>
      </c>
      <c r="F1251" s="114" t="str">
        <f t="shared" si="130"/>
        <v>02</v>
      </c>
      <c r="G1251" s="114" t="str">
        <f t="shared" si="131"/>
        <v>1</v>
      </c>
      <c r="H1251" s="114" t="str">
        <f t="shared" si="132"/>
        <v>0</v>
      </c>
      <c r="I1251" s="115">
        <v>19220210</v>
      </c>
      <c r="J1251" s="114" t="s">
        <v>4321</v>
      </c>
      <c r="K1251" s="114" t="s">
        <v>4322</v>
      </c>
      <c r="L1251" s="116"/>
      <c r="M1251" s="114" t="s">
        <v>2878</v>
      </c>
      <c r="N1251" s="114" t="s">
        <v>2152</v>
      </c>
      <c r="O1251" s="114" t="s">
        <v>2878</v>
      </c>
      <c r="P1251" s="117" t="s">
        <v>2880</v>
      </c>
    </row>
    <row r="1252" spans="2:16" ht="45" x14ac:dyDescent="0.25">
      <c r="B1252" s="85" t="str">
        <f t="shared" si="126"/>
        <v>1</v>
      </c>
      <c r="C1252" s="85" t="str">
        <f t="shared" si="127"/>
        <v>9</v>
      </c>
      <c r="D1252" s="85" t="str">
        <f t="shared" si="128"/>
        <v>2</v>
      </c>
      <c r="E1252" s="85" t="str">
        <f t="shared" si="129"/>
        <v>2</v>
      </c>
      <c r="F1252" s="85" t="str">
        <f t="shared" si="130"/>
        <v>02</v>
      </c>
      <c r="G1252" s="85" t="str">
        <f t="shared" si="131"/>
        <v>1</v>
      </c>
      <c r="H1252" s="85" t="str">
        <f t="shared" si="132"/>
        <v>1</v>
      </c>
      <c r="I1252" s="87">
        <v>19220211</v>
      </c>
      <c r="J1252" s="85" t="s">
        <v>4323</v>
      </c>
      <c r="K1252" s="85" t="s">
        <v>4324</v>
      </c>
      <c r="L1252" s="84"/>
      <c r="M1252" s="85" t="s">
        <v>4325</v>
      </c>
      <c r="N1252" s="85" t="s">
        <v>2103</v>
      </c>
      <c r="O1252" s="85" t="s">
        <v>4326</v>
      </c>
      <c r="P1252" s="86" t="s">
        <v>2890</v>
      </c>
    </row>
    <row r="1253" spans="2:16" ht="30" x14ac:dyDescent="0.25">
      <c r="B1253" s="108" t="str">
        <f t="shared" si="126"/>
        <v>1</v>
      </c>
      <c r="C1253" s="108" t="str">
        <f t="shared" si="127"/>
        <v>9</v>
      </c>
      <c r="D1253" s="108" t="str">
        <f t="shared" si="128"/>
        <v>2</v>
      </c>
      <c r="E1253" s="108" t="str">
        <f t="shared" si="129"/>
        <v>2</v>
      </c>
      <c r="F1253" s="108" t="str">
        <f t="shared" si="130"/>
        <v>03</v>
      </c>
      <c r="G1253" s="108" t="str">
        <f t="shared" si="131"/>
        <v>0</v>
      </c>
      <c r="H1253" s="108" t="str">
        <f t="shared" si="132"/>
        <v>0</v>
      </c>
      <c r="I1253" s="109">
        <v>19220300</v>
      </c>
      <c r="J1253" s="108" t="s">
        <v>4327</v>
      </c>
      <c r="K1253" s="108" t="s">
        <v>4328</v>
      </c>
      <c r="L1253" s="110"/>
      <c r="M1253" s="108" t="s">
        <v>2878</v>
      </c>
      <c r="N1253" s="108" t="s">
        <v>2879</v>
      </c>
      <c r="O1253" s="108" t="s">
        <v>2878</v>
      </c>
      <c r="P1253" s="111" t="s">
        <v>2880</v>
      </c>
    </row>
    <row r="1254" spans="2:16" ht="30" x14ac:dyDescent="0.25">
      <c r="B1254" s="114" t="str">
        <f t="shared" si="126"/>
        <v>1</v>
      </c>
      <c r="C1254" s="114" t="str">
        <f t="shared" si="127"/>
        <v>9</v>
      </c>
      <c r="D1254" s="114" t="str">
        <f t="shared" si="128"/>
        <v>2</v>
      </c>
      <c r="E1254" s="114" t="str">
        <f t="shared" si="129"/>
        <v>2</v>
      </c>
      <c r="F1254" s="114" t="str">
        <f t="shared" si="130"/>
        <v>03</v>
      </c>
      <c r="G1254" s="114" t="str">
        <f t="shared" si="131"/>
        <v>1</v>
      </c>
      <c r="H1254" s="114" t="str">
        <f t="shared" si="132"/>
        <v>0</v>
      </c>
      <c r="I1254" s="115">
        <v>19220310</v>
      </c>
      <c r="J1254" s="114" t="s">
        <v>4327</v>
      </c>
      <c r="K1254" s="114" t="s">
        <v>4328</v>
      </c>
      <c r="L1254" s="116"/>
      <c r="M1254" s="114" t="s">
        <v>2878</v>
      </c>
      <c r="N1254" s="114" t="s">
        <v>2879</v>
      </c>
      <c r="O1254" s="114" t="s">
        <v>2878</v>
      </c>
      <c r="P1254" s="117" t="s">
        <v>2880</v>
      </c>
    </row>
    <row r="1255" spans="2:16" ht="15.75" x14ac:dyDescent="0.25">
      <c r="B1255" s="85" t="str">
        <f t="shared" si="126"/>
        <v>1</v>
      </c>
      <c r="C1255" s="85" t="str">
        <f t="shared" si="127"/>
        <v>9</v>
      </c>
      <c r="D1255" s="85" t="str">
        <f t="shared" si="128"/>
        <v>2</v>
      </c>
      <c r="E1255" s="85" t="str">
        <f t="shared" si="129"/>
        <v>2</v>
      </c>
      <c r="F1255" s="85" t="str">
        <f t="shared" si="130"/>
        <v>03</v>
      </c>
      <c r="G1255" s="85" t="str">
        <f t="shared" si="131"/>
        <v>1</v>
      </c>
      <c r="H1255" s="85" t="str">
        <f t="shared" si="132"/>
        <v>1</v>
      </c>
      <c r="I1255" s="87">
        <v>19220311</v>
      </c>
      <c r="J1255" s="85" t="s">
        <v>4329</v>
      </c>
      <c r="K1255" s="85" t="s">
        <v>4330</v>
      </c>
      <c r="L1255" s="84"/>
      <c r="M1255" s="85" t="s">
        <v>3130</v>
      </c>
      <c r="N1255" s="85" t="s">
        <v>2103</v>
      </c>
      <c r="O1255" s="85" t="s">
        <v>4331</v>
      </c>
      <c r="P1255" s="86" t="s">
        <v>2890</v>
      </c>
    </row>
    <row r="1256" spans="2:16" ht="60" x14ac:dyDescent="0.25">
      <c r="B1256" s="108" t="str">
        <f t="shared" si="126"/>
        <v>1</v>
      </c>
      <c r="C1256" s="108" t="str">
        <f t="shared" si="127"/>
        <v>9</v>
      </c>
      <c r="D1256" s="108" t="str">
        <f t="shared" si="128"/>
        <v>2</v>
      </c>
      <c r="E1256" s="108" t="str">
        <f t="shared" si="129"/>
        <v>2</v>
      </c>
      <c r="F1256" s="108" t="str">
        <f t="shared" si="130"/>
        <v>04</v>
      </c>
      <c r="G1256" s="108" t="str">
        <f t="shared" si="131"/>
        <v>0</v>
      </c>
      <c r="H1256" s="108" t="str">
        <f t="shared" si="132"/>
        <v>0</v>
      </c>
      <c r="I1256" s="109">
        <v>19220400</v>
      </c>
      <c r="J1256" s="108" t="s">
        <v>4332</v>
      </c>
      <c r="K1256" s="108" t="s">
        <v>4333</v>
      </c>
      <c r="L1256" s="110"/>
      <c r="M1256" s="108" t="s">
        <v>2878</v>
      </c>
      <c r="N1256" s="108" t="s">
        <v>2879</v>
      </c>
      <c r="O1256" s="108" t="s">
        <v>2878</v>
      </c>
      <c r="P1256" s="111" t="s">
        <v>2880</v>
      </c>
    </row>
    <row r="1257" spans="2:16" ht="60" x14ac:dyDescent="0.25">
      <c r="B1257" s="114" t="str">
        <f t="shared" si="126"/>
        <v>1</v>
      </c>
      <c r="C1257" s="114" t="str">
        <f t="shared" si="127"/>
        <v>9</v>
      </c>
      <c r="D1257" s="114" t="str">
        <f t="shared" si="128"/>
        <v>2</v>
      </c>
      <c r="E1257" s="114" t="str">
        <f t="shared" si="129"/>
        <v>2</v>
      </c>
      <c r="F1257" s="114" t="str">
        <f t="shared" si="130"/>
        <v>04</v>
      </c>
      <c r="G1257" s="114" t="str">
        <f t="shared" si="131"/>
        <v>1</v>
      </c>
      <c r="H1257" s="114" t="str">
        <f t="shared" si="132"/>
        <v>0</v>
      </c>
      <c r="I1257" s="115">
        <v>19220410</v>
      </c>
      <c r="J1257" s="114" t="s">
        <v>4332</v>
      </c>
      <c r="K1257" s="114" t="s">
        <v>4333</v>
      </c>
      <c r="L1257" s="116"/>
      <c r="M1257" s="114" t="s">
        <v>2878</v>
      </c>
      <c r="N1257" s="114" t="s">
        <v>2879</v>
      </c>
      <c r="O1257" s="114" t="s">
        <v>2878</v>
      </c>
      <c r="P1257" s="117" t="s">
        <v>2880</v>
      </c>
    </row>
    <row r="1258" spans="2:16" ht="75" x14ac:dyDescent="0.25">
      <c r="B1258" s="85" t="str">
        <f t="shared" si="126"/>
        <v>1</v>
      </c>
      <c r="C1258" s="85" t="str">
        <f t="shared" si="127"/>
        <v>9</v>
      </c>
      <c r="D1258" s="85" t="str">
        <f t="shared" si="128"/>
        <v>2</v>
      </c>
      <c r="E1258" s="85" t="str">
        <f t="shared" si="129"/>
        <v>2</v>
      </c>
      <c r="F1258" s="85" t="str">
        <f t="shared" si="130"/>
        <v>04</v>
      </c>
      <c r="G1258" s="85" t="str">
        <f t="shared" si="131"/>
        <v>1</v>
      </c>
      <c r="H1258" s="85" t="str">
        <f t="shared" si="132"/>
        <v>1</v>
      </c>
      <c r="I1258" s="87">
        <v>19220411</v>
      </c>
      <c r="J1258" s="85" t="s">
        <v>4334</v>
      </c>
      <c r="K1258" s="85" t="s">
        <v>4335</v>
      </c>
      <c r="L1258" s="84"/>
      <c r="M1258" s="85" t="s">
        <v>3044</v>
      </c>
      <c r="N1258" s="85" t="s">
        <v>2103</v>
      </c>
      <c r="O1258" s="85" t="s">
        <v>4336</v>
      </c>
      <c r="P1258" s="86" t="s">
        <v>2890</v>
      </c>
    </row>
    <row r="1259" spans="2:16" ht="45" x14ac:dyDescent="0.25">
      <c r="B1259" s="108" t="str">
        <f t="shared" si="126"/>
        <v>1</v>
      </c>
      <c r="C1259" s="108" t="str">
        <f t="shared" si="127"/>
        <v>9</v>
      </c>
      <c r="D1259" s="108" t="str">
        <f t="shared" si="128"/>
        <v>2</v>
      </c>
      <c r="E1259" s="108" t="str">
        <f t="shared" si="129"/>
        <v>2</v>
      </c>
      <c r="F1259" s="108" t="str">
        <f t="shared" si="130"/>
        <v>05</v>
      </c>
      <c r="G1259" s="108" t="str">
        <f t="shared" si="131"/>
        <v>0</v>
      </c>
      <c r="H1259" s="108" t="str">
        <f t="shared" si="132"/>
        <v>0</v>
      </c>
      <c r="I1259" s="109">
        <v>19220500</v>
      </c>
      <c r="J1259" s="108" t="s">
        <v>2177</v>
      </c>
      <c r="K1259" s="108" t="s">
        <v>4337</v>
      </c>
      <c r="L1259" s="110"/>
      <c r="M1259" s="108" t="s">
        <v>2878</v>
      </c>
      <c r="N1259" s="108" t="s">
        <v>2879</v>
      </c>
      <c r="O1259" s="108" t="s">
        <v>2878</v>
      </c>
      <c r="P1259" s="111" t="s">
        <v>2880</v>
      </c>
    </row>
    <row r="1260" spans="2:16" ht="45" x14ac:dyDescent="0.25">
      <c r="B1260" s="114" t="str">
        <f t="shared" si="126"/>
        <v>1</v>
      </c>
      <c r="C1260" s="114" t="str">
        <f t="shared" si="127"/>
        <v>9</v>
      </c>
      <c r="D1260" s="114" t="str">
        <f t="shared" si="128"/>
        <v>2</v>
      </c>
      <c r="E1260" s="114" t="str">
        <f t="shared" si="129"/>
        <v>2</v>
      </c>
      <c r="F1260" s="114" t="str">
        <f t="shared" si="130"/>
        <v>05</v>
      </c>
      <c r="G1260" s="114" t="str">
        <f t="shared" si="131"/>
        <v>1</v>
      </c>
      <c r="H1260" s="114" t="str">
        <f t="shared" si="132"/>
        <v>0</v>
      </c>
      <c r="I1260" s="115">
        <v>19220510</v>
      </c>
      <c r="J1260" s="114" t="s">
        <v>2177</v>
      </c>
      <c r="K1260" s="114" t="s">
        <v>4337</v>
      </c>
      <c r="L1260" s="116"/>
      <c r="M1260" s="114" t="s">
        <v>2878</v>
      </c>
      <c r="N1260" s="114" t="s">
        <v>2879</v>
      </c>
      <c r="O1260" s="114" t="s">
        <v>2878</v>
      </c>
      <c r="P1260" s="117" t="s">
        <v>2880</v>
      </c>
    </row>
    <row r="1261" spans="2:16" ht="105" x14ac:dyDescent="0.25">
      <c r="B1261" s="85" t="str">
        <f t="shared" si="126"/>
        <v>1</v>
      </c>
      <c r="C1261" s="85" t="str">
        <f t="shared" si="127"/>
        <v>9</v>
      </c>
      <c r="D1261" s="85" t="str">
        <f t="shared" si="128"/>
        <v>2</v>
      </c>
      <c r="E1261" s="85" t="str">
        <f t="shared" si="129"/>
        <v>2</v>
      </c>
      <c r="F1261" s="85" t="str">
        <f t="shared" si="130"/>
        <v>05</v>
      </c>
      <c r="G1261" s="85" t="str">
        <f t="shared" si="131"/>
        <v>1</v>
      </c>
      <c r="H1261" s="85" t="str">
        <f t="shared" si="132"/>
        <v>1</v>
      </c>
      <c r="I1261" s="87">
        <v>19220511</v>
      </c>
      <c r="J1261" s="85" t="s">
        <v>4338</v>
      </c>
      <c r="K1261" s="85" t="s">
        <v>4339</v>
      </c>
      <c r="L1261" s="84"/>
      <c r="M1261" s="85" t="s">
        <v>4340</v>
      </c>
      <c r="N1261" s="85" t="s">
        <v>2879</v>
      </c>
      <c r="O1261" s="85" t="s">
        <v>4341</v>
      </c>
      <c r="P1261" s="86" t="s">
        <v>2890</v>
      </c>
    </row>
    <row r="1262" spans="2:16" ht="60" x14ac:dyDescent="0.25">
      <c r="B1262" s="108" t="str">
        <f t="shared" si="126"/>
        <v>1</v>
      </c>
      <c r="C1262" s="108" t="str">
        <f t="shared" si="127"/>
        <v>9</v>
      </c>
      <c r="D1262" s="108" t="str">
        <f t="shared" si="128"/>
        <v>2</v>
      </c>
      <c r="E1262" s="108" t="str">
        <f t="shared" si="129"/>
        <v>2</v>
      </c>
      <c r="F1262" s="108" t="str">
        <f t="shared" si="130"/>
        <v>06</v>
      </c>
      <c r="G1262" s="108" t="str">
        <f t="shared" si="131"/>
        <v>0</v>
      </c>
      <c r="H1262" s="108" t="str">
        <f t="shared" si="132"/>
        <v>0</v>
      </c>
      <c r="I1262" s="109">
        <v>19220600</v>
      </c>
      <c r="J1262" s="108" t="s">
        <v>4342</v>
      </c>
      <c r="K1262" s="108" t="s">
        <v>4343</v>
      </c>
      <c r="L1262" s="110"/>
      <c r="M1262" s="108" t="s">
        <v>2878</v>
      </c>
      <c r="N1262" s="108" t="s">
        <v>2879</v>
      </c>
      <c r="O1262" s="108" t="s">
        <v>2878</v>
      </c>
      <c r="P1262" s="111" t="s">
        <v>2880</v>
      </c>
    </row>
    <row r="1263" spans="2:16" ht="60" x14ac:dyDescent="0.25">
      <c r="B1263" s="114" t="str">
        <f t="shared" si="126"/>
        <v>1</v>
      </c>
      <c r="C1263" s="114" t="str">
        <f t="shared" si="127"/>
        <v>9</v>
      </c>
      <c r="D1263" s="114" t="str">
        <f t="shared" si="128"/>
        <v>2</v>
      </c>
      <c r="E1263" s="114" t="str">
        <f t="shared" si="129"/>
        <v>2</v>
      </c>
      <c r="F1263" s="114" t="str">
        <f t="shared" si="130"/>
        <v>06</v>
      </c>
      <c r="G1263" s="114" t="str">
        <f t="shared" si="131"/>
        <v>1</v>
      </c>
      <c r="H1263" s="114" t="str">
        <f t="shared" si="132"/>
        <v>0</v>
      </c>
      <c r="I1263" s="115">
        <v>19220610</v>
      </c>
      <c r="J1263" s="114" t="s">
        <v>4342</v>
      </c>
      <c r="K1263" s="114" t="s">
        <v>4343</v>
      </c>
      <c r="L1263" s="116"/>
      <c r="M1263" s="114" t="s">
        <v>2878</v>
      </c>
      <c r="N1263" s="114" t="s">
        <v>2879</v>
      </c>
      <c r="O1263" s="114" t="s">
        <v>2878</v>
      </c>
      <c r="P1263" s="117" t="s">
        <v>2880</v>
      </c>
    </row>
    <row r="1264" spans="2:16" ht="60" x14ac:dyDescent="0.25">
      <c r="B1264" s="85" t="str">
        <f t="shared" si="126"/>
        <v>1</v>
      </c>
      <c r="C1264" s="85" t="str">
        <f t="shared" si="127"/>
        <v>9</v>
      </c>
      <c r="D1264" s="85" t="str">
        <f t="shared" si="128"/>
        <v>2</v>
      </c>
      <c r="E1264" s="85" t="str">
        <f t="shared" si="129"/>
        <v>2</v>
      </c>
      <c r="F1264" s="85" t="str">
        <f t="shared" si="130"/>
        <v>06</v>
      </c>
      <c r="G1264" s="85" t="str">
        <f t="shared" si="131"/>
        <v>1</v>
      </c>
      <c r="H1264" s="85" t="str">
        <f t="shared" si="132"/>
        <v>1</v>
      </c>
      <c r="I1264" s="87">
        <v>19220611</v>
      </c>
      <c r="J1264" s="85" t="s">
        <v>4344</v>
      </c>
      <c r="K1264" s="85" t="s">
        <v>2186</v>
      </c>
      <c r="L1264" s="84"/>
      <c r="M1264" s="85" t="s">
        <v>3044</v>
      </c>
      <c r="N1264" s="85" t="s">
        <v>2879</v>
      </c>
      <c r="O1264" s="85" t="s">
        <v>4345</v>
      </c>
      <c r="P1264" s="86" t="s">
        <v>2890</v>
      </c>
    </row>
    <row r="1265" spans="2:16" ht="15.75" x14ac:dyDescent="0.25">
      <c r="B1265" s="85" t="str">
        <f t="shared" si="126"/>
        <v>1</v>
      </c>
      <c r="C1265" s="85" t="str">
        <f t="shared" si="127"/>
        <v>9</v>
      </c>
      <c r="D1265" s="85" t="str">
        <f t="shared" si="128"/>
        <v>2</v>
      </c>
      <c r="E1265" s="85" t="str">
        <f t="shared" si="129"/>
        <v>2</v>
      </c>
      <c r="F1265" s="85" t="str">
        <f t="shared" si="130"/>
        <v>06</v>
      </c>
      <c r="G1265" s="85" t="str">
        <f t="shared" si="131"/>
        <v>1</v>
      </c>
      <c r="H1265" s="85" t="str">
        <f t="shared" si="132"/>
        <v>2</v>
      </c>
      <c r="I1265" s="87">
        <v>19220612</v>
      </c>
      <c r="J1265" s="85" t="s">
        <v>4346</v>
      </c>
      <c r="K1265" s="85" t="s">
        <v>2892</v>
      </c>
      <c r="L1265" s="84"/>
      <c r="M1265" s="85" t="s">
        <v>2892</v>
      </c>
      <c r="N1265" s="85" t="s">
        <v>4347</v>
      </c>
      <c r="O1265" s="85" t="s">
        <v>2892</v>
      </c>
      <c r="P1265" s="86" t="s">
        <v>2890</v>
      </c>
    </row>
    <row r="1266" spans="2:16" ht="90" x14ac:dyDescent="0.25">
      <c r="B1266" s="108" t="str">
        <f t="shared" si="126"/>
        <v>1</v>
      </c>
      <c r="C1266" s="108" t="str">
        <f t="shared" si="127"/>
        <v>9</v>
      </c>
      <c r="D1266" s="108" t="str">
        <f t="shared" si="128"/>
        <v>2</v>
      </c>
      <c r="E1266" s="108" t="str">
        <f t="shared" si="129"/>
        <v>2</v>
      </c>
      <c r="F1266" s="108" t="str">
        <f t="shared" si="130"/>
        <v>07</v>
      </c>
      <c r="G1266" s="108" t="str">
        <f t="shared" si="131"/>
        <v>0</v>
      </c>
      <c r="H1266" s="108" t="str">
        <f t="shared" si="132"/>
        <v>0</v>
      </c>
      <c r="I1266" s="109">
        <v>19220700</v>
      </c>
      <c r="J1266" s="108" t="s">
        <v>2197</v>
      </c>
      <c r="K1266" s="108" t="s">
        <v>4348</v>
      </c>
      <c r="L1266" s="110"/>
      <c r="M1266" s="108" t="s">
        <v>2878</v>
      </c>
      <c r="N1266" s="108" t="s">
        <v>2879</v>
      </c>
      <c r="O1266" s="108" t="s">
        <v>2878</v>
      </c>
      <c r="P1266" s="111" t="s">
        <v>2880</v>
      </c>
    </row>
    <row r="1267" spans="2:16" ht="90" x14ac:dyDescent="0.25">
      <c r="B1267" s="114" t="str">
        <f t="shared" si="126"/>
        <v>1</v>
      </c>
      <c r="C1267" s="114" t="str">
        <f t="shared" si="127"/>
        <v>9</v>
      </c>
      <c r="D1267" s="114" t="str">
        <f t="shared" si="128"/>
        <v>2</v>
      </c>
      <c r="E1267" s="114" t="str">
        <f t="shared" si="129"/>
        <v>2</v>
      </c>
      <c r="F1267" s="114" t="str">
        <f t="shared" si="130"/>
        <v>07</v>
      </c>
      <c r="G1267" s="114" t="str">
        <f t="shared" si="131"/>
        <v>1</v>
      </c>
      <c r="H1267" s="114" t="str">
        <f t="shared" si="132"/>
        <v>0</v>
      </c>
      <c r="I1267" s="115">
        <v>19220710</v>
      </c>
      <c r="J1267" s="114" t="s">
        <v>2197</v>
      </c>
      <c r="K1267" s="114" t="s">
        <v>4348</v>
      </c>
      <c r="L1267" s="116"/>
      <c r="M1267" s="114" t="s">
        <v>2878</v>
      </c>
      <c r="N1267" s="114" t="s">
        <v>2879</v>
      </c>
      <c r="O1267" s="114" t="s">
        <v>2878</v>
      </c>
      <c r="P1267" s="117" t="s">
        <v>2880</v>
      </c>
    </row>
    <row r="1268" spans="2:16" ht="90" x14ac:dyDescent="0.25">
      <c r="B1268" s="85" t="str">
        <f t="shared" si="126"/>
        <v>1</v>
      </c>
      <c r="C1268" s="85" t="str">
        <f t="shared" si="127"/>
        <v>9</v>
      </c>
      <c r="D1268" s="85" t="str">
        <f t="shared" si="128"/>
        <v>2</v>
      </c>
      <c r="E1268" s="85" t="str">
        <f t="shared" si="129"/>
        <v>2</v>
      </c>
      <c r="F1268" s="85" t="str">
        <f t="shared" si="130"/>
        <v>07</v>
      </c>
      <c r="G1268" s="85" t="str">
        <f t="shared" si="131"/>
        <v>1</v>
      </c>
      <c r="H1268" s="85" t="str">
        <f t="shared" si="132"/>
        <v>1</v>
      </c>
      <c r="I1268" s="87">
        <v>19220711</v>
      </c>
      <c r="J1268" s="85" t="s">
        <v>4349</v>
      </c>
      <c r="K1268" s="85" t="s">
        <v>2198</v>
      </c>
      <c r="L1268" s="84"/>
      <c r="M1268" s="85" t="s">
        <v>4325</v>
      </c>
      <c r="N1268" s="85" t="s">
        <v>2879</v>
      </c>
      <c r="O1268" s="85" t="s">
        <v>4350</v>
      </c>
      <c r="P1268" s="86" t="s">
        <v>2890</v>
      </c>
    </row>
    <row r="1269" spans="2:16" ht="75" x14ac:dyDescent="0.25">
      <c r="B1269" s="108" t="str">
        <f t="shared" si="126"/>
        <v>1</v>
      </c>
      <c r="C1269" s="108" t="str">
        <f t="shared" si="127"/>
        <v>9</v>
      </c>
      <c r="D1269" s="108" t="str">
        <f t="shared" si="128"/>
        <v>2</v>
      </c>
      <c r="E1269" s="108" t="str">
        <f t="shared" si="129"/>
        <v>2</v>
      </c>
      <c r="F1269" s="108" t="str">
        <f t="shared" si="130"/>
        <v>08</v>
      </c>
      <c r="G1269" s="108" t="str">
        <f t="shared" si="131"/>
        <v>0</v>
      </c>
      <c r="H1269" s="108" t="str">
        <f t="shared" si="132"/>
        <v>0</v>
      </c>
      <c r="I1269" s="109">
        <v>19220800</v>
      </c>
      <c r="J1269" s="108" t="s">
        <v>4351</v>
      </c>
      <c r="K1269" s="108" t="s">
        <v>4352</v>
      </c>
      <c r="L1269" s="110"/>
      <c r="M1269" s="108" t="s">
        <v>2878</v>
      </c>
      <c r="N1269" s="108" t="s">
        <v>2879</v>
      </c>
      <c r="O1269" s="108" t="s">
        <v>2878</v>
      </c>
      <c r="P1269" s="111" t="s">
        <v>2880</v>
      </c>
    </row>
    <row r="1270" spans="2:16" ht="75" x14ac:dyDescent="0.25">
      <c r="B1270" s="114" t="str">
        <f t="shared" si="126"/>
        <v>1</v>
      </c>
      <c r="C1270" s="114" t="str">
        <f t="shared" si="127"/>
        <v>9</v>
      </c>
      <c r="D1270" s="114" t="str">
        <f t="shared" si="128"/>
        <v>2</v>
      </c>
      <c r="E1270" s="114" t="str">
        <f t="shared" si="129"/>
        <v>2</v>
      </c>
      <c r="F1270" s="114" t="str">
        <f t="shared" si="130"/>
        <v>08</v>
      </c>
      <c r="G1270" s="114" t="str">
        <f t="shared" si="131"/>
        <v>1</v>
      </c>
      <c r="H1270" s="114" t="str">
        <f t="shared" si="132"/>
        <v>0</v>
      </c>
      <c r="I1270" s="115">
        <v>19220810</v>
      </c>
      <c r="J1270" s="114" t="s">
        <v>4351</v>
      </c>
      <c r="K1270" s="114" t="s">
        <v>4352</v>
      </c>
      <c r="L1270" s="116"/>
      <c r="M1270" s="114" t="s">
        <v>2878</v>
      </c>
      <c r="N1270" s="114" t="s">
        <v>2879</v>
      </c>
      <c r="O1270" s="114" t="s">
        <v>2878</v>
      </c>
      <c r="P1270" s="117" t="s">
        <v>2880</v>
      </c>
    </row>
    <row r="1271" spans="2:16" ht="75" x14ac:dyDescent="0.25">
      <c r="B1271" s="85" t="str">
        <f t="shared" si="126"/>
        <v>1</v>
      </c>
      <c r="C1271" s="85" t="str">
        <f t="shared" si="127"/>
        <v>9</v>
      </c>
      <c r="D1271" s="85" t="str">
        <f t="shared" si="128"/>
        <v>2</v>
      </c>
      <c r="E1271" s="85" t="str">
        <f t="shared" si="129"/>
        <v>2</v>
      </c>
      <c r="F1271" s="85" t="str">
        <f t="shared" si="130"/>
        <v>08</v>
      </c>
      <c r="G1271" s="85" t="str">
        <f t="shared" si="131"/>
        <v>1</v>
      </c>
      <c r="H1271" s="85" t="str">
        <f t="shared" si="132"/>
        <v>1</v>
      </c>
      <c r="I1271" s="87">
        <v>19220811</v>
      </c>
      <c r="J1271" s="85" t="s">
        <v>4353</v>
      </c>
      <c r="K1271" s="85" t="s">
        <v>4354</v>
      </c>
      <c r="L1271" s="84"/>
      <c r="M1271" s="85" t="s">
        <v>3044</v>
      </c>
      <c r="N1271" s="85" t="s">
        <v>2879</v>
      </c>
      <c r="O1271" s="85" t="s">
        <v>4355</v>
      </c>
      <c r="P1271" s="86" t="s">
        <v>2890</v>
      </c>
    </row>
    <row r="1272" spans="2:16" ht="75" x14ac:dyDescent="0.25">
      <c r="B1272" s="108" t="str">
        <f t="shared" si="126"/>
        <v>1</v>
      </c>
      <c r="C1272" s="108" t="str">
        <f t="shared" si="127"/>
        <v>9</v>
      </c>
      <c r="D1272" s="108" t="str">
        <f t="shared" si="128"/>
        <v>2</v>
      </c>
      <c r="E1272" s="108" t="str">
        <f t="shared" si="129"/>
        <v>2</v>
      </c>
      <c r="F1272" s="108" t="str">
        <f t="shared" si="130"/>
        <v>09</v>
      </c>
      <c r="G1272" s="108" t="str">
        <f t="shared" si="131"/>
        <v>0</v>
      </c>
      <c r="H1272" s="108" t="str">
        <f t="shared" si="132"/>
        <v>0</v>
      </c>
      <c r="I1272" s="109">
        <v>19220900</v>
      </c>
      <c r="J1272" s="108" t="s">
        <v>2205</v>
      </c>
      <c r="K1272" s="108" t="s">
        <v>4356</v>
      </c>
      <c r="L1272" s="110"/>
      <c r="M1272" s="108" t="s">
        <v>2878</v>
      </c>
      <c r="N1272" s="108" t="s">
        <v>2879</v>
      </c>
      <c r="O1272" s="108" t="s">
        <v>2878</v>
      </c>
      <c r="P1272" s="111" t="s">
        <v>2880</v>
      </c>
    </row>
    <row r="1273" spans="2:16" ht="75" x14ac:dyDescent="0.25">
      <c r="B1273" s="114" t="str">
        <f t="shared" si="126"/>
        <v>1</v>
      </c>
      <c r="C1273" s="114" t="str">
        <f t="shared" si="127"/>
        <v>9</v>
      </c>
      <c r="D1273" s="114" t="str">
        <f t="shared" si="128"/>
        <v>2</v>
      </c>
      <c r="E1273" s="114" t="str">
        <f t="shared" si="129"/>
        <v>2</v>
      </c>
      <c r="F1273" s="114" t="str">
        <f t="shared" si="130"/>
        <v>09</v>
      </c>
      <c r="G1273" s="114" t="str">
        <f t="shared" si="131"/>
        <v>1</v>
      </c>
      <c r="H1273" s="114" t="str">
        <f t="shared" si="132"/>
        <v>0</v>
      </c>
      <c r="I1273" s="115">
        <v>19220910</v>
      </c>
      <c r="J1273" s="114" t="s">
        <v>2205</v>
      </c>
      <c r="K1273" s="114" t="s">
        <v>4356</v>
      </c>
      <c r="L1273" s="116"/>
      <c r="M1273" s="114" t="s">
        <v>2878</v>
      </c>
      <c r="N1273" s="114" t="s">
        <v>2879</v>
      </c>
      <c r="O1273" s="114" t="s">
        <v>2878</v>
      </c>
      <c r="P1273" s="117" t="s">
        <v>2880</v>
      </c>
    </row>
    <row r="1274" spans="2:16" ht="165" x14ac:dyDescent="0.25">
      <c r="B1274" s="85" t="str">
        <f t="shared" si="126"/>
        <v>1</v>
      </c>
      <c r="C1274" s="85" t="str">
        <f t="shared" si="127"/>
        <v>9</v>
      </c>
      <c r="D1274" s="85" t="str">
        <f t="shared" si="128"/>
        <v>2</v>
      </c>
      <c r="E1274" s="85" t="str">
        <f t="shared" si="129"/>
        <v>2</v>
      </c>
      <c r="F1274" s="85" t="str">
        <f t="shared" si="130"/>
        <v>09</v>
      </c>
      <c r="G1274" s="85" t="str">
        <f t="shared" si="131"/>
        <v>1</v>
      </c>
      <c r="H1274" s="85" t="str">
        <f t="shared" si="132"/>
        <v>1</v>
      </c>
      <c r="I1274" s="87">
        <v>19220911</v>
      </c>
      <c r="J1274" s="85" t="s">
        <v>4357</v>
      </c>
      <c r="K1274" s="85" t="s">
        <v>4358</v>
      </c>
      <c r="L1274" s="84"/>
      <c r="M1274" s="85" t="s">
        <v>4359</v>
      </c>
      <c r="N1274" s="85" t="s">
        <v>2879</v>
      </c>
      <c r="O1274" s="85" t="s">
        <v>4360</v>
      </c>
      <c r="P1274" s="86" t="s">
        <v>2890</v>
      </c>
    </row>
    <row r="1275" spans="2:16" ht="15.75" x14ac:dyDescent="0.25">
      <c r="B1275" s="85" t="str">
        <f t="shared" si="126"/>
        <v>1</v>
      </c>
      <c r="C1275" s="85" t="str">
        <f t="shared" si="127"/>
        <v>9</v>
      </c>
      <c r="D1275" s="85" t="str">
        <f t="shared" si="128"/>
        <v>2</v>
      </c>
      <c r="E1275" s="85" t="str">
        <f t="shared" si="129"/>
        <v>2</v>
      </c>
      <c r="F1275" s="85" t="str">
        <f t="shared" si="130"/>
        <v>09</v>
      </c>
      <c r="G1275" s="85" t="str">
        <f t="shared" si="131"/>
        <v>1</v>
      </c>
      <c r="H1275" s="85" t="str">
        <f t="shared" si="132"/>
        <v>2</v>
      </c>
      <c r="I1275" s="87">
        <v>19220912</v>
      </c>
      <c r="J1275" s="85" t="s">
        <v>4361</v>
      </c>
      <c r="K1275" s="85" t="s">
        <v>2892</v>
      </c>
      <c r="L1275" s="84"/>
      <c r="M1275" s="85" t="s">
        <v>2892</v>
      </c>
      <c r="N1275" s="85" t="s">
        <v>2879</v>
      </c>
      <c r="O1275" s="85" t="s">
        <v>2892</v>
      </c>
      <c r="P1275" s="86" t="s">
        <v>2890</v>
      </c>
    </row>
    <row r="1276" spans="2:16" ht="75" x14ac:dyDescent="0.25">
      <c r="B1276" s="108" t="str">
        <f t="shared" si="126"/>
        <v>1</v>
      </c>
      <c r="C1276" s="108" t="str">
        <f t="shared" si="127"/>
        <v>9</v>
      </c>
      <c r="D1276" s="108" t="str">
        <f t="shared" si="128"/>
        <v>2</v>
      </c>
      <c r="E1276" s="108" t="str">
        <f t="shared" si="129"/>
        <v>2</v>
      </c>
      <c r="F1276" s="108" t="str">
        <f t="shared" si="130"/>
        <v>10</v>
      </c>
      <c r="G1276" s="108" t="str">
        <f t="shared" si="131"/>
        <v>0</v>
      </c>
      <c r="H1276" s="108" t="str">
        <f t="shared" si="132"/>
        <v>0</v>
      </c>
      <c r="I1276" s="109">
        <v>19221000</v>
      </c>
      <c r="J1276" s="108" t="s">
        <v>4362</v>
      </c>
      <c r="K1276" s="108" t="s">
        <v>4363</v>
      </c>
      <c r="L1276" s="110"/>
      <c r="M1276" s="108" t="s">
        <v>2878</v>
      </c>
      <c r="N1276" s="108" t="s">
        <v>2555</v>
      </c>
      <c r="O1276" s="108" t="s">
        <v>2878</v>
      </c>
      <c r="P1276" s="111" t="s">
        <v>2880</v>
      </c>
    </row>
    <row r="1277" spans="2:16" ht="75" x14ac:dyDescent="0.25">
      <c r="B1277" s="114" t="str">
        <f t="shared" si="126"/>
        <v>1</v>
      </c>
      <c r="C1277" s="114" t="str">
        <f t="shared" si="127"/>
        <v>9</v>
      </c>
      <c r="D1277" s="114" t="str">
        <f t="shared" si="128"/>
        <v>2</v>
      </c>
      <c r="E1277" s="114" t="str">
        <f t="shared" si="129"/>
        <v>2</v>
      </c>
      <c r="F1277" s="114" t="str">
        <f t="shared" si="130"/>
        <v>10</v>
      </c>
      <c r="G1277" s="114" t="str">
        <f t="shared" si="131"/>
        <v>1</v>
      </c>
      <c r="H1277" s="114" t="str">
        <f t="shared" si="132"/>
        <v>0</v>
      </c>
      <c r="I1277" s="115">
        <v>19221010</v>
      </c>
      <c r="J1277" s="114" t="s">
        <v>4364</v>
      </c>
      <c r="K1277" s="114" t="s">
        <v>4363</v>
      </c>
      <c r="L1277" s="116"/>
      <c r="M1277" s="114" t="s">
        <v>2878</v>
      </c>
      <c r="N1277" s="114" t="s">
        <v>2879</v>
      </c>
      <c r="O1277" s="114" t="s">
        <v>2878</v>
      </c>
      <c r="P1277" s="117" t="s">
        <v>2880</v>
      </c>
    </row>
    <row r="1278" spans="2:16" ht="120" x14ac:dyDescent="0.25">
      <c r="B1278" s="85" t="str">
        <f t="shared" si="126"/>
        <v>1</v>
      </c>
      <c r="C1278" s="85" t="str">
        <f t="shared" si="127"/>
        <v>9</v>
      </c>
      <c r="D1278" s="85" t="str">
        <f t="shared" si="128"/>
        <v>2</v>
      </c>
      <c r="E1278" s="85" t="str">
        <f t="shared" si="129"/>
        <v>2</v>
      </c>
      <c r="F1278" s="85" t="str">
        <f t="shared" si="130"/>
        <v>10</v>
      </c>
      <c r="G1278" s="85" t="str">
        <f t="shared" si="131"/>
        <v>1</v>
      </c>
      <c r="H1278" s="85" t="str">
        <f t="shared" si="132"/>
        <v>1</v>
      </c>
      <c r="I1278" s="87">
        <v>19221011</v>
      </c>
      <c r="J1278" s="85" t="s">
        <v>4365</v>
      </c>
      <c r="K1278" s="85" t="s">
        <v>4366</v>
      </c>
      <c r="L1278" s="84"/>
      <c r="M1278" s="85" t="s">
        <v>4367</v>
      </c>
      <c r="N1278" s="85" t="s">
        <v>2558</v>
      </c>
      <c r="O1278" s="85" t="s">
        <v>4368</v>
      </c>
      <c r="P1278" s="86" t="s">
        <v>2890</v>
      </c>
    </row>
    <row r="1279" spans="2:16" ht="75" x14ac:dyDescent="0.25">
      <c r="B1279" s="114" t="str">
        <f t="shared" si="126"/>
        <v>1</v>
      </c>
      <c r="C1279" s="114" t="str">
        <f t="shared" si="127"/>
        <v>9</v>
      </c>
      <c r="D1279" s="114" t="str">
        <f t="shared" si="128"/>
        <v>2</v>
      </c>
      <c r="E1279" s="114" t="str">
        <f t="shared" si="129"/>
        <v>2</v>
      </c>
      <c r="F1279" s="114" t="str">
        <f t="shared" si="130"/>
        <v>10</v>
      </c>
      <c r="G1279" s="114" t="str">
        <f t="shared" si="131"/>
        <v>2</v>
      </c>
      <c r="H1279" s="114" t="str">
        <f t="shared" si="132"/>
        <v>0</v>
      </c>
      <c r="I1279" s="115">
        <v>19221020</v>
      </c>
      <c r="J1279" s="114" t="s">
        <v>4369</v>
      </c>
      <c r="K1279" s="114" t="s">
        <v>4370</v>
      </c>
      <c r="L1279" s="116"/>
      <c r="M1279" s="114" t="s">
        <v>2878</v>
      </c>
      <c r="N1279" s="114" t="s">
        <v>2879</v>
      </c>
      <c r="O1279" s="114" t="s">
        <v>2878</v>
      </c>
      <c r="P1279" s="117" t="s">
        <v>2880</v>
      </c>
    </row>
    <row r="1280" spans="2:16" ht="105" x14ac:dyDescent="0.25">
      <c r="B1280" s="85" t="str">
        <f t="shared" si="126"/>
        <v>1</v>
      </c>
      <c r="C1280" s="85" t="str">
        <f t="shared" si="127"/>
        <v>9</v>
      </c>
      <c r="D1280" s="85" t="str">
        <f t="shared" si="128"/>
        <v>2</v>
      </c>
      <c r="E1280" s="85" t="str">
        <f t="shared" si="129"/>
        <v>2</v>
      </c>
      <c r="F1280" s="85" t="str">
        <f t="shared" si="130"/>
        <v>10</v>
      </c>
      <c r="G1280" s="85" t="str">
        <f t="shared" si="131"/>
        <v>2</v>
      </c>
      <c r="H1280" s="85" t="str">
        <f t="shared" si="132"/>
        <v>1</v>
      </c>
      <c r="I1280" s="87">
        <v>19221021</v>
      </c>
      <c r="J1280" s="85" t="s">
        <v>4371</v>
      </c>
      <c r="K1280" s="85" t="s">
        <v>4372</v>
      </c>
      <c r="L1280" s="84"/>
      <c r="M1280" s="85" t="s">
        <v>4373</v>
      </c>
      <c r="N1280" s="85" t="s">
        <v>2558</v>
      </c>
      <c r="O1280" s="85" t="s">
        <v>4374</v>
      </c>
      <c r="P1280" s="86" t="s">
        <v>2890</v>
      </c>
    </row>
    <row r="1281" spans="2:16" ht="30" x14ac:dyDescent="0.25">
      <c r="B1281" s="85" t="str">
        <f t="shared" si="126"/>
        <v>1</v>
      </c>
      <c r="C1281" s="85" t="str">
        <f t="shared" si="127"/>
        <v>9</v>
      </c>
      <c r="D1281" s="85" t="str">
        <f t="shared" si="128"/>
        <v>2</v>
      </c>
      <c r="E1281" s="85" t="str">
        <f t="shared" si="129"/>
        <v>2</v>
      </c>
      <c r="F1281" s="85" t="str">
        <f t="shared" si="130"/>
        <v>10</v>
      </c>
      <c r="G1281" s="85" t="str">
        <f t="shared" si="131"/>
        <v>2</v>
      </c>
      <c r="H1281" s="85" t="str">
        <f t="shared" si="132"/>
        <v>3</v>
      </c>
      <c r="I1281" s="87">
        <v>19221023</v>
      </c>
      <c r="J1281" s="85" t="s">
        <v>4375</v>
      </c>
      <c r="K1281" s="85" t="s">
        <v>2892</v>
      </c>
      <c r="L1281" s="84"/>
      <c r="M1281" s="85" t="s">
        <v>2892</v>
      </c>
      <c r="N1281" s="85" t="s">
        <v>2879</v>
      </c>
      <c r="O1281" s="85" t="s">
        <v>2892</v>
      </c>
      <c r="P1281" s="86" t="s">
        <v>2890</v>
      </c>
    </row>
    <row r="1282" spans="2:16" ht="30" x14ac:dyDescent="0.25">
      <c r="B1282" s="85" t="str">
        <f t="shared" si="126"/>
        <v>1</v>
      </c>
      <c r="C1282" s="85" t="str">
        <f t="shared" si="127"/>
        <v>9</v>
      </c>
      <c r="D1282" s="85" t="str">
        <f t="shared" si="128"/>
        <v>2</v>
      </c>
      <c r="E1282" s="85" t="str">
        <f t="shared" si="129"/>
        <v>2</v>
      </c>
      <c r="F1282" s="85" t="str">
        <f t="shared" si="130"/>
        <v>10</v>
      </c>
      <c r="G1282" s="85" t="str">
        <f t="shared" si="131"/>
        <v>2</v>
      </c>
      <c r="H1282" s="85" t="str">
        <f t="shared" si="132"/>
        <v>4</v>
      </c>
      <c r="I1282" s="87">
        <v>19221024</v>
      </c>
      <c r="J1282" s="85" t="s">
        <v>4376</v>
      </c>
      <c r="K1282" s="85" t="s">
        <v>2892</v>
      </c>
      <c r="L1282" s="84"/>
      <c r="M1282" s="85" t="s">
        <v>2892</v>
      </c>
      <c r="N1282" s="85" t="s">
        <v>2879</v>
      </c>
      <c r="O1282" s="85" t="s">
        <v>2892</v>
      </c>
      <c r="P1282" s="86" t="s">
        <v>2890</v>
      </c>
    </row>
    <row r="1283" spans="2:16" ht="60" x14ac:dyDescent="0.25">
      <c r="B1283" s="108" t="str">
        <f t="shared" si="126"/>
        <v>1</v>
      </c>
      <c r="C1283" s="108" t="str">
        <f t="shared" si="127"/>
        <v>9</v>
      </c>
      <c r="D1283" s="108" t="str">
        <f t="shared" si="128"/>
        <v>2</v>
      </c>
      <c r="E1283" s="108" t="str">
        <f t="shared" si="129"/>
        <v>2</v>
      </c>
      <c r="F1283" s="108" t="str">
        <f t="shared" si="130"/>
        <v>11</v>
      </c>
      <c r="G1283" s="108" t="str">
        <f t="shared" si="131"/>
        <v>0</v>
      </c>
      <c r="H1283" s="108" t="str">
        <f t="shared" si="132"/>
        <v>0</v>
      </c>
      <c r="I1283" s="109">
        <v>19221100</v>
      </c>
      <c r="J1283" s="108" t="s">
        <v>4377</v>
      </c>
      <c r="K1283" s="108" t="s">
        <v>4378</v>
      </c>
      <c r="L1283" s="110"/>
      <c r="M1283" s="108" t="s">
        <v>2878</v>
      </c>
      <c r="N1283" s="108" t="s">
        <v>3462</v>
      </c>
      <c r="O1283" s="108" t="s">
        <v>2878</v>
      </c>
      <c r="P1283" s="111" t="s">
        <v>2880</v>
      </c>
    </row>
    <row r="1284" spans="2:16" ht="60" x14ac:dyDescent="0.25">
      <c r="B1284" s="114" t="str">
        <f t="shared" si="126"/>
        <v>1</v>
      </c>
      <c r="C1284" s="114" t="str">
        <f t="shared" si="127"/>
        <v>9</v>
      </c>
      <c r="D1284" s="114" t="str">
        <f t="shared" si="128"/>
        <v>2</v>
      </c>
      <c r="E1284" s="114" t="str">
        <f t="shared" si="129"/>
        <v>2</v>
      </c>
      <c r="F1284" s="114" t="str">
        <f t="shared" si="130"/>
        <v>11</v>
      </c>
      <c r="G1284" s="114" t="str">
        <f t="shared" si="131"/>
        <v>1</v>
      </c>
      <c r="H1284" s="114" t="str">
        <f t="shared" si="132"/>
        <v>0</v>
      </c>
      <c r="I1284" s="115">
        <v>19221110</v>
      </c>
      <c r="J1284" s="114" t="s">
        <v>4377</v>
      </c>
      <c r="K1284" s="114" t="s">
        <v>4378</v>
      </c>
      <c r="L1284" s="116"/>
      <c r="M1284" s="114" t="s">
        <v>2878</v>
      </c>
      <c r="N1284" s="114" t="s">
        <v>3462</v>
      </c>
      <c r="O1284" s="114" t="s">
        <v>2878</v>
      </c>
      <c r="P1284" s="117" t="s">
        <v>2880</v>
      </c>
    </row>
    <row r="1285" spans="2:16" ht="90" x14ac:dyDescent="0.25">
      <c r="B1285" s="85" t="str">
        <f t="shared" ref="B1285:B1350" si="133">MID($I1285,1,1)</f>
        <v>1</v>
      </c>
      <c r="C1285" s="85" t="str">
        <f t="shared" ref="C1285:C1350" si="134">MID($I1285,2,1)</f>
        <v>9</v>
      </c>
      <c r="D1285" s="85" t="str">
        <f t="shared" ref="D1285:D1350" si="135">MID($I1285,3,1)</f>
        <v>2</v>
      </c>
      <c r="E1285" s="85" t="str">
        <f t="shared" ref="E1285:E1350" si="136">MID($I1285,4,1)</f>
        <v>2</v>
      </c>
      <c r="F1285" s="85" t="str">
        <f t="shared" ref="F1285:F1350" si="137">MID($I1285,5,2)</f>
        <v>11</v>
      </c>
      <c r="G1285" s="85" t="str">
        <f t="shared" ref="G1285:G1350" si="138">MID($I1285,7,1)</f>
        <v>1</v>
      </c>
      <c r="H1285" s="85" t="str">
        <f t="shared" ref="H1285:H1350" si="139">MID($I1285,8,1)</f>
        <v>1</v>
      </c>
      <c r="I1285" s="87">
        <v>19221111</v>
      </c>
      <c r="J1285" s="85" t="s">
        <v>4379</v>
      </c>
      <c r="K1285" s="85" t="s">
        <v>4380</v>
      </c>
      <c r="L1285" s="84"/>
      <c r="M1285" s="85" t="s">
        <v>3728</v>
      </c>
      <c r="N1285" s="85" t="s">
        <v>3462</v>
      </c>
      <c r="O1285" s="85" t="s">
        <v>4381</v>
      </c>
      <c r="P1285" s="86" t="s">
        <v>2890</v>
      </c>
    </row>
    <row r="1286" spans="2:16" ht="30" x14ac:dyDescent="0.25">
      <c r="B1286" s="85" t="str">
        <f t="shared" si="133"/>
        <v>1</v>
      </c>
      <c r="C1286" s="85" t="str">
        <f t="shared" si="134"/>
        <v>9</v>
      </c>
      <c r="D1286" s="85" t="str">
        <f t="shared" si="135"/>
        <v>2</v>
      </c>
      <c r="E1286" s="85" t="str">
        <f t="shared" si="136"/>
        <v>2</v>
      </c>
      <c r="F1286" s="85" t="str">
        <f t="shared" si="137"/>
        <v>11</v>
      </c>
      <c r="G1286" s="85" t="str">
        <f t="shared" si="138"/>
        <v>1</v>
      </c>
      <c r="H1286" s="85" t="str">
        <f t="shared" si="139"/>
        <v>2</v>
      </c>
      <c r="I1286" s="87">
        <v>19221112</v>
      </c>
      <c r="J1286" s="85" t="s">
        <v>4382</v>
      </c>
      <c r="K1286" s="85" t="s">
        <v>2892</v>
      </c>
      <c r="L1286" s="84"/>
      <c r="M1286" s="85" t="s">
        <v>2892</v>
      </c>
      <c r="N1286" s="85" t="s">
        <v>3462</v>
      </c>
      <c r="O1286" s="85" t="s">
        <v>2892</v>
      </c>
      <c r="P1286" s="86" t="s">
        <v>2890</v>
      </c>
    </row>
    <row r="1287" spans="2:16" ht="30" x14ac:dyDescent="0.25">
      <c r="B1287" s="85" t="str">
        <f t="shared" si="133"/>
        <v>1</v>
      </c>
      <c r="C1287" s="85" t="str">
        <f t="shared" si="134"/>
        <v>9</v>
      </c>
      <c r="D1287" s="85" t="str">
        <f t="shared" si="135"/>
        <v>2</v>
      </c>
      <c r="E1287" s="85" t="str">
        <f t="shared" si="136"/>
        <v>2</v>
      </c>
      <c r="F1287" s="85" t="str">
        <f t="shared" si="137"/>
        <v>11</v>
      </c>
      <c r="G1287" s="85" t="str">
        <f t="shared" si="138"/>
        <v>1</v>
      </c>
      <c r="H1287" s="85" t="str">
        <f t="shared" si="139"/>
        <v>3</v>
      </c>
      <c r="I1287" s="87">
        <v>19221113</v>
      </c>
      <c r="J1287" s="85" t="s">
        <v>4383</v>
      </c>
      <c r="K1287" s="85" t="s">
        <v>2892</v>
      </c>
      <c r="L1287" s="84"/>
      <c r="M1287" s="85" t="s">
        <v>2892</v>
      </c>
      <c r="N1287" s="85" t="s">
        <v>3462</v>
      </c>
      <c r="O1287" s="85" t="s">
        <v>2892</v>
      </c>
      <c r="P1287" s="86" t="s">
        <v>2890</v>
      </c>
    </row>
    <row r="1288" spans="2:16" ht="30" x14ac:dyDescent="0.25">
      <c r="B1288" s="85" t="str">
        <f t="shared" si="133"/>
        <v>1</v>
      </c>
      <c r="C1288" s="85" t="str">
        <f t="shared" si="134"/>
        <v>9</v>
      </c>
      <c r="D1288" s="85" t="str">
        <f t="shared" si="135"/>
        <v>2</v>
      </c>
      <c r="E1288" s="85" t="str">
        <f t="shared" si="136"/>
        <v>2</v>
      </c>
      <c r="F1288" s="85" t="str">
        <f t="shared" si="137"/>
        <v>11</v>
      </c>
      <c r="G1288" s="85" t="str">
        <f t="shared" si="138"/>
        <v>1</v>
      </c>
      <c r="H1288" s="85" t="str">
        <f t="shared" si="139"/>
        <v>4</v>
      </c>
      <c r="I1288" s="87">
        <v>19221114</v>
      </c>
      <c r="J1288" s="85" t="s">
        <v>4384</v>
      </c>
      <c r="K1288" s="85" t="s">
        <v>2892</v>
      </c>
      <c r="L1288" s="84"/>
      <c r="M1288" s="85" t="s">
        <v>2892</v>
      </c>
      <c r="N1288" s="85" t="s">
        <v>3462</v>
      </c>
      <c r="O1288" s="85" t="s">
        <v>2892</v>
      </c>
      <c r="P1288" s="86" t="s">
        <v>2890</v>
      </c>
    </row>
    <row r="1289" spans="2:16" ht="15.75" x14ac:dyDescent="0.25">
      <c r="B1289" s="108" t="str">
        <f t="shared" si="133"/>
        <v>1</v>
      </c>
      <c r="C1289" s="108" t="str">
        <f t="shared" si="134"/>
        <v>9</v>
      </c>
      <c r="D1289" s="108" t="str">
        <f t="shared" si="135"/>
        <v>2</v>
      </c>
      <c r="E1289" s="108" t="str">
        <f t="shared" si="136"/>
        <v>2</v>
      </c>
      <c r="F1289" s="108" t="str">
        <f t="shared" si="137"/>
        <v>12</v>
      </c>
      <c r="G1289" s="108" t="str">
        <f t="shared" si="138"/>
        <v>0</v>
      </c>
      <c r="H1289" s="108" t="str">
        <f t="shared" si="139"/>
        <v>0</v>
      </c>
      <c r="I1289" s="109">
        <v>19221200</v>
      </c>
      <c r="J1289" s="108" t="s">
        <v>5117</v>
      </c>
      <c r="K1289" s="108"/>
      <c r="L1289" s="110"/>
      <c r="M1289" s="108"/>
      <c r="N1289" s="108" t="s">
        <v>5118</v>
      </c>
      <c r="O1289" s="108"/>
      <c r="P1289" s="111" t="s">
        <v>2880</v>
      </c>
    </row>
    <row r="1290" spans="2:16" ht="15.75" x14ac:dyDescent="0.25">
      <c r="B1290" s="114" t="str">
        <f t="shared" si="133"/>
        <v>1</v>
      </c>
      <c r="C1290" s="114" t="str">
        <f t="shared" si="134"/>
        <v>9</v>
      </c>
      <c r="D1290" s="114" t="str">
        <f t="shared" si="135"/>
        <v>2</v>
      </c>
      <c r="E1290" s="114" t="str">
        <f t="shared" si="136"/>
        <v>2</v>
      </c>
      <c r="F1290" s="114" t="str">
        <f t="shared" si="137"/>
        <v>12</v>
      </c>
      <c r="G1290" s="114" t="str">
        <f t="shared" si="138"/>
        <v>1</v>
      </c>
      <c r="H1290" s="114" t="str">
        <f t="shared" si="139"/>
        <v>0</v>
      </c>
      <c r="I1290" s="115">
        <v>19221210</v>
      </c>
      <c r="J1290" s="114" t="s">
        <v>5117</v>
      </c>
      <c r="K1290" s="114"/>
      <c r="L1290" s="116"/>
      <c r="M1290" s="114"/>
      <c r="N1290" s="114" t="s">
        <v>5118</v>
      </c>
      <c r="O1290" s="114"/>
      <c r="P1290" s="117" t="s">
        <v>2890</v>
      </c>
    </row>
    <row r="1291" spans="2:16" ht="30" x14ac:dyDescent="0.25">
      <c r="B1291" s="108" t="str">
        <f t="shared" si="133"/>
        <v>1</v>
      </c>
      <c r="C1291" s="108" t="str">
        <f t="shared" si="134"/>
        <v>9</v>
      </c>
      <c r="D1291" s="108" t="str">
        <f t="shared" si="135"/>
        <v>2</v>
      </c>
      <c r="E1291" s="108" t="str">
        <f t="shared" si="136"/>
        <v>2</v>
      </c>
      <c r="F1291" s="108" t="str">
        <f t="shared" si="137"/>
        <v>99</v>
      </c>
      <c r="G1291" s="108" t="str">
        <f t="shared" si="138"/>
        <v>0</v>
      </c>
      <c r="H1291" s="108" t="str">
        <f t="shared" si="139"/>
        <v>0</v>
      </c>
      <c r="I1291" s="109">
        <v>19229900</v>
      </c>
      <c r="J1291" s="108" t="s">
        <v>2212</v>
      </c>
      <c r="K1291" s="108" t="s">
        <v>4385</v>
      </c>
      <c r="L1291" s="110"/>
      <c r="M1291" s="108" t="s">
        <v>2878</v>
      </c>
      <c r="N1291" s="108" t="s">
        <v>2879</v>
      </c>
      <c r="O1291" s="108" t="s">
        <v>2878</v>
      </c>
      <c r="P1291" s="111" t="s">
        <v>2880</v>
      </c>
    </row>
    <row r="1292" spans="2:16" ht="30" x14ac:dyDescent="0.25">
      <c r="B1292" s="114" t="str">
        <f t="shared" si="133"/>
        <v>1</v>
      </c>
      <c r="C1292" s="114" t="str">
        <f t="shared" si="134"/>
        <v>9</v>
      </c>
      <c r="D1292" s="114" t="str">
        <f t="shared" si="135"/>
        <v>2</v>
      </c>
      <c r="E1292" s="114" t="str">
        <f t="shared" si="136"/>
        <v>2</v>
      </c>
      <c r="F1292" s="114" t="str">
        <f t="shared" si="137"/>
        <v>99</v>
      </c>
      <c r="G1292" s="114" t="str">
        <f t="shared" si="138"/>
        <v>1</v>
      </c>
      <c r="H1292" s="114" t="str">
        <f t="shared" si="139"/>
        <v>0</v>
      </c>
      <c r="I1292" s="115">
        <v>19229910</v>
      </c>
      <c r="J1292" s="114" t="s">
        <v>2212</v>
      </c>
      <c r="K1292" s="114" t="s">
        <v>4385</v>
      </c>
      <c r="L1292" s="116"/>
      <c r="M1292" s="114" t="s">
        <v>2878</v>
      </c>
      <c r="N1292" s="114" t="s">
        <v>2879</v>
      </c>
      <c r="O1292" s="114" t="s">
        <v>2878</v>
      </c>
      <c r="P1292" s="117" t="s">
        <v>2880</v>
      </c>
    </row>
    <row r="1293" spans="2:16" ht="105" x14ac:dyDescent="0.25">
      <c r="B1293" s="85" t="str">
        <f t="shared" si="133"/>
        <v>1</v>
      </c>
      <c r="C1293" s="85" t="str">
        <f t="shared" si="134"/>
        <v>9</v>
      </c>
      <c r="D1293" s="85" t="str">
        <f t="shared" si="135"/>
        <v>2</v>
      </c>
      <c r="E1293" s="85" t="str">
        <f t="shared" si="136"/>
        <v>2</v>
      </c>
      <c r="F1293" s="85" t="str">
        <f t="shared" si="137"/>
        <v>99</v>
      </c>
      <c r="G1293" s="85" t="str">
        <f t="shared" si="138"/>
        <v>1</v>
      </c>
      <c r="H1293" s="85" t="str">
        <f t="shared" si="139"/>
        <v>1</v>
      </c>
      <c r="I1293" s="87">
        <v>19229911</v>
      </c>
      <c r="J1293" s="85" t="s">
        <v>4386</v>
      </c>
      <c r="K1293" s="85" t="s">
        <v>4387</v>
      </c>
      <c r="L1293" s="84"/>
      <c r="M1293" s="85" t="s">
        <v>3044</v>
      </c>
      <c r="N1293" s="85" t="s">
        <v>2103</v>
      </c>
      <c r="O1293" s="85" t="s">
        <v>4388</v>
      </c>
      <c r="P1293" s="86" t="s">
        <v>2890</v>
      </c>
    </row>
    <row r="1294" spans="2:16" ht="15.75" x14ac:dyDescent="0.25">
      <c r="B1294" s="85" t="str">
        <f t="shared" si="133"/>
        <v>1</v>
      </c>
      <c r="C1294" s="85" t="str">
        <f t="shared" si="134"/>
        <v>9</v>
      </c>
      <c r="D1294" s="85" t="str">
        <f t="shared" si="135"/>
        <v>2</v>
      </c>
      <c r="E1294" s="85" t="str">
        <f t="shared" si="136"/>
        <v>2</v>
      </c>
      <c r="F1294" s="85" t="str">
        <f t="shared" si="137"/>
        <v>99</v>
      </c>
      <c r="G1294" s="85" t="str">
        <f t="shared" si="138"/>
        <v>1</v>
      </c>
      <c r="H1294" s="85" t="str">
        <f t="shared" si="139"/>
        <v>2</v>
      </c>
      <c r="I1294" s="87">
        <v>19229912</v>
      </c>
      <c r="J1294" s="85" t="s">
        <v>4389</v>
      </c>
      <c r="K1294" s="85" t="s">
        <v>2892</v>
      </c>
      <c r="L1294" s="84"/>
      <c r="M1294" s="85" t="s">
        <v>2892</v>
      </c>
      <c r="N1294" s="85" t="s">
        <v>4347</v>
      </c>
      <c r="O1294" s="85" t="s">
        <v>2892</v>
      </c>
      <c r="P1294" s="86" t="s">
        <v>2890</v>
      </c>
    </row>
    <row r="1295" spans="2:16" ht="30" x14ac:dyDescent="0.25">
      <c r="B1295" s="104" t="str">
        <f t="shared" si="133"/>
        <v>1</v>
      </c>
      <c r="C1295" s="104" t="str">
        <f t="shared" si="134"/>
        <v>9</v>
      </c>
      <c r="D1295" s="104" t="str">
        <f t="shared" si="135"/>
        <v>2</v>
      </c>
      <c r="E1295" s="104" t="str">
        <f t="shared" si="136"/>
        <v>3</v>
      </c>
      <c r="F1295" s="104" t="str">
        <f t="shared" si="137"/>
        <v>00</v>
      </c>
      <c r="G1295" s="104" t="str">
        <f t="shared" si="138"/>
        <v>0</v>
      </c>
      <c r="H1295" s="104" t="str">
        <f t="shared" si="139"/>
        <v>0</v>
      </c>
      <c r="I1295" s="105">
        <v>19230000</v>
      </c>
      <c r="J1295" s="104" t="s">
        <v>4390</v>
      </c>
      <c r="K1295" s="104" t="s">
        <v>4391</v>
      </c>
      <c r="L1295" s="106"/>
      <c r="M1295" s="104" t="s">
        <v>2878</v>
      </c>
      <c r="N1295" s="104" t="s">
        <v>2879</v>
      </c>
      <c r="O1295" s="104" t="s">
        <v>2878</v>
      </c>
      <c r="P1295" s="107" t="s">
        <v>2880</v>
      </c>
    </row>
    <row r="1296" spans="2:16" ht="30" x14ac:dyDescent="0.25">
      <c r="B1296" s="108" t="str">
        <f t="shared" si="133"/>
        <v>1</v>
      </c>
      <c r="C1296" s="108" t="str">
        <f t="shared" si="134"/>
        <v>9</v>
      </c>
      <c r="D1296" s="108" t="str">
        <f t="shared" si="135"/>
        <v>2</v>
      </c>
      <c r="E1296" s="108" t="str">
        <f t="shared" si="136"/>
        <v>3</v>
      </c>
      <c r="F1296" s="108" t="str">
        <f t="shared" si="137"/>
        <v>01</v>
      </c>
      <c r="G1296" s="108" t="str">
        <f t="shared" si="138"/>
        <v>0</v>
      </c>
      <c r="H1296" s="108" t="str">
        <f t="shared" si="139"/>
        <v>0</v>
      </c>
      <c r="I1296" s="109">
        <v>19230100</v>
      </c>
      <c r="J1296" s="108" t="s">
        <v>4392</v>
      </c>
      <c r="K1296" s="108" t="s">
        <v>4393</v>
      </c>
      <c r="L1296" s="110"/>
      <c r="M1296" s="108" t="s">
        <v>2878</v>
      </c>
      <c r="N1296" s="108" t="s">
        <v>2879</v>
      </c>
      <c r="O1296" s="108" t="s">
        <v>2878</v>
      </c>
      <c r="P1296" s="111" t="s">
        <v>2880</v>
      </c>
    </row>
    <row r="1297" spans="2:16" ht="30" x14ac:dyDescent="0.25">
      <c r="B1297" s="114" t="str">
        <f t="shared" si="133"/>
        <v>1</v>
      </c>
      <c r="C1297" s="114" t="str">
        <f t="shared" si="134"/>
        <v>9</v>
      </c>
      <c r="D1297" s="114" t="str">
        <f t="shared" si="135"/>
        <v>2</v>
      </c>
      <c r="E1297" s="114" t="str">
        <f t="shared" si="136"/>
        <v>3</v>
      </c>
      <c r="F1297" s="114" t="str">
        <f t="shared" si="137"/>
        <v>01</v>
      </c>
      <c r="G1297" s="114" t="str">
        <f t="shared" si="138"/>
        <v>1</v>
      </c>
      <c r="H1297" s="114" t="str">
        <f t="shared" si="139"/>
        <v>0</v>
      </c>
      <c r="I1297" s="115">
        <v>19230110</v>
      </c>
      <c r="J1297" s="114" t="s">
        <v>4392</v>
      </c>
      <c r="K1297" s="114" t="s">
        <v>4393</v>
      </c>
      <c r="L1297" s="116"/>
      <c r="M1297" s="114" t="s">
        <v>2878</v>
      </c>
      <c r="N1297" s="114" t="s">
        <v>2879</v>
      </c>
      <c r="O1297" s="114" t="s">
        <v>2878</v>
      </c>
      <c r="P1297" s="117" t="s">
        <v>2880</v>
      </c>
    </row>
    <row r="1298" spans="2:16" ht="45" x14ac:dyDescent="0.25">
      <c r="B1298" s="85" t="str">
        <f t="shared" si="133"/>
        <v>1</v>
      </c>
      <c r="C1298" s="85" t="str">
        <f t="shared" si="134"/>
        <v>9</v>
      </c>
      <c r="D1298" s="85" t="str">
        <f t="shared" si="135"/>
        <v>2</v>
      </c>
      <c r="E1298" s="85" t="str">
        <f t="shared" si="136"/>
        <v>3</v>
      </c>
      <c r="F1298" s="85" t="str">
        <f t="shared" si="137"/>
        <v>01</v>
      </c>
      <c r="G1298" s="85" t="str">
        <f t="shared" si="138"/>
        <v>1</v>
      </c>
      <c r="H1298" s="85" t="str">
        <f t="shared" si="139"/>
        <v>1</v>
      </c>
      <c r="I1298" s="87">
        <v>19230111</v>
      </c>
      <c r="J1298" s="85" t="s">
        <v>4394</v>
      </c>
      <c r="K1298" s="85" t="s">
        <v>4395</v>
      </c>
      <c r="L1298" s="84"/>
      <c r="M1298" s="85" t="s">
        <v>4396</v>
      </c>
      <c r="N1298" s="85" t="s">
        <v>2879</v>
      </c>
      <c r="O1298" s="85" t="s">
        <v>4397</v>
      </c>
      <c r="P1298" s="86" t="s">
        <v>2890</v>
      </c>
    </row>
    <row r="1299" spans="2:16" ht="30" x14ac:dyDescent="0.25">
      <c r="B1299" s="85" t="str">
        <f t="shared" si="133"/>
        <v>1</v>
      </c>
      <c r="C1299" s="85" t="str">
        <f t="shared" si="134"/>
        <v>9</v>
      </c>
      <c r="D1299" s="85" t="str">
        <f t="shared" si="135"/>
        <v>2</v>
      </c>
      <c r="E1299" s="85" t="str">
        <f t="shared" si="136"/>
        <v>3</v>
      </c>
      <c r="F1299" s="85" t="str">
        <f t="shared" si="137"/>
        <v>01</v>
      </c>
      <c r="G1299" s="85" t="str">
        <f t="shared" si="138"/>
        <v>1</v>
      </c>
      <c r="H1299" s="85" t="str">
        <f t="shared" si="139"/>
        <v>3</v>
      </c>
      <c r="I1299" s="87">
        <v>19230113</v>
      </c>
      <c r="J1299" s="85" t="s">
        <v>4398</v>
      </c>
      <c r="K1299" s="85" t="s">
        <v>2892</v>
      </c>
      <c r="L1299" s="84"/>
      <c r="M1299" s="85" t="s">
        <v>2892</v>
      </c>
      <c r="N1299" s="85" t="s">
        <v>2879</v>
      </c>
      <c r="O1299" s="85" t="s">
        <v>2892</v>
      </c>
      <c r="P1299" s="86" t="s">
        <v>2890</v>
      </c>
    </row>
    <row r="1300" spans="2:16" ht="30" x14ac:dyDescent="0.25">
      <c r="B1300" s="108" t="str">
        <f t="shared" si="133"/>
        <v>1</v>
      </c>
      <c r="C1300" s="108" t="str">
        <f t="shared" si="134"/>
        <v>9</v>
      </c>
      <c r="D1300" s="108" t="str">
        <f t="shared" si="135"/>
        <v>2</v>
      </c>
      <c r="E1300" s="108" t="str">
        <f t="shared" si="136"/>
        <v>3</v>
      </c>
      <c r="F1300" s="108" t="str">
        <f t="shared" si="137"/>
        <v>02</v>
      </c>
      <c r="G1300" s="108" t="str">
        <f t="shared" si="138"/>
        <v>0</v>
      </c>
      <c r="H1300" s="108" t="str">
        <f t="shared" si="139"/>
        <v>0</v>
      </c>
      <c r="I1300" s="109">
        <v>19230200</v>
      </c>
      <c r="J1300" s="108" t="s">
        <v>4399</v>
      </c>
      <c r="K1300" s="108" t="s">
        <v>4400</v>
      </c>
      <c r="L1300" s="110"/>
      <c r="M1300" s="108" t="s">
        <v>2878</v>
      </c>
      <c r="N1300" s="108" t="s">
        <v>2879</v>
      </c>
      <c r="O1300" s="108" t="s">
        <v>2878</v>
      </c>
      <c r="P1300" s="111" t="s">
        <v>2880</v>
      </c>
    </row>
    <row r="1301" spans="2:16" ht="30" x14ac:dyDescent="0.25">
      <c r="B1301" s="114" t="str">
        <f t="shared" si="133"/>
        <v>1</v>
      </c>
      <c r="C1301" s="114" t="str">
        <f t="shared" si="134"/>
        <v>9</v>
      </c>
      <c r="D1301" s="114" t="str">
        <f t="shared" si="135"/>
        <v>2</v>
      </c>
      <c r="E1301" s="114" t="str">
        <f t="shared" si="136"/>
        <v>3</v>
      </c>
      <c r="F1301" s="114" t="str">
        <f t="shared" si="137"/>
        <v>02</v>
      </c>
      <c r="G1301" s="114" t="str">
        <f t="shared" si="138"/>
        <v>1</v>
      </c>
      <c r="H1301" s="114" t="str">
        <f t="shared" si="139"/>
        <v>0</v>
      </c>
      <c r="I1301" s="115">
        <v>19230210</v>
      </c>
      <c r="J1301" s="114" t="s">
        <v>4399</v>
      </c>
      <c r="K1301" s="114" t="s">
        <v>4400</v>
      </c>
      <c r="L1301" s="116"/>
      <c r="M1301" s="114" t="s">
        <v>2878</v>
      </c>
      <c r="N1301" s="114" t="s">
        <v>2879</v>
      </c>
      <c r="O1301" s="114" t="s">
        <v>2878</v>
      </c>
      <c r="P1301" s="117" t="s">
        <v>2880</v>
      </c>
    </row>
    <row r="1302" spans="2:16" ht="180" x14ac:dyDescent="0.25">
      <c r="B1302" s="85" t="str">
        <f t="shared" si="133"/>
        <v>1</v>
      </c>
      <c r="C1302" s="85" t="str">
        <f t="shared" si="134"/>
        <v>9</v>
      </c>
      <c r="D1302" s="85" t="str">
        <f t="shared" si="135"/>
        <v>2</v>
      </c>
      <c r="E1302" s="85" t="str">
        <f t="shared" si="136"/>
        <v>3</v>
      </c>
      <c r="F1302" s="85" t="str">
        <f t="shared" si="137"/>
        <v>02</v>
      </c>
      <c r="G1302" s="85" t="str">
        <f t="shared" si="138"/>
        <v>1</v>
      </c>
      <c r="H1302" s="85" t="str">
        <f t="shared" si="139"/>
        <v>1</v>
      </c>
      <c r="I1302" s="87">
        <v>19230211</v>
      </c>
      <c r="J1302" s="85" t="s">
        <v>4401</v>
      </c>
      <c r="K1302" s="85" t="s">
        <v>4402</v>
      </c>
      <c r="L1302" s="84"/>
      <c r="M1302" s="85" t="s">
        <v>4024</v>
      </c>
      <c r="N1302" s="85" t="s">
        <v>2879</v>
      </c>
      <c r="O1302" s="85" t="s">
        <v>4403</v>
      </c>
      <c r="P1302" s="86" t="s">
        <v>2890</v>
      </c>
    </row>
    <row r="1303" spans="2:16" ht="45" x14ac:dyDescent="0.25">
      <c r="B1303" s="108" t="str">
        <f t="shared" si="133"/>
        <v>1</v>
      </c>
      <c r="C1303" s="108" t="str">
        <f t="shared" si="134"/>
        <v>9</v>
      </c>
      <c r="D1303" s="108" t="str">
        <f t="shared" si="135"/>
        <v>2</v>
      </c>
      <c r="E1303" s="108" t="str">
        <f t="shared" si="136"/>
        <v>3</v>
      </c>
      <c r="F1303" s="108" t="str">
        <f t="shared" si="137"/>
        <v>03</v>
      </c>
      <c r="G1303" s="108" t="str">
        <f t="shared" si="138"/>
        <v>0</v>
      </c>
      <c r="H1303" s="108" t="str">
        <f t="shared" si="139"/>
        <v>0</v>
      </c>
      <c r="I1303" s="109">
        <v>19230300</v>
      </c>
      <c r="J1303" s="108" t="s">
        <v>4404</v>
      </c>
      <c r="K1303" s="108" t="s">
        <v>4405</v>
      </c>
      <c r="L1303" s="110"/>
      <c r="M1303" s="108" t="s">
        <v>2878</v>
      </c>
      <c r="N1303" s="108" t="s">
        <v>2879</v>
      </c>
      <c r="O1303" s="108" t="s">
        <v>2878</v>
      </c>
      <c r="P1303" s="111" t="s">
        <v>2880</v>
      </c>
    </row>
    <row r="1304" spans="2:16" ht="45" x14ac:dyDescent="0.25">
      <c r="B1304" s="114" t="str">
        <f t="shared" si="133"/>
        <v>1</v>
      </c>
      <c r="C1304" s="114" t="str">
        <f t="shared" si="134"/>
        <v>9</v>
      </c>
      <c r="D1304" s="114" t="str">
        <f t="shared" si="135"/>
        <v>2</v>
      </c>
      <c r="E1304" s="114" t="str">
        <f t="shared" si="136"/>
        <v>3</v>
      </c>
      <c r="F1304" s="114" t="str">
        <f t="shared" si="137"/>
        <v>03</v>
      </c>
      <c r="G1304" s="114" t="str">
        <f t="shared" si="138"/>
        <v>1</v>
      </c>
      <c r="H1304" s="114" t="str">
        <f t="shared" si="139"/>
        <v>0</v>
      </c>
      <c r="I1304" s="115">
        <v>19230310</v>
      </c>
      <c r="J1304" s="114" t="s">
        <v>4404</v>
      </c>
      <c r="K1304" s="114" t="s">
        <v>4405</v>
      </c>
      <c r="L1304" s="116"/>
      <c r="M1304" s="114" t="s">
        <v>2878</v>
      </c>
      <c r="N1304" s="114" t="s">
        <v>2879</v>
      </c>
      <c r="O1304" s="114" t="s">
        <v>2878</v>
      </c>
      <c r="P1304" s="117" t="s">
        <v>2880</v>
      </c>
    </row>
    <row r="1305" spans="2:16" ht="45" x14ac:dyDescent="0.25">
      <c r="B1305" s="85" t="str">
        <f t="shared" si="133"/>
        <v>1</v>
      </c>
      <c r="C1305" s="85" t="str">
        <f t="shared" si="134"/>
        <v>9</v>
      </c>
      <c r="D1305" s="85" t="str">
        <f t="shared" si="135"/>
        <v>2</v>
      </c>
      <c r="E1305" s="85" t="str">
        <f t="shared" si="136"/>
        <v>3</v>
      </c>
      <c r="F1305" s="85" t="str">
        <f t="shared" si="137"/>
        <v>03</v>
      </c>
      <c r="G1305" s="85" t="str">
        <f t="shared" si="138"/>
        <v>1</v>
      </c>
      <c r="H1305" s="85" t="str">
        <f t="shared" si="139"/>
        <v>1</v>
      </c>
      <c r="I1305" s="87">
        <v>19230311</v>
      </c>
      <c r="J1305" s="85" t="s">
        <v>4406</v>
      </c>
      <c r="K1305" s="85" t="s">
        <v>2552</v>
      </c>
      <c r="L1305" s="84"/>
      <c r="M1305" s="85" t="s">
        <v>4407</v>
      </c>
      <c r="N1305" s="85" t="s">
        <v>2879</v>
      </c>
      <c r="O1305" s="85" t="s">
        <v>4408</v>
      </c>
      <c r="P1305" s="86" t="s">
        <v>2890</v>
      </c>
    </row>
    <row r="1306" spans="2:16" ht="30" x14ac:dyDescent="0.25">
      <c r="B1306" s="108" t="str">
        <f t="shared" si="133"/>
        <v>1</v>
      </c>
      <c r="C1306" s="108" t="str">
        <f t="shared" si="134"/>
        <v>9</v>
      </c>
      <c r="D1306" s="108" t="str">
        <f t="shared" si="135"/>
        <v>2</v>
      </c>
      <c r="E1306" s="108" t="str">
        <f t="shared" si="136"/>
        <v>3</v>
      </c>
      <c r="F1306" s="108" t="str">
        <f t="shared" si="137"/>
        <v>04</v>
      </c>
      <c r="G1306" s="108" t="str">
        <f t="shared" si="138"/>
        <v>0</v>
      </c>
      <c r="H1306" s="108" t="str">
        <f t="shared" si="139"/>
        <v>0</v>
      </c>
      <c r="I1306" s="109">
        <v>19230400</v>
      </c>
      <c r="J1306" s="108" t="s">
        <v>4409</v>
      </c>
      <c r="K1306" s="108" t="s">
        <v>4410</v>
      </c>
      <c r="L1306" s="110"/>
      <c r="M1306" s="108" t="s">
        <v>2878</v>
      </c>
      <c r="N1306" s="108" t="s">
        <v>2879</v>
      </c>
      <c r="O1306" s="108" t="s">
        <v>2878</v>
      </c>
      <c r="P1306" s="111" t="s">
        <v>2880</v>
      </c>
    </row>
    <row r="1307" spans="2:16" ht="30" x14ac:dyDescent="0.25">
      <c r="B1307" s="114" t="str">
        <f t="shared" si="133"/>
        <v>1</v>
      </c>
      <c r="C1307" s="114" t="str">
        <f t="shared" si="134"/>
        <v>9</v>
      </c>
      <c r="D1307" s="114" t="str">
        <f t="shared" si="135"/>
        <v>2</v>
      </c>
      <c r="E1307" s="114" t="str">
        <f t="shared" si="136"/>
        <v>3</v>
      </c>
      <c r="F1307" s="114" t="str">
        <f t="shared" si="137"/>
        <v>04</v>
      </c>
      <c r="G1307" s="114" t="str">
        <f t="shared" si="138"/>
        <v>1</v>
      </c>
      <c r="H1307" s="114" t="str">
        <f t="shared" si="139"/>
        <v>0</v>
      </c>
      <c r="I1307" s="115">
        <v>19230410</v>
      </c>
      <c r="J1307" s="114" t="s">
        <v>4409</v>
      </c>
      <c r="K1307" s="114" t="s">
        <v>4410</v>
      </c>
      <c r="L1307" s="116"/>
      <c r="M1307" s="114" t="s">
        <v>2878</v>
      </c>
      <c r="N1307" s="114" t="s">
        <v>2879</v>
      </c>
      <c r="O1307" s="114" t="s">
        <v>2878</v>
      </c>
      <c r="P1307" s="117" t="s">
        <v>2880</v>
      </c>
    </row>
    <row r="1308" spans="2:16" ht="30" x14ac:dyDescent="0.25">
      <c r="B1308" s="85" t="str">
        <f t="shared" si="133"/>
        <v>1</v>
      </c>
      <c r="C1308" s="85" t="str">
        <f t="shared" si="134"/>
        <v>9</v>
      </c>
      <c r="D1308" s="85" t="str">
        <f t="shared" si="135"/>
        <v>2</v>
      </c>
      <c r="E1308" s="85" t="str">
        <f t="shared" si="136"/>
        <v>3</v>
      </c>
      <c r="F1308" s="85" t="str">
        <f t="shared" si="137"/>
        <v>04</v>
      </c>
      <c r="G1308" s="85" t="str">
        <f t="shared" si="138"/>
        <v>1</v>
      </c>
      <c r="H1308" s="85" t="str">
        <f t="shared" si="139"/>
        <v>1</v>
      </c>
      <c r="I1308" s="87">
        <v>19230411</v>
      </c>
      <c r="J1308" s="85" t="s">
        <v>4411</v>
      </c>
      <c r="K1308" s="85" t="s">
        <v>2204</v>
      </c>
      <c r="L1308" s="84"/>
      <c r="M1308" s="85" t="s">
        <v>3130</v>
      </c>
      <c r="N1308" s="85" t="s">
        <v>2879</v>
      </c>
      <c r="O1308" s="85" t="s">
        <v>4412</v>
      </c>
      <c r="P1308" s="86" t="s">
        <v>2890</v>
      </c>
    </row>
    <row r="1309" spans="2:16" ht="15.75" x14ac:dyDescent="0.25">
      <c r="B1309" s="85" t="str">
        <f t="shared" si="133"/>
        <v>1</v>
      </c>
      <c r="C1309" s="85" t="str">
        <f t="shared" si="134"/>
        <v>9</v>
      </c>
      <c r="D1309" s="85" t="str">
        <f t="shared" si="135"/>
        <v>2</v>
      </c>
      <c r="E1309" s="85" t="str">
        <f t="shared" si="136"/>
        <v>3</v>
      </c>
      <c r="F1309" s="85" t="str">
        <f t="shared" si="137"/>
        <v>04</v>
      </c>
      <c r="G1309" s="85" t="str">
        <f t="shared" si="138"/>
        <v>1</v>
      </c>
      <c r="H1309" s="85" t="str">
        <f t="shared" si="139"/>
        <v>2</v>
      </c>
      <c r="I1309" s="87">
        <v>19230412</v>
      </c>
      <c r="J1309" s="85" t="s">
        <v>4413</v>
      </c>
      <c r="K1309" s="85" t="s">
        <v>2892</v>
      </c>
      <c r="L1309" s="84"/>
      <c r="M1309" s="85" t="s">
        <v>2892</v>
      </c>
      <c r="N1309" s="85" t="s">
        <v>2879</v>
      </c>
      <c r="O1309" s="85" t="s">
        <v>2892</v>
      </c>
      <c r="P1309" s="86" t="s">
        <v>2890</v>
      </c>
    </row>
    <row r="1310" spans="2:16" ht="30" x14ac:dyDescent="0.25">
      <c r="B1310" s="108" t="str">
        <f t="shared" si="133"/>
        <v>1</v>
      </c>
      <c r="C1310" s="108" t="str">
        <f t="shared" si="134"/>
        <v>9</v>
      </c>
      <c r="D1310" s="108" t="str">
        <f t="shared" si="135"/>
        <v>2</v>
      </c>
      <c r="E1310" s="108" t="str">
        <f t="shared" si="136"/>
        <v>3</v>
      </c>
      <c r="F1310" s="108" t="str">
        <f t="shared" si="137"/>
        <v>99</v>
      </c>
      <c r="G1310" s="108" t="str">
        <f t="shared" si="138"/>
        <v>0</v>
      </c>
      <c r="H1310" s="108" t="str">
        <f t="shared" si="139"/>
        <v>0</v>
      </c>
      <c r="I1310" s="109">
        <v>19239900</v>
      </c>
      <c r="J1310" s="108" t="s">
        <v>4414</v>
      </c>
      <c r="K1310" s="108" t="s">
        <v>4415</v>
      </c>
      <c r="L1310" s="110"/>
      <c r="M1310" s="108" t="s">
        <v>2878</v>
      </c>
      <c r="N1310" s="108" t="s">
        <v>2879</v>
      </c>
      <c r="O1310" s="108" t="s">
        <v>2878</v>
      </c>
      <c r="P1310" s="111" t="s">
        <v>2880</v>
      </c>
    </row>
    <row r="1311" spans="2:16" ht="30" x14ac:dyDescent="0.25">
      <c r="B1311" s="114" t="str">
        <f t="shared" si="133"/>
        <v>1</v>
      </c>
      <c r="C1311" s="114" t="str">
        <f t="shared" si="134"/>
        <v>9</v>
      </c>
      <c r="D1311" s="114" t="str">
        <f t="shared" si="135"/>
        <v>2</v>
      </c>
      <c r="E1311" s="114" t="str">
        <f t="shared" si="136"/>
        <v>3</v>
      </c>
      <c r="F1311" s="114" t="str">
        <f t="shared" si="137"/>
        <v>99</v>
      </c>
      <c r="G1311" s="114" t="str">
        <f t="shared" si="138"/>
        <v>1</v>
      </c>
      <c r="H1311" s="114" t="str">
        <f t="shared" si="139"/>
        <v>0</v>
      </c>
      <c r="I1311" s="115">
        <v>19239910</v>
      </c>
      <c r="J1311" s="114" t="s">
        <v>4414</v>
      </c>
      <c r="K1311" s="114" t="s">
        <v>4415</v>
      </c>
      <c r="L1311" s="116"/>
      <c r="M1311" s="114" t="s">
        <v>2878</v>
      </c>
      <c r="N1311" s="114" t="s">
        <v>2879</v>
      </c>
      <c r="O1311" s="114" t="s">
        <v>2878</v>
      </c>
      <c r="P1311" s="117" t="s">
        <v>2880</v>
      </c>
    </row>
    <row r="1312" spans="2:16" ht="45" x14ac:dyDescent="0.25">
      <c r="B1312" s="85" t="str">
        <f t="shared" si="133"/>
        <v>1</v>
      </c>
      <c r="C1312" s="85" t="str">
        <f t="shared" si="134"/>
        <v>9</v>
      </c>
      <c r="D1312" s="85" t="str">
        <f t="shared" si="135"/>
        <v>2</v>
      </c>
      <c r="E1312" s="85" t="str">
        <f t="shared" si="136"/>
        <v>3</v>
      </c>
      <c r="F1312" s="85" t="str">
        <f t="shared" si="137"/>
        <v>99</v>
      </c>
      <c r="G1312" s="85" t="str">
        <f t="shared" si="138"/>
        <v>1</v>
      </c>
      <c r="H1312" s="85" t="str">
        <f t="shared" si="139"/>
        <v>1</v>
      </c>
      <c r="I1312" s="87">
        <v>19239911</v>
      </c>
      <c r="J1312" s="85" t="s">
        <v>4416</v>
      </c>
      <c r="K1312" s="85" t="s">
        <v>4417</v>
      </c>
      <c r="L1312" s="84"/>
      <c r="M1312" s="85" t="s">
        <v>3044</v>
      </c>
      <c r="N1312" s="85" t="s">
        <v>2879</v>
      </c>
      <c r="O1312" s="85" t="s">
        <v>4418</v>
      </c>
      <c r="P1312" s="86" t="s">
        <v>2890</v>
      </c>
    </row>
    <row r="1313" spans="2:16" ht="15.75" x14ac:dyDescent="0.25">
      <c r="B1313" s="85" t="str">
        <f t="shared" si="133"/>
        <v>1</v>
      </c>
      <c r="C1313" s="85" t="str">
        <f t="shared" si="134"/>
        <v>9</v>
      </c>
      <c r="D1313" s="85" t="str">
        <f t="shared" si="135"/>
        <v>2</v>
      </c>
      <c r="E1313" s="85" t="str">
        <f t="shared" si="136"/>
        <v>3</v>
      </c>
      <c r="F1313" s="85" t="str">
        <f t="shared" si="137"/>
        <v>99</v>
      </c>
      <c r="G1313" s="85" t="str">
        <f t="shared" si="138"/>
        <v>1</v>
      </c>
      <c r="H1313" s="85" t="str">
        <f t="shared" si="139"/>
        <v>3</v>
      </c>
      <c r="I1313" s="87">
        <v>19239913</v>
      </c>
      <c r="J1313" s="85" t="s">
        <v>4419</v>
      </c>
      <c r="K1313" s="85" t="s">
        <v>2892</v>
      </c>
      <c r="L1313" s="84"/>
      <c r="M1313" s="85" t="s">
        <v>2892</v>
      </c>
      <c r="N1313" s="85" t="s">
        <v>2879</v>
      </c>
      <c r="O1313" s="85" t="s">
        <v>2892</v>
      </c>
      <c r="P1313" s="86" t="s">
        <v>2890</v>
      </c>
    </row>
    <row r="1314" spans="2:16" ht="30" x14ac:dyDescent="0.25">
      <c r="B1314" s="126" t="str">
        <f t="shared" si="133"/>
        <v>1</v>
      </c>
      <c r="C1314" s="126" t="str">
        <f t="shared" si="134"/>
        <v>9</v>
      </c>
      <c r="D1314" s="126" t="str">
        <f t="shared" si="135"/>
        <v>3</v>
      </c>
      <c r="E1314" s="126" t="str">
        <f t="shared" si="136"/>
        <v>0</v>
      </c>
      <c r="F1314" s="126" t="str">
        <f t="shared" si="137"/>
        <v>00</v>
      </c>
      <c r="G1314" s="126" t="str">
        <f t="shared" si="138"/>
        <v>0</v>
      </c>
      <c r="H1314" s="126" t="str">
        <f t="shared" si="139"/>
        <v>0</v>
      </c>
      <c r="I1314" s="127">
        <v>19300000</v>
      </c>
      <c r="J1314" s="126" t="s">
        <v>4420</v>
      </c>
      <c r="K1314" s="126" t="s">
        <v>4421</v>
      </c>
      <c r="L1314" s="122"/>
      <c r="M1314" s="126" t="s">
        <v>2878</v>
      </c>
      <c r="N1314" s="126" t="s">
        <v>5016</v>
      </c>
      <c r="O1314" s="126" t="s">
        <v>2878</v>
      </c>
      <c r="P1314" s="128" t="s">
        <v>2880</v>
      </c>
    </row>
    <row r="1315" spans="2:16" ht="30" x14ac:dyDescent="0.25">
      <c r="B1315" s="108" t="str">
        <f t="shared" si="133"/>
        <v>1</v>
      </c>
      <c r="C1315" s="108" t="str">
        <f t="shared" si="134"/>
        <v>9</v>
      </c>
      <c r="D1315" s="108" t="str">
        <f t="shared" si="135"/>
        <v>3</v>
      </c>
      <c r="E1315" s="108" t="str">
        <f t="shared" si="136"/>
        <v>0</v>
      </c>
      <c r="F1315" s="108" t="str">
        <f t="shared" si="137"/>
        <v>01</v>
      </c>
      <c r="G1315" s="108" t="str">
        <f t="shared" si="138"/>
        <v>0</v>
      </c>
      <c r="H1315" s="108" t="str">
        <f t="shared" si="139"/>
        <v>0</v>
      </c>
      <c r="I1315" s="109">
        <v>19300100</v>
      </c>
      <c r="J1315" s="108" t="s">
        <v>4422</v>
      </c>
      <c r="K1315" s="108" t="s">
        <v>4423</v>
      </c>
      <c r="L1315" s="110"/>
      <c r="M1315" s="108" t="s">
        <v>2878</v>
      </c>
      <c r="N1315" s="108" t="s">
        <v>2879</v>
      </c>
      <c r="O1315" s="108" t="s">
        <v>2878</v>
      </c>
      <c r="P1315" s="111" t="s">
        <v>2880</v>
      </c>
    </row>
    <row r="1316" spans="2:16" ht="30" x14ac:dyDescent="0.25">
      <c r="B1316" s="114" t="str">
        <f t="shared" si="133"/>
        <v>1</v>
      </c>
      <c r="C1316" s="114" t="str">
        <f t="shared" si="134"/>
        <v>9</v>
      </c>
      <c r="D1316" s="114" t="str">
        <f t="shared" si="135"/>
        <v>3</v>
      </c>
      <c r="E1316" s="114" t="str">
        <f t="shared" si="136"/>
        <v>0</v>
      </c>
      <c r="F1316" s="114" t="str">
        <f t="shared" si="137"/>
        <v>01</v>
      </c>
      <c r="G1316" s="114" t="str">
        <f t="shared" si="138"/>
        <v>1</v>
      </c>
      <c r="H1316" s="114" t="str">
        <f t="shared" si="139"/>
        <v>0</v>
      </c>
      <c r="I1316" s="115">
        <v>19300110</v>
      </c>
      <c r="J1316" s="114" t="s">
        <v>4422</v>
      </c>
      <c r="K1316" s="114" t="s">
        <v>4424</v>
      </c>
      <c r="L1316" s="116"/>
      <c r="M1316" s="114" t="s">
        <v>2878</v>
      </c>
      <c r="N1316" s="114" t="s">
        <v>2879</v>
      </c>
      <c r="O1316" s="114" t="s">
        <v>2878</v>
      </c>
      <c r="P1316" s="117" t="s">
        <v>2880</v>
      </c>
    </row>
    <row r="1317" spans="2:16" ht="180" x14ac:dyDescent="0.25">
      <c r="B1317" s="85" t="str">
        <f t="shared" si="133"/>
        <v>1</v>
      </c>
      <c r="C1317" s="85" t="str">
        <f t="shared" si="134"/>
        <v>9</v>
      </c>
      <c r="D1317" s="85" t="str">
        <f t="shared" si="135"/>
        <v>3</v>
      </c>
      <c r="E1317" s="85" t="str">
        <f t="shared" si="136"/>
        <v>0</v>
      </c>
      <c r="F1317" s="85" t="str">
        <f t="shared" si="137"/>
        <v>01</v>
      </c>
      <c r="G1317" s="85" t="str">
        <f t="shared" si="138"/>
        <v>1</v>
      </c>
      <c r="H1317" s="85" t="str">
        <f t="shared" si="139"/>
        <v>1</v>
      </c>
      <c r="I1317" s="87">
        <v>19300111</v>
      </c>
      <c r="J1317" s="85" t="s">
        <v>4425</v>
      </c>
      <c r="K1317" s="85" t="s">
        <v>4426</v>
      </c>
      <c r="L1317" s="84"/>
      <c r="M1317" s="85" t="s">
        <v>4427</v>
      </c>
      <c r="N1317" s="85" t="s">
        <v>2879</v>
      </c>
      <c r="O1317" s="85" t="s">
        <v>4428</v>
      </c>
      <c r="P1317" s="86" t="s">
        <v>2890</v>
      </c>
    </row>
    <row r="1318" spans="2:16" ht="30" x14ac:dyDescent="0.25">
      <c r="B1318" s="108" t="str">
        <f t="shared" si="133"/>
        <v>1</v>
      </c>
      <c r="C1318" s="108" t="str">
        <f t="shared" si="134"/>
        <v>9</v>
      </c>
      <c r="D1318" s="108" t="str">
        <f t="shared" si="135"/>
        <v>3</v>
      </c>
      <c r="E1318" s="108" t="str">
        <f t="shared" si="136"/>
        <v>0</v>
      </c>
      <c r="F1318" s="108" t="str">
        <f t="shared" si="137"/>
        <v>02</v>
      </c>
      <c r="G1318" s="108" t="str">
        <f t="shared" si="138"/>
        <v>0</v>
      </c>
      <c r="H1318" s="108" t="str">
        <f t="shared" si="139"/>
        <v>0</v>
      </c>
      <c r="I1318" s="109">
        <v>19300200</v>
      </c>
      <c r="J1318" s="108" t="s">
        <v>4429</v>
      </c>
      <c r="K1318" s="108" t="s">
        <v>4430</v>
      </c>
      <c r="L1318" s="110"/>
      <c r="M1318" s="108" t="s">
        <v>2878</v>
      </c>
      <c r="N1318" s="108" t="s">
        <v>2879</v>
      </c>
      <c r="O1318" s="108" t="s">
        <v>2878</v>
      </c>
      <c r="P1318" s="111" t="s">
        <v>2880</v>
      </c>
    </row>
    <row r="1319" spans="2:16" ht="30" x14ac:dyDescent="0.25">
      <c r="B1319" s="114" t="str">
        <f t="shared" si="133"/>
        <v>1</v>
      </c>
      <c r="C1319" s="114" t="str">
        <f t="shared" si="134"/>
        <v>9</v>
      </c>
      <c r="D1319" s="114" t="str">
        <f t="shared" si="135"/>
        <v>3</v>
      </c>
      <c r="E1319" s="114" t="str">
        <f t="shared" si="136"/>
        <v>0</v>
      </c>
      <c r="F1319" s="114" t="str">
        <f t="shared" si="137"/>
        <v>02</v>
      </c>
      <c r="G1319" s="114" t="str">
        <f t="shared" si="138"/>
        <v>1</v>
      </c>
      <c r="H1319" s="114" t="str">
        <f t="shared" si="139"/>
        <v>0</v>
      </c>
      <c r="I1319" s="115">
        <v>19300210</v>
      </c>
      <c r="J1319" s="114" t="s">
        <v>4431</v>
      </c>
      <c r="K1319" s="114" t="s">
        <v>4432</v>
      </c>
      <c r="L1319" s="116"/>
      <c r="M1319" s="114" t="s">
        <v>2878</v>
      </c>
      <c r="N1319" s="114" t="s">
        <v>2879</v>
      </c>
      <c r="O1319" s="114" t="s">
        <v>2878</v>
      </c>
      <c r="P1319" s="117" t="s">
        <v>2880</v>
      </c>
    </row>
    <row r="1320" spans="2:16" ht="120" x14ac:dyDescent="0.25">
      <c r="B1320" s="85" t="str">
        <f t="shared" si="133"/>
        <v>1</v>
      </c>
      <c r="C1320" s="85" t="str">
        <f t="shared" si="134"/>
        <v>9</v>
      </c>
      <c r="D1320" s="85" t="str">
        <f t="shared" si="135"/>
        <v>3</v>
      </c>
      <c r="E1320" s="85" t="str">
        <f t="shared" si="136"/>
        <v>0</v>
      </c>
      <c r="F1320" s="85" t="str">
        <f t="shared" si="137"/>
        <v>02</v>
      </c>
      <c r="G1320" s="85" t="str">
        <f t="shared" si="138"/>
        <v>1</v>
      </c>
      <c r="H1320" s="85" t="str">
        <f t="shared" si="139"/>
        <v>1</v>
      </c>
      <c r="I1320" s="87">
        <v>19300211</v>
      </c>
      <c r="J1320" s="85" t="s">
        <v>4433</v>
      </c>
      <c r="K1320" s="85" t="s">
        <v>4434</v>
      </c>
      <c r="L1320" s="84"/>
      <c r="M1320" s="85" t="s">
        <v>4435</v>
      </c>
      <c r="N1320" s="85" t="s">
        <v>2879</v>
      </c>
      <c r="O1320" s="85" t="s">
        <v>4436</v>
      </c>
      <c r="P1320" s="86" t="s">
        <v>2890</v>
      </c>
    </row>
    <row r="1321" spans="2:16" ht="15.75" x14ac:dyDescent="0.25">
      <c r="B1321" s="85" t="str">
        <f t="shared" si="133"/>
        <v>1</v>
      </c>
      <c r="C1321" s="85" t="str">
        <f t="shared" si="134"/>
        <v>9</v>
      </c>
      <c r="D1321" s="85" t="str">
        <f t="shared" si="135"/>
        <v>3</v>
      </c>
      <c r="E1321" s="85" t="str">
        <f t="shared" si="136"/>
        <v>0</v>
      </c>
      <c r="F1321" s="85" t="str">
        <f t="shared" si="137"/>
        <v>02</v>
      </c>
      <c r="G1321" s="85" t="str">
        <f t="shared" si="138"/>
        <v>1</v>
      </c>
      <c r="H1321" s="85" t="str">
        <f t="shared" si="139"/>
        <v>2</v>
      </c>
      <c r="I1321" s="87">
        <v>19300212</v>
      </c>
      <c r="J1321" s="85" t="s">
        <v>4437</v>
      </c>
      <c r="K1321" s="85" t="s">
        <v>2892</v>
      </c>
      <c r="L1321" s="84"/>
      <c r="M1321" s="85" t="s">
        <v>2892</v>
      </c>
      <c r="N1321" s="85" t="s">
        <v>2879</v>
      </c>
      <c r="O1321" s="85" t="s">
        <v>2892</v>
      </c>
      <c r="P1321" s="86" t="s">
        <v>2890</v>
      </c>
    </row>
    <row r="1322" spans="2:16" ht="60" x14ac:dyDescent="0.25">
      <c r="B1322" s="114" t="str">
        <f t="shared" si="133"/>
        <v>1</v>
      </c>
      <c r="C1322" s="114" t="str">
        <f t="shared" si="134"/>
        <v>9</v>
      </c>
      <c r="D1322" s="114" t="str">
        <f t="shared" si="135"/>
        <v>3</v>
      </c>
      <c r="E1322" s="114" t="str">
        <f t="shared" si="136"/>
        <v>0</v>
      </c>
      <c r="F1322" s="114" t="str">
        <f t="shared" si="137"/>
        <v>02</v>
      </c>
      <c r="G1322" s="114" t="str">
        <f t="shared" si="138"/>
        <v>2</v>
      </c>
      <c r="H1322" s="114" t="str">
        <f t="shared" si="139"/>
        <v>0</v>
      </c>
      <c r="I1322" s="115">
        <v>19300220</v>
      </c>
      <c r="J1322" s="114" t="s">
        <v>4438</v>
      </c>
      <c r="K1322" s="114" t="s">
        <v>4439</v>
      </c>
      <c r="L1322" s="116"/>
      <c r="M1322" s="114" t="s">
        <v>2878</v>
      </c>
      <c r="N1322" s="114" t="s">
        <v>2879</v>
      </c>
      <c r="O1322" s="114" t="s">
        <v>2878</v>
      </c>
      <c r="P1322" s="117" t="s">
        <v>2880</v>
      </c>
    </row>
    <row r="1323" spans="2:16" ht="75" x14ac:dyDescent="0.25">
      <c r="B1323" s="85" t="str">
        <f t="shared" si="133"/>
        <v>1</v>
      </c>
      <c r="C1323" s="85" t="str">
        <f t="shared" si="134"/>
        <v>9</v>
      </c>
      <c r="D1323" s="85" t="str">
        <f t="shared" si="135"/>
        <v>3</v>
      </c>
      <c r="E1323" s="85" t="str">
        <f t="shared" si="136"/>
        <v>0</v>
      </c>
      <c r="F1323" s="85" t="str">
        <f t="shared" si="137"/>
        <v>02</v>
      </c>
      <c r="G1323" s="85" t="str">
        <f t="shared" si="138"/>
        <v>2</v>
      </c>
      <c r="H1323" s="85" t="str">
        <f t="shared" si="139"/>
        <v>1</v>
      </c>
      <c r="I1323" s="87">
        <v>19300221</v>
      </c>
      <c r="J1323" s="85" t="s">
        <v>4440</v>
      </c>
      <c r="K1323" s="85" t="s">
        <v>4441</v>
      </c>
      <c r="L1323" s="84"/>
      <c r="M1323" s="85" t="s">
        <v>4442</v>
      </c>
      <c r="N1323" s="85" t="s">
        <v>2879</v>
      </c>
      <c r="O1323" s="85" t="s">
        <v>4443</v>
      </c>
      <c r="P1323" s="86" t="s">
        <v>2890</v>
      </c>
    </row>
    <row r="1324" spans="2:16" ht="135" x14ac:dyDescent="0.25">
      <c r="B1324" s="108" t="str">
        <f t="shared" si="133"/>
        <v>1</v>
      </c>
      <c r="C1324" s="108" t="str">
        <f t="shared" si="134"/>
        <v>9</v>
      </c>
      <c r="D1324" s="108" t="str">
        <f t="shared" si="135"/>
        <v>3</v>
      </c>
      <c r="E1324" s="108" t="str">
        <f t="shared" si="136"/>
        <v>0</v>
      </c>
      <c r="F1324" s="108" t="str">
        <f t="shared" si="137"/>
        <v>03</v>
      </c>
      <c r="G1324" s="108" t="str">
        <f t="shared" si="138"/>
        <v>0</v>
      </c>
      <c r="H1324" s="108" t="str">
        <f t="shared" si="139"/>
        <v>0</v>
      </c>
      <c r="I1324" s="109">
        <v>19300300</v>
      </c>
      <c r="J1324" s="108" t="s">
        <v>4444</v>
      </c>
      <c r="K1324" s="108" t="s">
        <v>4445</v>
      </c>
      <c r="L1324" s="110"/>
      <c r="M1324" s="108" t="s">
        <v>2878</v>
      </c>
      <c r="N1324" s="108" t="s">
        <v>2879</v>
      </c>
      <c r="O1324" s="108" t="s">
        <v>2878</v>
      </c>
      <c r="P1324" s="111" t="s">
        <v>2880</v>
      </c>
    </row>
    <row r="1325" spans="2:16" ht="135" x14ac:dyDescent="0.25">
      <c r="B1325" s="114" t="str">
        <f t="shared" si="133"/>
        <v>1</v>
      </c>
      <c r="C1325" s="114" t="str">
        <f t="shared" si="134"/>
        <v>9</v>
      </c>
      <c r="D1325" s="114" t="str">
        <f t="shared" si="135"/>
        <v>3</v>
      </c>
      <c r="E1325" s="114" t="str">
        <f t="shared" si="136"/>
        <v>0</v>
      </c>
      <c r="F1325" s="114" t="str">
        <f t="shared" si="137"/>
        <v>03</v>
      </c>
      <c r="G1325" s="114" t="str">
        <f t="shared" si="138"/>
        <v>1</v>
      </c>
      <c r="H1325" s="114" t="str">
        <f t="shared" si="139"/>
        <v>0</v>
      </c>
      <c r="I1325" s="115">
        <v>19300310</v>
      </c>
      <c r="J1325" s="114" t="s">
        <v>4444</v>
      </c>
      <c r="K1325" s="114" t="s">
        <v>4445</v>
      </c>
      <c r="L1325" s="116"/>
      <c r="M1325" s="114" t="s">
        <v>2878</v>
      </c>
      <c r="N1325" s="114" t="s">
        <v>2879</v>
      </c>
      <c r="O1325" s="114" t="s">
        <v>2878</v>
      </c>
      <c r="P1325" s="117" t="s">
        <v>2880</v>
      </c>
    </row>
    <row r="1326" spans="2:16" ht="135" x14ac:dyDescent="0.25">
      <c r="B1326" s="85" t="str">
        <f t="shared" si="133"/>
        <v>1</v>
      </c>
      <c r="C1326" s="85" t="str">
        <f t="shared" si="134"/>
        <v>9</v>
      </c>
      <c r="D1326" s="85" t="str">
        <f t="shared" si="135"/>
        <v>3</v>
      </c>
      <c r="E1326" s="85" t="str">
        <f t="shared" si="136"/>
        <v>0</v>
      </c>
      <c r="F1326" s="85" t="str">
        <f t="shared" si="137"/>
        <v>03</v>
      </c>
      <c r="G1326" s="85" t="str">
        <f t="shared" si="138"/>
        <v>1</v>
      </c>
      <c r="H1326" s="85" t="str">
        <f t="shared" si="139"/>
        <v>1</v>
      </c>
      <c r="I1326" s="87">
        <v>19300311</v>
      </c>
      <c r="J1326" s="85" t="s">
        <v>4446</v>
      </c>
      <c r="K1326" s="85" t="s">
        <v>4447</v>
      </c>
      <c r="L1326" s="84"/>
      <c r="M1326" s="85" t="s">
        <v>4448</v>
      </c>
      <c r="N1326" s="85" t="s">
        <v>2879</v>
      </c>
      <c r="O1326" s="85" t="s">
        <v>4449</v>
      </c>
      <c r="P1326" s="86" t="s">
        <v>2890</v>
      </c>
    </row>
    <row r="1327" spans="2:16" ht="30" x14ac:dyDescent="0.25">
      <c r="B1327" s="108" t="str">
        <f t="shared" si="133"/>
        <v>1</v>
      </c>
      <c r="C1327" s="108" t="str">
        <f t="shared" si="134"/>
        <v>9</v>
      </c>
      <c r="D1327" s="108" t="str">
        <f t="shared" si="135"/>
        <v>3</v>
      </c>
      <c r="E1327" s="108" t="str">
        <f t="shared" si="136"/>
        <v>0</v>
      </c>
      <c r="F1327" s="108" t="str">
        <f t="shared" si="137"/>
        <v>04</v>
      </c>
      <c r="G1327" s="108" t="str">
        <f t="shared" si="138"/>
        <v>0</v>
      </c>
      <c r="H1327" s="108" t="str">
        <f t="shared" si="139"/>
        <v>0</v>
      </c>
      <c r="I1327" s="109">
        <v>19300400</v>
      </c>
      <c r="J1327" s="108" t="s">
        <v>4450</v>
      </c>
      <c r="K1327" s="108" t="s">
        <v>4451</v>
      </c>
      <c r="L1327" s="110"/>
      <c r="M1327" s="108" t="s">
        <v>2878</v>
      </c>
      <c r="N1327" s="108" t="s">
        <v>2879</v>
      </c>
      <c r="O1327" s="108" t="s">
        <v>2878</v>
      </c>
      <c r="P1327" s="111" t="s">
        <v>2880</v>
      </c>
    </row>
    <row r="1328" spans="2:16" ht="30" x14ac:dyDescent="0.25">
      <c r="B1328" s="114" t="str">
        <f t="shared" si="133"/>
        <v>1</v>
      </c>
      <c r="C1328" s="114" t="str">
        <f t="shared" si="134"/>
        <v>9</v>
      </c>
      <c r="D1328" s="114" t="str">
        <f t="shared" si="135"/>
        <v>3</v>
      </c>
      <c r="E1328" s="114" t="str">
        <f t="shared" si="136"/>
        <v>0</v>
      </c>
      <c r="F1328" s="114" t="str">
        <f t="shared" si="137"/>
        <v>04</v>
      </c>
      <c r="G1328" s="114" t="str">
        <f t="shared" si="138"/>
        <v>1</v>
      </c>
      <c r="H1328" s="114" t="str">
        <f t="shared" si="139"/>
        <v>0</v>
      </c>
      <c r="I1328" s="115">
        <v>19300410</v>
      </c>
      <c r="J1328" s="114" t="s">
        <v>4450</v>
      </c>
      <c r="K1328" s="114" t="s">
        <v>4451</v>
      </c>
      <c r="L1328" s="116"/>
      <c r="M1328" s="114" t="s">
        <v>2878</v>
      </c>
      <c r="N1328" s="114" t="s">
        <v>2879</v>
      </c>
      <c r="O1328" s="114" t="s">
        <v>2878</v>
      </c>
      <c r="P1328" s="117" t="s">
        <v>2880</v>
      </c>
    </row>
    <row r="1329" spans="2:16" ht="30" x14ac:dyDescent="0.25">
      <c r="B1329" s="85" t="str">
        <f t="shared" si="133"/>
        <v>1</v>
      </c>
      <c r="C1329" s="85" t="str">
        <f t="shared" si="134"/>
        <v>9</v>
      </c>
      <c r="D1329" s="85" t="str">
        <f t="shared" si="135"/>
        <v>3</v>
      </c>
      <c r="E1329" s="85" t="str">
        <f t="shared" si="136"/>
        <v>0</v>
      </c>
      <c r="F1329" s="85" t="str">
        <f t="shared" si="137"/>
        <v>04</v>
      </c>
      <c r="G1329" s="85" t="str">
        <f t="shared" si="138"/>
        <v>1</v>
      </c>
      <c r="H1329" s="85" t="str">
        <f t="shared" si="139"/>
        <v>1</v>
      </c>
      <c r="I1329" s="87">
        <v>19300411</v>
      </c>
      <c r="J1329" s="85" t="s">
        <v>4452</v>
      </c>
      <c r="K1329" s="85" t="s">
        <v>4453</v>
      </c>
      <c r="L1329" s="84"/>
      <c r="M1329" s="85" t="s">
        <v>4454</v>
      </c>
      <c r="N1329" s="85" t="s">
        <v>2879</v>
      </c>
      <c r="O1329" s="85" t="s">
        <v>4455</v>
      </c>
      <c r="P1329" s="86" t="s">
        <v>2890</v>
      </c>
    </row>
    <row r="1330" spans="2:16" ht="15.75" x14ac:dyDescent="0.25">
      <c r="B1330" s="85" t="str">
        <f t="shared" si="133"/>
        <v>1</v>
      </c>
      <c r="C1330" s="85" t="str">
        <f t="shared" si="134"/>
        <v>9</v>
      </c>
      <c r="D1330" s="85" t="str">
        <f t="shared" si="135"/>
        <v>3</v>
      </c>
      <c r="E1330" s="85" t="str">
        <f t="shared" si="136"/>
        <v>0</v>
      </c>
      <c r="F1330" s="85" t="str">
        <f t="shared" si="137"/>
        <v>04</v>
      </c>
      <c r="G1330" s="85" t="str">
        <f t="shared" si="138"/>
        <v>1</v>
      </c>
      <c r="H1330" s="85" t="str">
        <f t="shared" si="139"/>
        <v>2</v>
      </c>
      <c r="I1330" s="87">
        <v>19300412</v>
      </c>
      <c r="J1330" s="85" t="s">
        <v>4456</v>
      </c>
      <c r="K1330" s="85" t="s">
        <v>2892</v>
      </c>
      <c r="L1330" s="84"/>
      <c r="M1330" s="85" t="s">
        <v>2892</v>
      </c>
      <c r="N1330" s="85" t="s">
        <v>2879</v>
      </c>
      <c r="O1330" s="85" t="s">
        <v>2892</v>
      </c>
      <c r="P1330" s="86" t="s">
        <v>2890</v>
      </c>
    </row>
    <row r="1331" spans="2:16" ht="15.75" x14ac:dyDescent="0.25">
      <c r="B1331" s="85" t="str">
        <f t="shared" si="133"/>
        <v>1</v>
      </c>
      <c r="C1331" s="85" t="str">
        <f t="shared" si="134"/>
        <v>9</v>
      </c>
      <c r="D1331" s="85" t="str">
        <f t="shared" si="135"/>
        <v>3</v>
      </c>
      <c r="E1331" s="85" t="str">
        <f t="shared" si="136"/>
        <v>0</v>
      </c>
      <c r="F1331" s="85" t="str">
        <f t="shared" si="137"/>
        <v>04</v>
      </c>
      <c r="G1331" s="85" t="str">
        <f t="shared" si="138"/>
        <v>1</v>
      </c>
      <c r="H1331" s="85" t="str">
        <f t="shared" si="139"/>
        <v>3</v>
      </c>
      <c r="I1331" s="87">
        <v>19300413</v>
      </c>
      <c r="J1331" s="85" t="s">
        <v>4457</v>
      </c>
      <c r="K1331" s="85" t="s">
        <v>2892</v>
      </c>
      <c r="L1331" s="84"/>
      <c r="M1331" s="85" t="s">
        <v>2892</v>
      </c>
      <c r="N1331" s="85" t="s">
        <v>423</v>
      </c>
      <c r="O1331" s="85" t="s">
        <v>2892</v>
      </c>
      <c r="P1331" s="86" t="s">
        <v>2890</v>
      </c>
    </row>
    <row r="1332" spans="2:16" ht="30" x14ac:dyDescent="0.25">
      <c r="B1332" s="85" t="str">
        <f t="shared" si="133"/>
        <v>1</v>
      </c>
      <c r="C1332" s="85" t="str">
        <f t="shared" si="134"/>
        <v>9</v>
      </c>
      <c r="D1332" s="85" t="str">
        <f t="shared" si="135"/>
        <v>3</v>
      </c>
      <c r="E1332" s="85" t="str">
        <f t="shared" si="136"/>
        <v>0</v>
      </c>
      <c r="F1332" s="85" t="str">
        <f t="shared" si="137"/>
        <v>04</v>
      </c>
      <c r="G1332" s="85" t="str">
        <f t="shared" si="138"/>
        <v>1</v>
      </c>
      <c r="H1332" s="85" t="str">
        <f t="shared" si="139"/>
        <v>4</v>
      </c>
      <c r="I1332" s="87">
        <v>19300414</v>
      </c>
      <c r="J1332" s="85" t="s">
        <v>4458</v>
      </c>
      <c r="K1332" s="85" t="s">
        <v>2892</v>
      </c>
      <c r="L1332" s="84"/>
      <c r="M1332" s="85" t="s">
        <v>2892</v>
      </c>
      <c r="N1332" s="85" t="s">
        <v>423</v>
      </c>
      <c r="O1332" s="85" t="s">
        <v>2892</v>
      </c>
      <c r="P1332" s="86" t="s">
        <v>2890</v>
      </c>
    </row>
    <row r="1333" spans="2:16" s="148" customFormat="1" ht="45" x14ac:dyDescent="0.25">
      <c r="B1333" s="145" t="str">
        <f t="shared" si="133"/>
        <v>1</v>
      </c>
      <c r="C1333" s="145" t="str">
        <f t="shared" si="134"/>
        <v>9</v>
      </c>
      <c r="D1333" s="145" t="str">
        <f t="shared" si="135"/>
        <v>3</v>
      </c>
      <c r="E1333" s="145" t="str">
        <f t="shared" si="136"/>
        <v>0</v>
      </c>
      <c r="F1333" s="145" t="str">
        <f t="shared" si="137"/>
        <v>05</v>
      </c>
      <c r="G1333" s="145" t="str">
        <f t="shared" si="138"/>
        <v>0</v>
      </c>
      <c r="H1333" s="145" t="str">
        <f t="shared" si="139"/>
        <v>0</v>
      </c>
      <c r="I1333" s="143">
        <v>19300500</v>
      </c>
      <c r="J1333" s="145" t="s">
        <v>5597</v>
      </c>
      <c r="K1333" s="145" t="s">
        <v>5598</v>
      </c>
      <c r="L1333" s="146"/>
      <c r="M1333" s="145" t="s">
        <v>2878</v>
      </c>
      <c r="N1333" s="145" t="s">
        <v>5587</v>
      </c>
      <c r="O1333" s="145" t="s">
        <v>2878</v>
      </c>
      <c r="P1333" s="147" t="s">
        <v>2880</v>
      </c>
    </row>
    <row r="1334" spans="2:16" s="148" customFormat="1" ht="45" x14ac:dyDescent="0.25">
      <c r="B1334" s="149" t="str">
        <f t="shared" si="133"/>
        <v>1</v>
      </c>
      <c r="C1334" s="149" t="str">
        <f t="shared" si="134"/>
        <v>9</v>
      </c>
      <c r="D1334" s="149" t="str">
        <f t="shared" si="135"/>
        <v>3</v>
      </c>
      <c r="E1334" s="149" t="str">
        <f t="shared" si="136"/>
        <v>0</v>
      </c>
      <c r="F1334" s="149" t="str">
        <f t="shared" si="137"/>
        <v>05</v>
      </c>
      <c r="G1334" s="149" t="str">
        <f t="shared" si="138"/>
        <v>1</v>
      </c>
      <c r="H1334" s="149" t="str">
        <f t="shared" si="139"/>
        <v>0</v>
      </c>
      <c r="I1334" s="144">
        <v>19300510</v>
      </c>
      <c r="J1334" s="149" t="s">
        <v>5597</v>
      </c>
      <c r="K1334" s="149" t="s">
        <v>5598</v>
      </c>
      <c r="L1334" s="150"/>
      <c r="M1334" s="149" t="s">
        <v>5600</v>
      </c>
      <c r="N1334" s="149" t="s">
        <v>5587</v>
      </c>
      <c r="O1334" s="149" t="s">
        <v>5599</v>
      </c>
      <c r="P1334" s="151" t="s">
        <v>2880</v>
      </c>
    </row>
    <row r="1335" spans="2:16" ht="30" x14ac:dyDescent="0.25">
      <c r="B1335" s="126" t="str">
        <f t="shared" si="133"/>
        <v>1</v>
      </c>
      <c r="C1335" s="126" t="str">
        <f t="shared" si="134"/>
        <v>9</v>
      </c>
      <c r="D1335" s="126" t="str">
        <f t="shared" si="135"/>
        <v>9</v>
      </c>
      <c r="E1335" s="126" t="str">
        <f t="shared" si="136"/>
        <v>0</v>
      </c>
      <c r="F1335" s="126" t="str">
        <f t="shared" si="137"/>
        <v>00</v>
      </c>
      <c r="G1335" s="126" t="str">
        <f t="shared" si="138"/>
        <v>0</v>
      </c>
      <c r="H1335" s="126" t="str">
        <f t="shared" si="139"/>
        <v>0</v>
      </c>
      <c r="I1335" s="127">
        <v>19900000</v>
      </c>
      <c r="J1335" s="126" t="s">
        <v>4459</v>
      </c>
      <c r="K1335" s="126" t="s">
        <v>4460</v>
      </c>
      <c r="L1335" s="122"/>
      <c r="M1335" s="126" t="s">
        <v>2878</v>
      </c>
      <c r="N1335" s="126" t="s">
        <v>5016</v>
      </c>
      <c r="O1335" s="126" t="s">
        <v>2878</v>
      </c>
      <c r="P1335" s="128" t="s">
        <v>2880</v>
      </c>
    </row>
    <row r="1336" spans="2:16" ht="60" x14ac:dyDescent="0.25">
      <c r="B1336" s="108" t="str">
        <f t="shared" si="133"/>
        <v>1</v>
      </c>
      <c r="C1336" s="108" t="str">
        <f t="shared" si="134"/>
        <v>9</v>
      </c>
      <c r="D1336" s="108" t="str">
        <f t="shared" si="135"/>
        <v>9</v>
      </c>
      <c r="E1336" s="108" t="str">
        <f t="shared" si="136"/>
        <v>0</v>
      </c>
      <c r="F1336" s="108" t="str">
        <f t="shared" si="137"/>
        <v>01</v>
      </c>
      <c r="G1336" s="108" t="str">
        <f t="shared" si="138"/>
        <v>0</v>
      </c>
      <c r="H1336" s="108" t="str">
        <f t="shared" si="139"/>
        <v>0</v>
      </c>
      <c r="I1336" s="109">
        <v>19900100</v>
      </c>
      <c r="J1336" s="108" t="s">
        <v>4461</v>
      </c>
      <c r="K1336" s="108" t="s">
        <v>4462</v>
      </c>
      <c r="L1336" s="110"/>
      <c r="M1336" s="108" t="s">
        <v>2878</v>
      </c>
      <c r="N1336" s="108" t="s">
        <v>2879</v>
      </c>
      <c r="O1336" s="108" t="s">
        <v>2878</v>
      </c>
      <c r="P1336" s="111" t="s">
        <v>2880</v>
      </c>
    </row>
    <row r="1337" spans="2:16" ht="60" x14ac:dyDescent="0.25">
      <c r="B1337" s="114" t="str">
        <f t="shared" si="133"/>
        <v>1</v>
      </c>
      <c r="C1337" s="114" t="str">
        <f t="shared" si="134"/>
        <v>9</v>
      </c>
      <c r="D1337" s="114" t="str">
        <f t="shared" si="135"/>
        <v>9</v>
      </c>
      <c r="E1337" s="114" t="str">
        <f t="shared" si="136"/>
        <v>0</v>
      </c>
      <c r="F1337" s="114" t="str">
        <f t="shared" si="137"/>
        <v>01</v>
      </c>
      <c r="G1337" s="114" t="str">
        <f t="shared" si="138"/>
        <v>1</v>
      </c>
      <c r="H1337" s="114" t="str">
        <f t="shared" si="139"/>
        <v>0</v>
      </c>
      <c r="I1337" s="115">
        <v>19900110</v>
      </c>
      <c r="J1337" s="114" t="s">
        <v>4461</v>
      </c>
      <c r="K1337" s="114" t="s">
        <v>4462</v>
      </c>
      <c r="L1337" s="116"/>
      <c r="M1337" s="114" t="s">
        <v>2878</v>
      </c>
      <c r="N1337" s="114" t="s">
        <v>2879</v>
      </c>
      <c r="O1337" s="114" t="s">
        <v>2878</v>
      </c>
      <c r="P1337" s="117" t="s">
        <v>2880</v>
      </c>
    </row>
    <row r="1338" spans="2:16" ht="60" x14ac:dyDescent="0.25">
      <c r="B1338" s="85" t="str">
        <f t="shared" si="133"/>
        <v>1</v>
      </c>
      <c r="C1338" s="85" t="str">
        <f t="shared" si="134"/>
        <v>9</v>
      </c>
      <c r="D1338" s="85" t="str">
        <f t="shared" si="135"/>
        <v>9</v>
      </c>
      <c r="E1338" s="85" t="str">
        <f t="shared" si="136"/>
        <v>0</v>
      </c>
      <c r="F1338" s="85" t="str">
        <f t="shared" si="137"/>
        <v>01</v>
      </c>
      <c r="G1338" s="85" t="str">
        <f t="shared" si="138"/>
        <v>1</v>
      </c>
      <c r="H1338" s="85" t="str">
        <f t="shared" si="139"/>
        <v>1</v>
      </c>
      <c r="I1338" s="87">
        <v>19900111</v>
      </c>
      <c r="J1338" s="85" t="s">
        <v>4463</v>
      </c>
      <c r="K1338" s="85" t="s">
        <v>4464</v>
      </c>
      <c r="L1338" s="84"/>
      <c r="M1338" s="85" t="s">
        <v>3512</v>
      </c>
      <c r="N1338" s="85" t="s">
        <v>2879</v>
      </c>
      <c r="O1338" s="85" t="s">
        <v>4465</v>
      </c>
      <c r="P1338" s="86" t="s">
        <v>2890</v>
      </c>
    </row>
    <row r="1339" spans="2:16" ht="45" x14ac:dyDescent="0.25">
      <c r="B1339" s="108" t="str">
        <f t="shared" si="133"/>
        <v>1</v>
      </c>
      <c r="C1339" s="108" t="str">
        <f t="shared" si="134"/>
        <v>9</v>
      </c>
      <c r="D1339" s="108" t="str">
        <f t="shared" si="135"/>
        <v>9</v>
      </c>
      <c r="E1339" s="108" t="str">
        <f t="shared" si="136"/>
        <v>0</v>
      </c>
      <c r="F1339" s="108" t="str">
        <f t="shared" si="137"/>
        <v>02</v>
      </c>
      <c r="G1339" s="108" t="str">
        <f t="shared" si="138"/>
        <v>0</v>
      </c>
      <c r="H1339" s="108" t="str">
        <f t="shared" si="139"/>
        <v>0</v>
      </c>
      <c r="I1339" s="109">
        <v>19900200</v>
      </c>
      <c r="J1339" s="108" t="s">
        <v>4466</v>
      </c>
      <c r="K1339" s="108" t="s">
        <v>4467</v>
      </c>
      <c r="L1339" s="110"/>
      <c r="M1339" s="108" t="s">
        <v>2878</v>
      </c>
      <c r="N1339" s="108" t="s">
        <v>2879</v>
      </c>
      <c r="O1339" s="108" t="s">
        <v>2878</v>
      </c>
      <c r="P1339" s="111" t="s">
        <v>2880</v>
      </c>
    </row>
    <row r="1340" spans="2:16" ht="45" x14ac:dyDescent="0.25">
      <c r="B1340" s="114" t="str">
        <f t="shared" si="133"/>
        <v>1</v>
      </c>
      <c r="C1340" s="114" t="str">
        <f t="shared" si="134"/>
        <v>9</v>
      </c>
      <c r="D1340" s="114" t="str">
        <f t="shared" si="135"/>
        <v>9</v>
      </c>
      <c r="E1340" s="114" t="str">
        <f t="shared" si="136"/>
        <v>0</v>
      </c>
      <c r="F1340" s="114" t="str">
        <f t="shared" si="137"/>
        <v>02</v>
      </c>
      <c r="G1340" s="114" t="str">
        <f t="shared" si="138"/>
        <v>1</v>
      </c>
      <c r="H1340" s="114" t="str">
        <f t="shared" si="139"/>
        <v>0</v>
      </c>
      <c r="I1340" s="115">
        <v>19900210</v>
      </c>
      <c r="J1340" s="114" t="s">
        <v>4466</v>
      </c>
      <c r="K1340" s="114" t="s">
        <v>4467</v>
      </c>
      <c r="L1340" s="116"/>
      <c r="M1340" s="114" t="s">
        <v>2878</v>
      </c>
      <c r="N1340" s="114" t="s">
        <v>2879</v>
      </c>
      <c r="O1340" s="114" t="s">
        <v>2878</v>
      </c>
      <c r="P1340" s="117" t="s">
        <v>2880</v>
      </c>
    </row>
    <row r="1341" spans="2:16" ht="45" x14ac:dyDescent="0.25">
      <c r="B1341" s="85" t="str">
        <f t="shared" si="133"/>
        <v>1</v>
      </c>
      <c r="C1341" s="85" t="str">
        <f t="shared" si="134"/>
        <v>9</v>
      </c>
      <c r="D1341" s="85" t="str">
        <f t="shared" si="135"/>
        <v>9</v>
      </c>
      <c r="E1341" s="85" t="str">
        <f t="shared" si="136"/>
        <v>0</v>
      </c>
      <c r="F1341" s="85" t="str">
        <f t="shared" si="137"/>
        <v>02</v>
      </c>
      <c r="G1341" s="85" t="str">
        <f t="shared" si="138"/>
        <v>1</v>
      </c>
      <c r="H1341" s="85" t="str">
        <f t="shared" si="139"/>
        <v>1</v>
      </c>
      <c r="I1341" s="87">
        <v>19900211</v>
      </c>
      <c r="J1341" s="85" t="s">
        <v>4468</v>
      </c>
      <c r="K1341" s="85" t="s">
        <v>2519</v>
      </c>
      <c r="L1341" s="84"/>
      <c r="M1341" s="85" t="s">
        <v>3130</v>
      </c>
      <c r="N1341" s="85" t="s">
        <v>2520</v>
      </c>
      <c r="O1341" s="85" t="s">
        <v>4469</v>
      </c>
      <c r="P1341" s="86" t="s">
        <v>2890</v>
      </c>
    </row>
    <row r="1342" spans="2:16" ht="30" x14ac:dyDescent="0.25">
      <c r="B1342" s="108" t="str">
        <f t="shared" si="133"/>
        <v>1</v>
      </c>
      <c r="C1342" s="108" t="str">
        <f t="shared" si="134"/>
        <v>9</v>
      </c>
      <c r="D1342" s="108" t="str">
        <f t="shared" si="135"/>
        <v>9</v>
      </c>
      <c r="E1342" s="108" t="str">
        <f t="shared" si="136"/>
        <v>0</v>
      </c>
      <c r="F1342" s="108" t="str">
        <f t="shared" si="137"/>
        <v>03</v>
      </c>
      <c r="G1342" s="108" t="str">
        <f t="shared" si="138"/>
        <v>0</v>
      </c>
      <c r="H1342" s="108" t="str">
        <f t="shared" si="139"/>
        <v>0</v>
      </c>
      <c r="I1342" s="109">
        <v>19900300</v>
      </c>
      <c r="J1342" s="108" t="s">
        <v>2191</v>
      </c>
      <c r="K1342" s="108" t="s">
        <v>4470</v>
      </c>
      <c r="L1342" s="110"/>
      <c r="M1342" s="108" t="s">
        <v>2878</v>
      </c>
      <c r="N1342" s="108" t="s">
        <v>2879</v>
      </c>
      <c r="O1342" s="108" t="s">
        <v>2878</v>
      </c>
      <c r="P1342" s="111" t="s">
        <v>2880</v>
      </c>
    </row>
    <row r="1343" spans="2:16" ht="30" x14ac:dyDescent="0.25">
      <c r="B1343" s="114" t="str">
        <f t="shared" si="133"/>
        <v>1</v>
      </c>
      <c r="C1343" s="114" t="str">
        <f t="shared" si="134"/>
        <v>9</v>
      </c>
      <c r="D1343" s="114" t="str">
        <f t="shared" si="135"/>
        <v>9</v>
      </c>
      <c r="E1343" s="114" t="str">
        <f t="shared" si="136"/>
        <v>0</v>
      </c>
      <c r="F1343" s="114" t="str">
        <f t="shared" si="137"/>
        <v>03</v>
      </c>
      <c r="G1343" s="114" t="str">
        <f t="shared" si="138"/>
        <v>1</v>
      </c>
      <c r="H1343" s="114" t="str">
        <f t="shared" si="139"/>
        <v>0</v>
      </c>
      <c r="I1343" s="115">
        <v>19900310</v>
      </c>
      <c r="J1343" s="114" t="s">
        <v>2191</v>
      </c>
      <c r="K1343" s="114" t="s">
        <v>4470</v>
      </c>
      <c r="L1343" s="116"/>
      <c r="M1343" s="114" t="s">
        <v>2878</v>
      </c>
      <c r="N1343" s="114" t="s">
        <v>2879</v>
      </c>
      <c r="O1343" s="114" t="s">
        <v>2878</v>
      </c>
      <c r="P1343" s="117" t="s">
        <v>2880</v>
      </c>
    </row>
    <row r="1344" spans="2:16" ht="60" x14ac:dyDescent="0.25">
      <c r="B1344" s="85" t="str">
        <f t="shared" si="133"/>
        <v>1</v>
      </c>
      <c r="C1344" s="85" t="str">
        <f t="shared" si="134"/>
        <v>9</v>
      </c>
      <c r="D1344" s="85" t="str">
        <f t="shared" si="135"/>
        <v>9</v>
      </c>
      <c r="E1344" s="85" t="str">
        <f t="shared" si="136"/>
        <v>0</v>
      </c>
      <c r="F1344" s="85" t="str">
        <f t="shared" si="137"/>
        <v>03</v>
      </c>
      <c r="G1344" s="85" t="str">
        <f t="shared" si="138"/>
        <v>1</v>
      </c>
      <c r="H1344" s="85" t="str">
        <f t="shared" si="139"/>
        <v>1</v>
      </c>
      <c r="I1344" s="87">
        <v>19900311</v>
      </c>
      <c r="J1344" s="85" t="s">
        <v>4471</v>
      </c>
      <c r="K1344" s="85" t="s">
        <v>4472</v>
      </c>
      <c r="L1344" s="84"/>
      <c r="M1344" s="85" t="s">
        <v>4473</v>
      </c>
      <c r="N1344" s="85" t="s">
        <v>2879</v>
      </c>
      <c r="O1344" s="85" t="s">
        <v>4474</v>
      </c>
      <c r="P1344" s="86" t="s">
        <v>2890</v>
      </c>
    </row>
    <row r="1345" spans="2:16" ht="30" x14ac:dyDescent="0.25">
      <c r="B1345" s="85" t="str">
        <f t="shared" si="133"/>
        <v>1</v>
      </c>
      <c r="C1345" s="85" t="str">
        <f t="shared" si="134"/>
        <v>9</v>
      </c>
      <c r="D1345" s="85" t="str">
        <f t="shared" si="135"/>
        <v>9</v>
      </c>
      <c r="E1345" s="85" t="str">
        <f t="shared" si="136"/>
        <v>0</v>
      </c>
      <c r="F1345" s="85" t="str">
        <f t="shared" si="137"/>
        <v>03</v>
      </c>
      <c r="G1345" s="85" t="str">
        <f t="shared" si="138"/>
        <v>1</v>
      </c>
      <c r="H1345" s="85" t="str">
        <f t="shared" si="139"/>
        <v>2</v>
      </c>
      <c r="I1345" s="87">
        <v>19900312</v>
      </c>
      <c r="J1345" s="85" t="s">
        <v>4475</v>
      </c>
      <c r="K1345" s="85" t="s">
        <v>2892</v>
      </c>
      <c r="L1345" s="84"/>
      <c r="M1345" s="85" t="s">
        <v>2892</v>
      </c>
      <c r="N1345" s="85" t="s">
        <v>2879</v>
      </c>
      <c r="O1345" s="85" t="s">
        <v>2892</v>
      </c>
      <c r="P1345" s="86" t="s">
        <v>2890</v>
      </c>
    </row>
    <row r="1346" spans="2:16" ht="30" x14ac:dyDescent="0.25">
      <c r="B1346" s="85" t="str">
        <f t="shared" si="133"/>
        <v>1</v>
      </c>
      <c r="C1346" s="85" t="str">
        <f t="shared" si="134"/>
        <v>9</v>
      </c>
      <c r="D1346" s="85" t="str">
        <f t="shared" si="135"/>
        <v>9</v>
      </c>
      <c r="E1346" s="85" t="str">
        <f t="shared" si="136"/>
        <v>0</v>
      </c>
      <c r="F1346" s="85" t="str">
        <f t="shared" si="137"/>
        <v>03</v>
      </c>
      <c r="G1346" s="85" t="str">
        <f t="shared" si="138"/>
        <v>1</v>
      </c>
      <c r="H1346" s="85" t="str">
        <f t="shared" si="139"/>
        <v>3</v>
      </c>
      <c r="I1346" s="87">
        <v>19900313</v>
      </c>
      <c r="J1346" s="85" t="s">
        <v>4476</v>
      </c>
      <c r="K1346" s="85" t="s">
        <v>2892</v>
      </c>
      <c r="L1346" s="84"/>
      <c r="M1346" s="85" t="s">
        <v>2892</v>
      </c>
      <c r="N1346" s="85" t="s">
        <v>2879</v>
      </c>
      <c r="O1346" s="85" t="s">
        <v>2892</v>
      </c>
      <c r="P1346" s="86" t="s">
        <v>2890</v>
      </c>
    </row>
    <row r="1347" spans="2:16" ht="30" x14ac:dyDescent="0.25">
      <c r="B1347" s="85" t="str">
        <f t="shared" si="133"/>
        <v>1</v>
      </c>
      <c r="C1347" s="85" t="str">
        <f t="shared" si="134"/>
        <v>9</v>
      </c>
      <c r="D1347" s="85" t="str">
        <f t="shared" si="135"/>
        <v>9</v>
      </c>
      <c r="E1347" s="85" t="str">
        <f t="shared" si="136"/>
        <v>0</v>
      </c>
      <c r="F1347" s="85" t="str">
        <f t="shared" si="137"/>
        <v>03</v>
      </c>
      <c r="G1347" s="85" t="str">
        <f t="shared" si="138"/>
        <v>1</v>
      </c>
      <c r="H1347" s="85" t="str">
        <f t="shared" si="139"/>
        <v>4</v>
      </c>
      <c r="I1347" s="87">
        <v>19900314</v>
      </c>
      <c r="J1347" s="85" t="s">
        <v>4477</v>
      </c>
      <c r="K1347" s="85" t="s">
        <v>2892</v>
      </c>
      <c r="L1347" s="84"/>
      <c r="M1347" s="85" t="s">
        <v>2892</v>
      </c>
      <c r="N1347" s="85" t="s">
        <v>2879</v>
      </c>
      <c r="O1347" s="85" t="s">
        <v>2892</v>
      </c>
      <c r="P1347" s="86" t="s">
        <v>2890</v>
      </c>
    </row>
    <row r="1348" spans="2:16" ht="285" x14ac:dyDescent="0.25">
      <c r="B1348" s="108" t="str">
        <f t="shared" si="133"/>
        <v>1</v>
      </c>
      <c r="C1348" s="108" t="str">
        <f t="shared" si="134"/>
        <v>9</v>
      </c>
      <c r="D1348" s="108" t="str">
        <f t="shared" si="135"/>
        <v>9</v>
      </c>
      <c r="E1348" s="108" t="str">
        <f t="shared" si="136"/>
        <v>0</v>
      </c>
      <c r="F1348" s="108" t="str">
        <f t="shared" si="137"/>
        <v>04</v>
      </c>
      <c r="G1348" s="108" t="str">
        <f t="shared" si="138"/>
        <v>0</v>
      </c>
      <c r="H1348" s="108" t="str">
        <f t="shared" si="139"/>
        <v>0</v>
      </c>
      <c r="I1348" s="109">
        <v>19900400</v>
      </c>
      <c r="J1348" s="108" t="s">
        <v>4478</v>
      </c>
      <c r="K1348" s="108" t="s">
        <v>4479</v>
      </c>
      <c r="L1348" s="110"/>
      <c r="M1348" s="108" t="s">
        <v>2878</v>
      </c>
      <c r="N1348" s="108" t="s">
        <v>2879</v>
      </c>
      <c r="O1348" s="108" t="s">
        <v>2878</v>
      </c>
      <c r="P1348" s="111" t="s">
        <v>2880</v>
      </c>
    </row>
    <row r="1349" spans="2:16" ht="285" x14ac:dyDescent="0.25">
      <c r="B1349" s="114" t="str">
        <f t="shared" si="133"/>
        <v>1</v>
      </c>
      <c r="C1349" s="114" t="str">
        <f t="shared" si="134"/>
        <v>9</v>
      </c>
      <c r="D1349" s="114" t="str">
        <f t="shared" si="135"/>
        <v>9</v>
      </c>
      <c r="E1349" s="114" t="str">
        <f t="shared" si="136"/>
        <v>0</v>
      </c>
      <c r="F1349" s="114" t="str">
        <f t="shared" si="137"/>
        <v>04</v>
      </c>
      <c r="G1349" s="114" t="str">
        <f t="shared" si="138"/>
        <v>1</v>
      </c>
      <c r="H1349" s="114" t="str">
        <f t="shared" si="139"/>
        <v>0</v>
      </c>
      <c r="I1349" s="115">
        <v>19900410</v>
      </c>
      <c r="J1349" s="114" t="s">
        <v>4478</v>
      </c>
      <c r="K1349" s="114" t="s">
        <v>4479</v>
      </c>
      <c r="L1349" s="116"/>
      <c r="M1349" s="114" t="s">
        <v>2878</v>
      </c>
      <c r="N1349" s="114" t="s">
        <v>2879</v>
      </c>
      <c r="O1349" s="114" t="s">
        <v>2878</v>
      </c>
      <c r="P1349" s="117" t="s">
        <v>2880</v>
      </c>
    </row>
    <row r="1350" spans="2:16" ht="285" x14ac:dyDescent="0.25">
      <c r="B1350" s="85" t="str">
        <f t="shared" si="133"/>
        <v>1</v>
      </c>
      <c r="C1350" s="85" t="str">
        <f t="shared" si="134"/>
        <v>9</v>
      </c>
      <c r="D1350" s="85" t="str">
        <f t="shared" si="135"/>
        <v>9</v>
      </c>
      <c r="E1350" s="85" t="str">
        <f t="shared" si="136"/>
        <v>0</v>
      </c>
      <c r="F1350" s="85" t="str">
        <f t="shared" si="137"/>
        <v>04</v>
      </c>
      <c r="G1350" s="85" t="str">
        <f t="shared" si="138"/>
        <v>1</v>
      </c>
      <c r="H1350" s="85" t="str">
        <f t="shared" si="139"/>
        <v>1</v>
      </c>
      <c r="I1350" s="87">
        <v>19900411</v>
      </c>
      <c r="J1350" s="85" t="s">
        <v>4480</v>
      </c>
      <c r="K1350" s="85" t="s">
        <v>4481</v>
      </c>
      <c r="L1350" s="84"/>
      <c r="M1350" s="85" t="s">
        <v>4482</v>
      </c>
      <c r="N1350" s="85" t="s">
        <v>2879</v>
      </c>
      <c r="O1350" s="85" t="s">
        <v>4483</v>
      </c>
      <c r="P1350" s="86" t="s">
        <v>2890</v>
      </c>
    </row>
    <row r="1351" spans="2:16" ht="45" x14ac:dyDescent="0.25">
      <c r="B1351" s="108" t="str">
        <f t="shared" ref="B1351:B1418" si="140">MID($I1351,1,1)</f>
        <v>1</v>
      </c>
      <c r="C1351" s="108" t="str">
        <f t="shared" ref="C1351:C1418" si="141">MID($I1351,2,1)</f>
        <v>9</v>
      </c>
      <c r="D1351" s="108" t="str">
        <f t="shared" ref="D1351:D1418" si="142">MID($I1351,3,1)</f>
        <v>9</v>
      </c>
      <c r="E1351" s="108" t="str">
        <f t="shared" ref="E1351:E1418" si="143">MID($I1351,4,1)</f>
        <v>0</v>
      </c>
      <c r="F1351" s="108" t="str">
        <f t="shared" ref="F1351:F1418" si="144">MID($I1351,5,2)</f>
        <v>05</v>
      </c>
      <c r="G1351" s="108" t="str">
        <f t="shared" ref="G1351:G1418" si="145">MID($I1351,7,1)</f>
        <v>0</v>
      </c>
      <c r="H1351" s="108" t="str">
        <f t="shared" ref="H1351:H1418" si="146">MID($I1351,8,1)</f>
        <v>0</v>
      </c>
      <c r="I1351" s="109">
        <v>19900500</v>
      </c>
      <c r="J1351" s="108" t="s">
        <v>4484</v>
      </c>
      <c r="K1351" s="108" t="s">
        <v>4485</v>
      </c>
      <c r="L1351" s="110"/>
      <c r="M1351" s="108" t="s">
        <v>2878</v>
      </c>
      <c r="N1351" s="108" t="s">
        <v>2879</v>
      </c>
      <c r="O1351" s="108" t="s">
        <v>2878</v>
      </c>
      <c r="P1351" s="111" t="s">
        <v>2880</v>
      </c>
    </row>
    <row r="1352" spans="2:16" ht="45" x14ac:dyDescent="0.25">
      <c r="B1352" s="114" t="str">
        <f t="shared" si="140"/>
        <v>1</v>
      </c>
      <c r="C1352" s="114" t="str">
        <f t="shared" si="141"/>
        <v>9</v>
      </c>
      <c r="D1352" s="114" t="str">
        <f t="shared" si="142"/>
        <v>9</v>
      </c>
      <c r="E1352" s="114" t="str">
        <f t="shared" si="143"/>
        <v>0</v>
      </c>
      <c r="F1352" s="114" t="str">
        <f t="shared" si="144"/>
        <v>05</v>
      </c>
      <c r="G1352" s="114" t="str">
        <f t="shared" si="145"/>
        <v>1</v>
      </c>
      <c r="H1352" s="114" t="str">
        <f t="shared" si="146"/>
        <v>0</v>
      </c>
      <c r="I1352" s="115">
        <v>19900510</v>
      </c>
      <c r="J1352" s="114" t="s">
        <v>4484</v>
      </c>
      <c r="K1352" s="114" t="s">
        <v>4485</v>
      </c>
      <c r="L1352" s="116"/>
      <c r="M1352" s="114" t="s">
        <v>2878</v>
      </c>
      <c r="N1352" s="114" t="s">
        <v>2879</v>
      </c>
      <c r="O1352" s="114" t="s">
        <v>2878</v>
      </c>
      <c r="P1352" s="117" t="s">
        <v>2880</v>
      </c>
    </row>
    <row r="1353" spans="2:16" ht="90" x14ac:dyDescent="0.25">
      <c r="B1353" s="85" t="str">
        <f t="shared" si="140"/>
        <v>1</v>
      </c>
      <c r="C1353" s="85" t="str">
        <f t="shared" si="141"/>
        <v>9</v>
      </c>
      <c r="D1353" s="85" t="str">
        <f t="shared" si="142"/>
        <v>9</v>
      </c>
      <c r="E1353" s="85" t="str">
        <f t="shared" si="143"/>
        <v>0</v>
      </c>
      <c r="F1353" s="85" t="str">
        <f t="shared" si="144"/>
        <v>05</v>
      </c>
      <c r="G1353" s="85" t="str">
        <f t="shared" si="145"/>
        <v>1</v>
      </c>
      <c r="H1353" s="85" t="str">
        <f t="shared" si="146"/>
        <v>1</v>
      </c>
      <c r="I1353" s="87">
        <v>19900511</v>
      </c>
      <c r="J1353" s="85" t="s">
        <v>4486</v>
      </c>
      <c r="K1353" s="85" t="s">
        <v>4487</v>
      </c>
      <c r="L1353" s="84"/>
      <c r="M1353" s="85" t="s">
        <v>4488</v>
      </c>
      <c r="N1353" s="85" t="s">
        <v>2879</v>
      </c>
      <c r="O1353" s="85" t="s">
        <v>4489</v>
      </c>
      <c r="P1353" s="86" t="s">
        <v>2890</v>
      </c>
    </row>
    <row r="1354" spans="2:16" ht="15.75" x14ac:dyDescent="0.25">
      <c r="B1354" s="85" t="str">
        <f t="shared" si="140"/>
        <v>1</v>
      </c>
      <c r="C1354" s="85" t="str">
        <f t="shared" si="141"/>
        <v>9</v>
      </c>
      <c r="D1354" s="85" t="str">
        <f t="shared" si="142"/>
        <v>9</v>
      </c>
      <c r="E1354" s="85" t="str">
        <f t="shared" si="143"/>
        <v>0</v>
      </c>
      <c r="F1354" s="85" t="str">
        <f t="shared" si="144"/>
        <v>05</v>
      </c>
      <c r="G1354" s="85" t="str">
        <f t="shared" si="145"/>
        <v>1</v>
      </c>
      <c r="H1354" s="85" t="str">
        <f t="shared" si="146"/>
        <v>2</v>
      </c>
      <c r="I1354" s="87">
        <v>19900512</v>
      </c>
      <c r="J1354" s="85" t="s">
        <v>4490</v>
      </c>
      <c r="K1354" s="85" t="s">
        <v>2892</v>
      </c>
      <c r="L1354" s="84"/>
      <c r="M1354" s="85" t="s">
        <v>2892</v>
      </c>
      <c r="N1354" s="85" t="s">
        <v>2879</v>
      </c>
      <c r="O1354" s="85" t="s">
        <v>2892</v>
      </c>
      <c r="P1354" s="86" t="s">
        <v>2890</v>
      </c>
    </row>
    <row r="1355" spans="2:16" ht="30" x14ac:dyDescent="0.25">
      <c r="B1355" s="108" t="str">
        <f t="shared" si="140"/>
        <v>1</v>
      </c>
      <c r="C1355" s="108" t="str">
        <f t="shared" si="141"/>
        <v>9</v>
      </c>
      <c r="D1355" s="108" t="str">
        <f t="shared" si="142"/>
        <v>9</v>
      </c>
      <c r="E1355" s="108" t="str">
        <f t="shared" si="143"/>
        <v>0</v>
      </c>
      <c r="F1355" s="108" t="str">
        <f t="shared" si="144"/>
        <v>06</v>
      </c>
      <c r="G1355" s="108" t="str">
        <f t="shared" si="145"/>
        <v>0</v>
      </c>
      <c r="H1355" s="108" t="str">
        <f t="shared" si="146"/>
        <v>0</v>
      </c>
      <c r="I1355" s="109">
        <v>19900600</v>
      </c>
      <c r="J1355" s="108" t="s">
        <v>4491</v>
      </c>
      <c r="K1355" s="108" t="s">
        <v>4492</v>
      </c>
      <c r="L1355" s="110"/>
      <c r="M1355" s="108" t="s">
        <v>2878</v>
      </c>
      <c r="N1355" s="108" t="s">
        <v>2879</v>
      </c>
      <c r="O1355" s="108" t="s">
        <v>2878</v>
      </c>
      <c r="P1355" s="111" t="s">
        <v>2880</v>
      </c>
    </row>
    <row r="1356" spans="2:16" ht="30" x14ac:dyDescent="0.25">
      <c r="B1356" s="114" t="str">
        <f t="shared" si="140"/>
        <v>1</v>
      </c>
      <c r="C1356" s="114" t="str">
        <f t="shared" si="141"/>
        <v>9</v>
      </c>
      <c r="D1356" s="114" t="str">
        <f t="shared" si="142"/>
        <v>9</v>
      </c>
      <c r="E1356" s="114" t="str">
        <f t="shared" si="143"/>
        <v>0</v>
      </c>
      <c r="F1356" s="114" t="str">
        <f t="shared" si="144"/>
        <v>06</v>
      </c>
      <c r="G1356" s="114" t="str">
        <f t="shared" si="145"/>
        <v>1</v>
      </c>
      <c r="H1356" s="114" t="str">
        <f t="shared" si="146"/>
        <v>0</v>
      </c>
      <c r="I1356" s="115">
        <v>19900610</v>
      </c>
      <c r="J1356" s="114" t="s">
        <v>4491</v>
      </c>
      <c r="K1356" s="114" t="s">
        <v>4492</v>
      </c>
      <c r="L1356" s="116"/>
      <c r="M1356" s="114" t="s">
        <v>2878</v>
      </c>
      <c r="N1356" s="114" t="s">
        <v>2879</v>
      </c>
      <c r="O1356" s="114" t="s">
        <v>2878</v>
      </c>
      <c r="P1356" s="117" t="s">
        <v>2880</v>
      </c>
    </row>
    <row r="1357" spans="2:16" ht="105" x14ac:dyDescent="0.25">
      <c r="B1357" s="85" t="str">
        <f t="shared" si="140"/>
        <v>1</v>
      </c>
      <c r="C1357" s="85" t="str">
        <f t="shared" si="141"/>
        <v>9</v>
      </c>
      <c r="D1357" s="85" t="str">
        <f t="shared" si="142"/>
        <v>9</v>
      </c>
      <c r="E1357" s="85" t="str">
        <f t="shared" si="143"/>
        <v>0</v>
      </c>
      <c r="F1357" s="85" t="str">
        <f t="shared" si="144"/>
        <v>06</v>
      </c>
      <c r="G1357" s="85" t="str">
        <f t="shared" si="145"/>
        <v>1</v>
      </c>
      <c r="H1357" s="85" t="str">
        <f t="shared" si="146"/>
        <v>1</v>
      </c>
      <c r="I1357" s="87">
        <v>19900611</v>
      </c>
      <c r="J1357" s="85" t="s">
        <v>4493</v>
      </c>
      <c r="K1357" s="85" t="s">
        <v>4494</v>
      </c>
      <c r="L1357" s="84"/>
      <c r="M1357" s="85" t="s">
        <v>3044</v>
      </c>
      <c r="N1357" s="85" t="s">
        <v>2209</v>
      </c>
      <c r="O1357" s="85" t="s">
        <v>4495</v>
      </c>
      <c r="P1357" s="86" t="s">
        <v>2890</v>
      </c>
    </row>
    <row r="1358" spans="2:16" ht="90" x14ac:dyDescent="0.25">
      <c r="B1358" s="108" t="str">
        <f t="shared" si="140"/>
        <v>1</v>
      </c>
      <c r="C1358" s="108" t="str">
        <f t="shared" si="141"/>
        <v>9</v>
      </c>
      <c r="D1358" s="108" t="str">
        <f t="shared" si="142"/>
        <v>9</v>
      </c>
      <c r="E1358" s="108" t="str">
        <f t="shared" si="143"/>
        <v>0</v>
      </c>
      <c r="F1358" s="108" t="str">
        <f t="shared" si="144"/>
        <v>07</v>
      </c>
      <c r="G1358" s="108" t="str">
        <f t="shared" si="145"/>
        <v>0</v>
      </c>
      <c r="H1358" s="108" t="str">
        <f t="shared" si="146"/>
        <v>0</v>
      </c>
      <c r="I1358" s="109">
        <v>19900700</v>
      </c>
      <c r="J1358" s="108" t="s">
        <v>2593</v>
      </c>
      <c r="K1358" s="108" t="s">
        <v>4496</v>
      </c>
      <c r="L1358" s="110"/>
      <c r="M1358" s="108" t="s">
        <v>2878</v>
      </c>
      <c r="N1358" s="108" t="s">
        <v>2879</v>
      </c>
      <c r="O1358" s="108" t="s">
        <v>2878</v>
      </c>
      <c r="P1358" s="111" t="s">
        <v>2880</v>
      </c>
    </row>
    <row r="1359" spans="2:16" ht="90" x14ac:dyDescent="0.25">
      <c r="B1359" s="114" t="str">
        <f t="shared" si="140"/>
        <v>1</v>
      </c>
      <c r="C1359" s="114" t="str">
        <f t="shared" si="141"/>
        <v>9</v>
      </c>
      <c r="D1359" s="114" t="str">
        <f t="shared" si="142"/>
        <v>9</v>
      </c>
      <c r="E1359" s="114" t="str">
        <f t="shared" si="143"/>
        <v>0</v>
      </c>
      <c r="F1359" s="114" t="str">
        <f t="shared" si="144"/>
        <v>07</v>
      </c>
      <c r="G1359" s="114" t="str">
        <f t="shared" si="145"/>
        <v>1</v>
      </c>
      <c r="H1359" s="114" t="str">
        <f t="shared" si="146"/>
        <v>0</v>
      </c>
      <c r="I1359" s="115">
        <v>19900710</v>
      </c>
      <c r="J1359" s="114" t="s">
        <v>2593</v>
      </c>
      <c r="K1359" s="114" t="s">
        <v>4496</v>
      </c>
      <c r="L1359" s="116"/>
      <c r="M1359" s="114" t="s">
        <v>2878</v>
      </c>
      <c r="N1359" s="114" t="s">
        <v>2879</v>
      </c>
      <c r="O1359" s="114" t="s">
        <v>2878</v>
      </c>
      <c r="P1359" s="117" t="s">
        <v>2880</v>
      </c>
    </row>
    <row r="1360" spans="2:16" ht="90" x14ac:dyDescent="0.25">
      <c r="B1360" s="85" t="str">
        <f t="shared" si="140"/>
        <v>1</v>
      </c>
      <c r="C1360" s="85" t="str">
        <f t="shared" si="141"/>
        <v>9</v>
      </c>
      <c r="D1360" s="85" t="str">
        <f t="shared" si="142"/>
        <v>9</v>
      </c>
      <c r="E1360" s="85" t="str">
        <f t="shared" si="143"/>
        <v>0</v>
      </c>
      <c r="F1360" s="85" t="str">
        <f t="shared" si="144"/>
        <v>07</v>
      </c>
      <c r="G1360" s="85" t="str">
        <f t="shared" si="145"/>
        <v>1</v>
      </c>
      <c r="H1360" s="85" t="str">
        <f t="shared" si="146"/>
        <v>1</v>
      </c>
      <c r="I1360" s="87">
        <v>19900711</v>
      </c>
      <c r="J1360" s="85" t="s">
        <v>4497</v>
      </c>
      <c r="K1360" s="85" t="s">
        <v>2594</v>
      </c>
      <c r="L1360" s="84"/>
      <c r="M1360" s="85" t="s">
        <v>4498</v>
      </c>
      <c r="N1360" s="85" t="s">
        <v>2879</v>
      </c>
      <c r="O1360" s="85" t="s">
        <v>4499</v>
      </c>
      <c r="P1360" s="86" t="s">
        <v>2890</v>
      </c>
    </row>
    <row r="1361" spans="2:16" ht="90" x14ac:dyDescent="0.25">
      <c r="B1361" s="108" t="str">
        <f t="shared" si="140"/>
        <v>1</v>
      </c>
      <c r="C1361" s="108" t="str">
        <f t="shared" si="141"/>
        <v>9</v>
      </c>
      <c r="D1361" s="108" t="str">
        <f t="shared" si="142"/>
        <v>9</v>
      </c>
      <c r="E1361" s="108" t="str">
        <f t="shared" si="143"/>
        <v>0</v>
      </c>
      <c r="F1361" s="108" t="str">
        <f t="shared" si="144"/>
        <v>08</v>
      </c>
      <c r="G1361" s="108" t="str">
        <f t="shared" si="145"/>
        <v>0</v>
      </c>
      <c r="H1361" s="108" t="str">
        <f t="shared" si="146"/>
        <v>0</v>
      </c>
      <c r="I1361" s="109">
        <v>19900800</v>
      </c>
      <c r="J1361" s="108" t="s">
        <v>4500</v>
      </c>
      <c r="K1361" s="108" t="s">
        <v>4501</v>
      </c>
      <c r="L1361" s="110"/>
      <c r="M1361" s="108" t="s">
        <v>2878</v>
      </c>
      <c r="N1361" s="108" t="s">
        <v>2879</v>
      </c>
      <c r="O1361" s="108" t="s">
        <v>2878</v>
      </c>
      <c r="P1361" s="111" t="s">
        <v>2880</v>
      </c>
    </row>
    <row r="1362" spans="2:16" ht="90" x14ac:dyDescent="0.25">
      <c r="B1362" s="114" t="str">
        <f t="shared" si="140"/>
        <v>1</v>
      </c>
      <c r="C1362" s="114" t="str">
        <f t="shared" si="141"/>
        <v>9</v>
      </c>
      <c r="D1362" s="114" t="str">
        <f t="shared" si="142"/>
        <v>9</v>
      </c>
      <c r="E1362" s="114" t="str">
        <f t="shared" si="143"/>
        <v>0</v>
      </c>
      <c r="F1362" s="114" t="str">
        <f t="shared" si="144"/>
        <v>08</v>
      </c>
      <c r="G1362" s="114" t="str">
        <f t="shared" si="145"/>
        <v>1</v>
      </c>
      <c r="H1362" s="114" t="str">
        <f t="shared" si="146"/>
        <v>0</v>
      </c>
      <c r="I1362" s="115">
        <v>19900810</v>
      </c>
      <c r="J1362" s="114" t="s">
        <v>4500</v>
      </c>
      <c r="K1362" s="114" t="s">
        <v>4501</v>
      </c>
      <c r="L1362" s="116"/>
      <c r="M1362" s="114" t="s">
        <v>2878</v>
      </c>
      <c r="N1362" s="114" t="s">
        <v>2879</v>
      </c>
      <c r="O1362" s="114" t="s">
        <v>2878</v>
      </c>
      <c r="P1362" s="117" t="s">
        <v>2880</v>
      </c>
    </row>
    <row r="1363" spans="2:16" ht="135" x14ac:dyDescent="0.25">
      <c r="B1363" s="85" t="str">
        <f t="shared" si="140"/>
        <v>1</v>
      </c>
      <c r="C1363" s="85" t="str">
        <f t="shared" si="141"/>
        <v>9</v>
      </c>
      <c r="D1363" s="85" t="str">
        <f t="shared" si="142"/>
        <v>9</v>
      </c>
      <c r="E1363" s="85" t="str">
        <f t="shared" si="143"/>
        <v>0</v>
      </c>
      <c r="F1363" s="85" t="str">
        <f t="shared" si="144"/>
        <v>08</v>
      </c>
      <c r="G1363" s="85" t="str">
        <f t="shared" si="145"/>
        <v>1</v>
      </c>
      <c r="H1363" s="85" t="str">
        <f t="shared" si="146"/>
        <v>1</v>
      </c>
      <c r="I1363" s="87">
        <v>19900811</v>
      </c>
      <c r="J1363" s="85" t="s">
        <v>4502</v>
      </c>
      <c r="K1363" s="85" t="s">
        <v>4503</v>
      </c>
      <c r="L1363" s="84"/>
      <c r="M1363" s="85" t="s">
        <v>4504</v>
      </c>
      <c r="N1363" s="85" t="s">
        <v>2569</v>
      </c>
      <c r="O1363" s="85" t="s">
        <v>4505</v>
      </c>
      <c r="P1363" s="86" t="s">
        <v>2890</v>
      </c>
    </row>
    <row r="1364" spans="2:16" ht="60" x14ac:dyDescent="0.25">
      <c r="B1364" s="108" t="str">
        <f t="shared" si="140"/>
        <v>1</v>
      </c>
      <c r="C1364" s="108" t="str">
        <f t="shared" si="141"/>
        <v>9</v>
      </c>
      <c r="D1364" s="108" t="str">
        <f t="shared" si="142"/>
        <v>9</v>
      </c>
      <c r="E1364" s="108" t="str">
        <f t="shared" si="143"/>
        <v>0</v>
      </c>
      <c r="F1364" s="108" t="str">
        <f t="shared" si="144"/>
        <v>09</v>
      </c>
      <c r="G1364" s="108" t="str">
        <f t="shared" si="145"/>
        <v>0</v>
      </c>
      <c r="H1364" s="108" t="str">
        <f t="shared" si="146"/>
        <v>0</v>
      </c>
      <c r="I1364" s="109">
        <v>19900900</v>
      </c>
      <c r="J1364" s="108" t="s">
        <v>4506</v>
      </c>
      <c r="K1364" s="108" t="s">
        <v>4507</v>
      </c>
      <c r="L1364" s="110"/>
      <c r="M1364" s="108" t="s">
        <v>2878</v>
      </c>
      <c r="N1364" s="108" t="s">
        <v>2879</v>
      </c>
      <c r="O1364" s="108" t="s">
        <v>2878</v>
      </c>
      <c r="P1364" s="111" t="s">
        <v>2880</v>
      </c>
    </row>
    <row r="1365" spans="2:16" ht="60" x14ac:dyDescent="0.25">
      <c r="B1365" s="114" t="str">
        <f t="shared" si="140"/>
        <v>1</v>
      </c>
      <c r="C1365" s="114" t="str">
        <f t="shared" si="141"/>
        <v>9</v>
      </c>
      <c r="D1365" s="114" t="str">
        <f t="shared" si="142"/>
        <v>9</v>
      </c>
      <c r="E1365" s="114" t="str">
        <f t="shared" si="143"/>
        <v>0</v>
      </c>
      <c r="F1365" s="114" t="str">
        <f t="shared" si="144"/>
        <v>09</v>
      </c>
      <c r="G1365" s="114" t="str">
        <f t="shared" si="145"/>
        <v>1</v>
      </c>
      <c r="H1365" s="114" t="str">
        <f t="shared" si="146"/>
        <v>0</v>
      </c>
      <c r="I1365" s="115">
        <v>19900910</v>
      </c>
      <c r="J1365" s="114" t="s">
        <v>4506</v>
      </c>
      <c r="K1365" s="114" t="s">
        <v>4507</v>
      </c>
      <c r="L1365" s="116"/>
      <c r="M1365" s="114" t="s">
        <v>2878</v>
      </c>
      <c r="N1365" s="114" t="s">
        <v>2879</v>
      </c>
      <c r="O1365" s="114" t="s">
        <v>2878</v>
      </c>
      <c r="P1365" s="117" t="s">
        <v>2880</v>
      </c>
    </row>
    <row r="1366" spans="2:16" ht="60" x14ac:dyDescent="0.25">
      <c r="B1366" s="85" t="str">
        <f t="shared" si="140"/>
        <v>1</v>
      </c>
      <c r="C1366" s="85" t="str">
        <f t="shared" si="141"/>
        <v>9</v>
      </c>
      <c r="D1366" s="85" t="str">
        <f t="shared" si="142"/>
        <v>9</v>
      </c>
      <c r="E1366" s="85" t="str">
        <f t="shared" si="143"/>
        <v>0</v>
      </c>
      <c r="F1366" s="85" t="str">
        <f t="shared" si="144"/>
        <v>09</v>
      </c>
      <c r="G1366" s="85" t="str">
        <f t="shared" si="145"/>
        <v>1</v>
      </c>
      <c r="H1366" s="85" t="str">
        <f t="shared" si="146"/>
        <v>1</v>
      </c>
      <c r="I1366" s="87">
        <v>19900911</v>
      </c>
      <c r="J1366" s="85" t="s">
        <v>4508</v>
      </c>
      <c r="K1366" s="85" t="s">
        <v>4509</v>
      </c>
      <c r="L1366" s="84"/>
      <c r="M1366" s="85" t="s">
        <v>3728</v>
      </c>
      <c r="N1366" s="85" t="s">
        <v>2879</v>
      </c>
      <c r="O1366" s="85" t="s">
        <v>4510</v>
      </c>
      <c r="P1366" s="86" t="s">
        <v>2890</v>
      </c>
    </row>
    <row r="1367" spans="2:16" ht="75" x14ac:dyDescent="0.25">
      <c r="B1367" s="108" t="str">
        <f t="shared" si="140"/>
        <v>1</v>
      </c>
      <c r="C1367" s="108" t="str">
        <f t="shared" si="141"/>
        <v>9</v>
      </c>
      <c r="D1367" s="108" t="str">
        <f t="shared" si="142"/>
        <v>9</v>
      </c>
      <c r="E1367" s="108" t="str">
        <f t="shared" si="143"/>
        <v>0</v>
      </c>
      <c r="F1367" s="108" t="str">
        <f t="shared" si="144"/>
        <v>10</v>
      </c>
      <c r="G1367" s="108" t="str">
        <f t="shared" si="145"/>
        <v>0</v>
      </c>
      <c r="H1367" s="108" t="str">
        <f t="shared" si="146"/>
        <v>0</v>
      </c>
      <c r="I1367" s="109">
        <v>19901000</v>
      </c>
      <c r="J1367" s="108" t="s">
        <v>4511</v>
      </c>
      <c r="K1367" s="108" t="s">
        <v>4512</v>
      </c>
      <c r="L1367" s="110"/>
      <c r="M1367" s="108" t="s">
        <v>2878</v>
      </c>
      <c r="N1367" s="108" t="s">
        <v>2879</v>
      </c>
      <c r="O1367" s="108" t="s">
        <v>2878</v>
      </c>
      <c r="P1367" s="111" t="s">
        <v>2880</v>
      </c>
    </row>
    <row r="1368" spans="2:16" ht="75" x14ac:dyDescent="0.25">
      <c r="B1368" s="114" t="str">
        <f t="shared" si="140"/>
        <v>1</v>
      </c>
      <c r="C1368" s="114" t="str">
        <f t="shared" si="141"/>
        <v>9</v>
      </c>
      <c r="D1368" s="114" t="str">
        <f t="shared" si="142"/>
        <v>9</v>
      </c>
      <c r="E1368" s="114" t="str">
        <f t="shared" si="143"/>
        <v>0</v>
      </c>
      <c r="F1368" s="114" t="str">
        <f t="shared" si="144"/>
        <v>10</v>
      </c>
      <c r="G1368" s="114" t="str">
        <f t="shared" si="145"/>
        <v>1</v>
      </c>
      <c r="H1368" s="114" t="str">
        <f t="shared" si="146"/>
        <v>0</v>
      </c>
      <c r="I1368" s="115">
        <v>19901010</v>
      </c>
      <c r="J1368" s="114" t="s">
        <v>4511</v>
      </c>
      <c r="K1368" s="114" t="s">
        <v>4512</v>
      </c>
      <c r="L1368" s="116"/>
      <c r="M1368" s="114" t="s">
        <v>2878</v>
      </c>
      <c r="N1368" s="114" t="s">
        <v>2879</v>
      </c>
      <c r="O1368" s="114" t="s">
        <v>2878</v>
      </c>
      <c r="P1368" s="117" t="s">
        <v>2880</v>
      </c>
    </row>
    <row r="1369" spans="2:16" ht="75" x14ac:dyDescent="0.25">
      <c r="B1369" s="85" t="str">
        <f t="shared" si="140"/>
        <v>1</v>
      </c>
      <c r="C1369" s="85" t="str">
        <f t="shared" si="141"/>
        <v>9</v>
      </c>
      <c r="D1369" s="85" t="str">
        <f t="shared" si="142"/>
        <v>9</v>
      </c>
      <c r="E1369" s="85" t="str">
        <f t="shared" si="143"/>
        <v>0</v>
      </c>
      <c r="F1369" s="85" t="str">
        <f t="shared" si="144"/>
        <v>10</v>
      </c>
      <c r="G1369" s="85" t="str">
        <f t="shared" si="145"/>
        <v>1</v>
      </c>
      <c r="H1369" s="85" t="str">
        <f t="shared" si="146"/>
        <v>1</v>
      </c>
      <c r="I1369" s="87">
        <v>19901011</v>
      </c>
      <c r="J1369" s="85" t="s">
        <v>4513</v>
      </c>
      <c r="K1369" s="85" t="s">
        <v>4514</v>
      </c>
      <c r="L1369" s="84"/>
      <c r="M1369" s="85" t="s">
        <v>3883</v>
      </c>
      <c r="N1369" s="85" t="s">
        <v>2879</v>
      </c>
      <c r="O1369" s="85" t="s">
        <v>4515</v>
      </c>
      <c r="P1369" s="86" t="s">
        <v>2890</v>
      </c>
    </row>
    <row r="1370" spans="2:16" ht="45" x14ac:dyDescent="0.25">
      <c r="B1370" s="108" t="str">
        <f t="shared" si="140"/>
        <v>1</v>
      </c>
      <c r="C1370" s="108" t="str">
        <f t="shared" si="141"/>
        <v>9</v>
      </c>
      <c r="D1370" s="108" t="str">
        <f t="shared" si="142"/>
        <v>9</v>
      </c>
      <c r="E1370" s="108" t="str">
        <f t="shared" si="143"/>
        <v>0</v>
      </c>
      <c r="F1370" s="108" t="str">
        <f t="shared" si="144"/>
        <v>11</v>
      </c>
      <c r="G1370" s="108" t="str">
        <f t="shared" si="145"/>
        <v>0</v>
      </c>
      <c r="H1370" s="108" t="str">
        <f t="shared" si="146"/>
        <v>0</v>
      </c>
      <c r="I1370" s="109">
        <v>19901100</v>
      </c>
      <c r="J1370" s="108" t="s">
        <v>4516</v>
      </c>
      <c r="K1370" s="108" t="s">
        <v>4517</v>
      </c>
      <c r="L1370" s="110"/>
      <c r="M1370" s="108" t="s">
        <v>2878</v>
      </c>
      <c r="N1370" s="108" t="s">
        <v>2879</v>
      </c>
      <c r="O1370" s="108" t="s">
        <v>2878</v>
      </c>
      <c r="P1370" s="111" t="s">
        <v>2880</v>
      </c>
    </row>
    <row r="1371" spans="2:16" ht="45" x14ac:dyDescent="0.25">
      <c r="B1371" s="114" t="str">
        <f t="shared" si="140"/>
        <v>1</v>
      </c>
      <c r="C1371" s="114" t="str">
        <f t="shared" si="141"/>
        <v>9</v>
      </c>
      <c r="D1371" s="114" t="str">
        <f t="shared" si="142"/>
        <v>9</v>
      </c>
      <c r="E1371" s="114" t="str">
        <f t="shared" si="143"/>
        <v>0</v>
      </c>
      <c r="F1371" s="114" t="str">
        <f t="shared" si="144"/>
        <v>11</v>
      </c>
      <c r="G1371" s="114" t="str">
        <f t="shared" si="145"/>
        <v>1</v>
      </c>
      <c r="H1371" s="114" t="str">
        <f t="shared" si="146"/>
        <v>0</v>
      </c>
      <c r="I1371" s="115">
        <v>19901110</v>
      </c>
      <c r="J1371" s="114" t="s">
        <v>4516</v>
      </c>
      <c r="K1371" s="114" t="s">
        <v>4517</v>
      </c>
      <c r="L1371" s="116"/>
      <c r="M1371" s="114" t="s">
        <v>2878</v>
      </c>
      <c r="N1371" s="114" t="s">
        <v>2879</v>
      </c>
      <c r="O1371" s="114" t="s">
        <v>2878</v>
      </c>
      <c r="P1371" s="117" t="s">
        <v>2880</v>
      </c>
    </row>
    <row r="1372" spans="2:16" ht="45" x14ac:dyDescent="0.25">
      <c r="B1372" s="85" t="str">
        <f t="shared" si="140"/>
        <v>1</v>
      </c>
      <c r="C1372" s="85" t="str">
        <f t="shared" si="141"/>
        <v>9</v>
      </c>
      <c r="D1372" s="85" t="str">
        <f t="shared" si="142"/>
        <v>9</v>
      </c>
      <c r="E1372" s="85" t="str">
        <f t="shared" si="143"/>
        <v>0</v>
      </c>
      <c r="F1372" s="85" t="str">
        <f t="shared" si="144"/>
        <v>11</v>
      </c>
      <c r="G1372" s="85" t="str">
        <f t="shared" si="145"/>
        <v>1</v>
      </c>
      <c r="H1372" s="85" t="str">
        <f t="shared" si="146"/>
        <v>1</v>
      </c>
      <c r="I1372" s="87">
        <v>19901111</v>
      </c>
      <c r="J1372" s="85" t="s">
        <v>4518</v>
      </c>
      <c r="K1372" s="85" t="s">
        <v>4519</v>
      </c>
      <c r="L1372" s="84"/>
      <c r="M1372" s="85" t="s">
        <v>4520</v>
      </c>
      <c r="N1372" s="85" t="s">
        <v>2879</v>
      </c>
      <c r="O1372" s="85" t="s">
        <v>4521</v>
      </c>
      <c r="P1372" s="86" t="s">
        <v>2890</v>
      </c>
    </row>
    <row r="1373" spans="2:16" ht="30" x14ac:dyDescent="0.25">
      <c r="B1373" s="108" t="str">
        <f t="shared" si="140"/>
        <v>1</v>
      </c>
      <c r="C1373" s="108" t="str">
        <f t="shared" si="141"/>
        <v>9</v>
      </c>
      <c r="D1373" s="108" t="str">
        <f t="shared" si="142"/>
        <v>9</v>
      </c>
      <c r="E1373" s="108" t="str">
        <f t="shared" si="143"/>
        <v>0</v>
      </c>
      <c r="F1373" s="108" t="str">
        <f t="shared" si="144"/>
        <v>12</v>
      </c>
      <c r="G1373" s="108" t="str">
        <f t="shared" si="145"/>
        <v>0</v>
      </c>
      <c r="H1373" s="108" t="str">
        <f t="shared" si="146"/>
        <v>0</v>
      </c>
      <c r="I1373" s="109">
        <v>19901200</v>
      </c>
      <c r="J1373" s="108" t="s">
        <v>2525</v>
      </c>
      <c r="K1373" s="108" t="s">
        <v>4522</v>
      </c>
      <c r="L1373" s="110"/>
      <c r="M1373" s="108" t="s">
        <v>2878</v>
      </c>
      <c r="N1373" s="108" t="s">
        <v>2527</v>
      </c>
      <c r="O1373" s="108" t="s">
        <v>2878</v>
      </c>
      <c r="P1373" s="111" t="s">
        <v>2880</v>
      </c>
    </row>
    <row r="1374" spans="2:16" ht="45" x14ac:dyDescent="0.25">
      <c r="B1374" s="114" t="str">
        <f t="shared" si="140"/>
        <v>1</v>
      </c>
      <c r="C1374" s="114" t="str">
        <f t="shared" si="141"/>
        <v>9</v>
      </c>
      <c r="D1374" s="114" t="str">
        <f t="shared" si="142"/>
        <v>9</v>
      </c>
      <c r="E1374" s="114" t="str">
        <f t="shared" si="143"/>
        <v>0</v>
      </c>
      <c r="F1374" s="114" t="str">
        <f t="shared" si="144"/>
        <v>12</v>
      </c>
      <c r="G1374" s="114" t="str">
        <f t="shared" si="145"/>
        <v>1</v>
      </c>
      <c r="H1374" s="114" t="str">
        <f t="shared" si="146"/>
        <v>0</v>
      </c>
      <c r="I1374" s="115">
        <v>19901210</v>
      </c>
      <c r="J1374" s="114" t="s">
        <v>2528</v>
      </c>
      <c r="K1374" s="114" t="s">
        <v>4523</v>
      </c>
      <c r="L1374" s="116"/>
      <c r="M1374" s="114" t="s">
        <v>2878</v>
      </c>
      <c r="N1374" s="114" t="s">
        <v>2879</v>
      </c>
      <c r="O1374" s="114" t="s">
        <v>2878</v>
      </c>
      <c r="P1374" s="117" t="s">
        <v>2880</v>
      </c>
    </row>
    <row r="1375" spans="2:16" ht="45" x14ac:dyDescent="0.25">
      <c r="B1375" s="85" t="str">
        <f t="shared" si="140"/>
        <v>1</v>
      </c>
      <c r="C1375" s="85" t="str">
        <f t="shared" si="141"/>
        <v>9</v>
      </c>
      <c r="D1375" s="85" t="str">
        <f t="shared" si="142"/>
        <v>9</v>
      </c>
      <c r="E1375" s="85" t="str">
        <f t="shared" si="143"/>
        <v>0</v>
      </c>
      <c r="F1375" s="85" t="str">
        <f t="shared" si="144"/>
        <v>12</v>
      </c>
      <c r="G1375" s="85" t="str">
        <f t="shared" si="145"/>
        <v>1</v>
      </c>
      <c r="H1375" s="85" t="str">
        <f t="shared" si="146"/>
        <v>1</v>
      </c>
      <c r="I1375" s="87">
        <v>19901211</v>
      </c>
      <c r="J1375" s="85" t="s">
        <v>4524</v>
      </c>
      <c r="K1375" s="85" t="s">
        <v>4525</v>
      </c>
      <c r="L1375" s="84"/>
      <c r="M1375" s="85" t="s">
        <v>4526</v>
      </c>
      <c r="N1375" s="85" t="s">
        <v>2527</v>
      </c>
      <c r="O1375" s="85" t="s">
        <v>2530</v>
      </c>
      <c r="P1375" s="86" t="s">
        <v>2890</v>
      </c>
    </row>
    <row r="1376" spans="2:16" ht="60" x14ac:dyDescent="0.25">
      <c r="B1376" s="114" t="str">
        <f t="shared" si="140"/>
        <v>1</v>
      </c>
      <c r="C1376" s="114" t="str">
        <f t="shared" si="141"/>
        <v>9</v>
      </c>
      <c r="D1376" s="114" t="str">
        <f t="shared" si="142"/>
        <v>9</v>
      </c>
      <c r="E1376" s="114" t="str">
        <f t="shared" si="143"/>
        <v>0</v>
      </c>
      <c r="F1376" s="114" t="str">
        <f t="shared" si="144"/>
        <v>12</v>
      </c>
      <c r="G1376" s="114" t="str">
        <f t="shared" si="145"/>
        <v>2</v>
      </c>
      <c r="H1376" s="114" t="str">
        <f t="shared" si="146"/>
        <v>0</v>
      </c>
      <c r="I1376" s="115">
        <v>19901220</v>
      </c>
      <c r="J1376" s="114" t="s">
        <v>4527</v>
      </c>
      <c r="K1376" s="114" t="s">
        <v>4528</v>
      </c>
      <c r="L1376" s="116"/>
      <c r="M1376" s="114" t="s">
        <v>2878</v>
      </c>
      <c r="N1376" s="114" t="s">
        <v>2879</v>
      </c>
      <c r="O1376" s="114" t="s">
        <v>2878</v>
      </c>
      <c r="P1376" s="117" t="s">
        <v>2880</v>
      </c>
    </row>
    <row r="1377" spans="2:16" ht="30" x14ac:dyDescent="0.25">
      <c r="B1377" s="85" t="str">
        <f t="shared" si="140"/>
        <v>1</v>
      </c>
      <c r="C1377" s="85" t="str">
        <f t="shared" si="141"/>
        <v>9</v>
      </c>
      <c r="D1377" s="85" t="str">
        <f t="shared" si="142"/>
        <v>9</v>
      </c>
      <c r="E1377" s="85" t="str">
        <f t="shared" si="143"/>
        <v>0</v>
      </c>
      <c r="F1377" s="85" t="str">
        <f t="shared" si="144"/>
        <v>12</v>
      </c>
      <c r="G1377" s="85" t="str">
        <f t="shared" si="145"/>
        <v>2</v>
      </c>
      <c r="H1377" s="85" t="str">
        <f t="shared" si="146"/>
        <v>1</v>
      </c>
      <c r="I1377" s="87">
        <v>19901221</v>
      </c>
      <c r="J1377" s="85" t="s">
        <v>4529</v>
      </c>
      <c r="K1377" s="85" t="s">
        <v>4530</v>
      </c>
      <c r="L1377" s="84"/>
      <c r="M1377" s="85" t="s">
        <v>4531</v>
      </c>
      <c r="N1377" s="85" t="s">
        <v>2879</v>
      </c>
      <c r="O1377" s="85" t="s">
        <v>4532</v>
      </c>
      <c r="P1377" s="86" t="s">
        <v>2890</v>
      </c>
    </row>
    <row r="1378" spans="2:16" s="148" customFormat="1" ht="45" x14ac:dyDescent="0.25">
      <c r="B1378" s="145" t="str">
        <f t="shared" si="140"/>
        <v>1</v>
      </c>
      <c r="C1378" s="145" t="str">
        <f t="shared" si="141"/>
        <v>9</v>
      </c>
      <c r="D1378" s="145" t="str">
        <f t="shared" si="142"/>
        <v>9</v>
      </c>
      <c r="E1378" s="145" t="str">
        <f t="shared" si="143"/>
        <v>0</v>
      </c>
      <c r="F1378" s="145" t="str">
        <f t="shared" si="144"/>
        <v>13</v>
      </c>
      <c r="G1378" s="145" t="str">
        <f t="shared" si="145"/>
        <v>0</v>
      </c>
      <c r="H1378" s="145" t="str">
        <f t="shared" si="146"/>
        <v>0</v>
      </c>
      <c r="I1378" s="143">
        <v>19901300</v>
      </c>
      <c r="J1378" s="145" t="s">
        <v>5572</v>
      </c>
      <c r="K1378" s="145" t="s">
        <v>5575</v>
      </c>
      <c r="L1378" s="146"/>
      <c r="M1378" s="145" t="s">
        <v>2878</v>
      </c>
      <c r="N1378" s="145" t="s">
        <v>5576</v>
      </c>
      <c r="O1378" s="145" t="s">
        <v>5579</v>
      </c>
      <c r="P1378" s="147" t="s">
        <v>2880</v>
      </c>
    </row>
    <row r="1379" spans="2:16" s="148" customFormat="1" ht="60" x14ac:dyDescent="0.25">
      <c r="B1379" s="149" t="str">
        <f t="shared" si="140"/>
        <v>1</v>
      </c>
      <c r="C1379" s="149" t="str">
        <f t="shared" si="141"/>
        <v>9</v>
      </c>
      <c r="D1379" s="149" t="str">
        <f t="shared" si="142"/>
        <v>9</v>
      </c>
      <c r="E1379" s="149" t="str">
        <f t="shared" si="143"/>
        <v>0</v>
      </c>
      <c r="F1379" s="149" t="str">
        <f t="shared" si="144"/>
        <v>13</v>
      </c>
      <c r="G1379" s="149" t="str">
        <f t="shared" si="145"/>
        <v>1</v>
      </c>
      <c r="H1379" s="149" t="str">
        <f t="shared" si="146"/>
        <v>0</v>
      </c>
      <c r="I1379" s="144">
        <v>19901310</v>
      </c>
      <c r="J1379" s="149" t="s">
        <v>5573</v>
      </c>
      <c r="K1379" s="149" t="s">
        <v>5577</v>
      </c>
      <c r="L1379" s="150"/>
      <c r="M1379" s="149" t="s">
        <v>5578</v>
      </c>
      <c r="N1379" s="149" t="s">
        <v>5576</v>
      </c>
      <c r="O1379" s="149" t="s">
        <v>5579</v>
      </c>
      <c r="P1379" s="151" t="s">
        <v>2880</v>
      </c>
    </row>
    <row r="1380" spans="2:16" s="148" customFormat="1" ht="30" x14ac:dyDescent="0.25">
      <c r="B1380" s="145" t="str">
        <f t="shared" si="140"/>
        <v>1</v>
      </c>
      <c r="C1380" s="145" t="str">
        <f t="shared" si="141"/>
        <v>9</v>
      </c>
      <c r="D1380" s="145" t="str">
        <f t="shared" si="142"/>
        <v>9</v>
      </c>
      <c r="E1380" s="145" t="str">
        <f t="shared" si="143"/>
        <v>0</v>
      </c>
      <c r="F1380" s="145" t="str">
        <f t="shared" si="144"/>
        <v>14</v>
      </c>
      <c r="G1380" s="145" t="str">
        <f t="shared" si="145"/>
        <v>0</v>
      </c>
      <c r="H1380" s="145" t="str">
        <f t="shared" si="146"/>
        <v>0</v>
      </c>
      <c r="I1380" s="143">
        <v>19901400</v>
      </c>
      <c r="J1380" s="145" t="s">
        <v>5574</v>
      </c>
      <c r="K1380" s="145" t="s">
        <v>5580</v>
      </c>
      <c r="L1380" s="146"/>
      <c r="M1380" s="145" t="s">
        <v>5581</v>
      </c>
      <c r="N1380" s="145" t="s">
        <v>5576</v>
      </c>
      <c r="O1380" s="145" t="s">
        <v>5582</v>
      </c>
      <c r="P1380" s="147" t="s">
        <v>2880</v>
      </c>
    </row>
    <row r="1381" spans="2:16" s="148" customFormat="1" ht="30" x14ac:dyDescent="0.25">
      <c r="B1381" s="149" t="str">
        <f t="shared" si="140"/>
        <v>1</v>
      </c>
      <c r="C1381" s="149" t="str">
        <f t="shared" si="141"/>
        <v>9</v>
      </c>
      <c r="D1381" s="149" t="str">
        <f t="shared" si="142"/>
        <v>9</v>
      </c>
      <c r="E1381" s="149" t="str">
        <f t="shared" si="143"/>
        <v>0</v>
      </c>
      <c r="F1381" s="149" t="str">
        <f t="shared" si="144"/>
        <v>14</v>
      </c>
      <c r="G1381" s="149" t="str">
        <f t="shared" si="145"/>
        <v>1</v>
      </c>
      <c r="H1381" s="149" t="str">
        <f t="shared" si="146"/>
        <v>0</v>
      </c>
      <c r="I1381" s="144">
        <v>19901410</v>
      </c>
      <c r="J1381" s="149" t="s">
        <v>5574</v>
      </c>
      <c r="K1381" s="149" t="s">
        <v>5580</v>
      </c>
      <c r="L1381" s="150"/>
      <c r="M1381" s="149" t="s">
        <v>5581</v>
      </c>
      <c r="N1381" s="149" t="s">
        <v>5576</v>
      </c>
      <c r="O1381" s="149" t="s">
        <v>5582</v>
      </c>
      <c r="P1381" s="151" t="s">
        <v>2880</v>
      </c>
    </row>
    <row r="1382" spans="2:16" ht="30" x14ac:dyDescent="0.25">
      <c r="B1382" s="108" t="str">
        <f t="shared" si="140"/>
        <v>1</v>
      </c>
      <c r="C1382" s="108" t="str">
        <f t="shared" si="141"/>
        <v>9</v>
      </c>
      <c r="D1382" s="108" t="str">
        <f t="shared" si="142"/>
        <v>9</v>
      </c>
      <c r="E1382" s="108" t="str">
        <f t="shared" si="143"/>
        <v>0</v>
      </c>
      <c r="F1382" s="108" t="str">
        <f t="shared" si="144"/>
        <v>99</v>
      </c>
      <c r="G1382" s="108" t="str">
        <f t="shared" si="145"/>
        <v>0</v>
      </c>
      <c r="H1382" s="108" t="str">
        <f t="shared" si="146"/>
        <v>0</v>
      </c>
      <c r="I1382" s="109">
        <v>19909900</v>
      </c>
      <c r="J1382" s="108" t="s">
        <v>2601</v>
      </c>
      <c r="K1382" s="108" t="s">
        <v>4533</v>
      </c>
      <c r="L1382" s="110"/>
      <c r="M1382" s="108" t="s">
        <v>2878</v>
      </c>
      <c r="N1382" s="108" t="s">
        <v>2060</v>
      </c>
      <c r="O1382" s="108" t="s">
        <v>2878</v>
      </c>
      <c r="P1382" s="111" t="s">
        <v>2880</v>
      </c>
    </row>
    <row r="1383" spans="2:16" ht="30" x14ac:dyDescent="0.25">
      <c r="B1383" s="114" t="str">
        <f t="shared" si="140"/>
        <v>1</v>
      </c>
      <c r="C1383" s="114" t="str">
        <f t="shared" si="141"/>
        <v>9</v>
      </c>
      <c r="D1383" s="114" t="str">
        <f t="shared" si="142"/>
        <v>9</v>
      </c>
      <c r="E1383" s="114" t="str">
        <f t="shared" si="143"/>
        <v>0</v>
      </c>
      <c r="F1383" s="114" t="str">
        <f t="shared" si="144"/>
        <v>99</v>
      </c>
      <c r="G1383" s="114" t="str">
        <f t="shared" si="145"/>
        <v>1</v>
      </c>
      <c r="H1383" s="114" t="str">
        <f t="shared" si="146"/>
        <v>0</v>
      </c>
      <c r="I1383" s="115">
        <v>19909910</v>
      </c>
      <c r="J1383" s="114" t="s">
        <v>2603</v>
      </c>
      <c r="K1383" s="114" t="s">
        <v>4534</v>
      </c>
      <c r="L1383" s="116"/>
      <c r="M1383" s="114" t="s">
        <v>2878</v>
      </c>
      <c r="N1383" s="114" t="s">
        <v>2879</v>
      </c>
      <c r="O1383" s="114" t="s">
        <v>2878</v>
      </c>
      <c r="P1383" s="117" t="s">
        <v>2880</v>
      </c>
    </row>
    <row r="1384" spans="2:16" ht="45" x14ac:dyDescent="0.25">
      <c r="B1384" s="85" t="str">
        <f t="shared" si="140"/>
        <v>1</v>
      </c>
      <c r="C1384" s="85" t="str">
        <f t="shared" si="141"/>
        <v>9</v>
      </c>
      <c r="D1384" s="85" t="str">
        <f t="shared" si="142"/>
        <v>9</v>
      </c>
      <c r="E1384" s="85" t="str">
        <f t="shared" si="143"/>
        <v>0</v>
      </c>
      <c r="F1384" s="85" t="str">
        <f t="shared" si="144"/>
        <v>99</v>
      </c>
      <c r="G1384" s="85" t="str">
        <f t="shared" si="145"/>
        <v>1</v>
      </c>
      <c r="H1384" s="85" t="str">
        <f t="shared" si="146"/>
        <v>1</v>
      </c>
      <c r="I1384" s="87">
        <v>19909911</v>
      </c>
      <c r="J1384" s="85" t="s">
        <v>4535</v>
      </c>
      <c r="K1384" s="85" t="s">
        <v>4536</v>
      </c>
      <c r="L1384" s="84"/>
      <c r="M1384" s="85" t="s">
        <v>3044</v>
      </c>
      <c r="N1384" s="85" t="s">
        <v>2879</v>
      </c>
      <c r="O1384" s="85" t="s">
        <v>4537</v>
      </c>
      <c r="P1384" s="86" t="s">
        <v>2890</v>
      </c>
    </row>
    <row r="1385" spans="2:16" ht="15.75" x14ac:dyDescent="0.25">
      <c r="B1385" s="85" t="str">
        <f t="shared" si="140"/>
        <v>1</v>
      </c>
      <c r="C1385" s="85" t="str">
        <f t="shared" si="141"/>
        <v>9</v>
      </c>
      <c r="D1385" s="85" t="str">
        <f t="shared" si="142"/>
        <v>9</v>
      </c>
      <c r="E1385" s="85" t="str">
        <f t="shared" si="143"/>
        <v>0</v>
      </c>
      <c r="F1385" s="85" t="str">
        <f t="shared" si="144"/>
        <v>99</v>
      </c>
      <c r="G1385" s="85" t="str">
        <f t="shared" si="145"/>
        <v>1</v>
      </c>
      <c r="H1385" s="85" t="str">
        <f t="shared" si="146"/>
        <v>2</v>
      </c>
      <c r="I1385" s="87">
        <v>19909912</v>
      </c>
      <c r="J1385" s="85" t="s">
        <v>4538</v>
      </c>
      <c r="K1385" s="85" t="s">
        <v>2892</v>
      </c>
      <c r="L1385" s="84"/>
      <c r="M1385" s="85" t="s">
        <v>2892</v>
      </c>
      <c r="N1385" s="85" t="s">
        <v>2879</v>
      </c>
      <c r="O1385" s="85" t="s">
        <v>2892</v>
      </c>
      <c r="P1385" s="86" t="s">
        <v>2890</v>
      </c>
    </row>
    <row r="1386" spans="2:16" ht="15.75" x14ac:dyDescent="0.25">
      <c r="B1386" s="85" t="str">
        <f t="shared" si="140"/>
        <v>1</v>
      </c>
      <c r="C1386" s="85" t="str">
        <f t="shared" si="141"/>
        <v>9</v>
      </c>
      <c r="D1386" s="85" t="str">
        <f t="shared" si="142"/>
        <v>9</v>
      </c>
      <c r="E1386" s="85" t="str">
        <f t="shared" si="143"/>
        <v>0</v>
      </c>
      <c r="F1386" s="85" t="str">
        <f t="shared" si="144"/>
        <v>99</v>
      </c>
      <c r="G1386" s="85" t="str">
        <f t="shared" si="145"/>
        <v>1</v>
      </c>
      <c r="H1386" s="85" t="str">
        <f t="shared" si="146"/>
        <v>3</v>
      </c>
      <c r="I1386" s="87">
        <v>19909913</v>
      </c>
      <c r="J1386" s="85" t="s">
        <v>4539</v>
      </c>
      <c r="K1386" s="85" t="s">
        <v>2892</v>
      </c>
      <c r="L1386" s="84"/>
      <c r="M1386" s="85" t="s">
        <v>2892</v>
      </c>
      <c r="N1386" s="85" t="s">
        <v>2879</v>
      </c>
      <c r="O1386" s="85" t="s">
        <v>2892</v>
      </c>
      <c r="P1386" s="86" t="s">
        <v>2890</v>
      </c>
    </row>
    <row r="1387" spans="2:16" ht="15.75" x14ac:dyDescent="0.25">
      <c r="B1387" s="85" t="str">
        <f t="shared" si="140"/>
        <v>1</v>
      </c>
      <c r="C1387" s="85" t="str">
        <f t="shared" si="141"/>
        <v>9</v>
      </c>
      <c r="D1387" s="85" t="str">
        <f t="shared" si="142"/>
        <v>9</v>
      </c>
      <c r="E1387" s="85" t="str">
        <f t="shared" si="143"/>
        <v>0</v>
      </c>
      <c r="F1387" s="85" t="str">
        <f t="shared" si="144"/>
        <v>99</v>
      </c>
      <c r="G1387" s="85" t="str">
        <f t="shared" si="145"/>
        <v>1</v>
      </c>
      <c r="H1387" s="85" t="str">
        <f t="shared" si="146"/>
        <v>4</v>
      </c>
      <c r="I1387" s="87">
        <v>19909914</v>
      </c>
      <c r="J1387" s="85" t="s">
        <v>4540</v>
      </c>
      <c r="K1387" s="85" t="s">
        <v>2892</v>
      </c>
      <c r="L1387" s="84"/>
      <c r="M1387" s="85" t="s">
        <v>2892</v>
      </c>
      <c r="N1387" s="85" t="s">
        <v>2879</v>
      </c>
      <c r="O1387" s="85" t="s">
        <v>2892</v>
      </c>
      <c r="P1387" s="86" t="s">
        <v>2890</v>
      </c>
    </row>
    <row r="1388" spans="2:16" ht="30" x14ac:dyDescent="0.25">
      <c r="B1388" s="114" t="str">
        <f t="shared" si="140"/>
        <v>1</v>
      </c>
      <c r="C1388" s="114" t="str">
        <f t="shared" si="141"/>
        <v>9</v>
      </c>
      <c r="D1388" s="114" t="str">
        <f t="shared" si="142"/>
        <v>9</v>
      </c>
      <c r="E1388" s="114" t="str">
        <f t="shared" si="143"/>
        <v>0</v>
      </c>
      <c r="F1388" s="114" t="str">
        <f t="shared" si="144"/>
        <v>99</v>
      </c>
      <c r="G1388" s="114" t="str">
        <f t="shared" si="145"/>
        <v>2</v>
      </c>
      <c r="H1388" s="114" t="str">
        <f t="shared" si="146"/>
        <v>0</v>
      </c>
      <c r="I1388" s="115">
        <v>19909920</v>
      </c>
      <c r="J1388" s="114" t="s">
        <v>2606</v>
      </c>
      <c r="K1388" s="114" t="s">
        <v>4541</v>
      </c>
      <c r="L1388" s="116"/>
      <c r="M1388" s="114" t="s">
        <v>2878</v>
      </c>
      <c r="N1388" s="114" t="s">
        <v>2879</v>
      </c>
      <c r="O1388" s="114" t="s">
        <v>2878</v>
      </c>
      <c r="P1388" s="117" t="s">
        <v>2880</v>
      </c>
    </row>
    <row r="1389" spans="2:16" ht="45" x14ac:dyDescent="0.25">
      <c r="B1389" s="85" t="str">
        <f t="shared" si="140"/>
        <v>1</v>
      </c>
      <c r="C1389" s="85" t="str">
        <f t="shared" si="141"/>
        <v>9</v>
      </c>
      <c r="D1389" s="85" t="str">
        <f t="shared" si="142"/>
        <v>9</v>
      </c>
      <c r="E1389" s="85" t="str">
        <f t="shared" si="143"/>
        <v>0</v>
      </c>
      <c r="F1389" s="85" t="str">
        <f t="shared" si="144"/>
        <v>99</v>
      </c>
      <c r="G1389" s="85" t="str">
        <f t="shared" si="145"/>
        <v>2</v>
      </c>
      <c r="H1389" s="85" t="str">
        <f t="shared" si="146"/>
        <v>1</v>
      </c>
      <c r="I1389" s="87">
        <v>19909921</v>
      </c>
      <c r="J1389" s="85" t="s">
        <v>4542</v>
      </c>
      <c r="K1389" s="85" t="s">
        <v>4543</v>
      </c>
      <c r="L1389" s="84"/>
      <c r="M1389" s="85" t="s">
        <v>3044</v>
      </c>
      <c r="N1389" s="85" t="s">
        <v>2605</v>
      </c>
      <c r="O1389" s="85" t="s">
        <v>4537</v>
      </c>
      <c r="P1389" s="86" t="s">
        <v>2890</v>
      </c>
    </row>
    <row r="1390" spans="2:16" ht="15.75" x14ac:dyDescent="0.25">
      <c r="B1390" s="85" t="str">
        <f t="shared" si="140"/>
        <v>1</v>
      </c>
      <c r="C1390" s="85" t="str">
        <f t="shared" si="141"/>
        <v>9</v>
      </c>
      <c r="D1390" s="85" t="str">
        <f t="shared" si="142"/>
        <v>9</v>
      </c>
      <c r="E1390" s="85" t="str">
        <f t="shared" si="143"/>
        <v>0</v>
      </c>
      <c r="F1390" s="85" t="str">
        <f t="shared" si="144"/>
        <v>99</v>
      </c>
      <c r="G1390" s="85" t="str">
        <f t="shared" si="145"/>
        <v>2</v>
      </c>
      <c r="H1390" s="85" t="str">
        <f t="shared" si="146"/>
        <v>2</v>
      </c>
      <c r="I1390" s="87">
        <v>19909922</v>
      </c>
      <c r="J1390" s="85" t="s">
        <v>4544</v>
      </c>
      <c r="K1390" s="85" t="s">
        <v>2892</v>
      </c>
      <c r="L1390" s="84"/>
      <c r="M1390" s="85" t="s">
        <v>2892</v>
      </c>
      <c r="N1390" s="85" t="s">
        <v>2011</v>
      </c>
      <c r="O1390" s="85" t="s">
        <v>2892</v>
      </c>
      <c r="P1390" s="86" t="s">
        <v>2890</v>
      </c>
    </row>
    <row r="1391" spans="2:16" ht="60" x14ac:dyDescent="0.25">
      <c r="B1391" s="99" t="str">
        <f t="shared" si="140"/>
        <v>2</v>
      </c>
      <c r="C1391" s="99" t="str">
        <f t="shared" si="141"/>
        <v>0</v>
      </c>
      <c r="D1391" s="99" t="str">
        <f t="shared" si="142"/>
        <v>0</v>
      </c>
      <c r="E1391" s="99" t="str">
        <f t="shared" si="143"/>
        <v>0</v>
      </c>
      <c r="F1391" s="99" t="str">
        <f t="shared" si="144"/>
        <v>00</v>
      </c>
      <c r="G1391" s="99" t="str">
        <f t="shared" si="145"/>
        <v>0</v>
      </c>
      <c r="H1391" s="99" t="str">
        <f t="shared" si="146"/>
        <v>0</v>
      </c>
      <c r="I1391" s="100">
        <v>20000000</v>
      </c>
      <c r="J1391" s="99" t="s">
        <v>2608</v>
      </c>
      <c r="K1391" s="99" t="s">
        <v>4545</v>
      </c>
      <c r="L1391" s="101"/>
      <c r="M1391" s="99" t="s">
        <v>2878</v>
      </c>
      <c r="N1391" s="99" t="s">
        <v>5016</v>
      </c>
      <c r="O1391" s="99" t="s">
        <v>17</v>
      </c>
      <c r="P1391" s="102" t="s">
        <v>2880</v>
      </c>
    </row>
    <row r="1392" spans="2:16" ht="105" x14ac:dyDescent="0.25">
      <c r="B1392" s="123" t="str">
        <f t="shared" si="140"/>
        <v>2</v>
      </c>
      <c r="C1392" s="123" t="str">
        <f t="shared" si="141"/>
        <v>1</v>
      </c>
      <c r="D1392" s="123" t="str">
        <f t="shared" si="142"/>
        <v>0</v>
      </c>
      <c r="E1392" s="123" t="str">
        <f t="shared" si="143"/>
        <v>0</v>
      </c>
      <c r="F1392" s="123" t="str">
        <f t="shared" si="144"/>
        <v>00</v>
      </c>
      <c r="G1392" s="123" t="str">
        <f t="shared" si="145"/>
        <v>0</v>
      </c>
      <c r="H1392" s="123" t="str">
        <f t="shared" si="146"/>
        <v>0</v>
      </c>
      <c r="I1392" s="124">
        <v>21000000</v>
      </c>
      <c r="J1392" s="123" t="s">
        <v>2610</v>
      </c>
      <c r="K1392" s="123" t="s">
        <v>4546</v>
      </c>
      <c r="L1392" s="103"/>
      <c r="M1392" s="123" t="s">
        <v>2878</v>
      </c>
      <c r="N1392" s="123" t="s">
        <v>5016</v>
      </c>
      <c r="O1392" s="123" t="s">
        <v>2878</v>
      </c>
      <c r="P1392" s="125" t="s">
        <v>2880</v>
      </c>
    </row>
    <row r="1393" spans="2:16" ht="45" x14ac:dyDescent="0.25">
      <c r="B1393" s="126" t="str">
        <f t="shared" si="140"/>
        <v>2</v>
      </c>
      <c r="C1393" s="126" t="str">
        <f t="shared" si="141"/>
        <v>1</v>
      </c>
      <c r="D1393" s="126" t="str">
        <f t="shared" si="142"/>
        <v>1</v>
      </c>
      <c r="E1393" s="126" t="str">
        <f t="shared" si="143"/>
        <v>0</v>
      </c>
      <c r="F1393" s="126" t="str">
        <f t="shared" si="144"/>
        <v>00</v>
      </c>
      <c r="G1393" s="126" t="str">
        <f t="shared" si="145"/>
        <v>0</v>
      </c>
      <c r="H1393" s="126" t="str">
        <f t="shared" si="146"/>
        <v>0</v>
      </c>
      <c r="I1393" s="127">
        <v>21100000</v>
      </c>
      <c r="J1393" s="126" t="s">
        <v>4547</v>
      </c>
      <c r="K1393" s="126" t="s">
        <v>4548</v>
      </c>
      <c r="L1393" s="122"/>
      <c r="M1393" s="126" t="s">
        <v>2878</v>
      </c>
      <c r="N1393" s="126" t="s">
        <v>5016</v>
      </c>
      <c r="O1393" s="126" t="s">
        <v>2878</v>
      </c>
      <c r="P1393" s="128" t="s">
        <v>2880</v>
      </c>
    </row>
    <row r="1394" spans="2:16" ht="135" x14ac:dyDescent="0.25">
      <c r="B1394" s="104" t="str">
        <f t="shared" si="140"/>
        <v>2</v>
      </c>
      <c r="C1394" s="104" t="str">
        <f t="shared" si="141"/>
        <v>1</v>
      </c>
      <c r="D1394" s="104" t="str">
        <f t="shared" si="142"/>
        <v>1</v>
      </c>
      <c r="E1394" s="104" t="str">
        <f t="shared" si="143"/>
        <v>1</v>
      </c>
      <c r="F1394" s="104" t="str">
        <f t="shared" si="144"/>
        <v>00</v>
      </c>
      <c r="G1394" s="104" t="str">
        <f t="shared" si="145"/>
        <v>0</v>
      </c>
      <c r="H1394" s="104" t="str">
        <f t="shared" si="146"/>
        <v>0</v>
      </c>
      <c r="I1394" s="105">
        <v>21110000</v>
      </c>
      <c r="J1394" s="104" t="s">
        <v>4549</v>
      </c>
      <c r="K1394" s="104" t="s">
        <v>4550</v>
      </c>
      <c r="L1394" s="106"/>
      <c r="M1394" s="104" t="s">
        <v>2878</v>
      </c>
      <c r="N1394" s="104" t="s">
        <v>2879</v>
      </c>
      <c r="O1394" s="104" t="s">
        <v>2878</v>
      </c>
      <c r="P1394" s="107" t="s">
        <v>2880</v>
      </c>
    </row>
    <row r="1395" spans="2:16" ht="75" x14ac:dyDescent="0.25">
      <c r="B1395" s="114" t="str">
        <f t="shared" si="140"/>
        <v>2</v>
      </c>
      <c r="C1395" s="114" t="str">
        <f t="shared" si="141"/>
        <v>1</v>
      </c>
      <c r="D1395" s="114" t="str">
        <f t="shared" si="142"/>
        <v>1</v>
      </c>
      <c r="E1395" s="114" t="str">
        <f t="shared" si="143"/>
        <v>1</v>
      </c>
      <c r="F1395" s="114" t="str">
        <f t="shared" si="144"/>
        <v>00</v>
      </c>
      <c r="G1395" s="114" t="str">
        <f t="shared" si="145"/>
        <v>1</v>
      </c>
      <c r="H1395" s="114" t="str">
        <f t="shared" si="146"/>
        <v>0</v>
      </c>
      <c r="I1395" s="115">
        <v>21110010</v>
      </c>
      <c r="J1395" s="114" t="s">
        <v>4549</v>
      </c>
      <c r="K1395" s="114" t="s">
        <v>4551</v>
      </c>
      <c r="L1395" s="116"/>
      <c r="M1395" s="114" t="s">
        <v>2878</v>
      </c>
      <c r="N1395" s="114" t="s">
        <v>2879</v>
      </c>
      <c r="O1395" s="114" t="s">
        <v>2878</v>
      </c>
      <c r="P1395" s="117" t="s">
        <v>2880</v>
      </c>
    </row>
    <row r="1396" spans="2:16" ht="75" x14ac:dyDescent="0.25">
      <c r="B1396" s="85" t="str">
        <f t="shared" si="140"/>
        <v>2</v>
      </c>
      <c r="C1396" s="85" t="str">
        <f t="shared" si="141"/>
        <v>1</v>
      </c>
      <c r="D1396" s="85" t="str">
        <f t="shared" si="142"/>
        <v>1</v>
      </c>
      <c r="E1396" s="85" t="str">
        <f t="shared" si="143"/>
        <v>1</v>
      </c>
      <c r="F1396" s="85" t="str">
        <f t="shared" si="144"/>
        <v>00</v>
      </c>
      <c r="G1396" s="85" t="str">
        <f t="shared" si="145"/>
        <v>1</v>
      </c>
      <c r="H1396" s="85" t="str">
        <f t="shared" si="146"/>
        <v>1</v>
      </c>
      <c r="I1396" s="87">
        <v>21110011</v>
      </c>
      <c r="J1396" s="85" t="s">
        <v>4552</v>
      </c>
      <c r="K1396" s="85" t="s">
        <v>4553</v>
      </c>
      <c r="L1396" s="84"/>
      <c r="M1396" s="85" t="s">
        <v>4554</v>
      </c>
      <c r="N1396" s="85" t="s">
        <v>2879</v>
      </c>
      <c r="O1396" s="85" t="s">
        <v>4555</v>
      </c>
      <c r="P1396" s="86" t="s">
        <v>2890</v>
      </c>
    </row>
    <row r="1397" spans="2:16" ht="105" x14ac:dyDescent="0.25">
      <c r="B1397" s="114" t="str">
        <f t="shared" si="140"/>
        <v>2</v>
      </c>
      <c r="C1397" s="114" t="str">
        <f t="shared" si="141"/>
        <v>1</v>
      </c>
      <c r="D1397" s="114" t="str">
        <f t="shared" si="142"/>
        <v>1</v>
      </c>
      <c r="E1397" s="114" t="str">
        <f t="shared" si="143"/>
        <v>1</v>
      </c>
      <c r="F1397" s="114" t="str">
        <f t="shared" si="144"/>
        <v>00</v>
      </c>
      <c r="G1397" s="114" t="str">
        <f t="shared" si="145"/>
        <v>2</v>
      </c>
      <c r="H1397" s="114" t="str">
        <f t="shared" si="146"/>
        <v>0</v>
      </c>
      <c r="I1397" s="115">
        <v>21110020</v>
      </c>
      <c r="J1397" s="114" t="s">
        <v>4556</v>
      </c>
      <c r="K1397" s="114" t="s">
        <v>4557</v>
      </c>
      <c r="L1397" s="116"/>
      <c r="M1397" s="114" t="s">
        <v>2878</v>
      </c>
      <c r="N1397" s="114" t="s">
        <v>2879</v>
      </c>
      <c r="O1397" s="114" t="s">
        <v>2878</v>
      </c>
      <c r="P1397" s="117" t="s">
        <v>2880</v>
      </c>
    </row>
    <row r="1398" spans="2:16" ht="105" x14ac:dyDescent="0.25">
      <c r="B1398" s="85" t="str">
        <f t="shared" si="140"/>
        <v>2</v>
      </c>
      <c r="C1398" s="85" t="str">
        <f t="shared" si="141"/>
        <v>1</v>
      </c>
      <c r="D1398" s="85" t="str">
        <f t="shared" si="142"/>
        <v>1</v>
      </c>
      <c r="E1398" s="85" t="str">
        <f t="shared" si="143"/>
        <v>1</v>
      </c>
      <c r="F1398" s="85" t="str">
        <f t="shared" si="144"/>
        <v>00</v>
      </c>
      <c r="G1398" s="85" t="str">
        <f t="shared" si="145"/>
        <v>2</v>
      </c>
      <c r="H1398" s="85" t="str">
        <f t="shared" si="146"/>
        <v>1</v>
      </c>
      <c r="I1398" s="87">
        <v>21110021</v>
      </c>
      <c r="J1398" s="85" t="s">
        <v>4558</v>
      </c>
      <c r="K1398" s="85" t="s">
        <v>4559</v>
      </c>
      <c r="L1398" s="84"/>
      <c r="M1398" s="85" t="s">
        <v>4560</v>
      </c>
      <c r="N1398" s="85" t="s">
        <v>2879</v>
      </c>
      <c r="O1398" s="85" t="s">
        <v>4561</v>
      </c>
      <c r="P1398" s="86" t="s">
        <v>2890</v>
      </c>
    </row>
    <row r="1399" spans="2:16" ht="90" x14ac:dyDescent="0.25">
      <c r="B1399" s="114" t="str">
        <f t="shared" si="140"/>
        <v>2</v>
      </c>
      <c r="C1399" s="114" t="str">
        <f t="shared" si="141"/>
        <v>1</v>
      </c>
      <c r="D1399" s="114" t="str">
        <f t="shared" si="142"/>
        <v>1</v>
      </c>
      <c r="E1399" s="114" t="str">
        <f t="shared" si="143"/>
        <v>1</v>
      </c>
      <c r="F1399" s="114" t="str">
        <f t="shared" si="144"/>
        <v>00</v>
      </c>
      <c r="G1399" s="114" t="str">
        <f t="shared" si="145"/>
        <v>3</v>
      </c>
      <c r="H1399" s="114" t="str">
        <f t="shared" si="146"/>
        <v>0</v>
      </c>
      <c r="I1399" s="115">
        <v>21110030</v>
      </c>
      <c r="J1399" s="114" t="s">
        <v>2618</v>
      </c>
      <c r="K1399" s="114" t="s">
        <v>4562</v>
      </c>
      <c r="L1399" s="116"/>
      <c r="M1399" s="114" t="s">
        <v>2878</v>
      </c>
      <c r="N1399" s="114" t="s">
        <v>2879</v>
      </c>
      <c r="O1399" s="114" t="s">
        <v>2878</v>
      </c>
      <c r="P1399" s="117" t="s">
        <v>2880</v>
      </c>
    </row>
    <row r="1400" spans="2:16" ht="90" x14ac:dyDescent="0.25">
      <c r="B1400" s="85" t="str">
        <f t="shared" si="140"/>
        <v>2</v>
      </c>
      <c r="C1400" s="85" t="str">
        <f t="shared" si="141"/>
        <v>1</v>
      </c>
      <c r="D1400" s="85" t="str">
        <f t="shared" si="142"/>
        <v>1</v>
      </c>
      <c r="E1400" s="85" t="str">
        <f t="shared" si="143"/>
        <v>1</v>
      </c>
      <c r="F1400" s="85" t="str">
        <f t="shared" si="144"/>
        <v>00</v>
      </c>
      <c r="G1400" s="85" t="str">
        <f t="shared" si="145"/>
        <v>3</v>
      </c>
      <c r="H1400" s="85" t="str">
        <f t="shared" si="146"/>
        <v>1</v>
      </c>
      <c r="I1400" s="87">
        <v>21110031</v>
      </c>
      <c r="J1400" s="85" t="s">
        <v>4563</v>
      </c>
      <c r="K1400" s="85" t="s">
        <v>4564</v>
      </c>
      <c r="L1400" s="84"/>
      <c r="M1400" s="85" t="s">
        <v>4565</v>
      </c>
      <c r="N1400" s="85" t="s">
        <v>2879</v>
      </c>
      <c r="O1400" s="85" t="s">
        <v>4566</v>
      </c>
      <c r="P1400" s="86" t="s">
        <v>2890</v>
      </c>
    </row>
    <row r="1401" spans="2:16" ht="60" x14ac:dyDescent="0.25">
      <c r="B1401" s="104" t="str">
        <f t="shared" si="140"/>
        <v>2</v>
      </c>
      <c r="C1401" s="104" t="str">
        <f t="shared" si="141"/>
        <v>1</v>
      </c>
      <c r="D1401" s="104" t="str">
        <f t="shared" si="142"/>
        <v>1</v>
      </c>
      <c r="E1401" s="104" t="str">
        <f t="shared" si="143"/>
        <v>2</v>
      </c>
      <c r="F1401" s="104" t="str">
        <f t="shared" si="144"/>
        <v>00</v>
      </c>
      <c r="G1401" s="104" t="str">
        <f t="shared" si="145"/>
        <v>0</v>
      </c>
      <c r="H1401" s="104" t="str">
        <f t="shared" si="146"/>
        <v>0</v>
      </c>
      <c r="I1401" s="105">
        <v>21120000</v>
      </c>
      <c r="J1401" s="104" t="s">
        <v>4567</v>
      </c>
      <c r="K1401" s="104" t="s">
        <v>4568</v>
      </c>
      <c r="L1401" s="106"/>
      <c r="M1401" s="104" t="s">
        <v>2878</v>
      </c>
      <c r="N1401" s="104" t="s">
        <v>2879</v>
      </c>
      <c r="O1401" s="104" t="s">
        <v>2878</v>
      </c>
      <c r="P1401" s="107" t="s">
        <v>2880</v>
      </c>
    </row>
    <row r="1402" spans="2:16" ht="60" x14ac:dyDescent="0.25">
      <c r="B1402" s="114" t="str">
        <f t="shared" si="140"/>
        <v>2</v>
      </c>
      <c r="C1402" s="114" t="str">
        <f t="shared" si="141"/>
        <v>1</v>
      </c>
      <c r="D1402" s="114" t="str">
        <f t="shared" si="142"/>
        <v>1</v>
      </c>
      <c r="E1402" s="114" t="str">
        <f t="shared" si="143"/>
        <v>2</v>
      </c>
      <c r="F1402" s="114" t="str">
        <f t="shared" si="144"/>
        <v>00</v>
      </c>
      <c r="G1402" s="114" t="str">
        <f t="shared" si="145"/>
        <v>1</v>
      </c>
      <c r="H1402" s="114" t="str">
        <f t="shared" si="146"/>
        <v>0</v>
      </c>
      <c r="I1402" s="115">
        <v>21120010</v>
      </c>
      <c r="J1402" s="114" t="s">
        <v>4567</v>
      </c>
      <c r="K1402" s="114" t="s">
        <v>4568</v>
      </c>
      <c r="L1402" s="116"/>
      <c r="M1402" s="114" t="s">
        <v>2878</v>
      </c>
      <c r="N1402" s="114" t="s">
        <v>2879</v>
      </c>
      <c r="O1402" s="114" t="s">
        <v>2878</v>
      </c>
      <c r="P1402" s="117" t="s">
        <v>2880</v>
      </c>
    </row>
    <row r="1403" spans="2:16" ht="75" x14ac:dyDescent="0.25">
      <c r="B1403" s="85" t="str">
        <f t="shared" si="140"/>
        <v>2</v>
      </c>
      <c r="C1403" s="85" t="str">
        <f t="shared" si="141"/>
        <v>1</v>
      </c>
      <c r="D1403" s="85" t="str">
        <f t="shared" si="142"/>
        <v>1</v>
      </c>
      <c r="E1403" s="85" t="str">
        <f t="shared" si="143"/>
        <v>2</v>
      </c>
      <c r="F1403" s="85" t="str">
        <f t="shared" si="144"/>
        <v>00</v>
      </c>
      <c r="G1403" s="85" t="str">
        <f t="shared" si="145"/>
        <v>1</v>
      </c>
      <c r="H1403" s="85" t="str">
        <f t="shared" si="146"/>
        <v>1</v>
      </c>
      <c r="I1403" s="87">
        <v>21120011</v>
      </c>
      <c r="J1403" s="85" t="s">
        <v>4569</v>
      </c>
      <c r="K1403" s="85" t="s">
        <v>4570</v>
      </c>
      <c r="L1403" s="84"/>
      <c r="M1403" s="85" t="s">
        <v>4571</v>
      </c>
      <c r="N1403" s="85" t="s">
        <v>2879</v>
      </c>
      <c r="O1403" s="85" t="s">
        <v>4572</v>
      </c>
      <c r="P1403" s="86" t="s">
        <v>2890</v>
      </c>
    </row>
    <row r="1404" spans="2:16" ht="75" x14ac:dyDescent="0.25">
      <c r="B1404" s="104" t="str">
        <f t="shared" si="140"/>
        <v>2</v>
      </c>
      <c r="C1404" s="104" t="str">
        <f t="shared" si="141"/>
        <v>1</v>
      </c>
      <c r="D1404" s="104" t="str">
        <f t="shared" si="142"/>
        <v>1</v>
      </c>
      <c r="E1404" s="104" t="str">
        <f t="shared" si="143"/>
        <v>3</v>
      </c>
      <c r="F1404" s="104" t="str">
        <f t="shared" si="144"/>
        <v>00</v>
      </c>
      <c r="G1404" s="104" t="str">
        <f t="shared" si="145"/>
        <v>0</v>
      </c>
      <c r="H1404" s="104" t="str">
        <f t="shared" si="146"/>
        <v>0</v>
      </c>
      <c r="I1404" s="105">
        <v>21130000</v>
      </c>
      <c r="J1404" s="104" t="s">
        <v>2624</v>
      </c>
      <c r="K1404" s="104" t="s">
        <v>4573</v>
      </c>
      <c r="L1404" s="106"/>
      <c r="M1404" s="104" t="s">
        <v>2878</v>
      </c>
      <c r="N1404" s="104" t="s">
        <v>2879</v>
      </c>
      <c r="O1404" s="104" t="s">
        <v>2878</v>
      </c>
      <c r="P1404" s="107" t="s">
        <v>2880</v>
      </c>
    </row>
    <row r="1405" spans="2:16" ht="75" x14ac:dyDescent="0.25">
      <c r="B1405" s="114" t="str">
        <f t="shared" si="140"/>
        <v>2</v>
      </c>
      <c r="C1405" s="114" t="str">
        <f t="shared" si="141"/>
        <v>1</v>
      </c>
      <c r="D1405" s="114" t="str">
        <f t="shared" si="142"/>
        <v>1</v>
      </c>
      <c r="E1405" s="114" t="str">
        <f t="shared" si="143"/>
        <v>3</v>
      </c>
      <c r="F1405" s="114" t="str">
        <f t="shared" si="144"/>
        <v>00</v>
      </c>
      <c r="G1405" s="114" t="str">
        <f t="shared" si="145"/>
        <v>1</v>
      </c>
      <c r="H1405" s="114" t="str">
        <f t="shared" si="146"/>
        <v>0</v>
      </c>
      <c r="I1405" s="115">
        <v>21130010</v>
      </c>
      <c r="J1405" s="114" t="s">
        <v>2624</v>
      </c>
      <c r="K1405" s="114" t="s">
        <v>4573</v>
      </c>
      <c r="L1405" s="116"/>
      <c r="M1405" s="114" t="s">
        <v>2878</v>
      </c>
      <c r="N1405" s="114" t="s">
        <v>2879</v>
      </c>
      <c r="O1405" s="114" t="s">
        <v>2878</v>
      </c>
      <c r="P1405" s="117" t="s">
        <v>2880</v>
      </c>
    </row>
    <row r="1406" spans="2:16" ht="75" x14ac:dyDescent="0.25">
      <c r="B1406" s="85" t="str">
        <f t="shared" si="140"/>
        <v>2</v>
      </c>
      <c r="C1406" s="85" t="str">
        <f t="shared" si="141"/>
        <v>1</v>
      </c>
      <c r="D1406" s="85" t="str">
        <f t="shared" si="142"/>
        <v>1</v>
      </c>
      <c r="E1406" s="85" t="str">
        <f t="shared" si="143"/>
        <v>3</v>
      </c>
      <c r="F1406" s="85" t="str">
        <f t="shared" si="144"/>
        <v>00</v>
      </c>
      <c r="G1406" s="85" t="str">
        <f t="shared" si="145"/>
        <v>1</v>
      </c>
      <c r="H1406" s="85" t="str">
        <f t="shared" si="146"/>
        <v>1</v>
      </c>
      <c r="I1406" s="87">
        <v>21130011</v>
      </c>
      <c r="J1406" s="85" t="s">
        <v>4574</v>
      </c>
      <c r="K1406" s="85" t="s">
        <v>4575</v>
      </c>
      <c r="L1406" s="84"/>
      <c r="M1406" s="85" t="s">
        <v>3033</v>
      </c>
      <c r="N1406" s="85" t="s">
        <v>2879</v>
      </c>
      <c r="O1406" s="85" t="s">
        <v>4576</v>
      </c>
      <c r="P1406" s="86" t="s">
        <v>2890</v>
      </c>
    </row>
    <row r="1407" spans="2:16" ht="75" x14ac:dyDescent="0.25">
      <c r="B1407" s="104" t="str">
        <f t="shared" si="140"/>
        <v>2</v>
      </c>
      <c r="C1407" s="104" t="str">
        <f t="shared" si="141"/>
        <v>1</v>
      </c>
      <c r="D1407" s="104" t="str">
        <f t="shared" si="142"/>
        <v>1</v>
      </c>
      <c r="E1407" s="104" t="str">
        <f t="shared" si="143"/>
        <v>8</v>
      </c>
      <c r="F1407" s="104" t="str">
        <f t="shared" si="144"/>
        <v>00</v>
      </c>
      <c r="G1407" s="104" t="str">
        <f t="shared" si="145"/>
        <v>0</v>
      </c>
      <c r="H1407" s="104" t="str">
        <f t="shared" si="146"/>
        <v>0</v>
      </c>
      <c r="I1407" s="105">
        <v>21180000</v>
      </c>
      <c r="J1407" s="104" t="s">
        <v>4896</v>
      </c>
      <c r="K1407" s="104" t="s">
        <v>5037</v>
      </c>
      <c r="L1407" s="106"/>
      <c r="M1407" s="104" t="s">
        <v>2878</v>
      </c>
      <c r="N1407" s="104"/>
      <c r="O1407" s="104" t="s">
        <v>5018</v>
      </c>
      <c r="P1407" s="107" t="s">
        <v>2880</v>
      </c>
    </row>
    <row r="1408" spans="2:16" ht="30" x14ac:dyDescent="0.25">
      <c r="B1408" s="108" t="str">
        <f t="shared" si="140"/>
        <v>2</v>
      </c>
      <c r="C1408" s="108" t="str">
        <f t="shared" si="141"/>
        <v>1</v>
      </c>
      <c r="D1408" s="108" t="str">
        <f t="shared" si="142"/>
        <v>1</v>
      </c>
      <c r="E1408" s="108" t="str">
        <f t="shared" si="143"/>
        <v>8</v>
      </c>
      <c r="F1408" s="108" t="str">
        <f t="shared" si="144"/>
        <v>01</v>
      </c>
      <c r="G1408" s="108" t="str">
        <f t="shared" si="145"/>
        <v>0</v>
      </c>
      <c r="H1408" s="108" t="str">
        <f t="shared" si="146"/>
        <v>0</v>
      </c>
      <c r="I1408" s="109">
        <v>21180100</v>
      </c>
      <c r="J1408" s="108" t="s">
        <v>4894</v>
      </c>
      <c r="K1408" s="108" t="s">
        <v>5119</v>
      </c>
      <c r="L1408" s="110"/>
      <c r="M1408" s="108"/>
      <c r="N1408" s="108"/>
      <c r="O1408" s="108" t="s">
        <v>2878</v>
      </c>
      <c r="P1408" s="111" t="s">
        <v>2880</v>
      </c>
    </row>
    <row r="1409" spans="2:16" ht="30" x14ac:dyDescent="0.25">
      <c r="B1409" s="114" t="str">
        <f t="shared" si="140"/>
        <v>2</v>
      </c>
      <c r="C1409" s="114" t="str">
        <f t="shared" si="141"/>
        <v>1</v>
      </c>
      <c r="D1409" s="114" t="str">
        <f t="shared" si="142"/>
        <v>1</v>
      </c>
      <c r="E1409" s="114" t="str">
        <f t="shared" si="143"/>
        <v>8</v>
      </c>
      <c r="F1409" s="114" t="str">
        <f t="shared" si="144"/>
        <v>01</v>
      </c>
      <c r="G1409" s="114" t="str">
        <f t="shared" si="145"/>
        <v>1</v>
      </c>
      <c r="H1409" s="114" t="str">
        <f t="shared" si="146"/>
        <v>0</v>
      </c>
      <c r="I1409" s="115">
        <v>21180110</v>
      </c>
      <c r="J1409" s="114" t="s">
        <v>2628</v>
      </c>
      <c r="K1409" s="114" t="s">
        <v>2629</v>
      </c>
      <c r="L1409" s="116"/>
      <c r="M1409" s="114"/>
      <c r="N1409" s="114"/>
      <c r="O1409" s="114" t="s">
        <v>2878</v>
      </c>
      <c r="P1409" s="117" t="s">
        <v>2880</v>
      </c>
    </row>
    <row r="1410" spans="2:16" ht="30" x14ac:dyDescent="0.25">
      <c r="B1410" s="85" t="str">
        <f t="shared" si="140"/>
        <v>2</v>
      </c>
      <c r="C1410" s="85" t="str">
        <f t="shared" si="141"/>
        <v>1</v>
      </c>
      <c r="D1410" s="85" t="str">
        <f t="shared" si="142"/>
        <v>1</v>
      </c>
      <c r="E1410" s="85" t="str">
        <f t="shared" si="143"/>
        <v>8</v>
      </c>
      <c r="F1410" s="85" t="str">
        <f t="shared" si="144"/>
        <v>01</v>
      </c>
      <c r="G1410" s="85" t="str">
        <f t="shared" si="145"/>
        <v>1</v>
      </c>
      <c r="H1410" s="85" t="str">
        <f t="shared" si="146"/>
        <v>1</v>
      </c>
      <c r="I1410" s="87">
        <v>21180111</v>
      </c>
      <c r="J1410" s="85" t="s">
        <v>4853</v>
      </c>
      <c r="K1410" s="85" t="s">
        <v>2629</v>
      </c>
      <c r="L1410" s="84"/>
      <c r="M1410" s="85"/>
      <c r="N1410" s="85"/>
      <c r="O1410" s="85"/>
      <c r="P1410" s="86" t="s">
        <v>2890</v>
      </c>
    </row>
    <row r="1411" spans="2:16" ht="30" x14ac:dyDescent="0.25">
      <c r="B1411" s="114" t="str">
        <f t="shared" si="140"/>
        <v>2</v>
      </c>
      <c r="C1411" s="114" t="str">
        <f t="shared" si="141"/>
        <v>1</v>
      </c>
      <c r="D1411" s="114" t="str">
        <f t="shared" si="142"/>
        <v>1</v>
      </c>
      <c r="E1411" s="114" t="str">
        <f t="shared" si="143"/>
        <v>8</v>
      </c>
      <c r="F1411" s="114" t="str">
        <f t="shared" si="144"/>
        <v>01</v>
      </c>
      <c r="G1411" s="114" t="str">
        <f t="shared" si="145"/>
        <v>2</v>
      </c>
      <c r="H1411" s="114" t="str">
        <f t="shared" si="146"/>
        <v>0</v>
      </c>
      <c r="I1411" s="115">
        <v>21180120</v>
      </c>
      <c r="J1411" s="114" t="s">
        <v>2630</v>
      </c>
      <c r="K1411" s="114" t="s">
        <v>2631</v>
      </c>
      <c r="L1411" s="116"/>
      <c r="M1411" s="114"/>
      <c r="N1411" s="114"/>
      <c r="O1411" s="114" t="s">
        <v>2878</v>
      </c>
      <c r="P1411" s="117" t="s">
        <v>2880</v>
      </c>
    </row>
    <row r="1412" spans="2:16" ht="30" x14ac:dyDescent="0.25">
      <c r="B1412" s="85" t="str">
        <f t="shared" si="140"/>
        <v>2</v>
      </c>
      <c r="C1412" s="85" t="str">
        <f t="shared" si="141"/>
        <v>1</v>
      </c>
      <c r="D1412" s="85" t="str">
        <f t="shared" si="142"/>
        <v>1</v>
      </c>
      <c r="E1412" s="85" t="str">
        <f t="shared" si="143"/>
        <v>8</v>
      </c>
      <c r="F1412" s="85" t="str">
        <f t="shared" si="144"/>
        <v>01</v>
      </c>
      <c r="G1412" s="85" t="str">
        <f t="shared" si="145"/>
        <v>2</v>
      </c>
      <c r="H1412" s="85" t="str">
        <f t="shared" si="146"/>
        <v>1</v>
      </c>
      <c r="I1412" s="87">
        <v>21180121</v>
      </c>
      <c r="J1412" s="85" t="s">
        <v>4854</v>
      </c>
      <c r="K1412" s="85" t="s">
        <v>2631</v>
      </c>
      <c r="L1412" s="84"/>
      <c r="M1412" s="85"/>
      <c r="N1412" s="85"/>
      <c r="O1412" s="85"/>
      <c r="P1412" s="86" t="s">
        <v>2890</v>
      </c>
    </row>
    <row r="1413" spans="2:16" ht="30" x14ac:dyDescent="0.25">
      <c r="B1413" s="114" t="str">
        <f t="shared" si="140"/>
        <v>2</v>
      </c>
      <c r="C1413" s="114" t="str">
        <f t="shared" si="141"/>
        <v>1</v>
      </c>
      <c r="D1413" s="114" t="str">
        <f t="shared" si="142"/>
        <v>1</v>
      </c>
      <c r="E1413" s="114" t="str">
        <f t="shared" si="143"/>
        <v>8</v>
      </c>
      <c r="F1413" s="114" t="str">
        <f t="shared" si="144"/>
        <v>01</v>
      </c>
      <c r="G1413" s="114" t="str">
        <f t="shared" si="145"/>
        <v>3</v>
      </c>
      <c r="H1413" s="114" t="str">
        <f t="shared" si="146"/>
        <v>0</v>
      </c>
      <c r="I1413" s="115">
        <v>21180130</v>
      </c>
      <c r="J1413" s="114" t="s">
        <v>2632</v>
      </c>
      <c r="K1413" s="114" t="s">
        <v>2633</v>
      </c>
      <c r="L1413" s="116"/>
      <c r="M1413" s="114"/>
      <c r="N1413" s="114"/>
      <c r="O1413" s="114" t="s">
        <v>2878</v>
      </c>
      <c r="P1413" s="117" t="s">
        <v>2880</v>
      </c>
    </row>
    <row r="1414" spans="2:16" ht="30" x14ac:dyDescent="0.25">
      <c r="B1414" s="85" t="str">
        <f t="shared" si="140"/>
        <v>2</v>
      </c>
      <c r="C1414" s="85" t="str">
        <f t="shared" si="141"/>
        <v>1</v>
      </c>
      <c r="D1414" s="85" t="str">
        <f t="shared" si="142"/>
        <v>1</v>
      </c>
      <c r="E1414" s="85" t="str">
        <f t="shared" si="143"/>
        <v>8</v>
      </c>
      <c r="F1414" s="85" t="str">
        <f t="shared" si="144"/>
        <v>01</v>
      </c>
      <c r="G1414" s="85" t="str">
        <f t="shared" si="145"/>
        <v>3</v>
      </c>
      <c r="H1414" s="85" t="str">
        <f t="shared" si="146"/>
        <v>1</v>
      </c>
      <c r="I1414" s="87">
        <v>21180131</v>
      </c>
      <c r="J1414" s="85" t="s">
        <v>4855</v>
      </c>
      <c r="K1414" s="85" t="s">
        <v>2633</v>
      </c>
      <c r="L1414" s="84"/>
      <c r="M1414" s="85"/>
      <c r="N1414" s="85"/>
      <c r="O1414" s="85"/>
      <c r="P1414" s="86" t="s">
        <v>2890</v>
      </c>
    </row>
    <row r="1415" spans="2:16" ht="30" x14ac:dyDescent="0.25">
      <c r="B1415" s="114" t="str">
        <f t="shared" si="140"/>
        <v>2</v>
      </c>
      <c r="C1415" s="114" t="str">
        <f t="shared" si="141"/>
        <v>1</v>
      </c>
      <c r="D1415" s="114" t="str">
        <f t="shared" si="142"/>
        <v>1</v>
      </c>
      <c r="E1415" s="114" t="str">
        <f t="shared" si="143"/>
        <v>8</v>
      </c>
      <c r="F1415" s="114" t="str">
        <f t="shared" si="144"/>
        <v>01</v>
      </c>
      <c r="G1415" s="114" t="str">
        <f t="shared" si="145"/>
        <v>4</v>
      </c>
      <c r="H1415" s="114" t="str">
        <f t="shared" si="146"/>
        <v>0</v>
      </c>
      <c r="I1415" s="115">
        <v>21180140</v>
      </c>
      <c r="J1415" s="114" t="s">
        <v>2634</v>
      </c>
      <c r="K1415" s="114" t="s">
        <v>2635</v>
      </c>
      <c r="L1415" s="116"/>
      <c r="M1415" s="114"/>
      <c r="N1415" s="114"/>
      <c r="O1415" s="114" t="s">
        <v>2878</v>
      </c>
      <c r="P1415" s="117" t="s">
        <v>2880</v>
      </c>
    </row>
    <row r="1416" spans="2:16" ht="30" x14ac:dyDescent="0.25">
      <c r="B1416" s="85" t="str">
        <f t="shared" si="140"/>
        <v>2</v>
      </c>
      <c r="C1416" s="85" t="str">
        <f t="shared" si="141"/>
        <v>1</v>
      </c>
      <c r="D1416" s="85" t="str">
        <f t="shared" si="142"/>
        <v>1</v>
      </c>
      <c r="E1416" s="85" t="str">
        <f t="shared" si="143"/>
        <v>8</v>
      </c>
      <c r="F1416" s="85" t="str">
        <f t="shared" si="144"/>
        <v>01</v>
      </c>
      <c r="G1416" s="85" t="str">
        <f t="shared" si="145"/>
        <v>4</v>
      </c>
      <c r="H1416" s="85" t="str">
        <f t="shared" si="146"/>
        <v>1</v>
      </c>
      <c r="I1416" s="87">
        <v>21180141</v>
      </c>
      <c r="J1416" s="85" t="s">
        <v>4856</v>
      </c>
      <c r="K1416" s="85" t="s">
        <v>2635</v>
      </c>
      <c r="L1416" s="84"/>
      <c r="M1416" s="85"/>
      <c r="N1416" s="85"/>
      <c r="O1416" s="85"/>
      <c r="P1416" s="86" t="s">
        <v>2890</v>
      </c>
    </row>
    <row r="1417" spans="2:16" ht="30" x14ac:dyDescent="0.25">
      <c r="B1417" s="114" t="str">
        <f t="shared" si="140"/>
        <v>2</v>
      </c>
      <c r="C1417" s="114" t="str">
        <f t="shared" si="141"/>
        <v>1</v>
      </c>
      <c r="D1417" s="114" t="str">
        <f t="shared" si="142"/>
        <v>1</v>
      </c>
      <c r="E1417" s="114" t="str">
        <f t="shared" si="143"/>
        <v>8</v>
      </c>
      <c r="F1417" s="114" t="str">
        <f t="shared" si="144"/>
        <v>01</v>
      </c>
      <c r="G1417" s="114" t="str">
        <f t="shared" si="145"/>
        <v>5</v>
      </c>
      <c r="H1417" s="114" t="str">
        <f t="shared" si="146"/>
        <v>0</v>
      </c>
      <c r="I1417" s="115">
        <v>21180150</v>
      </c>
      <c r="J1417" s="114" t="s">
        <v>2636</v>
      </c>
      <c r="K1417" s="114" t="s">
        <v>2637</v>
      </c>
      <c r="L1417" s="116"/>
      <c r="M1417" s="114"/>
      <c r="N1417" s="114"/>
      <c r="O1417" s="114" t="s">
        <v>2878</v>
      </c>
      <c r="P1417" s="117" t="s">
        <v>2880</v>
      </c>
    </row>
    <row r="1418" spans="2:16" ht="30" x14ac:dyDescent="0.25">
      <c r="B1418" s="85" t="str">
        <f t="shared" si="140"/>
        <v>2</v>
      </c>
      <c r="C1418" s="85" t="str">
        <f t="shared" si="141"/>
        <v>1</v>
      </c>
      <c r="D1418" s="85" t="str">
        <f t="shared" si="142"/>
        <v>1</v>
      </c>
      <c r="E1418" s="85" t="str">
        <f t="shared" si="143"/>
        <v>8</v>
      </c>
      <c r="F1418" s="85" t="str">
        <f t="shared" si="144"/>
        <v>01</v>
      </c>
      <c r="G1418" s="85" t="str">
        <f t="shared" si="145"/>
        <v>5</v>
      </c>
      <c r="H1418" s="85" t="str">
        <f t="shared" si="146"/>
        <v>1</v>
      </c>
      <c r="I1418" s="87">
        <v>21180151</v>
      </c>
      <c r="J1418" s="85" t="s">
        <v>4857</v>
      </c>
      <c r="K1418" s="85" t="s">
        <v>2637</v>
      </c>
      <c r="L1418" s="84"/>
      <c r="M1418" s="85"/>
      <c r="N1418" s="85"/>
      <c r="O1418" s="85"/>
      <c r="P1418" s="86" t="s">
        <v>2890</v>
      </c>
    </row>
    <row r="1419" spans="2:16" ht="30" x14ac:dyDescent="0.25">
      <c r="B1419" s="114" t="str">
        <f t="shared" ref="B1419:B1482" si="147">MID($I1419,1,1)</f>
        <v>2</v>
      </c>
      <c r="C1419" s="114" t="str">
        <f t="shared" ref="C1419:C1482" si="148">MID($I1419,2,1)</f>
        <v>1</v>
      </c>
      <c r="D1419" s="114" t="str">
        <f t="shared" ref="D1419:D1482" si="149">MID($I1419,3,1)</f>
        <v>1</v>
      </c>
      <c r="E1419" s="114" t="str">
        <f t="shared" ref="E1419:E1482" si="150">MID($I1419,4,1)</f>
        <v>8</v>
      </c>
      <c r="F1419" s="114" t="str">
        <f t="shared" ref="F1419:F1482" si="151">MID($I1419,5,2)</f>
        <v>01</v>
      </c>
      <c r="G1419" s="114" t="str">
        <f t="shared" ref="G1419:G1482" si="152">MID($I1419,7,1)</f>
        <v>6</v>
      </c>
      <c r="H1419" s="114" t="str">
        <f t="shared" ref="H1419:H1482" si="153">MID($I1419,8,1)</f>
        <v>0</v>
      </c>
      <c r="I1419" s="115">
        <v>21180160</v>
      </c>
      <c r="J1419" s="114" t="s">
        <v>2638</v>
      </c>
      <c r="K1419" s="114" t="s">
        <v>2639</v>
      </c>
      <c r="L1419" s="116"/>
      <c r="M1419" s="114"/>
      <c r="N1419" s="114"/>
      <c r="O1419" s="114" t="s">
        <v>2878</v>
      </c>
      <c r="P1419" s="117" t="s">
        <v>2880</v>
      </c>
    </row>
    <row r="1420" spans="2:16" ht="30" x14ac:dyDescent="0.25">
      <c r="B1420" s="85" t="str">
        <f t="shared" si="147"/>
        <v>2</v>
      </c>
      <c r="C1420" s="85" t="str">
        <f t="shared" si="148"/>
        <v>1</v>
      </c>
      <c r="D1420" s="85" t="str">
        <f t="shared" si="149"/>
        <v>1</v>
      </c>
      <c r="E1420" s="85" t="str">
        <f t="shared" si="150"/>
        <v>8</v>
      </c>
      <c r="F1420" s="85" t="str">
        <f t="shared" si="151"/>
        <v>01</v>
      </c>
      <c r="G1420" s="85" t="str">
        <f t="shared" si="152"/>
        <v>6</v>
      </c>
      <c r="H1420" s="85" t="str">
        <f t="shared" si="153"/>
        <v>1</v>
      </c>
      <c r="I1420" s="87">
        <v>21180161</v>
      </c>
      <c r="J1420" s="85" t="s">
        <v>4858</v>
      </c>
      <c r="K1420" s="85" t="s">
        <v>2639</v>
      </c>
      <c r="L1420" s="84"/>
      <c r="M1420" s="85"/>
      <c r="N1420" s="85"/>
      <c r="O1420" s="85"/>
      <c r="P1420" s="86" t="s">
        <v>2890</v>
      </c>
    </row>
    <row r="1421" spans="2:16" ht="30" x14ac:dyDescent="0.25">
      <c r="B1421" s="114" t="str">
        <f t="shared" si="147"/>
        <v>2</v>
      </c>
      <c r="C1421" s="114" t="str">
        <f t="shared" si="148"/>
        <v>1</v>
      </c>
      <c r="D1421" s="114" t="str">
        <f t="shared" si="149"/>
        <v>1</v>
      </c>
      <c r="E1421" s="114" t="str">
        <f t="shared" si="150"/>
        <v>8</v>
      </c>
      <c r="F1421" s="114" t="str">
        <f t="shared" si="151"/>
        <v>01</v>
      </c>
      <c r="G1421" s="114" t="str">
        <f t="shared" si="152"/>
        <v>7</v>
      </c>
      <c r="H1421" s="114" t="str">
        <f t="shared" si="153"/>
        <v>0</v>
      </c>
      <c r="I1421" s="115">
        <v>21180170</v>
      </c>
      <c r="J1421" s="114" t="s">
        <v>2640</v>
      </c>
      <c r="K1421" s="114" t="s">
        <v>2641</v>
      </c>
      <c r="L1421" s="116"/>
      <c r="M1421" s="114"/>
      <c r="N1421" s="114"/>
      <c r="O1421" s="114" t="s">
        <v>2878</v>
      </c>
      <c r="P1421" s="117" t="s">
        <v>2880</v>
      </c>
    </row>
    <row r="1422" spans="2:16" ht="30" x14ac:dyDescent="0.25">
      <c r="B1422" s="85" t="str">
        <f t="shared" si="147"/>
        <v>2</v>
      </c>
      <c r="C1422" s="85" t="str">
        <f t="shared" si="148"/>
        <v>1</v>
      </c>
      <c r="D1422" s="85" t="str">
        <f t="shared" si="149"/>
        <v>1</v>
      </c>
      <c r="E1422" s="85" t="str">
        <f t="shared" si="150"/>
        <v>8</v>
      </c>
      <c r="F1422" s="85" t="str">
        <f t="shared" si="151"/>
        <v>01</v>
      </c>
      <c r="G1422" s="85" t="str">
        <f t="shared" si="152"/>
        <v>7</v>
      </c>
      <c r="H1422" s="85" t="str">
        <f t="shared" si="153"/>
        <v>1</v>
      </c>
      <c r="I1422" s="87">
        <v>21180171</v>
      </c>
      <c r="J1422" s="85" t="s">
        <v>4859</v>
      </c>
      <c r="K1422" s="85" t="s">
        <v>2641</v>
      </c>
      <c r="L1422" s="84"/>
      <c r="M1422" s="85"/>
      <c r="N1422" s="85"/>
      <c r="O1422" s="85"/>
      <c r="P1422" s="86" t="s">
        <v>2890</v>
      </c>
    </row>
    <row r="1423" spans="2:16" ht="30" x14ac:dyDescent="0.25">
      <c r="B1423" s="104" t="str">
        <f t="shared" si="147"/>
        <v>2</v>
      </c>
      <c r="C1423" s="104" t="str">
        <f t="shared" si="148"/>
        <v>1</v>
      </c>
      <c r="D1423" s="104" t="str">
        <f t="shared" si="149"/>
        <v>1</v>
      </c>
      <c r="E1423" s="104" t="str">
        <f t="shared" si="150"/>
        <v>9</v>
      </c>
      <c r="F1423" s="104" t="str">
        <f t="shared" si="151"/>
        <v>00</v>
      </c>
      <c r="G1423" s="104" t="str">
        <f t="shared" si="152"/>
        <v>0</v>
      </c>
      <c r="H1423" s="104" t="str">
        <f t="shared" si="153"/>
        <v>0</v>
      </c>
      <c r="I1423" s="105">
        <v>21190000</v>
      </c>
      <c r="J1423" s="104" t="s">
        <v>4577</v>
      </c>
      <c r="K1423" s="104" t="s">
        <v>4578</v>
      </c>
      <c r="L1423" s="106"/>
      <c r="M1423" s="104" t="s">
        <v>2878</v>
      </c>
      <c r="N1423" s="104" t="s">
        <v>2879</v>
      </c>
      <c r="O1423" s="104" t="s">
        <v>2878</v>
      </c>
      <c r="P1423" s="107" t="s">
        <v>2880</v>
      </c>
    </row>
    <row r="1424" spans="2:16" ht="30" x14ac:dyDescent="0.25">
      <c r="B1424" s="114" t="str">
        <f t="shared" si="147"/>
        <v>2</v>
      </c>
      <c r="C1424" s="114" t="str">
        <f t="shared" si="148"/>
        <v>1</v>
      </c>
      <c r="D1424" s="114" t="str">
        <f t="shared" si="149"/>
        <v>1</v>
      </c>
      <c r="E1424" s="114" t="str">
        <f t="shared" si="150"/>
        <v>9</v>
      </c>
      <c r="F1424" s="114" t="str">
        <f t="shared" si="151"/>
        <v>00</v>
      </c>
      <c r="G1424" s="114" t="str">
        <f t="shared" si="152"/>
        <v>1</v>
      </c>
      <c r="H1424" s="114" t="str">
        <f t="shared" si="153"/>
        <v>0</v>
      </c>
      <c r="I1424" s="115">
        <v>21190010</v>
      </c>
      <c r="J1424" s="114" t="s">
        <v>4577</v>
      </c>
      <c r="K1424" s="114" t="s">
        <v>4578</v>
      </c>
      <c r="L1424" s="116"/>
      <c r="M1424" s="114" t="s">
        <v>2878</v>
      </c>
      <c r="N1424" s="114" t="s">
        <v>2879</v>
      </c>
      <c r="O1424" s="114" t="s">
        <v>2878</v>
      </c>
      <c r="P1424" s="117" t="s">
        <v>2880</v>
      </c>
    </row>
    <row r="1425" spans="2:16" ht="30" x14ac:dyDescent="0.25">
      <c r="B1425" s="85" t="str">
        <f t="shared" si="147"/>
        <v>2</v>
      </c>
      <c r="C1425" s="85" t="str">
        <f t="shared" si="148"/>
        <v>1</v>
      </c>
      <c r="D1425" s="85" t="str">
        <f t="shared" si="149"/>
        <v>1</v>
      </c>
      <c r="E1425" s="85" t="str">
        <f t="shared" si="150"/>
        <v>9</v>
      </c>
      <c r="F1425" s="85" t="str">
        <f t="shared" si="151"/>
        <v>00</v>
      </c>
      <c r="G1425" s="85" t="str">
        <f t="shared" si="152"/>
        <v>1</v>
      </c>
      <c r="H1425" s="85" t="str">
        <f t="shared" si="153"/>
        <v>1</v>
      </c>
      <c r="I1425" s="87">
        <v>21190011</v>
      </c>
      <c r="J1425" s="85" t="s">
        <v>4579</v>
      </c>
      <c r="K1425" s="85" t="s">
        <v>4580</v>
      </c>
      <c r="L1425" s="84"/>
      <c r="M1425" s="85" t="s">
        <v>4581</v>
      </c>
      <c r="N1425" s="85" t="s">
        <v>2879</v>
      </c>
      <c r="O1425" s="85" t="s">
        <v>4572</v>
      </c>
      <c r="P1425" s="86" t="s">
        <v>2890</v>
      </c>
    </row>
    <row r="1426" spans="2:16" ht="45" x14ac:dyDescent="0.25">
      <c r="B1426" s="126" t="str">
        <f t="shared" si="147"/>
        <v>2</v>
      </c>
      <c r="C1426" s="126" t="str">
        <f t="shared" si="148"/>
        <v>1</v>
      </c>
      <c r="D1426" s="126" t="str">
        <f t="shared" si="149"/>
        <v>2</v>
      </c>
      <c r="E1426" s="126" t="str">
        <f t="shared" si="150"/>
        <v>0</v>
      </c>
      <c r="F1426" s="126" t="str">
        <f t="shared" si="151"/>
        <v>00</v>
      </c>
      <c r="G1426" s="126" t="str">
        <f t="shared" si="152"/>
        <v>0</v>
      </c>
      <c r="H1426" s="126" t="str">
        <f t="shared" si="153"/>
        <v>0</v>
      </c>
      <c r="I1426" s="127">
        <v>21200000</v>
      </c>
      <c r="J1426" s="126" t="s">
        <v>4582</v>
      </c>
      <c r="K1426" s="126" t="s">
        <v>4583</v>
      </c>
      <c r="L1426" s="122"/>
      <c r="M1426" s="126" t="s">
        <v>2878</v>
      </c>
      <c r="N1426" s="126" t="s">
        <v>5016</v>
      </c>
      <c r="O1426" s="126" t="s">
        <v>2878</v>
      </c>
      <c r="P1426" s="128" t="s">
        <v>2880</v>
      </c>
    </row>
    <row r="1427" spans="2:16" ht="135" x14ac:dyDescent="0.25">
      <c r="B1427" s="104" t="str">
        <f t="shared" si="147"/>
        <v>2</v>
      </c>
      <c r="C1427" s="104" t="str">
        <f t="shared" si="148"/>
        <v>1</v>
      </c>
      <c r="D1427" s="104" t="str">
        <f t="shared" si="149"/>
        <v>2</v>
      </c>
      <c r="E1427" s="104" t="str">
        <f t="shared" si="150"/>
        <v>1</v>
      </c>
      <c r="F1427" s="104" t="str">
        <f t="shared" si="151"/>
        <v>00</v>
      </c>
      <c r="G1427" s="104" t="str">
        <f t="shared" si="152"/>
        <v>0</v>
      </c>
      <c r="H1427" s="104" t="str">
        <f t="shared" si="153"/>
        <v>0</v>
      </c>
      <c r="I1427" s="105">
        <v>21210000</v>
      </c>
      <c r="J1427" s="104" t="s">
        <v>4584</v>
      </c>
      <c r="K1427" s="104" t="s">
        <v>4585</v>
      </c>
      <c r="L1427" s="106"/>
      <c r="M1427" s="104" t="s">
        <v>2878</v>
      </c>
      <c r="N1427" s="104" t="s">
        <v>2879</v>
      </c>
      <c r="O1427" s="104" t="s">
        <v>2878</v>
      </c>
      <c r="P1427" s="107" t="s">
        <v>2880</v>
      </c>
    </row>
    <row r="1428" spans="2:16" ht="90" x14ac:dyDescent="0.25">
      <c r="B1428" s="114" t="str">
        <f t="shared" si="147"/>
        <v>2</v>
      </c>
      <c r="C1428" s="114" t="str">
        <f t="shared" si="148"/>
        <v>1</v>
      </c>
      <c r="D1428" s="114" t="str">
        <f t="shared" si="149"/>
        <v>2</v>
      </c>
      <c r="E1428" s="114" t="str">
        <f t="shared" si="150"/>
        <v>1</v>
      </c>
      <c r="F1428" s="114" t="str">
        <f t="shared" si="151"/>
        <v>00</v>
      </c>
      <c r="G1428" s="114" t="str">
        <f t="shared" si="152"/>
        <v>1</v>
      </c>
      <c r="H1428" s="114" t="str">
        <f t="shared" si="153"/>
        <v>0</v>
      </c>
      <c r="I1428" s="115">
        <v>21210010</v>
      </c>
      <c r="J1428" s="114" t="s">
        <v>4584</v>
      </c>
      <c r="K1428" s="114" t="s">
        <v>4586</v>
      </c>
      <c r="L1428" s="116"/>
      <c r="M1428" s="114" t="s">
        <v>2878</v>
      </c>
      <c r="N1428" s="114" t="s">
        <v>2879</v>
      </c>
      <c r="O1428" s="114" t="s">
        <v>2878</v>
      </c>
      <c r="P1428" s="117" t="s">
        <v>2880</v>
      </c>
    </row>
    <row r="1429" spans="2:16" ht="90" x14ac:dyDescent="0.25">
      <c r="B1429" s="85" t="str">
        <f t="shared" si="147"/>
        <v>2</v>
      </c>
      <c r="C1429" s="85" t="str">
        <f t="shared" si="148"/>
        <v>1</v>
      </c>
      <c r="D1429" s="85" t="str">
        <f t="shared" si="149"/>
        <v>2</v>
      </c>
      <c r="E1429" s="85" t="str">
        <f t="shared" si="150"/>
        <v>1</v>
      </c>
      <c r="F1429" s="85" t="str">
        <f t="shared" si="151"/>
        <v>00</v>
      </c>
      <c r="G1429" s="85" t="str">
        <f t="shared" si="152"/>
        <v>1</v>
      </c>
      <c r="H1429" s="85" t="str">
        <f t="shared" si="153"/>
        <v>1</v>
      </c>
      <c r="I1429" s="87">
        <v>21210011</v>
      </c>
      <c r="J1429" s="85" t="s">
        <v>4587</v>
      </c>
      <c r="K1429" s="85" t="s">
        <v>4588</v>
      </c>
      <c r="L1429" s="84"/>
      <c r="M1429" s="85" t="s">
        <v>4589</v>
      </c>
      <c r="N1429" s="85" t="s">
        <v>2879</v>
      </c>
      <c r="O1429" s="85" t="s">
        <v>4590</v>
      </c>
      <c r="P1429" s="86" t="s">
        <v>2890</v>
      </c>
    </row>
    <row r="1430" spans="2:16" ht="105" x14ac:dyDescent="0.25">
      <c r="B1430" s="114" t="str">
        <f t="shared" si="147"/>
        <v>2</v>
      </c>
      <c r="C1430" s="114" t="str">
        <f t="shared" si="148"/>
        <v>1</v>
      </c>
      <c r="D1430" s="114" t="str">
        <f t="shared" si="149"/>
        <v>2</v>
      </c>
      <c r="E1430" s="114" t="str">
        <f t="shared" si="150"/>
        <v>1</v>
      </c>
      <c r="F1430" s="114" t="str">
        <f t="shared" si="151"/>
        <v>00</v>
      </c>
      <c r="G1430" s="114" t="str">
        <f t="shared" si="152"/>
        <v>2</v>
      </c>
      <c r="H1430" s="114" t="str">
        <f t="shared" si="153"/>
        <v>0</v>
      </c>
      <c r="I1430" s="115">
        <v>21210020</v>
      </c>
      <c r="J1430" s="114" t="s">
        <v>4591</v>
      </c>
      <c r="K1430" s="114" t="s">
        <v>4592</v>
      </c>
      <c r="L1430" s="116"/>
      <c r="M1430" s="114" t="s">
        <v>2878</v>
      </c>
      <c r="N1430" s="114" t="s">
        <v>2879</v>
      </c>
      <c r="O1430" s="114" t="s">
        <v>2878</v>
      </c>
      <c r="P1430" s="117" t="s">
        <v>2880</v>
      </c>
    </row>
    <row r="1431" spans="2:16" ht="105" x14ac:dyDescent="0.25">
      <c r="B1431" s="85" t="str">
        <f t="shared" si="147"/>
        <v>2</v>
      </c>
      <c r="C1431" s="85" t="str">
        <f t="shared" si="148"/>
        <v>1</v>
      </c>
      <c r="D1431" s="85" t="str">
        <f t="shared" si="149"/>
        <v>2</v>
      </c>
      <c r="E1431" s="85" t="str">
        <f t="shared" si="150"/>
        <v>1</v>
      </c>
      <c r="F1431" s="85" t="str">
        <f t="shared" si="151"/>
        <v>00</v>
      </c>
      <c r="G1431" s="85" t="str">
        <f t="shared" si="152"/>
        <v>2</v>
      </c>
      <c r="H1431" s="85" t="str">
        <f t="shared" si="153"/>
        <v>1</v>
      </c>
      <c r="I1431" s="87">
        <v>21210021</v>
      </c>
      <c r="J1431" s="85" t="s">
        <v>4593</v>
      </c>
      <c r="K1431" s="85" t="s">
        <v>4594</v>
      </c>
      <c r="L1431" s="84"/>
      <c r="M1431" s="85" t="s">
        <v>4560</v>
      </c>
      <c r="N1431" s="85" t="s">
        <v>2879</v>
      </c>
      <c r="O1431" s="85" t="s">
        <v>4595</v>
      </c>
      <c r="P1431" s="86" t="s">
        <v>2890</v>
      </c>
    </row>
    <row r="1432" spans="2:16" ht="75" x14ac:dyDescent="0.25">
      <c r="B1432" s="104" t="str">
        <f t="shared" si="147"/>
        <v>2</v>
      </c>
      <c r="C1432" s="104" t="str">
        <f t="shared" si="148"/>
        <v>1</v>
      </c>
      <c r="D1432" s="104" t="str">
        <f t="shared" si="149"/>
        <v>2</v>
      </c>
      <c r="E1432" s="104" t="str">
        <f t="shared" si="150"/>
        <v>2</v>
      </c>
      <c r="F1432" s="104" t="str">
        <f t="shared" si="151"/>
        <v>00</v>
      </c>
      <c r="G1432" s="104" t="str">
        <f t="shared" si="152"/>
        <v>0</v>
      </c>
      <c r="H1432" s="104" t="str">
        <f t="shared" si="153"/>
        <v>0</v>
      </c>
      <c r="I1432" s="105">
        <v>21220000</v>
      </c>
      <c r="J1432" s="104" t="s">
        <v>4596</v>
      </c>
      <c r="K1432" s="104" t="s">
        <v>4597</v>
      </c>
      <c r="L1432" s="106"/>
      <c r="M1432" s="104" t="s">
        <v>2878</v>
      </c>
      <c r="N1432" s="104" t="s">
        <v>2879</v>
      </c>
      <c r="O1432" s="104" t="s">
        <v>2878</v>
      </c>
      <c r="P1432" s="107" t="s">
        <v>2880</v>
      </c>
    </row>
    <row r="1433" spans="2:16" ht="75" x14ac:dyDescent="0.25">
      <c r="B1433" s="114" t="str">
        <f t="shared" si="147"/>
        <v>2</v>
      </c>
      <c r="C1433" s="114" t="str">
        <f t="shared" si="148"/>
        <v>1</v>
      </c>
      <c r="D1433" s="114" t="str">
        <f t="shared" si="149"/>
        <v>2</v>
      </c>
      <c r="E1433" s="114" t="str">
        <f t="shared" si="150"/>
        <v>2</v>
      </c>
      <c r="F1433" s="114" t="str">
        <f t="shared" si="151"/>
        <v>00</v>
      </c>
      <c r="G1433" s="114" t="str">
        <f t="shared" si="152"/>
        <v>1</v>
      </c>
      <c r="H1433" s="114" t="str">
        <f t="shared" si="153"/>
        <v>0</v>
      </c>
      <c r="I1433" s="115">
        <v>21220010</v>
      </c>
      <c r="J1433" s="114" t="s">
        <v>4596</v>
      </c>
      <c r="K1433" s="114" t="s">
        <v>4597</v>
      </c>
      <c r="L1433" s="116"/>
      <c r="M1433" s="114" t="s">
        <v>2878</v>
      </c>
      <c r="N1433" s="114" t="s">
        <v>2879</v>
      </c>
      <c r="O1433" s="114" t="s">
        <v>2878</v>
      </c>
      <c r="P1433" s="117" t="s">
        <v>2880</v>
      </c>
    </row>
    <row r="1434" spans="2:16" ht="75" x14ac:dyDescent="0.25">
      <c r="B1434" s="85" t="str">
        <f t="shared" si="147"/>
        <v>2</v>
      </c>
      <c r="C1434" s="85" t="str">
        <f t="shared" si="148"/>
        <v>1</v>
      </c>
      <c r="D1434" s="85" t="str">
        <f t="shared" si="149"/>
        <v>2</v>
      </c>
      <c r="E1434" s="85" t="str">
        <f t="shared" si="150"/>
        <v>2</v>
      </c>
      <c r="F1434" s="85" t="str">
        <f t="shared" si="151"/>
        <v>00</v>
      </c>
      <c r="G1434" s="85" t="str">
        <f t="shared" si="152"/>
        <v>1</v>
      </c>
      <c r="H1434" s="85" t="str">
        <f t="shared" si="153"/>
        <v>1</v>
      </c>
      <c r="I1434" s="87">
        <v>21220011</v>
      </c>
      <c r="J1434" s="85" t="s">
        <v>4598</v>
      </c>
      <c r="K1434" s="85" t="s">
        <v>4599</v>
      </c>
      <c r="L1434" s="84"/>
      <c r="M1434" s="85" t="s">
        <v>4600</v>
      </c>
      <c r="N1434" s="85" t="s">
        <v>2879</v>
      </c>
      <c r="O1434" s="85" t="s">
        <v>4590</v>
      </c>
      <c r="P1434" s="86" t="s">
        <v>2890</v>
      </c>
    </row>
    <row r="1435" spans="2:16" ht="75" x14ac:dyDescent="0.25">
      <c r="B1435" s="104" t="str">
        <f t="shared" si="147"/>
        <v>2</v>
      </c>
      <c r="C1435" s="104" t="str">
        <f t="shared" si="148"/>
        <v>1</v>
      </c>
      <c r="D1435" s="104" t="str">
        <f t="shared" si="149"/>
        <v>2</v>
      </c>
      <c r="E1435" s="104" t="str">
        <f t="shared" si="150"/>
        <v>8</v>
      </c>
      <c r="F1435" s="104" t="str">
        <f t="shared" si="151"/>
        <v>00</v>
      </c>
      <c r="G1435" s="104" t="str">
        <f t="shared" si="152"/>
        <v>0</v>
      </c>
      <c r="H1435" s="104" t="str">
        <f t="shared" si="153"/>
        <v>0</v>
      </c>
      <c r="I1435" s="105">
        <v>21280000</v>
      </c>
      <c r="J1435" s="104" t="s">
        <v>4897</v>
      </c>
      <c r="K1435" s="104" t="s">
        <v>5038</v>
      </c>
      <c r="L1435" s="106"/>
      <c r="M1435" s="104" t="s">
        <v>2878</v>
      </c>
      <c r="N1435" s="104"/>
      <c r="O1435" s="104" t="s">
        <v>5018</v>
      </c>
      <c r="P1435" s="107" t="s">
        <v>2880</v>
      </c>
    </row>
    <row r="1436" spans="2:16" ht="30" x14ac:dyDescent="0.25">
      <c r="B1436" s="108" t="str">
        <f t="shared" si="147"/>
        <v>2</v>
      </c>
      <c r="C1436" s="108" t="str">
        <f t="shared" si="148"/>
        <v>1</v>
      </c>
      <c r="D1436" s="108" t="str">
        <f t="shared" si="149"/>
        <v>2</v>
      </c>
      <c r="E1436" s="108" t="str">
        <f t="shared" si="150"/>
        <v>8</v>
      </c>
      <c r="F1436" s="108" t="str">
        <f t="shared" si="151"/>
        <v>01</v>
      </c>
      <c r="G1436" s="108" t="str">
        <f t="shared" si="152"/>
        <v>0</v>
      </c>
      <c r="H1436" s="108" t="str">
        <f t="shared" si="153"/>
        <v>0</v>
      </c>
      <c r="I1436" s="109">
        <v>21280100</v>
      </c>
      <c r="J1436" s="108" t="s">
        <v>4895</v>
      </c>
      <c r="K1436" s="108" t="s">
        <v>5046</v>
      </c>
      <c r="L1436" s="110"/>
      <c r="M1436" s="108"/>
      <c r="N1436" s="108"/>
      <c r="O1436" s="108" t="s">
        <v>2878</v>
      </c>
      <c r="P1436" s="111" t="s">
        <v>2880</v>
      </c>
    </row>
    <row r="1437" spans="2:16" ht="30" x14ac:dyDescent="0.25">
      <c r="B1437" s="114" t="str">
        <f t="shared" si="147"/>
        <v>2</v>
      </c>
      <c r="C1437" s="114" t="str">
        <f t="shared" si="148"/>
        <v>1</v>
      </c>
      <c r="D1437" s="114" t="str">
        <f t="shared" si="149"/>
        <v>2</v>
      </c>
      <c r="E1437" s="114" t="str">
        <f t="shared" si="150"/>
        <v>8</v>
      </c>
      <c r="F1437" s="114" t="str">
        <f t="shared" si="151"/>
        <v>01</v>
      </c>
      <c r="G1437" s="114" t="str">
        <f t="shared" si="152"/>
        <v>1</v>
      </c>
      <c r="H1437" s="114" t="str">
        <f t="shared" si="153"/>
        <v>0</v>
      </c>
      <c r="I1437" s="115">
        <v>21280110</v>
      </c>
      <c r="J1437" s="114" t="s">
        <v>2654</v>
      </c>
      <c r="K1437" s="114" t="s">
        <v>2655</v>
      </c>
      <c r="L1437" s="116"/>
      <c r="M1437" s="114"/>
      <c r="N1437" s="114"/>
      <c r="O1437" s="114" t="s">
        <v>2878</v>
      </c>
      <c r="P1437" s="117" t="s">
        <v>2880</v>
      </c>
    </row>
    <row r="1438" spans="2:16" ht="30" x14ac:dyDescent="0.25">
      <c r="B1438" s="85" t="str">
        <f t="shared" si="147"/>
        <v>2</v>
      </c>
      <c r="C1438" s="85" t="str">
        <f t="shared" si="148"/>
        <v>1</v>
      </c>
      <c r="D1438" s="85" t="str">
        <f t="shared" si="149"/>
        <v>2</v>
      </c>
      <c r="E1438" s="85" t="str">
        <f t="shared" si="150"/>
        <v>8</v>
      </c>
      <c r="F1438" s="85" t="str">
        <f t="shared" si="151"/>
        <v>01</v>
      </c>
      <c r="G1438" s="85" t="str">
        <f t="shared" si="152"/>
        <v>1</v>
      </c>
      <c r="H1438" s="85" t="str">
        <f t="shared" si="153"/>
        <v>1</v>
      </c>
      <c r="I1438" s="87">
        <v>21280111</v>
      </c>
      <c r="J1438" s="85" t="s">
        <v>4860</v>
      </c>
      <c r="K1438" s="85" t="s">
        <v>2655</v>
      </c>
      <c r="L1438" s="84"/>
      <c r="M1438" s="85"/>
      <c r="N1438" s="85"/>
      <c r="O1438" s="85"/>
      <c r="P1438" s="86" t="s">
        <v>2890</v>
      </c>
    </row>
    <row r="1439" spans="2:16" ht="30" x14ac:dyDescent="0.25">
      <c r="B1439" s="114" t="str">
        <f t="shared" si="147"/>
        <v>2</v>
      </c>
      <c r="C1439" s="114" t="str">
        <f t="shared" si="148"/>
        <v>1</v>
      </c>
      <c r="D1439" s="114" t="str">
        <f t="shared" si="149"/>
        <v>2</v>
      </c>
      <c r="E1439" s="114" t="str">
        <f t="shared" si="150"/>
        <v>8</v>
      </c>
      <c r="F1439" s="114" t="str">
        <f t="shared" si="151"/>
        <v>01</v>
      </c>
      <c r="G1439" s="114" t="str">
        <f t="shared" si="152"/>
        <v>2</v>
      </c>
      <c r="H1439" s="114" t="str">
        <f t="shared" si="153"/>
        <v>0</v>
      </c>
      <c r="I1439" s="115">
        <v>21280120</v>
      </c>
      <c r="J1439" s="114" t="s">
        <v>2656</v>
      </c>
      <c r="K1439" s="114" t="s">
        <v>2657</v>
      </c>
      <c r="L1439" s="116"/>
      <c r="M1439" s="114"/>
      <c r="N1439" s="114"/>
      <c r="O1439" s="114" t="s">
        <v>2878</v>
      </c>
      <c r="P1439" s="117" t="s">
        <v>2880</v>
      </c>
    </row>
    <row r="1440" spans="2:16" ht="30" x14ac:dyDescent="0.25">
      <c r="B1440" s="85" t="str">
        <f t="shared" si="147"/>
        <v>2</v>
      </c>
      <c r="C1440" s="85" t="str">
        <f t="shared" si="148"/>
        <v>1</v>
      </c>
      <c r="D1440" s="85" t="str">
        <f t="shared" si="149"/>
        <v>2</v>
      </c>
      <c r="E1440" s="85" t="str">
        <f t="shared" si="150"/>
        <v>8</v>
      </c>
      <c r="F1440" s="85" t="str">
        <f t="shared" si="151"/>
        <v>01</v>
      </c>
      <c r="G1440" s="85" t="str">
        <f t="shared" si="152"/>
        <v>2</v>
      </c>
      <c r="H1440" s="85" t="str">
        <f t="shared" si="153"/>
        <v>1</v>
      </c>
      <c r="I1440" s="87">
        <v>21280121</v>
      </c>
      <c r="J1440" s="85" t="s">
        <v>4861</v>
      </c>
      <c r="K1440" s="85" t="s">
        <v>2657</v>
      </c>
      <c r="L1440" s="84"/>
      <c r="M1440" s="85"/>
      <c r="N1440" s="85"/>
      <c r="O1440" s="85"/>
      <c r="P1440" s="86" t="s">
        <v>2890</v>
      </c>
    </row>
    <row r="1441" spans="2:16" ht="30" x14ac:dyDescent="0.25">
      <c r="B1441" s="114" t="str">
        <f t="shared" si="147"/>
        <v>2</v>
      </c>
      <c r="C1441" s="114" t="str">
        <f t="shared" si="148"/>
        <v>1</v>
      </c>
      <c r="D1441" s="114" t="str">
        <f t="shared" si="149"/>
        <v>2</v>
      </c>
      <c r="E1441" s="114" t="str">
        <f t="shared" si="150"/>
        <v>8</v>
      </c>
      <c r="F1441" s="114" t="str">
        <f t="shared" si="151"/>
        <v>01</v>
      </c>
      <c r="G1441" s="114" t="str">
        <f t="shared" si="152"/>
        <v>3</v>
      </c>
      <c r="H1441" s="114" t="str">
        <f t="shared" si="153"/>
        <v>0</v>
      </c>
      <c r="I1441" s="115">
        <v>21280130</v>
      </c>
      <c r="J1441" s="114" t="s">
        <v>2658</v>
      </c>
      <c r="K1441" s="114" t="s">
        <v>2659</v>
      </c>
      <c r="L1441" s="116"/>
      <c r="M1441" s="114"/>
      <c r="N1441" s="114"/>
      <c r="O1441" s="114" t="s">
        <v>2878</v>
      </c>
      <c r="P1441" s="117" t="s">
        <v>2880</v>
      </c>
    </row>
    <row r="1442" spans="2:16" ht="30" x14ac:dyDescent="0.25">
      <c r="B1442" s="85" t="str">
        <f t="shared" si="147"/>
        <v>2</v>
      </c>
      <c r="C1442" s="85" t="str">
        <f t="shared" si="148"/>
        <v>1</v>
      </c>
      <c r="D1442" s="85" t="str">
        <f t="shared" si="149"/>
        <v>2</v>
      </c>
      <c r="E1442" s="85" t="str">
        <f t="shared" si="150"/>
        <v>8</v>
      </c>
      <c r="F1442" s="85" t="str">
        <f t="shared" si="151"/>
        <v>01</v>
      </c>
      <c r="G1442" s="85" t="str">
        <f t="shared" si="152"/>
        <v>3</v>
      </c>
      <c r="H1442" s="85" t="str">
        <f t="shared" si="153"/>
        <v>1</v>
      </c>
      <c r="I1442" s="87">
        <v>21280131</v>
      </c>
      <c r="J1442" s="85" t="s">
        <v>4862</v>
      </c>
      <c r="K1442" s="85" t="s">
        <v>2659</v>
      </c>
      <c r="L1442" s="84"/>
      <c r="M1442" s="85"/>
      <c r="N1442" s="85"/>
      <c r="O1442" s="85"/>
      <c r="P1442" s="86" t="s">
        <v>2890</v>
      </c>
    </row>
    <row r="1443" spans="2:16" ht="30" x14ac:dyDescent="0.25">
      <c r="B1443" s="114" t="str">
        <f t="shared" si="147"/>
        <v>2</v>
      </c>
      <c r="C1443" s="114" t="str">
        <f t="shared" si="148"/>
        <v>1</v>
      </c>
      <c r="D1443" s="114" t="str">
        <f t="shared" si="149"/>
        <v>2</v>
      </c>
      <c r="E1443" s="114" t="str">
        <f t="shared" si="150"/>
        <v>8</v>
      </c>
      <c r="F1443" s="114" t="str">
        <f t="shared" si="151"/>
        <v>01</v>
      </c>
      <c r="G1443" s="114" t="str">
        <f t="shared" si="152"/>
        <v>4</v>
      </c>
      <c r="H1443" s="114" t="str">
        <f t="shared" si="153"/>
        <v>0</v>
      </c>
      <c r="I1443" s="115">
        <v>21280140</v>
      </c>
      <c r="J1443" s="114" t="s">
        <v>2660</v>
      </c>
      <c r="K1443" s="114" t="s">
        <v>2661</v>
      </c>
      <c r="L1443" s="116"/>
      <c r="M1443" s="114"/>
      <c r="N1443" s="114"/>
      <c r="O1443" s="114" t="s">
        <v>2878</v>
      </c>
      <c r="P1443" s="117" t="s">
        <v>2880</v>
      </c>
    </row>
    <row r="1444" spans="2:16" ht="30" x14ac:dyDescent="0.25">
      <c r="B1444" s="85" t="str">
        <f t="shared" si="147"/>
        <v>2</v>
      </c>
      <c r="C1444" s="85" t="str">
        <f t="shared" si="148"/>
        <v>1</v>
      </c>
      <c r="D1444" s="85" t="str">
        <f t="shared" si="149"/>
        <v>2</v>
      </c>
      <c r="E1444" s="85" t="str">
        <f t="shared" si="150"/>
        <v>8</v>
      </c>
      <c r="F1444" s="85" t="str">
        <f t="shared" si="151"/>
        <v>01</v>
      </c>
      <c r="G1444" s="85" t="str">
        <f t="shared" si="152"/>
        <v>4</v>
      </c>
      <c r="H1444" s="85" t="str">
        <f t="shared" si="153"/>
        <v>1</v>
      </c>
      <c r="I1444" s="87">
        <v>21280141</v>
      </c>
      <c r="J1444" s="85" t="s">
        <v>4863</v>
      </c>
      <c r="K1444" s="85" t="s">
        <v>2661</v>
      </c>
      <c r="L1444" s="84"/>
      <c r="M1444" s="85"/>
      <c r="N1444" s="85"/>
      <c r="O1444" s="85"/>
      <c r="P1444" s="86" t="s">
        <v>2890</v>
      </c>
    </row>
    <row r="1445" spans="2:16" ht="30" x14ac:dyDescent="0.25">
      <c r="B1445" s="114" t="str">
        <f t="shared" si="147"/>
        <v>2</v>
      </c>
      <c r="C1445" s="114" t="str">
        <f t="shared" si="148"/>
        <v>1</v>
      </c>
      <c r="D1445" s="114" t="str">
        <f t="shared" si="149"/>
        <v>2</v>
      </c>
      <c r="E1445" s="114" t="str">
        <f t="shared" si="150"/>
        <v>8</v>
      </c>
      <c r="F1445" s="114" t="str">
        <f t="shared" si="151"/>
        <v>01</v>
      </c>
      <c r="G1445" s="114" t="str">
        <f t="shared" si="152"/>
        <v>5</v>
      </c>
      <c r="H1445" s="114" t="str">
        <f t="shared" si="153"/>
        <v>0</v>
      </c>
      <c r="I1445" s="115">
        <v>21280150</v>
      </c>
      <c r="J1445" s="114" t="s">
        <v>2662</v>
      </c>
      <c r="K1445" s="114" t="s">
        <v>2663</v>
      </c>
      <c r="L1445" s="116"/>
      <c r="M1445" s="114"/>
      <c r="N1445" s="114"/>
      <c r="O1445" s="114" t="s">
        <v>2878</v>
      </c>
      <c r="P1445" s="117" t="s">
        <v>2880</v>
      </c>
    </row>
    <row r="1446" spans="2:16" ht="30" x14ac:dyDescent="0.25">
      <c r="B1446" s="85" t="str">
        <f t="shared" si="147"/>
        <v>2</v>
      </c>
      <c r="C1446" s="85" t="str">
        <f t="shared" si="148"/>
        <v>1</v>
      </c>
      <c r="D1446" s="85" t="str">
        <f t="shared" si="149"/>
        <v>2</v>
      </c>
      <c r="E1446" s="85" t="str">
        <f t="shared" si="150"/>
        <v>8</v>
      </c>
      <c r="F1446" s="85" t="str">
        <f t="shared" si="151"/>
        <v>01</v>
      </c>
      <c r="G1446" s="85" t="str">
        <f t="shared" si="152"/>
        <v>5</v>
      </c>
      <c r="H1446" s="85" t="str">
        <f t="shared" si="153"/>
        <v>1</v>
      </c>
      <c r="I1446" s="87">
        <v>21280151</v>
      </c>
      <c r="J1446" s="85" t="s">
        <v>4864</v>
      </c>
      <c r="K1446" s="85" t="s">
        <v>2663</v>
      </c>
      <c r="L1446" s="84"/>
      <c r="M1446" s="85"/>
      <c r="N1446" s="85"/>
      <c r="O1446" s="85"/>
      <c r="P1446" s="86" t="s">
        <v>2890</v>
      </c>
    </row>
    <row r="1447" spans="2:16" ht="30" x14ac:dyDescent="0.25">
      <c r="B1447" s="114" t="str">
        <f t="shared" si="147"/>
        <v>2</v>
      </c>
      <c r="C1447" s="114" t="str">
        <f t="shared" si="148"/>
        <v>1</v>
      </c>
      <c r="D1447" s="114" t="str">
        <f t="shared" si="149"/>
        <v>2</v>
      </c>
      <c r="E1447" s="114" t="str">
        <f t="shared" si="150"/>
        <v>8</v>
      </c>
      <c r="F1447" s="114" t="str">
        <f t="shared" si="151"/>
        <v>01</v>
      </c>
      <c r="G1447" s="114" t="str">
        <f t="shared" si="152"/>
        <v>6</v>
      </c>
      <c r="H1447" s="114" t="str">
        <f t="shared" si="153"/>
        <v>0</v>
      </c>
      <c r="I1447" s="115">
        <v>21280160</v>
      </c>
      <c r="J1447" s="114" t="s">
        <v>2664</v>
      </c>
      <c r="K1447" s="114" t="s">
        <v>2665</v>
      </c>
      <c r="L1447" s="116"/>
      <c r="M1447" s="114"/>
      <c r="N1447" s="114"/>
      <c r="O1447" s="114" t="s">
        <v>2878</v>
      </c>
      <c r="P1447" s="117" t="s">
        <v>2880</v>
      </c>
    </row>
    <row r="1448" spans="2:16" ht="30" x14ac:dyDescent="0.25">
      <c r="B1448" s="85" t="str">
        <f t="shared" si="147"/>
        <v>2</v>
      </c>
      <c r="C1448" s="85" t="str">
        <f t="shared" si="148"/>
        <v>1</v>
      </c>
      <c r="D1448" s="85" t="str">
        <f t="shared" si="149"/>
        <v>2</v>
      </c>
      <c r="E1448" s="85" t="str">
        <f t="shared" si="150"/>
        <v>8</v>
      </c>
      <c r="F1448" s="85" t="str">
        <f t="shared" si="151"/>
        <v>01</v>
      </c>
      <c r="G1448" s="85" t="str">
        <f t="shared" si="152"/>
        <v>6</v>
      </c>
      <c r="H1448" s="85" t="str">
        <f t="shared" si="153"/>
        <v>1</v>
      </c>
      <c r="I1448" s="87">
        <v>21280161</v>
      </c>
      <c r="J1448" s="85" t="s">
        <v>4865</v>
      </c>
      <c r="K1448" s="85" t="s">
        <v>2665</v>
      </c>
      <c r="L1448" s="84"/>
      <c r="M1448" s="85"/>
      <c r="N1448" s="85"/>
      <c r="O1448" s="85"/>
      <c r="P1448" s="86" t="s">
        <v>2890</v>
      </c>
    </row>
    <row r="1449" spans="2:16" ht="30" x14ac:dyDescent="0.25">
      <c r="B1449" s="104" t="str">
        <f t="shared" si="147"/>
        <v>2</v>
      </c>
      <c r="C1449" s="104" t="str">
        <f t="shared" si="148"/>
        <v>1</v>
      </c>
      <c r="D1449" s="104" t="str">
        <f t="shared" si="149"/>
        <v>2</v>
      </c>
      <c r="E1449" s="104" t="str">
        <f t="shared" si="150"/>
        <v>9</v>
      </c>
      <c r="F1449" s="104" t="str">
        <f t="shared" si="151"/>
        <v>00</v>
      </c>
      <c r="G1449" s="104" t="str">
        <f t="shared" si="152"/>
        <v>0</v>
      </c>
      <c r="H1449" s="104" t="str">
        <f t="shared" si="153"/>
        <v>0</v>
      </c>
      <c r="I1449" s="105">
        <v>21290000</v>
      </c>
      <c r="J1449" s="104" t="s">
        <v>4601</v>
      </c>
      <c r="K1449" s="104" t="s">
        <v>4602</v>
      </c>
      <c r="L1449" s="106"/>
      <c r="M1449" s="104" t="s">
        <v>2878</v>
      </c>
      <c r="N1449" s="104" t="s">
        <v>2879</v>
      </c>
      <c r="O1449" s="104" t="s">
        <v>2878</v>
      </c>
      <c r="P1449" s="107" t="s">
        <v>2880</v>
      </c>
    </row>
    <row r="1450" spans="2:16" ht="30" x14ac:dyDescent="0.25">
      <c r="B1450" s="114" t="str">
        <f t="shared" si="147"/>
        <v>2</v>
      </c>
      <c r="C1450" s="114" t="str">
        <f t="shared" si="148"/>
        <v>1</v>
      </c>
      <c r="D1450" s="114" t="str">
        <f t="shared" si="149"/>
        <v>2</v>
      </c>
      <c r="E1450" s="114" t="str">
        <f t="shared" si="150"/>
        <v>9</v>
      </c>
      <c r="F1450" s="114" t="str">
        <f t="shared" si="151"/>
        <v>00</v>
      </c>
      <c r="G1450" s="114" t="str">
        <f t="shared" si="152"/>
        <v>1</v>
      </c>
      <c r="H1450" s="114" t="str">
        <f t="shared" si="153"/>
        <v>0</v>
      </c>
      <c r="I1450" s="115">
        <v>21290010</v>
      </c>
      <c r="J1450" s="114" t="s">
        <v>4601</v>
      </c>
      <c r="K1450" s="114" t="s">
        <v>4602</v>
      </c>
      <c r="L1450" s="116"/>
      <c r="M1450" s="114" t="s">
        <v>2878</v>
      </c>
      <c r="N1450" s="114" t="s">
        <v>2879</v>
      </c>
      <c r="O1450" s="114" t="s">
        <v>2878</v>
      </c>
      <c r="P1450" s="117" t="s">
        <v>2880</v>
      </c>
    </row>
    <row r="1451" spans="2:16" ht="30" x14ac:dyDescent="0.25">
      <c r="B1451" s="85" t="str">
        <f t="shared" si="147"/>
        <v>2</v>
      </c>
      <c r="C1451" s="85" t="str">
        <f t="shared" si="148"/>
        <v>1</v>
      </c>
      <c r="D1451" s="85" t="str">
        <f t="shared" si="149"/>
        <v>2</v>
      </c>
      <c r="E1451" s="85" t="str">
        <f t="shared" si="150"/>
        <v>9</v>
      </c>
      <c r="F1451" s="85" t="str">
        <f t="shared" si="151"/>
        <v>00</v>
      </c>
      <c r="G1451" s="85" t="str">
        <f t="shared" si="152"/>
        <v>1</v>
      </c>
      <c r="H1451" s="85" t="str">
        <f t="shared" si="153"/>
        <v>1</v>
      </c>
      <c r="I1451" s="87">
        <v>21290011</v>
      </c>
      <c r="J1451" s="85" t="s">
        <v>4603</v>
      </c>
      <c r="K1451" s="85" t="s">
        <v>4604</v>
      </c>
      <c r="L1451" s="84"/>
      <c r="M1451" s="85" t="s">
        <v>4600</v>
      </c>
      <c r="N1451" s="85" t="s">
        <v>2879</v>
      </c>
      <c r="O1451" s="85" t="s">
        <v>4590</v>
      </c>
      <c r="P1451" s="86" t="s">
        <v>2890</v>
      </c>
    </row>
    <row r="1452" spans="2:16" ht="30" x14ac:dyDescent="0.25">
      <c r="B1452" s="123" t="str">
        <f t="shared" si="147"/>
        <v>2</v>
      </c>
      <c r="C1452" s="123" t="str">
        <f t="shared" si="148"/>
        <v>2</v>
      </c>
      <c r="D1452" s="123" t="str">
        <f t="shared" si="149"/>
        <v>0</v>
      </c>
      <c r="E1452" s="123" t="str">
        <f t="shared" si="150"/>
        <v>0</v>
      </c>
      <c r="F1452" s="123" t="str">
        <f t="shared" si="151"/>
        <v>00</v>
      </c>
      <c r="G1452" s="123" t="str">
        <f t="shared" si="152"/>
        <v>0</v>
      </c>
      <c r="H1452" s="123" t="str">
        <f t="shared" si="153"/>
        <v>0</v>
      </c>
      <c r="I1452" s="124">
        <v>22000000</v>
      </c>
      <c r="J1452" s="123" t="s">
        <v>2670</v>
      </c>
      <c r="K1452" s="123" t="s">
        <v>4605</v>
      </c>
      <c r="L1452" s="103"/>
      <c r="M1452" s="123" t="s">
        <v>2878</v>
      </c>
      <c r="N1452" s="123" t="s">
        <v>5016</v>
      </c>
      <c r="O1452" s="123" t="s">
        <v>2878</v>
      </c>
      <c r="P1452" s="125" t="s">
        <v>2880</v>
      </c>
    </row>
    <row r="1453" spans="2:16" ht="30" x14ac:dyDescent="0.25">
      <c r="B1453" s="126" t="str">
        <f t="shared" si="147"/>
        <v>2</v>
      </c>
      <c r="C1453" s="126" t="str">
        <f t="shared" si="148"/>
        <v>2</v>
      </c>
      <c r="D1453" s="126" t="str">
        <f t="shared" si="149"/>
        <v>1</v>
      </c>
      <c r="E1453" s="126" t="str">
        <f t="shared" si="150"/>
        <v>0</v>
      </c>
      <c r="F1453" s="126" t="str">
        <f t="shared" si="151"/>
        <v>00</v>
      </c>
      <c r="G1453" s="126" t="str">
        <f t="shared" si="152"/>
        <v>0</v>
      </c>
      <c r="H1453" s="126" t="str">
        <f t="shared" si="153"/>
        <v>0</v>
      </c>
      <c r="I1453" s="127">
        <v>22100000</v>
      </c>
      <c r="J1453" s="126" t="s">
        <v>2672</v>
      </c>
      <c r="K1453" s="126" t="s">
        <v>4606</v>
      </c>
      <c r="L1453" s="122"/>
      <c r="M1453" s="126" t="s">
        <v>2878</v>
      </c>
      <c r="N1453" s="126" t="s">
        <v>5016</v>
      </c>
      <c r="O1453" s="126" t="s">
        <v>2878</v>
      </c>
      <c r="P1453" s="128" t="s">
        <v>2880</v>
      </c>
    </row>
    <row r="1454" spans="2:16" ht="30" x14ac:dyDescent="0.25">
      <c r="B1454" s="104" t="str">
        <f t="shared" si="147"/>
        <v>2</v>
      </c>
      <c r="C1454" s="104" t="str">
        <f t="shared" si="148"/>
        <v>2</v>
      </c>
      <c r="D1454" s="104" t="str">
        <f t="shared" si="149"/>
        <v>1</v>
      </c>
      <c r="E1454" s="104" t="str">
        <f t="shared" si="150"/>
        <v>1</v>
      </c>
      <c r="F1454" s="104" t="str">
        <f t="shared" si="151"/>
        <v>00</v>
      </c>
      <c r="G1454" s="104" t="str">
        <f t="shared" si="152"/>
        <v>0</v>
      </c>
      <c r="H1454" s="104" t="str">
        <f t="shared" si="153"/>
        <v>0</v>
      </c>
      <c r="I1454" s="105">
        <v>22110000</v>
      </c>
      <c r="J1454" s="104" t="s">
        <v>2674</v>
      </c>
      <c r="K1454" s="104" t="s">
        <v>4607</v>
      </c>
      <c r="L1454" s="106"/>
      <c r="M1454" s="104" t="s">
        <v>2878</v>
      </c>
      <c r="N1454" s="104" t="s">
        <v>2879</v>
      </c>
      <c r="O1454" s="104" t="s">
        <v>2878</v>
      </c>
      <c r="P1454" s="107" t="s">
        <v>2880</v>
      </c>
    </row>
    <row r="1455" spans="2:16" ht="30" x14ac:dyDescent="0.25">
      <c r="B1455" s="114" t="str">
        <f t="shared" si="147"/>
        <v>2</v>
      </c>
      <c r="C1455" s="114" t="str">
        <f t="shared" si="148"/>
        <v>2</v>
      </c>
      <c r="D1455" s="114" t="str">
        <f t="shared" si="149"/>
        <v>1</v>
      </c>
      <c r="E1455" s="114" t="str">
        <f t="shared" si="150"/>
        <v>1</v>
      </c>
      <c r="F1455" s="114" t="str">
        <f t="shared" si="151"/>
        <v>00</v>
      </c>
      <c r="G1455" s="114" t="str">
        <f t="shared" si="152"/>
        <v>1</v>
      </c>
      <c r="H1455" s="114" t="str">
        <f t="shared" si="153"/>
        <v>0</v>
      </c>
      <c r="I1455" s="115">
        <v>22110010</v>
      </c>
      <c r="J1455" s="114" t="s">
        <v>2674</v>
      </c>
      <c r="K1455" s="114" t="s">
        <v>4607</v>
      </c>
      <c r="L1455" s="116"/>
      <c r="M1455" s="114" t="s">
        <v>2878</v>
      </c>
      <c r="N1455" s="114" t="s">
        <v>2879</v>
      </c>
      <c r="O1455" s="114" t="s">
        <v>2878</v>
      </c>
      <c r="P1455" s="117" t="s">
        <v>2880</v>
      </c>
    </row>
    <row r="1456" spans="2:16" ht="60" x14ac:dyDescent="0.25">
      <c r="B1456" s="85" t="str">
        <f t="shared" si="147"/>
        <v>2</v>
      </c>
      <c r="C1456" s="85" t="str">
        <f t="shared" si="148"/>
        <v>2</v>
      </c>
      <c r="D1456" s="85" t="str">
        <f t="shared" si="149"/>
        <v>1</v>
      </c>
      <c r="E1456" s="85" t="str">
        <f t="shared" si="150"/>
        <v>1</v>
      </c>
      <c r="F1456" s="85" t="str">
        <f t="shared" si="151"/>
        <v>00</v>
      </c>
      <c r="G1456" s="85" t="str">
        <f t="shared" si="152"/>
        <v>1</v>
      </c>
      <c r="H1456" s="85" t="str">
        <f t="shared" si="153"/>
        <v>1</v>
      </c>
      <c r="I1456" s="87">
        <v>22110011</v>
      </c>
      <c r="J1456" s="85" t="s">
        <v>4608</v>
      </c>
      <c r="K1456" s="85" t="s">
        <v>4609</v>
      </c>
      <c r="L1456" s="84"/>
      <c r="M1456" s="85" t="s">
        <v>4610</v>
      </c>
      <c r="N1456" s="85" t="s">
        <v>2879</v>
      </c>
      <c r="O1456" s="85" t="s">
        <v>4611</v>
      </c>
      <c r="P1456" s="86" t="s">
        <v>2890</v>
      </c>
    </row>
    <row r="1457" spans="2:16" ht="30" x14ac:dyDescent="0.25">
      <c r="B1457" s="104" t="str">
        <f t="shared" si="147"/>
        <v>2</v>
      </c>
      <c r="C1457" s="104" t="str">
        <f t="shared" si="148"/>
        <v>2</v>
      </c>
      <c r="D1457" s="104" t="str">
        <f t="shared" si="149"/>
        <v>1</v>
      </c>
      <c r="E1457" s="104" t="str">
        <f t="shared" si="150"/>
        <v>2</v>
      </c>
      <c r="F1457" s="104" t="str">
        <f t="shared" si="151"/>
        <v>00</v>
      </c>
      <c r="G1457" s="104" t="str">
        <f t="shared" si="152"/>
        <v>0</v>
      </c>
      <c r="H1457" s="104" t="str">
        <f t="shared" si="153"/>
        <v>0</v>
      </c>
      <c r="I1457" s="105">
        <v>22120000</v>
      </c>
      <c r="J1457" s="104" t="s">
        <v>2676</v>
      </c>
      <c r="K1457" s="104" t="s">
        <v>4612</v>
      </c>
      <c r="L1457" s="106"/>
      <c r="M1457" s="104" t="s">
        <v>2878</v>
      </c>
      <c r="N1457" s="104" t="s">
        <v>2879</v>
      </c>
      <c r="O1457" s="104" t="s">
        <v>2878</v>
      </c>
      <c r="P1457" s="107" t="s">
        <v>2880</v>
      </c>
    </row>
    <row r="1458" spans="2:16" ht="105" x14ac:dyDescent="0.25">
      <c r="B1458" s="108" t="str">
        <f t="shared" si="147"/>
        <v>2</v>
      </c>
      <c r="C1458" s="108" t="str">
        <f t="shared" si="148"/>
        <v>2</v>
      </c>
      <c r="D1458" s="108" t="str">
        <f t="shared" si="149"/>
        <v>1</v>
      </c>
      <c r="E1458" s="108" t="str">
        <f t="shared" si="150"/>
        <v>2</v>
      </c>
      <c r="F1458" s="108" t="str">
        <f t="shared" si="151"/>
        <v>01</v>
      </c>
      <c r="G1458" s="108" t="str">
        <f t="shared" si="152"/>
        <v>0</v>
      </c>
      <c r="H1458" s="108" t="str">
        <f t="shared" si="153"/>
        <v>0</v>
      </c>
      <c r="I1458" s="109">
        <v>22120100</v>
      </c>
      <c r="J1458" s="108" t="s">
        <v>4613</v>
      </c>
      <c r="K1458" s="108" t="s">
        <v>4614</v>
      </c>
      <c r="L1458" s="110"/>
      <c r="M1458" s="108" t="s">
        <v>2878</v>
      </c>
      <c r="N1458" s="108" t="s">
        <v>2879</v>
      </c>
      <c r="O1458" s="108" t="s">
        <v>2878</v>
      </c>
      <c r="P1458" s="111" t="s">
        <v>2880</v>
      </c>
    </row>
    <row r="1459" spans="2:16" ht="105" x14ac:dyDescent="0.25">
      <c r="B1459" s="114" t="str">
        <f t="shared" si="147"/>
        <v>2</v>
      </c>
      <c r="C1459" s="114" t="str">
        <f t="shared" si="148"/>
        <v>2</v>
      </c>
      <c r="D1459" s="114" t="str">
        <f t="shared" si="149"/>
        <v>1</v>
      </c>
      <c r="E1459" s="114" t="str">
        <f t="shared" si="150"/>
        <v>2</v>
      </c>
      <c r="F1459" s="114" t="str">
        <f t="shared" si="151"/>
        <v>01</v>
      </c>
      <c r="G1459" s="114" t="str">
        <f t="shared" si="152"/>
        <v>1</v>
      </c>
      <c r="H1459" s="114" t="str">
        <f t="shared" si="153"/>
        <v>0</v>
      </c>
      <c r="I1459" s="115">
        <v>22120110</v>
      </c>
      <c r="J1459" s="114" t="s">
        <v>4613</v>
      </c>
      <c r="K1459" s="114" t="s">
        <v>4614</v>
      </c>
      <c r="L1459" s="116"/>
      <c r="M1459" s="114" t="s">
        <v>2878</v>
      </c>
      <c r="N1459" s="114" t="s">
        <v>2879</v>
      </c>
      <c r="O1459" s="114" t="s">
        <v>2878</v>
      </c>
      <c r="P1459" s="117" t="s">
        <v>2880</v>
      </c>
    </row>
    <row r="1460" spans="2:16" ht="105" x14ac:dyDescent="0.25">
      <c r="B1460" s="85" t="str">
        <f t="shared" si="147"/>
        <v>2</v>
      </c>
      <c r="C1460" s="85" t="str">
        <f t="shared" si="148"/>
        <v>2</v>
      </c>
      <c r="D1460" s="85" t="str">
        <f t="shared" si="149"/>
        <v>1</v>
      </c>
      <c r="E1460" s="85" t="str">
        <f t="shared" si="150"/>
        <v>2</v>
      </c>
      <c r="F1460" s="85" t="str">
        <f t="shared" si="151"/>
        <v>01</v>
      </c>
      <c r="G1460" s="85" t="str">
        <f t="shared" si="152"/>
        <v>1</v>
      </c>
      <c r="H1460" s="85" t="str">
        <f t="shared" si="153"/>
        <v>1</v>
      </c>
      <c r="I1460" s="87">
        <v>22120111</v>
      </c>
      <c r="J1460" s="85" t="s">
        <v>4615</v>
      </c>
      <c r="K1460" s="85" t="s">
        <v>4616</v>
      </c>
      <c r="L1460" s="84"/>
      <c r="M1460" s="85" t="s">
        <v>4617</v>
      </c>
      <c r="N1460" s="85" t="s">
        <v>2879</v>
      </c>
      <c r="O1460" s="85" t="s">
        <v>4618</v>
      </c>
      <c r="P1460" s="86" t="s">
        <v>2890</v>
      </c>
    </row>
    <row r="1461" spans="2:16" ht="60" x14ac:dyDescent="0.25">
      <c r="B1461" s="108" t="str">
        <f t="shared" si="147"/>
        <v>2</v>
      </c>
      <c r="C1461" s="108" t="str">
        <f t="shared" si="148"/>
        <v>2</v>
      </c>
      <c r="D1461" s="108" t="str">
        <f t="shared" si="149"/>
        <v>1</v>
      </c>
      <c r="E1461" s="108" t="str">
        <f t="shared" si="150"/>
        <v>2</v>
      </c>
      <c r="F1461" s="108" t="str">
        <f t="shared" si="151"/>
        <v>02</v>
      </c>
      <c r="G1461" s="108" t="str">
        <f t="shared" si="152"/>
        <v>0</v>
      </c>
      <c r="H1461" s="108" t="str">
        <f t="shared" si="153"/>
        <v>0</v>
      </c>
      <c r="I1461" s="109">
        <v>22120200</v>
      </c>
      <c r="J1461" s="108" t="s">
        <v>4619</v>
      </c>
      <c r="K1461" s="108" t="s">
        <v>4620</v>
      </c>
      <c r="L1461" s="110"/>
      <c r="M1461" s="108" t="s">
        <v>2878</v>
      </c>
      <c r="N1461" s="108" t="s">
        <v>2879</v>
      </c>
      <c r="O1461" s="108" t="s">
        <v>2878</v>
      </c>
      <c r="P1461" s="111" t="s">
        <v>2880</v>
      </c>
    </row>
    <row r="1462" spans="2:16" ht="60" x14ac:dyDescent="0.25">
      <c r="B1462" s="114" t="str">
        <f t="shared" si="147"/>
        <v>2</v>
      </c>
      <c r="C1462" s="114" t="str">
        <f t="shared" si="148"/>
        <v>2</v>
      </c>
      <c r="D1462" s="114" t="str">
        <f t="shared" si="149"/>
        <v>1</v>
      </c>
      <c r="E1462" s="114" t="str">
        <f t="shared" si="150"/>
        <v>2</v>
      </c>
      <c r="F1462" s="114" t="str">
        <f t="shared" si="151"/>
        <v>02</v>
      </c>
      <c r="G1462" s="114" t="str">
        <f t="shared" si="152"/>
        <v>1</v>
      </c>
      <c r="H1462" s="114" t="str">
        <f t="shared" si="153"/>
        <v>0</v>
      </c>
      <c r="I1462" s="115">
        <v>22120210</v>
      </c>
      <c r="J1462" s="114" t="s">
        <v>4619</v>
      </c>
      <c r="K1462" s="114" t="s">
        <v>4620</v>
      </c>
      <c r="L1462" s="116"/>
      <c r="M1462" s="114" t="s">
        <v>2878</v>
      </c>
      <c r="N1462" s="114" t="s">
        <v>2879</v>
      </c>
      <c r="O1462" s="114" t="s">
        <v>2878</v>
      </c>
      <c r="P1462" s="117" t="s">
        <v>2880</v>
      </c>
    </row>
    <row r="1463" spans="2:16" ht="60" x14ac:dyDescent="0.25">
      <c r="B1463" s="85" t="str">
        <f t="shared" si="147"/>
        <v>2</v>
      </c>
      <c r="C1463" s="85" t="str">
        <f t="shared" si="148"/>
        <v>2</v>
      </c>
      <c r="D1463" s="85" t="str">
        <f t="shared" si="149"/>
        <v>1</v>
      </c>
      <c r="E1463" s="85" t="str">
        <f t="shared" si="150"/>
        <v>2</v>
      </c>
      <c r="F1463" s="85" t="str">
        <f t="shared" si="151"/>
        <v>02</v>
      </c>
      <c r="G1463" s="85" t="str">
        <f t="shared" si="152"/>
        <v>1</v>
      </c>
      <c r="H1463" s="85" t="str">
        <f t="shared" si="153"/>
        <v>1</v>
      </c>
      <c r="I1463" s="87">
        <v>22120211</v>
      </c>
      <c r="J1463" s="85" t="s">
        <v>4621</v>
      </c>
      <c r="K1463" s="85" t="s">
        <v>4622</v>
      </c>
      <c r="L1463" s="84"/>
      <c r="M1463" s="85" t="s">
        <v>4623</v>
      </c>
      <c r="N1463" s="85" t="s">
        <v>2879</v>
      </c>
      <c r="O1463" s="85" t="s">
        <v>4624</v>
      </c>
      <c r="P1463" s="86" t="s">
        <v>2890</v>
      </c>
    </row>
    <row r="1464" spans="2:16" ht="60" x14ac:dyDescent="0.25">
      <c r="B1464" s="108" t="str">
        <f t="shared" si="147"/>
        <v>2</v>
      </c>
      <c r="C1464" s="108" t="str">
        <f t="shared" si="148"/>
        <v>2</v>
      </c>
      <c r="D1464" s="108" t="str">
        <f t="shared" si="149"/>
        <v>1</v>
      </c>
      <c r="E1464" s="108" t="str">
        <f t="shared" si="150"/>
        <v>2</v>
      </c>
      <c r="F1464" s="108" t="str">
        <f t="shared" si="151"/>
        <v>03</v>
      </c>
      <c r="G1464" s="108" t="str">
        <f t="shared" si="152"/>
        <v>0</v>
      </c>
      <c r="H1464" s="108" t="str">
        <f t="shared" si="153"/>
        <v>0</v>
      </c>
      <c r="I1464" s="109">
        <v>22120300</v>
      </c>
      <c r="J1464" s="108" t="s">
        <v>4625</v>
      </c>
      <c r="K1464" s="108" t="s">
        <v>4626</v>
      </c>
      <c r="L1464" s="110"/>
      <c r="M1464" s="108" t="s">
        <v>2878</v>
      </c>
      <c r="N1464" s="108" t="s">
        <v>2879</v>
      </c>
      <c r="O1464" s="108" t="s">
        <v>2878</v>
      </c>
      <c r="P1464" s="111" t="s">
        <v>2880</v>
      </c>
    </row>
    <row r="1465" spans="2:16" ht="60" x14ac:dyDescent="0.25">
      <c r="B1465" s="114" t="str">
        <f t="shared" si="147"/>
        <v>2</v>
      </c>
      <c r="C1465" s="114" t="str">
        <f t="shared" si="148"/>
        <v>2</v>
      </c>
      <c r="D1465" s="114" t="str">
        <f t="shared" si="149"/>
        <v>1</v>
      </c>
      <c r="E1465" s="114" t="str">
        <f t="shared" si="150"/>
        <v>2</v>
      </c>
      <c r="F1465" s="114" t="str">
        <f t="shared" si="151"/>
        <v>03</v>
      </c>
      <c r="G1465" s="114" t="str">
        <f t="shared" si="152"/>
        <v>1</v>
      </c>
      <c r="H1465" s="114" t="str">
        <f t="shared" si="153"/>
        <v>0</v>
      </c>
      <c r="I1465" s="115">
        <v>22120310</v>
      </c>
      <c r="J1465" s="114" t="s">
        <v>4625</v>
      </c>
      <c r="K1465" s="114" t="s">
        <v>4626</v>
      </c>
      <c r="L1465" s="116"/>
      <c r="M1465" s="114" t="s">
        <v>2878</v>
      </c>
      <c r="N1465" s="114" t="s">
        <v>2879</v>
      </c>
      <c r="O1465" s="114" t="s">
        <v>2878</v>
      </c>
      <c r="P1465" s="117" t="s">
        <v>2880</v>
      </c>
    </row>
    <row r="1466" spans="2:16" ht="60" x14ac:dyDescent="0.25">
      <c r="B1466" s="85" t="str">
        <f t="shared" si="147"/>
        <v>2</v>
      </c>
      <c r="C1466" s="85" t="str">
        <f t="shared" si="148"/>
        <v>2</v>
      </c>
      <c r="D1466" s="85" t="str">
        <f t="shared" si="149"/>
        <v>1</v>
      </c>
      <c r="E1466" s="85" t="str">
        <f t="shared" si="150"/>
        <v>2</v>
      </c>
      <c r="F1466" s="85" t="str">
        <f t="shared" si="151"/>
        <v>03</v>
      </c>
      <c r="G1466" s="85" t="str">
        <f t="shared" si="152"/>
        <v>1</v>
      </c>
      <c r="H1466" s="85" t="str">
        <f t="shared" si="153"/>
        <v>1</v>
      </c>
      <c r="I1466" s="87">
        <v>22120311</v>
      </c>
      <c r="J1466" s="85" t="s">
        <v>4627</v>
      </c>
      <c r="K1466" s="85" t="s">
        <v>4628</v>
      </c>
      <c r="L1466" s="84"/>
      <c r="M1466" s="85" t="s">
        <v>4629</v>
      </c>
      <c r="N1466" s="85" t="s">
        <v>2133</v>
      </c>
      <c r="O1466" s="85" t="s">
        <v>4630</v>
      </c>
      <c r="P1466" s="86" t="s">
        <v>2890</v>
      </c>
    </row>
    <row r="1467" spans="2:16" ht="45" x14ac:dyDescent="0.25">
      <c r="B1467" s="108" t="str">
        <f t="shared" si="147"/>
        <v>2</v>
      </c>
      <c r="C1467" s="108" t="str">
        <f t="shared" si="148"/>
        <v>2</v>
      </c>
      <c r="D1467" s="108" t="str">
        <f t="shared" si="149"/>
        <v>1</v>
      </c>
      <c r="E1467" s="108" t="str">
        <f t="shared" si="150"/>
        <v>2</v>
      </c>
      <c r="F1467" s="108" t="str">
        <f t="shared" si="151"/>
        <v>04</v>
      </c>
      <c r="G1467" s="108" t="str">
        <f t="shared" si="152"/>
        <v>0</v>
      </c>
      <c r="H1467" s="108" t="str">
        <f t="shared" si="153"/>
        <v>0</v>
      </c>
      <c r="I1467" s="109">
        <v>22120400</v>
      </c>
      <c r="J1467" s="108" t="s">
        <v>4631</v>
      </c>
      <c r="K1467" s="108" t="s">
        <v>4632</v>
      </c>
      <c r="L1467" s="110"/>
      <c r="M1467" s="108" t="s">
        <v>2878</v>
      </c>
      <c r="N1467" s="108" t="s">
        <v>2879</v>
      </c>
      <c r="O1467" s="108" t="s">
        <v>2878</v>
      </c>
      <c r="P1467" s="111" t="s">
        <v>2880</v>
      </c>
    </row>
    <row r="1468" spans="2:16" ht="45" x14ac:dyDescent="0.25">
      <c r="B1468" s="114" t="str">
        <f t="shared" si="147"/>
        <v>2</v>
      </c>
      <c r="C1468" s="114" t="str">
        <f t="shared" si="148"/>
        <v>2</v>
      </c>
      <c r="D1468" s="114" t="str">
        <f t="shared" si="149"/>
        <v>1</v>
      </c>
      <c r="E1468" s="114" t="str">
        <f t="shared" si="150"/>
        <v>2</v>
      </c>
      <c r="F1468" s="114" t="str">
        <f t="shared" si="151"/>
        <v>04</v>
      </c>
      <c r="G1468" s="114" t="str">
        <f t="shared" si="152"/>
        <v>1</v>
      </c>
      <c r="H1468" s="114" t="str">
        <f t="shared" si="153"/>
        <v>0</v>
      </c>
      <c r="I1468" s="115">
        <v>22120410</v>
      </c>
      <c r="J1468" s="114" t="s">
        <v>4631</v>
      </c>
      <c r="K1468" s="114" t="s">
        <v>4632</v>
      </c>
      <c r="L1468" s="116"/>
      <c r="M1468" s="114" t="s">
        <v>2878</v>
      </c>
      <c r="N1468" s="114" t="s">
        <v>2879</v>
      </c>
      <c r="O1468" s="114" t="s">
        <v>2878</v>
      </c>
      <c r="P1468" s="117" t="s">
        <v>2880</v>
      </c>
    </row>
    <row r="1469" spans="2:16" ht="45" x14ac:dyDescent="0.25">
      <c r="B1469" s="85" t="str">
        <f t="shared" si="147"/>
        <v>2</v>
      </c>
      <c r="C1469" s="85" t="str">
        <f t="shared" si="148"/>
        <v>2</v>
      </c>
      <c r="D1469" s="85" t="str">
        <f t="shared" si="149"/>
        <v>1</v>
      </c>
      <c r="E1469" s="85" t="str">
        <f t="shared" si="150"/>
        <v>2</v>
      </c>
      <c r="F1469" s="85" t="str">
        <f t="shared" si="151"/>
        <v>04</v>
      </c>
      <c r="G1469" s="85" t="str">
        <f t="shared" si="152"/>
        <v>1</v>
      </c>
      <c r="H1469" s="85" t="str">
        <f t="shared" si="153"/>
        <v>1</v>
      </c>
      <c r="I1469" s="87">
        <v>22120411</v>
      </c>
      <c r="J1469" s="85" t="s">
        <v>4633</v>
      </c>
      <c r="K1469" s="85" t="s">
        <v>4634</v>
      </c>
      <c r="L1469" s="84"/>
      <c r="M1469" s="85" t="s">
        <v>4635</v>
      </c>
      <c r="N1469" s="85" t="s">
        <v>2879</v>
      </c>
      <c r="O1469" s="85" t="s">
        <v>4636</v>
      </c>
      <c r="P1469" s="86" t="s">
        <v>2890</v>
      </c>
    </row>
    <row r="1470" spans="2:16" ht="30" x14ac:dyDescent="0.25">
      <c r="B1470" s="85" t="str">
        <f t="shared" si="147"/>
        <v>2</v>
      </c>
      <c r="C1470" s="85" t="str">
        <f t="shared" si="148"/>
        <v>2</v>
      </c>
      <c r="D1470" s="85" t="str">
        <f t="shared" si="149"/>
        <v>1</v>
      </c>
      <c r="E1470" s="85" t="str">
        <f t="shared" si="150"/>
        <v>2</v>
      </c>
      <c r="F1470" s="85" t="str">
        <f t="shared" si="151"/>
        <v>04</v>
      </c>
      <c r="G1470" s="85" t="str">
        <f t="shared" si="152"/>
        <v>1</v>
      </c>
      <c r="H1470" s="85" t="str">
        <f t="shared" si="153"/>
        <v>3</v>
      </c>
      <c r="I1470" s="87">
        <v>22120413</v>
      </c>
      <c r="J1470" s="85" t="s">
        <v>4866</v>
      </c>
      <c r="K1470" s="85" t="s">
        <v>2858</v>
      </c>
      <c r="L1470" s="84"/>
      <c r="M1470" s="85"/>
      <c r="N1470" s="85"/>
      <c r="O1470" s="85"/>
      <c r="P1470" s="86" t="s">
        <v>2890</v>
      </c>
    </row>
    <row r="1471" spans="2:16" ht="30" x14ac:dyDescent="0.25">
      <c r="B1471" s="104" t="str">
        <f t="shared" si="147"/>
        <v>2</v>
      </c>
      <c r="C1471" s="104" t="str">
        <f t="shared" si="148"/>
        <v>2</v>
      </c>
      <c r="D1471" s="104" t="str">
        <f t="shared" si="149"/>
        <v>1</v>
      </c>
      <c r="E1471" s="104" t="str">
        <f t="shared" si="150"/>
        <v>3</v>
      </c>
      <c r="F1471" s="104" t="str">
        <f t="shared" si="151"/>
        <v>00</v>
      </c>
      <c r="G1471" s="104" t="str">
        <f t="shared" si="152"/>
        <v>0</v>
      </c>
      <c r="H1471" s="104" t="str">
        <f t="shared" si="153"/>
        <v>0</v>
      </c>
      <c r="I1471" s="105">
        <v>22130000</v>
      </c>
      <c r="J1471" s="104" t="s">
        <v>4637</v>
      </c>
      <c r="K1471" s="104" t="s">
        <v>4638</v>
      </c>
      <c r="L1471" s="106"/>
      <c r="M1471" s="104" t="s">
        <v>2878</v>
      </c>
      <c r="N1471" s="104" t="s">
        <v>2879</v>
      </c>
      <c r="O1471" s="104" t="s">
        <v>2878</v>
      </c>
      <c r="P1471" s="107" t="s">
        <v>2880</v>
      </c>
    </row>
    <row r="1472" spans="2:16" ht="30" x14ac:dyDescent="0.25">
      <c r="B1472" s="114" t="str">
        <f t="shared" si="147"/>
        <v>2</v>
      </c>
      <c r="C1472" s="114" t="str">
        <f t="shared" si="148"/>
        <v>2</v>
      </c>
      <c r="D1472" s="114" t="str">
        <f t="shared" si="149"/>
        <v>1</v>
      </c>
      <c r="E1472" s="114" t="str">
        <f t="shared" si="150"/>
        <v>3</v>
      </c>
      <c r="F1472" s="114" t="str">
        <f t="shared" si="151"/>
        <v>00</v>
      </c>
      <c r="G1472" s="114" t="str">
        <f t="shared" si="152"/>
        <v>1</v>
      </c>
      <c r="H1472" s="114" t="str">
        <f t="shared" si="153"/>
        <v>0</v>
      </c>
      <c r="I1472" s="115">
        <v>22130010</v>
      </c>
      <c r="J1472" s="114" t="s">
        <v>4637</v>
      </c>
      <c r="K1472" s="114" t="s">
        <v>4638</v>
      </c>
      <c r="L1472" s="116"/>
      <c r="M1472" s="114" t="s">
        <v>2878</v>
      </c>
      <c r="N1472" s="114" t="s">
        <v>2879</v>
      </c>
      <c r="O1472" s="114" t="s">
        <v>2878</v>
      </c>
      <c r="P1472" s="117" t="s">
        <v>2880</v>
      </c>
    </row>
    <row r="1473" spans="2:16" ht="30" x14ac:dyDescent="0.25">
      <c r="B1473" s="85" t="str">
        <f t="shared" si="147"/>
        <v>2</v>
      </c>
      <c r="C1473" s="85" t="str">
        <f t="shared" si="148"/>
        <v>2</v>
      </c>
      <c r="D1473" s="85" t="str">
        <f t="shared" si="149"/>
        <v>1</v>
      </c>
      <c r="E1473" s="85" t="str">
        <f t="shared" si="150"/>
        <v>3</v>
      </c>
      <c r="F1473" s="85" t="str">
        <f t="shared" si="151"/>
        <v>00</v>
      </c>
      <c r="G1473" s="85" t="str">
        <f t="shared" si="152"/>
        <v>1</v>
      </c>
      <c r="H1473" s="85" t="str">
        <f t="shared" si="153"/>
        <v>1</v>
      </c>
      <c r="I1473" s="87">
        <v>22130011</v>
      </c>
      <c r="J1473" s="85" t="s">
        <v>4639</v>
      </c>
      <c r="K1473" s="85" t="s">
        <v>4640</v>
      </c>
      <c r="L1473" s="84"/>
      <c r="M1473" s="85" t="s">
        <v>4024</v>
      </c>
      <c r="N1473" s="85" t="s">
        <v>2879</v>
      </c>
      <c r="O1473" s="85" t="s">
        <v>4611</v>
      </c>
      <c r="P1473" s="86" t="s">
        <v>2890</v>
      </c>
    </row>
    <row r="1474" spans="2:16" ht="45" x14ac:dyDescent="0.25">
      <c r="B1474" s="104" t="str">
        <f t="shared" si="147"/>
        <v>2</v>
      </c>
      <c r="C1474" s="104" t="str">
        <f t="shared" si="148"/>
        <v>2</v>
      </c>
      <c r="D1474" s="104" t="str">
        <f t="shared" si="149"/>
        <v>1</v>
      </c>
      <c r="E1474" s="104" t="str">
        <f t="shared" si="150"/>
        <v>8</v>
      </c>
      <c r="F1474" s="104" t="str">
        <f t="shared" si="151"/>
        <v>00</v>
      </c>
      <c r="G1474" s="104" t="str">
        <f t="shared" si="152"/>
        <v>0</v>
      </c>
      <c r="H1474" s="104" t="str">
        <f t="shared" si="153"/>
        <v>0</v>
      </c>
      <c r="I1474" s="105">
        <v>22180000</v>
      </c>
      <c r="J1474" s="104" t="s">
        <v>5120</v>
      </c>
      <c r="K1474" s="104" t="s">
        <v>5121</v>
      </c>
      <c r="L1474" s="106"/>
      <c r="M1474" s="104"/>
      <c r="N1474" s="104"/>
      <c r="O1474" s="104"/>
      <c r="P1474" s="107" t="s">
        <v>2880</v>
      </c>
    </row>
    <row r="1475" spans="2:16" ht="30" x14ac:dyDescent="0.25">
      <c r="B1475" s="108" t="str">
        <f t="shared" si="147"/>
        <v>2</v>
      </c>
      <c r="C1475" s="108" t="str">
        <f t="shared" si="148"/>
        <v>2</v>
      </c>
      <c r="D1475" s="108" t="str">
        <f t="shared" si="149"/>
        <v>1</v>
      </c>
      <c r="E1475" s="108" t="str">
        <f t="shared" si="150"/>
        <v>8</v>
      </c>
      <c r="F1475" s="108" t="str">
        <f t="shared" si="151"/>
        <v>01</v>
      </c>
      <c r="G1475" s="108" t="str">
        <f t="shared" si="152"/>
        <v>0</v>
      </c>
      <c r="H1475" s="108" t="str">
        <f t="shared" si="153"/>
        <v>0</v>
      </c>
      <c r="I1475" s="109">
        <v>22180100</v>
      </c>
      <c r="J1475" s="108" t="s">
        <v>2674</v>
      </c>
      <c r="K1475" s="108" t="s">
        <v>5122</v>
      </c>
      <c r="L1475" s="110"/>
      <c r="M1475" s="108"/>
      <c r="N1475" s="108"/>
      <c r="O1475" s="108"/>
      <c r="P1475" s="111" t="s">
        <v>2880</v>
      </c>
    </row>
    <row r="1476" spans="2:16" ht="30" x14ac:dyDescent="0.25">
      <c r="B1476" s="114" t="str">
        <f t="shared" si="147"/>
        <v>2</v>
      </c>
      <c r="C1476" s="114" t="str">
        <f t="shared" si="148"/>
        <v>2</v>
      </c>
      <c r="D1476" s="114" t="str">
        <f t="shared" si="149"/>
        <v>1</v>
      </c>
      <c r="E1476" s="114" t="str">
        <f t="shared" si="150"/>
        <v>8</v>
      </c>
      <c r="F1476" s="114" t="str">
        <f t="shared" si="151"/>
        <v>01</v>
      </c>
      <c r="G1476" s="114" t="str">
        <f t="shared" si="152"/>
        <v>1</v>
      </c>
      <c r="H1476" s="114" t="str">
        <f t="shared" si="153"/>
        <v>0</v>
      </c>
      <c r="I1476" s="115">
        <v>22180110</v>
      </c>
      <c r="J1476" s="114" t="s">
        <v>5123</v>
      </c>
      <c r="K1476" s="114" t="s">
        <v>5124</v>
      </c>
      <c r="L1476" s="116"/>
      <c r="M1476" s="114"/>
      <c r="N1476" s="114"/>
      <c r="O1476" s="114"/>
      <c r="P1476" s="117" t="s">
        <v>2880</v>
      </c>
    </row>
    <row r="1477" spans="2:16" ht="30" x14ac:dyDescent="0.25">
      <c r="B1477" s="85" t="str">
        <f t="shared" si="147"/>
        <v>2</v>
      </c>
      <c r="C1477" s="85" t="str">
        <f t="shared" si="148"/>
        <v>2</v>
      </c>
      <c r="D1477" s="85" t="str">
        <f t="shared" si="149"/>
        <v>1</v>
      </c>
      <c r="E1477" s="85" t="str">
        <f t="shared" si="150"/>
        <v>8</v>
      </c>
      <c r="F1477" s="85" t="str">
        <f t="shared" si="151"/>
        <v>01</v>
      </c>
      <c r="G1477" s="85" t="str">
        <f t="shared" si="152"/>
        <v>1</v>
      </c>
      <c r="H1477" s="85" t="str">
        <f t="shared" si="153"/>
        <v>1</v>
      </c>
      <c r="I1477" s="87">
        <v>22180111</v>
      </c>
      <c r="J1477" s="85" t="s">
        <v>5125</v>
      </c>
      <c r="K1477" s="85" t="s">
        <v>5124</v>
      </c>
      <c r="L1477" s="84"/>
      <c r="M1477" s="85"/>
      <c r="N1477" s="85"/>
      <c r="O1477" s="85"/>
      <c r="P1477" s="86" t="s">
        <v>2890</v>
      </c>
    </row>
    <row r="1478" spans="2:16" ht="30" x14ac:dyDescent="0.25">
      <c r="B1478" s="114" t="str">
        <f t="shared" si="147"/>
        <v>2</v>
      </c>
      <c r="C1478" s="114" t="str">
        <f t="shared" si="148"/>
        <v>2</v>
      </c>
      <c r="D1478" s="114" t="str">
        <f t="shared" si="149"/>
        <v>1</v>
      </c>
      <c r="E1478" s="114" t="str">
        <f t="shared" si="150"/>
        <v>8</v>
      </c>
      <c r="F1478" s="114" t="str">
        <f t="shared" si="151"/>
        <v>01</v>
      </c>
      <c r="G1478" s="114" t="str">
        <f t="shared" si="152"/>
        <v>2</v>
      </c>
      <c r="H1478" s="114" t="str">
        <f t="shared" si="153"/>
        <v>0</v>
      </c>
      <c r="I1478" s="115">
        <v>22180120</v>
      </c>
      <c r="J1478" s="114" t="s">
        <v>5126</v>
      </c>
      <c r="K1478" s="114" t="s">
        <v>5127</v>
      </c>
      <c r="L1478" s="116"/>
      <c r="M1478" s="114"/>
      <c r="N1478" s="114"/>
      <c r="O1478" s="114"/>
      <c r="P1478" s="117" t="s">
        <v>2880</v>
      </c>
    </row>
    <row r="1479" spans="2:16" ht="30" x14ac:dyDescent="0.25">
      <c r="B1479" s="85" t="str">
        <f t="shared" si="147"/>
        <v>2</v>
      </c>
      <c r="C1479" s="85" t="str">
        <f t="shared" si="148"/>
        <v>2</v>
      </c>
      <c r="D1479" s="85" t="str">
        <f t="shared" si="149"/>
        <v>1</v>
      </c>
      <c r="E1479" s="85" t="str">
        <f t="shared" si="150"/>
        <v>8</v>
      </c>
      <c r="F1479" s="85" t="str">
        <f t="shared" si="151"/>
        <v>01</v>
      </c>
      <c r="G1479" s="85" t="str">
        <f t="shared" si="152"/>
        <v>2</v>
      </c>
      <c r="H1479" s="85" t="str">
        <f t="shared" si="153"/>
        <v>1</v>
      </c>
      <c r="I1479" s="87">
        <v>22180121</v>
      </c>
      <c r="J1479" s="85" t="s">
        <v>5128</v>
      </c>
      <c r="K1479" s="85" t="s">
        <v>5129</v>
      </c>
      <c r="L1479" s="84"/>
      <c r="M1479" s="85"/>
      <c r="N1479" s="85"/>
      <c r="O1479" s="85"/>
      <c r="P1479" s="86" t="s">
        <v>2890</v>
      </c>
    </row>
    <row r="1480" spans="2:16" ht="30" x14ac:dyDescent="0.25">
      <c r="B1480" s="126" t="str">
        <f t="shared" si="147"/>
        <v>2</v>
      </c>
      <c r="C1480" s="126" t="str">
        <f t="shared" si="148"/>
        <v>2</v>
      </c>
      <c r="D1480" s="126" t="str">
        <f t="shared" si="149"/>
        <v>2</v>
      </c>
      <c r="E1480" s="126" t="str">
        <f t="shared" si="150"/>
        <v>0</v>
      </c>
      <c r="F1480" s="126" t="str">
        <f t="shared" si="151"/>
        <v>00</v>
      </c>
      <c r="G1480" s="126" t="str">
        <f t="shared" si="152"/>
        <v>0</v>
      </c>
      <c r="H1480" s="126" t="str">
        <f t="shared" si="153"/>
        <v>0</v>
      </c>
      <c r="I1480" s="127">
        <v>22200000</v>
      </c>
      <c r="J1480" s="126" t="s">
        <v>2718</v>
      </c>
      <c r="K1480" s="126" t="s">
        <v>5130</v>
      </c>
      <c r="L1480" s="122"/>
      <c r="M1480" s="126" t="s">
        <v>2878</v>
      </c>
      <c r="N1480" s="126" t="s">
        <v>5016</v>
      </c>
      <c r="O1480" s="126" t="s">
        <v>2878</v>
      </c>
      <c r="P1480" s="128" t="s">
        <v>2880</v>
      </c>
    </row>
    <row r="1481" spans="2:16" ht="30" x14ac:dyDescent="0.25">
      <c r="B1481" s="114" t="str">
        <f t="shared" si="147"/>
        <v>2</v>
      </c>
      <c r="C1481" s="114" t="str">
        <f t="shared" si="148"/>
        <v>2</v>
      </c>
      <c r="D1481" s="114" t="str">
        <f t="shared" si="149"/>
        <v>2</v>
      </c>
      <c r="E1481" s="114" t="str">
        <f t="shared" si="150"/>
        <v>0</v>
      </c>
      <c r="F1481" s="114" t="str">
        <f t="shared" si="151"/>
        <v>00</v>
      </c>
      <c r="G1481" s="114" t="str">
        <f t="shared" si="152"/>
        <v>1</v>
      </c>
      <c r="H1481" s="114" t="str">
        <f t="shared" si="153"/>
        <v>0</v>
      </c>
      <c r="I1481" s="115">
        <v>22200010</v>
      </c>
      <c r="J1481" s="114" t="s">
        <v>2718</v>
      </c>
      <c r="K1481" s="114" t="s">
        <v>5131</v>
      </c>
      <c r="L1481" s="116"/>
      <c r="M1481" s="114" t="s">
        <v>2878</v>
      </c>
      <c r="N1481" s="114" t="s">
        <v>2879</v>
      </c>
      <c r="O1481" s="114" t="s">
        <v>2878</v>
      </c>
      <c r="P1481" s="117" t="s">
        <v>2880</v>
      </c>
    </row>
    <row r="1482" spans="2:16" ht="30" x14ac:dyDescent="0.25">
      <c r="B1482" s="85" t="str">
        <f t="shared" si="147"/>
        <v>2</v>
      </c>
      <c r="C1482" s="85" t="str">
        <f t="shared" si="148"/>
        <v>2</v>
      </c>
      <c r="D1482" s="85" t="str">
        <f t="shared" si="149"/>
        <v>2</v>
      </c>
      <c r="E1482" s="85" t="str">
        <f t="shared" si="150"/>
        <v>0</v>
      </c>
      <c r="F1482" s="85" t="str">
        <f t="shared" si="151"/>
        <v>00</v>
      </c>
      <c r="G1482" s="85" t="str">
        <f t="shared" si="152"/>
        <v>1</v>
      </c>
      <c r="H1482" s="85" t="str">
        <f t="shared" si="153"/>
        <v>1</v>
      </c>
      <c r="I1482" s="87">
        <v>22200011</v>
      </c>
      <c r="J1482" s="85" t="s">
        <v>4641</v>
      </c>
      <c r="K1482" s="85" t="s">
        <v>5132</v>
      </c>
      <c r="L1482" s="84"/>
      <c r="M1482" s="85" t="s">
        <v>4024</v>
      </c>
      <c r="N1482" s="85" t="s">
        <v>2879</v>
      </c>
      <c r="O1482" s="85" t="s">
        <v>4642</v>
      </c>
      <c r="P1482" s="86" t="s">
        <v>2890</v>
      </c>
    </row>
    <row r="1483" spans="2:16" ht="15.75" x14ac:dyDescent="0.25">
      <c r="B1483" s="85" t="str">
        <f t="shared" ref="B1483:B1550" si="154">MID($I1483,1,1)</f>
        <v>2</v>
      </c>
      <c r="C1483" s="85" t="str">
        <f t="shared" ref="C1483:C1550" si="155">MID($I1483,2,1)</f>
        <v>2</v>
      </c>
      <c r="D1483" s="85" t="str">
        <f t="shared" ref="D1483:D1550" si="156">MID($I1483,3,1)</f>
        <v>2</v>
      </c>
      <c r="E1483" s="85" t="str">
        <f t="shared" ref="E1483:E1550" si="157">MID($I1483,4,1)</f>
        <v>0</v>
      </c>
      <c r="F1483" s="85" t="str">
        <f t="shared" ref="F1483:F1550" si="158">MID($I1483,5,2)</f>
        <v>00</v>
      </c>
      <c r="G1483" s="85" t="str">
        <f t="shared" ref="G1483:G1550" si="159">MID($I1483,7,1)</f>
        <v>1</v>
      </c>
      <c r="H1483" s="85" t="str">
        <f t="shared" ref="H1483:H1550" si="160">MID($I1483,8,1)</f>
        <v>2</v>
      </c>
      <c r="I1483" s="87">
        <v>22200012</v>
      </c>
      <c r="J1483" s="85" t="s">
        <v>4643</v>
      </c>
      <c r="K1483" s="85" t="s">
        <v>2892</v>
      </c>
      <c r="L1483" s="84"/>
      <c r="M1483" s="85" t="s">
        <v>2892</v>
      </c>
      <c r="N1483" s="85" t="s">
        <v>2879</v>
      </c>
      <c r="O1483" s="85" t="s">
        <v>2892</v>
      </c>
      <c r="P1483" s="86" t="s">
        <v>2890</v>
      </c>
    </row>
    <row r="1484" spans="2:16" ht="30" x14ac:dyDescent="0.25">
      <c r="B1484" s="114" t="str">
        <f t="shared" si="154"/>
        <v>2</v>
      </c>
      <c r="C1484" s="114" t="str">
        <f t="shared" si="155"/>
        <v>2</v>
      </c>
      <c r="D1484" s="114" t="str">
        <f t="shared" si="156"/>
        <v>2</v>
      </c>
      <c r="E1484" s="114" t="str">
        <f t="shared" si="157"/>
        <v>0</v>
      </c>
      <c r="F1484" s="114" t="str">
        <f t="shared" si="158"/>
        <v>00</v>
      </c>
      <c r="G1484" s="114" t="str">
        <f t="shared" si="159"/>
        <v>2</v>
      </c>
      <c r="H1484" s="114" t="str">
        <f t="shared" si="160"/>
        <v>0</v>
      </c>
      <c r="I1484" s="115">
        <v>22200020</v>
      </c>
      <c r="J1484" s="114" t="s">
        <v>5133</v>
      </c>
      <c r="K1484" s="114" t="s">
        <v>5134</v>
      </c>
      <c r="L1484" s="116"/>
      <c r="M1484" s="114"/>
      <c r="N1484" s="114" t="s">
        <v>5135</v>
      </c>
      <c r="O1484" s="114"/>
      <c r="P1484" s="117" t="s">
        <v>2890</v>
      </c>
    </row>
    <row r="1485" spans="2:16" ht="90" x14ac:dyDescent="0.25">
      <c r="B1485" s="126" t="str">
        <f t="shared" si="154"/>
        <v>2</v>
      </c>
      <c r="C1485" s="126" t="str">
        <f t="shared" si="155"/>
        <v>2</v>
      </c>
      <c r="D1485" s="126" t="str">
        <f t="shared" si="156"/>
        <v>3</v>
      </c>
      <c r="E1485" s="126" t="str">
        <f t="shared" si="157"/>
        <v>0</v>
      </c>
      <c r="F1485" s="126" t="str">
        <f t="shared" si="158"/>
        <v>00</v>
      </c>
      <c r="G1485" s="126" t="str">
        <f t="shared" si="159"/>
        <v>0</v>
      </c>
      <c r="H1485" s="126" t="str">
        <f t="shared" si="160"/>
        <v>0</v>
      </c>
      <c r="I1485" s="127">
        <v>22300000</v>
      </c>
      <c r="J1485" s="126" t="s">
        <v>4644</v>
      </c>
      <c r="K1485" s="126" t="s">
        <v>4645</v>
      </c>
      <c r="L1485" s="122"/>
      <c r="M1485" s="126" t="s">
        <v>2878</v>
      </c>
      <c r="N1485" s="126" t="s">
        <v>5016</v>
      </c>
      <c r="O1485" s="126" t="s">
        <v>2878</v>
      </c>
      <c r="P1485" s="128" t="s">
        <v>2880</v>
      </c>
    </row>
    <row r="1486" spans="2:16" ht="90" x14ac:dyDescent="0.25">
      <c r="B1486" s="114" t="str">
        <f t="shared" si="154"/>
        <v>2</v>
      </c>
      <c r="C1486" s="114" t="str">
        <f t="shared" si="155"/>
        <v>2</v>
      </c>
      <c r="D1486" s="114" t="str">
        <f t="shared" si="156"/>
        <v>3</v>
      </c>
      <c r="E1486" s="114" t="str">
        <f t="shared" si="157"/>
        <v>0</v>
      </c>
      <c r="F1486" s="114" t="str">
        <f t="shared" si="158"/>
        <v>00</v>
      </c>
      <c r="G1486" s="114" t="str">
        <f t="shared" si="159"/>
        <v>1</v>
      </c>
      <c r="H1486" s="114" t="str">
        <f t="shared" si="160"/>
        <v>0</v>
      </c>
      <c r="I1486" s="115">
        <v>22300010</v>
      </c>
      <c r="J1486" s="114" t="s">
        <v>4644</v>
      </c>
      <c r="K1486" s="114" t="s">
        <v>4645</v>
      </c>
      <c r="L1486" s="116"/>
      <c r="M1486" s="114" t="s">
        <v>2878</v>
      </c>
      <c r="N1486" s="114" t="s">
        <v>2879</v>
      </c>
      <c r="O1486" s="114" t="s">
        <v>2878</v>
      </c>
      <c r="P1486" s="117" t="s">
        <v>2880</v>
      </c>
    </row>
    <row r="1487" spans="2:16" ht="90" x14ac:dyDescent="0.25">
      <c r="B1487" s="85" t="str">
        <f t="shared" si="154"/>
        <v>2</v>
      </c>
      <c r="C1487" s="85" t="str">
        <f t="shared" si="155"/>
        <v>2</v>
      </c>
      <c r="D1487" s="85" t="str">
        <f t="shared" si="156"/>
        <v>3</v>
      </c>
      <c r="E1487" s="85" t="str">
        <f t="shared" si="157"/>
        <v>0</v>
      </c>
      <c r="F1487" s="85" t="str">
        <f t="shared" si="158"/>
        <v>00</v>
      </c>
      <c r="G1487" s="85" t="str">
        <f t="shared" si="159"/>
        <v>1</v>
      </c>
      <c r="H1487" s="85" t="str">
        <f t="shared" si="160"/>
        <v>1</v>
      </c>
      <c r="I1487" s="87">
        <v>22300011</v>
      </c>
      <c r="J1487" s="85" t="s">
        <v>4646</v>
      </c>
      <c r="K1487" s="85" t="s">
        <v>4647</v>
      </c>
      <c r="L1487" s="84"/>
      <c r="M1487" s="85" t="s">
        <v>4024</v>
      </c>
      <c r="N1487" s="85" t="s">
        <v>4648</v>
      </c>
      <c r="O1487" s="85" t="s">
        <v>4649</v>
      </c>
      <c r="P1487" s="86" t="s">
        <v>2890</v>
      </c>
    </row>
    <row r="1488" spans="2:16" ht="60" x14ac:dyDescent="0.25">
      <c r="B1488" s="123" t="str">
        <f t="shared" si="154"/>
        <v>2</v>
      </c>
      <c r="C1488" s="123" t="str">
        <f t="shared" si="155"/>
        <v>3</v>
      </c>
      <c r="D1488" s="123" t="str">
        <f t="shared" si="156"/>
        <v>0</v>
      </c>
      <c r="E1488" s="123" t="str">
        <f t="shared" si="157"/>
        <v>0</v>
      </c>
      <c r="F1488" s="123" t="str">
        <f t="shared" si="158"/>
        <v>00</v>
      </c>
      <c r="G1488" s="123" t="str">
        <f t="shared" si="159"/>
        <v>0</v>
      </c>
      <c r="H1488" s="123" t="str">
        <f t="shared" si="160"/>
        <v>0</v>
      </c>
      <c r="I1488" s="124">
        <v>23000000</v>
      </c>
      <c r="J1488" s="123" t="s">
        <v>2740</v>
      </c>
      <c r="K1488" s="123" t="s">
        <v>4650</v>
      </c>
      <c r="L1488" s="103"/>
      <c r="M1488" s="123" t="s">
        <v>2878</v>
      </c>
      <c r="N1488" s="123" t="s">
        <v>5016</v>
      </c>
      <c r="O1488" s="123" t="s">
        <v>2878</v>
      </c>
      <c r="P1488" s="125" t="s">
        <v>2880</v>
      </c>
    </row>
    <row r="1489" spans="2:16" ht="285" x14ac:dyDescent="0.25">
      <c r="B1489" s="108" t="str">
        <f t="shared" si="154"/>
        <v>2</v>
      </c>
      <c r="C1489" s="108" t="str">
        <f t="shared" si="155"/>
        <v>3</v>
      </c>
      <c r="D1489" s="108" t="str">
        <f t="shared" si="156"/>
        <v>0</v>
      </c>
      <c r="E1489" s="108" t="str">
        <f t="shared" si="157"/>
        <v>0</v>
      </c>
      <c r="F1489" s="108" t="str">
        <f t="shared" si="158"/>
        <v>01</v>
      </c>
      <c r="G1489" s="108" t="str">
        <f t="shared" si="159"/>
        <v>0</v>
      </c>
      <c r="H1489" s="108" t="str">
        <f t="shared" si="160"/>
        <v>0</v>
      </c>
      <c r="I1489" s="109">
        <v>23000100</v>
      </c>
      <c r="J1489" s="108" t="s">
        <v>4651</v>
      </c>
      <c r="K1489" s="108" t="s">
        <v>4652</v>
      </c>
      <c r="L1489" s="110"/>
      <c r="M1489" s="108" t="s">
        <v>2878</v>
      </c>
      <c r="N1489" s="108" t="s">
        <v>2879</v>
      </c>
      <c r="O1489" s="108" t="s">
        <v>2878</v>
      </c>
      <c r="P1489" s="111" t="s">
        <v>2880</v>
      </c>
    </row>
    <row r="1490" spans="2:16" ht="285" x14ac:dyDescent="0.25">
      <c r="B1490" s="114" t="str">
        <f t="shared" si="154"/>
        <v>2</v>
      </c>
      <c r="C1490" s="114" t="str">
        <f t="shared" si="155"/>
        <v>3</v>
      </c>
      <c r="D1490" s="114" t="str">
        <f t="shared" si="156"/>
        <v>0</v>
      </c>
      <c r="E1490" s="114" t="str">
        <f t="shared" si="157"/>
        <v>0</v>
      </c>
      <c r="F1490" s="114" t="str">
        <f t="shared" si="158"/>
        <v>01</v>
      </c>
      <c r="G1490" s="114" t="str">
        <f t="shared" si="159"/>
        <v>1</v>
      </c>
      <c r="H1490" s="114" t="str">
        <f t="shared" si="160"/>
        <v>0</v>
      </c>
      <c r="I1490" s="115">
        <v>23000110</v>
      </c>
      <c r="J1490" s="114" t="s">
        <v>4651</v>
      </c>
      <c r="K1490" s="114" t="s">
        <v>4652</v>
      </c>
      <c r="L1490" s="116"/>
      <c r="M1490" s="114" t="s">
        <v>2878</v>
      </c>
      <c r="N1490" s="114" t="s">
        <v>2879</v>
      </c>
      <c r="O1490" s="114" t="s">
        <v>2878</v>
      </c>
      <c r="P1490" s="117" t="s">
        <v>2880</v>
      </c>
    </row>
    <row r="1491" spans="2:16" ht="285" x14ac:dyDescent="0.25">
      <c r="B1491" s="85" t="str">
        <f t="shared" si="154"/>
        <v>2</v>
      </c>
      <c r="C1491" s="85" t="str">
        <f t="shared" si="155"/>
        <v>3</v>
      </c>
      <c r="D1491" s="85" t="str">
        <f t="shared" si="156"/>
        <v>0</v>
      </c>
      <c r="E1491" s="85" t="str">
        <f t="shared" si="157"/>
        <v>0</v>
      </c>
      <c r="F1491" s="85" t="str">
        <f t="shared" si="158"/>
        <v>01</v>
      </c>
      <c r="G1491" s="85" t="str">
        <f t="shared" si="159"/>
        <v>1</v>
      </c>
      <c r="H1491" s="85" t="str">
        <f t="shared" si="160"/>
        <v>1</v>
      </c>
      <c r="I1491" s="87">
        <v>23000111</v>
      </c>
      <c r="J1491" s="85" t="s">
        <v>4653</v>
      </c>
      <c r="K1491" s="85" t="s">
        <v>4654</v>
      </c>
      <c r="L1491" s="84"/>
      <c r="M1491" s="85" t="s">
        <v>4560</v>
      </c>
      <c r="N1491" s="85" t="s">
        <v>2879</v>
      </c>
      <c r="O1491" s="85" t="s">
        <v>4655</v>
      </c>
      <c r="P1491" s="86" t="s">
        <v>2890</v>
      </c>
    </row>
    <row r="1492" spans="2:16" ht="135" x14ac:dyDescent="0.25">
      <c r="B1492" s="108" t="str">
        <f t="shared" si="154"/>
        <v>2</v>
      </c>
      <c r="C1492" s="108" t="str">
        <f t="shared" si="155"/>
        <v>3</v>
      </c>
      <c r="D1492" s="108" t="str">
        <f t="shared" si="156"/>
        <v>0</v>
      </c>
      <c r="E1492" s="108" t="str">
        <f t="shared" si="157"/>
        <v>0</v>
      </c>
      <c r="F1492" s="108" t="str">
        <f t="shared" si="158"/>
        <v>02</v>
      </c>
      <c r="G1492" s="108" t="str">
        <f t="shared" si="159"/>
        <v>0</v>
      </c>
      <c r="H1492" s="108" t="str">
        <f t="shared" si="160"/>
        <v>0</v>
      </c>
      <c r="I1492" s="109">
        <v>23000200</v>
      </c>
      <c r="J1492" s="108" t="s">
        <v>4656</v>
      </c>
      <c r="K1492" s="108" t="s">
        <v>4657</v>
      </c>
      <c r="L1492" s="110"/>
      <c r="M1492" s="108" t="s">
        <v>2878</v>
      </c>
      <c r="N1492" s="108" t="s">
        <v>2879</v>
      </c>
      <c r="O1492" s="108" t="s">
        <v>2878</v>
      </c>
      <c r="P1492" s="111" t="s">
        <v>2880</v>
      </c>
    </row>
    <row r="1493" spans="2:16" ht="135" x14ac:dyDescent="0.25">
      <c r="B1493" s="114" t="str">
        <f t="shared" si="154"/>
        <v>2</v>
      </c>
      <c r="C1493" s="114" t="str">
        <f t="shared" si="155"/>
        <v>3</v>
      </c>
      <c r="D1493" s="114" t="str">
        <f t="shared" si="156"/>
        <v>0</v>
      </c>
      <c r="E1493" s="114" t="str">
        <f t="shared" si="157"/>
        <v>0</v>
      </c>
      <c r="F1493" s="114" t="str">
        <f t="shared" si="158"/>
        <v>02</v>
      </c>
      <c r="G1493" s="114" t="str">
        <f t="shared" si="159"/>
        <v>1</v>
      </c>
      <c r="H1493" s="114" t="str">
        <f t="shared" si="160"/>
        <v>0</v>
      </c>
      <c r="I1493" s="115">
        <v>23000210</v>
      </c>
      <c r="J1493" s="114" t="s">
        <v>4656</v>
      </c>
      <c r="K1493" s="114" t="s">
        <v>4657</v>
      </c>
      <c r="L1493" s="116"/>
      <c r="M1493" s="114" t="s">
        <v>2878</v>
      </c>
      <c r="N1493" s="114" t="s">
        <v>2879</v>
      </c>
      <c r="O1493" s="114" t="s">
        <v>2878</v>
      </c>
      <c r="P1493" s="117" t="s">
        <v>2880</v>
      </c>
    </row>
    <row r="1494" spans="2:16" ht="135" x14ac:dyDescent="0.25">
      <c r="B1494" s="85" t="str">
        <f t="shared" si="154"/>
        <v>2</v>
      </c>
      <c r="C1494" s="85" t="str">
        <f t="shared" si="155"/>
        <v>3</v>
      </c>
      <c r="D1494" s="85" t="str">
        <f t="shared" si="156"/>
        <v>0</v>
      </c>
      <c r="E1494" s="85" t="str">
        <f t="shared" si="157"/>
        <v>0</v>
      </c>
      <c r="F1494" s="85" t="str">
        <f t="shared" si="158"/>
        <v>02</v>
      </c>
      <c r="G1494" s="85" t="str">
        <f t="shared" si="159"/>
        <v>1</v>
      </c>
      <c r="H1494" s="85" t="str">
        <f t="shared" si="160"/>
        <v>1</v>
      </c>
      <c r="I1494" s="87">
        <v>23000211</v>
      </c>
      <c r="J1494" s="85" t="s">
        <v>4658</v>
      </c>
      <c r="K1494" s="85" t="s">
        <v>4659</v>
      </c>
      <c r="L1494" s="84"/>
      <c r="M1494" s="85" t="s">
        <v>4560</v>
      </c>
      <c r="N1494" s="85" t="s">
        <v>2879</v>
      </c>
      <c r="O1494" s="85" t="s">
        <v>4660</v>
      </c>
      <c r="P1494" s="86" t="s">
        <v>2890</v>
      </c>
    </row>
    <row r="1495" spans="2:16" ht="150" x14ac:dyDescent="0.25">
      <c r="B1495" s="108" t="str">
        <f t="shared" si="154"/>
        <v>2</v>
      </c>
      <c r="C1495" s="108" t="str">
        <f t="shared" si="155"/>
        <v>3</v>
      </c>
      <c r="D1495" s="108" t="str">
        <f t="shared" si="156"/>
        <v>0</v>
      </c>
      <c r="E1495" s="108" t="str">
        <f t="shared" si="157"/>
        <v>0</v>
      </c>
      <c r="F1495" s="108" t="str">
        <f t="shared" si="158"/>
        <v>03</v>
      </c>
      <c r="G1495" s="108" t="str">
        <f t="shared" si="159"/>
        <v>0</v>
      </c>
      <c r="H1495" s="108" t="str">
        <f t="shared" si="160"/>
        <v>0</v>
      </c>
      <c r="I1495" s="109">
        <v>23000300</v>
      </c>
      <c r="J1495" s="108" t="s">
        <v>4661</v>
      </c>
      <c r="K1495" s="108" t="s">
        <v>4662</v>
      </c>
      <c r="L1495" s="110"/>
      <c r="M1495" s="108" t="s">
        <v>2878</v>
      </c>
      <c r="N1495" s="108" t="s">
        <v>2879</v>
      </c>
      <c r="O1495" s="108" t="s">
        <v>2878</v>
      </c>
      <c r="P1495" s="111" t="s">
        <v>2880</v>
      </c>
    </row>
    <row r="1496" spans="2:16" ht="150" x14ac:dyDescent="0.25">
      <c r="B1496" s="114" t="str">
        <f t="shared" si="154"/>
        <v>2</v>
      </c>
      <c r="C1496" s="114" t="str">
        <f t="shared" si="155"/>
        <v>3</v>
      </c>
      <c r="D1496" s="114" t="str">
        <f t="shared" si="156"/>
        <v>0</v>
      </c>
      <c r="E1496" s="114" t="str">
        <f t="shared" si="157"/>
        <v>0</v>
      </c>
      <c r="F1496" s="114" t="str">
        <f t="shared" si="158"/>
        <v>03</v>
      </c>
      <c r="G1496" s="114" t="str">
        <f t="shared" si="159"/>
        <v>1</v>
      </c>
      <c r="H1496" s="114" t="str">
        <f t="shared" si="160"/>
        <v>0</v>
      </c>
      <c r="I1496" s="115">
        <v>23000310</v>
      </c>
      <c r="J1496" s="114" t="s">
        <v>4661</v>
      </c>
      <c r="K1496" s="114" t="s">
        <v>4662</v>
      </c>
      <c r="L1496" s="116"/>
      <c r="M1496" s="114" t="s">
        <v>2878</v>
      </c>
      <c r="N1496" s="114" t="s">
        <v>2879</v>
      </c>
      <c r="O1496" s="114" t="s">
        <v>2878</v>
      </c>
      <c r="P1496" s="117" t="s">
        <v>2880</v>
      </c>
    </row>
    <row r="1497" spans="2:16" ht="150" x14ac:dyDescent="0.25">
      <c r="B1497" s="85" t="str">
        <f t="shared" si="154"/>
        <v>2</v>
      </c>
      <c r="C1497" s="85" t="str">
        <f t="shared" si="155"/>
        <v>3</v>
      </c>
      <c r="D1497" s="85" t="str">
        <f t="shared" si="156"/>
        <v>0</v>
      </c>
      <c r="E1497" s="85" t="str">
        <f t="shared" si="157"/>
        <v>0</v>
      </c>
      <c r="F1497" s="85" t="str">
        <f t="shared" si="158"/>
        <v>03</v>
      </c>
      <c r="G1497" s="85" t="str">
        <f t="shared" si="159"/>
        <v>1</v>
      </c>
      <c r="H1497" s="85" t="str">
        <f t="shared" si="160"/>
        <v>1</v>
      </c>
      <c r="I1497" s="87">
        <v>23000311</v>
      </c>
      <c r="J1497" s="85" t="s">
        <v>4663</v>
      </c>
      <c r="K1497" s="85" t="s">
        <v>4664</v>
      </c>
      <c r="L1497" s="84"/>
      <c r="M1497" s="85" t="s">
        <v>4560</v>
      </c>
      <c r="N1497" s="85" t="s">
        <v>2879</v>
      </c>
      <c r="O1497" s="85" t="s">
        <v>4665</v>
      </c>
      <c r="P1497" s="86" t="s">
        <v>2890</v>
      </c>
    </row>
    <row r="1498" spans="2:16" ht="210" x14ac:dyDescent="0.25">
      <c r="B1498" s="108" t="str">
        <f t="shared" si="154"/>
        <v>2</v>
      </c>
      <c r="C1498" s="108" t="str">
        <f t="shared" si="155"/>
        <v>3</v>
      </c>
      <c r="D1498" s="108" t="str">
        <f t="shared" si="156"/>
        <v>0</v>
      </c>
      <c r="E1498" s="108" t="str">
        <f t="shared" si="157"/>
        <v>0</v>
      </c>
      <c r="F1498" s="108" t="str">
        <f t="shared" si="158"/>
        <v>04</v>
      </c>
      <c r="G1498" s="108" t="str">
        <f t="shared" si="159"/>
        <v>0</v>
      </c>
      <c r="H1498" s="108" t="str">
        <f t="shared" si="160"/>
        <v>0</v>
      </c>
      <c r="I1498" s="109">
        <v>23000400</v>
      </c>
      <c r="J1498" s="108" t="s">
        <v>4666</v>
      </c>
      <c r="K1498" s="108" t="s">
        <v>4667</v>
      </c>
      <c r="L1498" s="110"/>
      <c r="M1498" s="108" t="s">
        <v>2878</v>
      </c>
      <c r="N1498" s="108" t="s">
        <v>2879</v>
      </c>
      <c r="O1498" s="108" t="s">
        <v>2878</v>
      </c>
      <c r="P1498" s="111" t="s">
        <v>2880</v>
      </c>
    </row>
    <row r="1499" spans="2:16" ht="210" x14ac:dyDescent="0.25">
      <c r="B1499" s="114" t="str">
        <f t="shared" si="154"/>
        <v>2</v>
      </c>
      <c r="C1499" s="114" t="str">
        <f t="shared" si="155"/>
        <v>3</v>
      </c>
      <c r="D1499" s="114" t="str">
        <f t="shared" si="156"/>
        <v>0</v>
      </c>
      <c r="E1499" s="114" t="str">
        <f t="shared" si="157"/>
        <v>0</v>
      </c>
      <c r="F1499" s="114" t="str">
        <f t="shared" si="158"/>
        <v>04</v>
      </c>
      <c r="G1499" s="114" t="str">
        <f t="shared" si="159"/>
        <v>1</v>
      </c>
      <c r="H1499" s="114" t="str">
        <f t="shared" si="160"/>
        <v>0</v>
      </c>
      <c r="I1499" s="115">
        <v>23000410</v>
      </c>
      <c r="J1499" s="114" t="s">
        <v>4666</v>
      </c>
      <c r="K1499" s="114" t="s">
        <v>4667</v>
      </c>
      <c r="L1499" s="116"/>
      <c r="M1499" s="114" t="s">
        <v>2878</v>
      </c>
      <c r="N1499" s="114" t="s">
        <v>2879</v>
      </c>
      <c r="O1499" s="114" t="s">
        <v>2878</v>
      </c>
      <c r="P1499" s="117" t="s">
        <v>2880</v>
      </c>
    </row>
    <row r="1500" spans="2:16" ht="210" x14ac:dyDescent="0.25">
      <c r="B1500" s="85" t="str">
        <f t="shared" si="154"/>
        <v>2</v>
      </c>
      <c r="C1500" s="85" t="str">
        <f t="shared" si="155"/>
        <v>3</v>
      </c>
      <c r="D1500" s="85" t="str">
        <f t="shared" si="156"/>
        <v>0</v>
      </c>
      <c r="E1500" s="85" t="str">
        <f t="shared" si="157"/>
        <v>0</v>
      </c>
      <c r="F1500" s="85" t="str">
        <f t="shared" si="158"/>
        <v>04</v>
      </c>
      <c r="G1500" s="85" t="str">
        <f t="shared" si="159"/>
        <v>1</v>
      </c>
      <c r="H1500" s="85" t="str">
        <f t="shared" si="160"/>
        <v>1</v>
      </c>
      <c r="I1500" s="87">
        <v>23000411</v>
      </c>
      <c r="J1500" s="85" t="s">
        <v>4668</v>
      </c>
      <c r="K1500" s="85" t="s">
        <v>4669</v>
      </c>
      <c r="L1500" s="84"/>
      <c r="M1500" s="85" t="s">
        <v>4560</v>
      </c>
      <c r="N1500" s="85" t="s">
        <v>2879</v>
      </c>
      <c r="O1500" s="85" t="s">
        <v>4670</v>
      </c>
      <c r="P1500" s="86" t="s">
        <v>2890</v>
      </c>
    </row>
    <row r="1501" spans="2:16" ht="90" x14ac:dyDescent="0.25">
      <c r="B1501" s="108" t="str">
        <f t="shared" si="154"/>
        <v>2</v>
      </c>
      <c r="C1501" s="108" t="str">
        <f t="shared" si="155"/>
        <v>3</v>
      </c>
      <c r="D1501" s="108" t="str">
        <f t="shared" si="156"/>
        <v>0</v>
      </c>
      <c r="E1501" s="108" t="str">
        <f t="shared" si="157"/>
        <v>0</v>
      </c>
      <c r="F1501" s="108" t="str">
        <f t="shared" si="158"/>
        <v>05</v>
      </c>
      <c r="G1501" s="108" t="str">
        <f t="shared" si="159"/>
        <v>0</v>
      </c>
      <c r="H1501" s="108" t="str">
        <f t="shared" si="160"/>
        <v>0</v>
      </c>
      <c r="I1501" s="109">
        <v>23000500</v>
      </c>
      <c r="J1501" s="108" t="s">
        <v>4671</v>
      </c>
      <c r="K1501" s="108" t="s">
        <v>4672</v>
      </c>
      <c r="L1501" s="110"/>
      <c r="M1501" s="108" t="s">
        <v>2878</v>
      </c>
      <c r="N1501" s="108" t="s">
        <v>2879</v>
      </c>
      <c r="O1501" s="108" t="s">
        <v>2878</v>
      </c>
      <c r="P1501" s="111" t="s">
        <v>2880</v>
      </c>
    </row>
    <row r="1502" spans="2:16" ht="90" x14ac:dyDescent="0.25">
      <c r="B1502" s="114" t="str">
        <f t="shared" si="154"/>
        <v>2</v>
      </c>
      <c r="C1502" s="114" t="str">
        <f t="shared" si="155"/>
        <v>3</v>
      </c>
      <c r="D1502" s="114" t="str">
        <f t="shared" si="156"/>
        <v>0</v>
      </c>
      <c r="E1502" s="114" t="str">
        <f t="shared" si="157"/>
        <v>0</v>
      </c>
      <c r="F1502" s="114" t="str">
        <f t="shared" si="158"/>
        <v>05</v>
      </c>
      <c r="G1502" s="114" t="str">
        <f t="shared" si="159"/>
        <v>1</v>
      </c>
      <c r="H1502" s="114" t="str">
        <f t="shared" si="160"/>
        <v>0</v>
      </c>
      <c r="I1502" s="115">
        <v>23000510</v>
      </c>
      <c r="J1502" s="114" t="s">
        <v>4671</v>
      </c>
      <c r="K1502" s="114" t="s">
        <v>4672</v>
      </c>
      <c r="L1502" s="116"/>
      <c r="M1502" s="114" t="s">
        <v>2878</v>
      </c>
      <c r="N1502" s="114" t="s">
        <v>2879</v>
      </c>
      <c r="O1502" s="114" t="s">
        <v>2878</v>
      </c>
      <c r="P1502" s="117" t="s">
        <v>2880</v>
      </c>
    </row>
    <row r="1503" spans="2:16" ht="150" x14ac:dyDescent="0.25">
      <c r="B1503" s="85" t="str">
        <f t="shared" si="154"/>
        <v>2</v>
      </c>
      <c r="C1503" s="85" t="str">
        <f t="shared" si="155"/>
        <v>3</v>
      </c>
      <c r="D1503" s="85" t="str">
        <f t="shared" si="156"/>
        <v>0</v>
      </c>
      <c r="E1503" s="85" t="str">
        <f t="shared" si="157"/>
        <v>0</v>
      </c>
      <c r="F1503" s="85" t="str">
        <f t="shared" si="158"/>
        <v>05</v>
      </c>
      <c r="G1503" s="85" t="str">
        <f t="shared" si="159"/>
        <v>1</v>
      </c>
      <c r="H1503" s="85" t="str">
        <f t="shared" si="160"/>
        <v>1</v>
      </c>
      <c r="I1503" s="87">
        <v>23000511</v>
      </c>
      <c r="J1503" s="85" t="s">
        <v>4673</v>
      </c>
      <c r="K1503" s="85" t="s">
        <v>4674</v>
      </c>
      <c r="L1503" s="84"/>
      <c r="M1503" s="85" t="s">
        <v>4675</v>
      </c>
      <c r="N1503" s="85" t="s">
        <v>2879</v>
      </c>
      <c r="O1503" s="85" t="s">
        <v>4676</v>
      </c>
      <c r="P1503" s="86" t="s">
        <v>2890</v>
      </c>
    </row>
    <row r="1504" spans="2:16" ht="45" x14ac:dyDescent="0.25">
      <c r="B1504" s="108" t="str">
        <f t="shared" si="154"/>
        <v>2</v>
      </c>
      <c r="C1504" s="108" t="str">
        <f t="shared" si="155"/>
        <v>3</v>
      </c>
      <c r="D1504" s="108" t="str">
        <f t="shared" si="156"/>
        <v>0</v>
      </c>
      <c r="E1504" s="108" t="str">
        <f t="shared" si="157"/>
        <v>0</v>
      </c>
      <c r="F1504" s="108" t="str">
        <f t="shared" si="158"/>
        <v>06</v>
      </c>
      <c r="G1504" s="108" t="str">
        <f t="shared" si="159"/>
        <v>0</v>
      </c>
      <c r="H1504" s="108" t="str">
        <f t="shared" si="160"/>
        <v>0</v>
      </c>
      <c r="I1504" s="109">
        <v>23000600</v>
      </c>
      <c r="J1504" s="108" t="s">
        <v>4677</v>
      </c>
      <c r="K1504" s="108" t="s">
        <v>4678</v>
      </c>
      <c r="L1504" s="110"/>
      <c r="M1504" s="108" t="s">
        <v>2878</v>
      </c>
      <c r="N1504" s="108" t="s">
        <v>2879</v>
      </c>
      <c r="O1504" s="108" t="s">
        <v>2878</v>
      </c>
      <c r="P1504" s="111" t="s">
        <v>2880</v>
      </c>
    </row>
    <row r="1505" spans="2:16" ht="45" x14ac:dyDescent="0.25">
      <c r="B1505" s="114" t="str">
        <f t="shared" si="154"/>
        <v>2</v>
      </c>
      <c r="C1505" s="114" t="str">
        <f t="shared" si="155"/>
        <v>3</v>
      </c>
      <c r="D1505" s="114" t="str">
        <f t="shared" si="156"/>
        <v>0</v>
      </c>
      <c r="E1505" s="114" t="str">
        <f t="shared" si="157"/>
        <v>0</v>
      </c>
      <c r="F1505" s="114" t="str">
        <f t="shared" si="158"/>
        <v>06</v>
      </c>
      <c r="G1505" s="114" t="str">
        <f t="shared" si="159"/>
        <v>1</v>
      </c>
      <c r="H1505" s="114" t="str">
        <f t="shared" si="160"/>
        <v>0</v>
      </c>
      <c r="I1505" s="115">
        <v>23000610</v>
      </c>
      <c r="J1505" s="114" t="s">
        <v>4677</v>
      </c>
      <c r="K1505" s="114" t="s">
        <v>4678</v>
      </c>
      <c r="L1505" s="116"/>
      <c r="M1505" s="114" t="s">
        <v>2878</v>
      </c>
      <c r="N1505" s="114" t="s">
        <v>2879</v>
      </c>
      <c r="O1505" s="114" t="s">
        <v>2878</v>
      </c>
      <c r="P1505" s="117" t="s">
        <v>2880</v>
      </c>
    </row>
    <row r="1506" spans="2:16" ht="45" x14ac:dyDescent="0.25">
      <c r="B1506" s="85" t="str">
        <f t="shared" si="154"/>
        <v>2</v>
      </c>
      <c r="C1506" s="85" t="str">
        <f t="shared" si="155"/>
        <v>3</v>
      </c>
      <c r="D1506" s="85" t="str">
        <f t="shared" si="156"/>
        <v>0</v>
      </c>
      <c r="E1506" s="85" t="str">
        <f t="shared" si="157"/>
        <v>0</v>
      </c>
      <c r="F1506" s="85" t="str">
        <f t="shared" si="158"/>
        <v>06</v>
      </c>
      <c r="G1506" s="85" t="str">
        <f t="shared" si="159"/>
        <v>1</v>
      </c>
      <c r="H1506" s="85" t="str">
        <f t="shared" si="160"/>
        <v>1</v>
      </c>
      <c r="I1506" s="87">
        <v>23000611</v>
      </c>
      <c r="J1506" s="85" t="s">
        <v>4679</v>
      </c>
      <c r="K1506" s="85" t="s">
        <v>4680</v>
      </c>
      <c r="L1506" s="84"/>
      <c r="M1506" s="85" t="s">
        <v>4560</v>
      </c>
      <c r="N1506" s="85" t="s">
        <v>2879</v>
      </c>
      <c r="O1506" s="85" t="s">
        <v>4665</v>
      </c>
      <c r="P1506" s="86" t="s">
        <v>2890</v>
      </c>
    </row>
    <row r="1507" spans="2:16" ht="30" x14ac:dyDescent="0.25">
      <c r="B1507" s="108" t="str">
        <f t="shared" si="154"/>
        <v>2</v>
      </c>
      <c r="C1507" s="108" t="str">
        <f t="shared" si="155"/>
        <v>3</v>
      </c>
      <c r="D1507" s="108" t="str">
        <f t="shared" si="156"/>
        <v>0</v>
      </c>
      <c r="E1507" s="108" t="str">
        <f t="shared" si="157"/>
        <v>0</v>
      </c>
      <c r="F1507" s="108" t="str">
        <f t="shared" si="158"/>
        <v>07</v>
      </c>
      <c r="G1507" s="108" t="str">
        <f t="shared" si="159"/>
        <v>0</v>
      </c>
      <c r="H1507" s="108" t="str">
        <f t="shared" si="160"/>
        <v>0</v>
      </c>
      <c r="I1507" s="109">
        <v>23000700</v>
      </c>
      <c r="J1507" s="108" t="s">
        <v>2762</v>
      </c>
      <c r="K1507" s="108" t="s">
        <v>4681</v>
      </c>
      <c r="L1507" s="110"/>
      <c r="M1507" s="108" t="s">
        <v>2878</v>
      </c>
      <c r="N1507" s="108" t="s">
        <v>2879</v>
      </c>
      <c r="O1507" s="108" t="s">
        <v>2878</v>
      </c>
      <c r="P1507" s="111" t="s">
        <v>2880</v>
      </c>
    </row>
    <row r="1508" spans="2:16" ht="30" x14ac:dyDescent="0.25">
      <c r="B1508" s="114" t="str">
        <f t="shared" si="154"/>
        <v>2</v>
      </c>
      <c r="C1508" s="114" t="str">
        <f t="shared" si="155"/>
        <v>3</v>
      </c>
      <c r="D1508" s="114" t="str">
        <f t="shared" si="156"/>
        <v>0</v>
      </c>
      <c r="E1508" s="114" t="str">
        <f t="shared" si="157"/>
        <v>0</v>
      </c>
      <c r="F1508" s="114" t="str">
        <f t="shared" si="158"/>
        <v>07</v>
      </c>
      <c r="G1508" s="114" t="str">
        <f t="shared" si="159"/>
        <v>1</v>
      </c>
      <c r="H1508" s="114" t="str">
        <f t="shared" si="160"/>
        <v>0</v>
      </c>
      <c r="I1508" s="115">
        <v>23000710</v>
      </c>
      <c r="J1508" s="114" t="s">
        <v>2762</v>
      </c>
      <c r="K1508" s="114" t="s">
        <v>4681</v>
      </c>
      <c r="L1508" s="116"/>
      <c r="M1508" s="114" t="s">
        <v>2878</v>
      </c>
      <c r="N1508" s="114" t="s">
        <v>2879</v>
      </c>
      <c r="O1508" s="114" t="s">
        <v>2878</v>
      </c>
      <c r="P1508" s="117" t="s">
        <v>2880</v>
      </c>
    </row>
    <row r="1509" spans="2:16" ht="30" x14ac:dyDescent="0.25">
      <c r="B1509" s="85" t="str">
        <f t="shared" si="154"/>
        <v>2</v>
      </c>
      <c r="C1509" s="85" t="str">
        <f t="shared" si="155"/>
        <v>3</v>
      </c>
      <c r="D1509" s="85" t="str">
        <f t="shared" si="156"/>
        <v>0</v>
      </c>
      <c r="E1509" s="85" t="str">
        <f t="shared" si="157"/>
        <v>0</v>
      </c>
      <c r="F1509" s="85" t="str">
        <f t="shared" si="158"/>
        <v>07</v>
      </c>
      <c r="G1509" s="85" t="str">
        <f t="shared" si="159"/>
        <v>1</v>
      </c>
      <c r="H1509" s="85" t="str">
        <f t="shared" si="160"/>
        <v>1</v>
      </c>
      <c r="I1509" s="87">
        <v>23000711</v>
      </c>
      <c r="J1509" s="85" t="s">
        <v>4682</v>
      </c>
      <c r="K1509" s="85" t="s">
        <v>4683</v>
      </c>
      <c r="L1509" s="84"/>
      <c r="M1509" s="85" t="s">
        <v>4560</v>
      </c>
      <c r="N1509" s="85" t="s">
        <v>2879</v>
      </c>
      <c r="O1509" s="85" t="s">
        <v>4665</v>
      </c>
      <c r="P1509" s="86" t="s">
        <v>2890</v>
      </c>
    </row>
    <row r="1510" spans="2:16" ht="30" x14ac:dyDescent="0.25">
      <c r="B1510" s="108" t="str">
        <f t="shared" si="154"/>
        <v>2</v>
      </c>
      <c r="C1510" s="108" t="str">
        <f t="shared" si="155"/>
        <v>3</v>
      </c>
      <c r="D1510" s="108" t="str">
        <f t="shared" si="156"/>
        <v>0</v>
      </c>
      <c r="E1510" s="108" t="str">
        <f t="shared" si="157"/>
        <v>0</v>
      </c>
      <c r="F1510" s="108" t="str">
        <f t="shared" si="158"/>
        <v>80</v>
      </c>
      <c r="G1510" s="108" t="str">
        <f t="shared" si="159"/>
        <v>0</v>
      </c>
      <c r="H1510" s="108" t="str">
        <f t="shared" si="160"/>
        <v>0</v>
      </c>
      <c r="I1510" s="109">
        <v>23008000</v>
      </c>
      <c r="J1510" s="108" t="s">
        <v>4684</v>
      </c>
      <c r="K1510" s="108" t="s">
        <v>4685</v>
      </c>
      <c r="L1510" s="110"/>
      <c r="M1510" s="108" t="s">
        <v>2878</v>
      </c>
      <c r="N1510" s="108" t="s">
        <v>2879</v>
      </c>
      <c r="O1510" s="108" t="s">
        <v>2878</v>
      </c>
      <c r="P1510" s="111" t="s">
        <v>2880</v>
      </c>
    </row>
    <row r="1511" spans="2:16" ht="30" x14ac:dyDescent="0.25">
      <c r="B1511" s="114" t="str">
        <f t="shared" si="154"/>
        <v>2</v>
      </c>
      <c r="C1511" s="114" t="str">
        <f t="shared" si="155"/>
        <v>3</v>
      </c>
      <c r="D1511" s="114" t="str">
        <f t="shared" si="156"/>
        <v>0</v>
      </c>
      <c r="E1511" s="114" t="str">
        <f t="shared" si="157"/>
        <v>0</v>
      </c>
      <c r="F1511" s="114" t="str">
        <f t="shared" si="158"/>
        <v>80</v>
      </c>
      <c r="G1511" s="114" t="str">
        <f t="shared" si="159"/>
        <v>1</v>
      </c>
      <c r="H1511" s="114" t="str">
        <f t="shared" si="160"/>
        <v>0</v>
      </c>
      <c r="I1511" s="115">
        <v>23008010</v>
      </c>
      <c r="J1511" s="114" t="s">
        <v>4684</v>
      </c>
      <c r="K1511" s="114" t="s">
        <v>4685</v>
      </c>
      <c r="L1511" s="116"/>
      <c r="M1511" s="114" t="s">
        <v>2878</v>
      </c>
      <c r="N1511" s="114" t="s">
        <v>2879</v>
      </c>
      <c r="O1511" s="114" t="s">
        <v>2878</v>
      </c>
      <c r="P1511" s="117" t="s">
        <v>2880</v>
      </c>
    </row>
    <row r="1512" spans="2:16" ht="30" x14ac:dyDescent="0.25">
      <c r="B1512" s="85" t="str">
        <f t="shared" si="154"/>
        <v>2</v>
      </c>
      <c r="C1512" s="85" t="str">
        <f t="shared" si="155"/>
        <v>3</v>
      </c>
      <c r="D1512" s="85" t="str">
        <f t="shared" si="156"/>
        <v>0</v>
      </c>
      <c r="E1512" s="85" t="str">
        <f t="shared" si="157"/>
        <v>0</v>
      </c>
      <c r="F1512" s="85" t="str">
        <f t="shared" si="158"/>
        <v>80</v>
      </c>
      <c r="G1512" s="85" t="str">
        <f t="shared" si="159"/>
        <v>1</v>
      </c>
      <c r="H1512" s="85" t="str">
        <f t="shared" si="160"/>
        <v>1</v>
      </c>
      <c r="I1512" s="87">
        <v>23008011</v>
      </c>
      <c r="J1512" s="85" t="s">
        <v>4686</v>
      </c>
      <c r="K1512" s="85" t="s">
        <v>4687</v>
      </c>
      <c r="L1512" s="84"/>
      <c r="M1512" s="85" t="s">
        <v>4454</v>
      </c>
      <c r="N1512" s="85" t="s">
        <v>2879</v>
      </c>
      <c r="O1512" s="85" t="s">
        <v>4688</v>
      </c>
      <c r="P1512" s="86" t="s">
        <v>2890</v>
      </c>
    </row>
    <row r="1513" spans="2:16" ht="45" x14ac:dyDescent="0.25">
      <c r="B1513" s="123" t="str">
        <f t="shared" si="154"/>
        <v>2</v>
      </c>
      <c r="C1513" s="123" t="str">
        <f t="shared" si="155"/>
        <v>4</v>
      </c>
      <c r="D1513" s="123" t="str">
        <f t="shared" si="156"/>
        <v>0</v>
      </c>
      <c r="E1513" s="123" t="str">
        <f t="shared" si="157"/>
        <v>0</v>
      </c>
      <c r="F1513" s="123" t="str">
        <f t="shared" si="158"/>
        <v>00</v>
      </c>
      <c r="G1513" s="123" t="str">
        <f t="shared" si="159"/>
        <v>0</v>
      </c>
      <c r="H1513" s="123" t="str">
        <f t="shared" si="160"/>
        <v>0</v>
      </c>
      <c r="I1513" s="124">
        <v>24000000</v>
      </c>
      <c r="J1513" s="123" t="s">
        <v>2773</v>
      </c>
      <c r="K1513" s="123" t="s">
        <v>4689</v>
      </c>
      <c r="L1513" s="103"/>
      <c r="M1513" s="123" t="s">
        <v>2878</v>
      </c>
      <c r="N1513" s="123" t="s">
        <v>5016</v>
      </c>
      <c r="O1513" s="123" t="s">
        <v>2878</v>
      </c>
      <c r="P1513" s="125" t="s">
        <v>2880</v>
      </c>
    </row>
    <row r="1514" spans="2:16" ht="60" x14ac:dyDescent="0.25">
      <c r="B1514" s="126" t="str">
        <f t="shared" si="154"/>
        <v>2</v>
      </c>
      <c r="C1514" s="126" t="str">
        <f t="shared" si="155"/>
        <v>4</v>
      </c>
      <c r="D1514" s="126" t="str">
        <f t="shared" si="156"/>
        <v>1</v>
      </c>
      <c r="E1514" s="126" t="str">
        <f t="shared" si="157"/>
        <v>0</v>
      </c>
      <c r="F1514" s="126" t="str">
        <f t="shared" si="158"/>
        <v>00</v>
      </c>
      <c r="G1514" s="126" t="str">
        <f t="shared" si="159"/>
        <v>0</v>
      </c>
      <c r="H1514" s="126" t="str">
        <f t="shared" si="160"/>
        <v>0</v>
      </c>
      <c r="I1514" s="127">
        <v>24100000</v>
      </c>
      <c r="J1514" s="126" t="s">
        <v>4195</v>
      </c>
      <c r="K1514" s="126" t="s">
        <v>4690</v>
      </c>
      <c r="L1514" s="122"/>
      <c r="M1514" s="126" t="s">
        <v>2878</v>
      </c>
      <c r="N1514" s="126" t="s">
        <v>5016</v>
      </c>
      <c r="O1514" s="126" t="s">
        <v>2878</v>
      </c>
      <c r="P1514" s="128" t="s">
        <v>2880</v>
      </c>
    </row>
    <row r="1515" spans="2:16" ht="60" x14ac:dyDescent="0.25">
      <c r="B1515" s="114" t="str">
        <f t="shared" si="154"/>
        <v>2</v>
      </c>
      <c r="C1515" s="114" t="str">
        <f t="shared" si="155"/>
        <v>4</v>
      </c>
      <c r="D1515" s="114" t="str">
        <f t="shared" si="156"/>
        <v>1</v>
      </c>
      <c r="E1515" s="114" t="str">
        <f t="shared" si="157"/>
        <v>0</v>
      </c>
      <c r="F1515" s="114" t="str">
        <f t="shared" si="158"/>
        <v>00</v>
      </c>
      <c r="G1515" s="114" t="str">
        <f t="shared" si="159"/>
        <v>1</v>
      </c>
      <c r="H1515" s="114" t="str">
        <f t="shared" si="160"/>
        <v>0</v>
      </c>
      <c r="I1515" s="115">
        <v>24100010</v>
      </c>
      <c r="J1515" s="114" t="s">
        <v>4195</v>
      </c>
      <c r="K1515" s="114" t="s">
        <v>4690</v>
      </c>
      <c r="L1515" s="116"/>
      <c r="M1515" s="114" t="s">
        <v>2878</v>
      </c>
      <c r="N1515" s="114" t="s">
        <v>2879</v>
      </c>
      <c r="O1515" s="114" t="s">
        <v>2878</v>
      </c>
      <c r="P1515" s="117" t="s">
        <v>2880</v>
      </c>
    </row>
    <row r="1516" spans="2:16" ht="75" x14ac:dyDescent="0.25">
      <c r="B1516" s="85" t="str">
        <f t="shared" si="154"/>
        <v>2</v>
      </c>
      <c r="C1516" s="85" t="str">
        <f t="shared" si="155"/>
        <v>4</v>
      </c>
      <c r="D1516" s="85" t="str">
        <f t="shared" si="156"/>
        <v>1</v>
      </c>
      <c r="E1516" s="85" t="str">
        <f t="shared" si="157"/>
        <v>0</v>
      </c>
      <c r="F1516" s="85" t="str">
        <f t="shared" si="158"/>
        <v>00</v>
      </c>
      <c r="G1516" s="85" t="str">
        <f t="shared" si="159"/>
        <v>1</v>
      </c>
      <c r="H1516" s="85" t="str">
        <f t="shared" si="160"/>
        <v>1</v>
      </c>
      <c r="I1516" s="87">
        <v>24100011</v>
      </c>
      <c r="J1516" s="85" t="s">
        <v>5059</v>
      </c>
      <c r="K1516" s="85" t="s">
        <v>5063</v>
      </c>
      <c r="L1516" s="84"/>
      <c r="M1516" s="85" t="s">
        <v>4024</v>
      </c>
      <c r="N1516" s="85" t="s">
        <v>2879</v>
      </c>
      <c r="O1516" s="85" t="s">
        <v>4197</v>
      </c>
      <c r="P1516" s="86" t="s">
        <v>2890</v>
      </c>
    </row>
    <row r="1517" spans="2:16" ht="45" x14ac:dyDescent="0.25">
      <c r="B1517" s="104" t="str">
        <f t="shared" si="154"/>
        <v>2</v>
      </c>
      <c r="C1517" s="104" t="str">
        <f t="shared" si="155"/>
        <v>4</v>
      </c>
      <c r="D1517" s="104" t="str">
        <f t="shared" si="156"/>
        <v>1</v>
      </c>
      <c r="E1517" s="104" t="str">
        <f t="shared" si="157"/>
        <v>8</v>
      </c>
      <c r="F1517" s="104" t="str">
        <f t="shared" si="158"/>
        <v>00</v>
      </c>
      <c r="G1517" s="104" t="str">
        <f t="shared" si="159"/>
        <v>0</v>
      </c>
      <c r="H1517" s="104" t="str">
        <f t="shared" si="160"/>
        <v>0</v>
      </c>
      <c r="I1517" s="105">
        <v>24180000</v>
      </c>
      <c r="J1517" s="104" t="s">
        <v>5022</v>
      </c>
      <c r="K1517" s="104" t="s">
        <v>5039</v>
      </c>
      <c r="L1517" s="106"/>
      <c r="M1517" s="104" t="s">
        <v>2878</v>
      </c>
      <c r="N1517" s="104"/>
      <c r="O1517" s="104" t="s">
        <v>5018</v>
      </c>
      <c r="P1517" s="107" t="s">
        <v>2880</v>
      </c>
    </row>
    <row r="1518" spans="2:16" ht="30" x14ac:dyDescent="0.25">
      <c r="B1518" s="108" t="str">
        <f t="shared" si="154"/>
        <v>2</v>
      </c>
      <c r="C1518" s="108" t="str">
        <f t="shared" si="155"/>
        <v>4</v>
      </c>
      <c r="D1518" s="108" t="str">
        <f t="shared" si="156"/>
        <v>1</v>
      </c>
      <c r="E1518" s="108" t="str">
        <f t="shared" si="157"/>
        <v>8</v>
      </c>
      <c r="F1518" s="108" t="str">
        <f t="shared" si="158"/>
        <v>01</v>
      </c>
      <c r="G1518" s="108" t="str">
        <f t="shared" si="159"/>
        <v>0</v>
      </c>
      <c r="H1518" s="108" t="str">
        <f t="shared" si="160"/>
        <v>0</v>
      </c>
      <c r="I1518" s="109">
        <v>24180100</v>
      </c>
      <c r="J1518" s="108" t="s">
        <v>1276</v>
      </c>
      <c r="K1518" s="108" t="s">
        <v>2779</v>
      </c>
      <c r="L1518" s="110"/>
      <c r="M1518" s="108"/>
      <c r="N1518" s="108"/>
      <c r="O1518" s="108" t="s">
        <v>2878</v>
      </c>
      <c r="P1518" s="111" t="s">
        <v>2880</v>
      </c>
    </row>
    <row r="1519" spans="2:16" ht="30" x14ac:dyDescent="0.25">
      <c r="B1519" s="114" t="str">
        <f t="shared" si="154"/>
        <v>2</v>
      </c>
      <c r="C1519" s="114" t="str">
        <f t="shared" si="155"/>
        <v>4</v>
      </c>
      <c r="D1519" s="114" t="str">
        <f t="shared" si="156"/>
        <v>1</v>
      </c>
      <c r="E1519" s="114" t="str">
        <f t="shared" si="157"/>
        <v>8</v>
      </c>
      <c r="F1519" s="114" t="str">
        <f t="shared" si="158"/>
        <v>01</v>
      </c>
      <c r="G1519" s="114" t="str">
        <f t="shared" si="159"/>
        <v>1</v>
      </c>
      <c r="H1519" s="114" t="str">
        <f t="shared" si="160"/>
        <v>0</v>
      </c>
      <c r="I1519" s="115">
        <v>24180110</v>
      </c>
      <c r="J1519" s="114" t="s">
        <v>1276</v>
      </c>
      <c r="K1519" s="114" t="s">
        <v>2779</v>
      </c>
      <c r="L1519" s="116"/>
      <c r="M1519" s="114"/>
      <c r="N1519" s="114"/>
      <c r="O1519" s="114" t="s">
        <v>2878</v>
      </c>
      <c r="P1519" s="117" t="s">
        <v>2880</v>
      </c>
    </row>
    <row r="1520" spans="2:16" ht="30" x14ac:dyDescent="0.25">
      <c r="B1520" s="85" t="str">
        <f t="shared" si="154"/>
        <v>2</v>
      </c>
      <c r="C1520" s="85" t="str">
        <f t="shared" si="155"/>
        <v>4</v>
      </c>
      <c r="D1520" s="85" t="str">
        <f t="shared" si="156"/>
        <v>1</v>
      </c>
      <c r="E1520" s="85" t="str">
        <f t="shared" si="157"/>
        <v>8</v>
      </c>
      <c r="F1520" s="85" t="str">
        <f t="shared" si="158"/>
        <v>01</v>
      </c>
      <c r="G1520" s="85" t="str">
        <f t="shared" si="159"/>
        <v>1</v>
      </c>
      <c r="H1520" s="85" t="str">
        <f t="shared" si="160"/>
        <v>1</v>
      </c>
      <c r="I1520" s="87">
        <v>24180111</v>
      </c>
      <c r="J1520" s="85" t="s">
        <v>4816</v>
      </c>
      <c r="K1520" s="85" t="s">
        <v>2779</v>
      </c>
      <c r="L1520" s="84"/>
      <c r="M1520" s="85"/>
      <c r="N1520" s="85"/>
      <c r="O1520" s="85"/>
      <c r="P1520" s="86" t="s">
        <v>2890</v>
      </c>
    </row>
    <row r="1521" spans="2:16" ht="45" x14ac:dyDescent="0.25">
      <c r="B1521" s="108" t="str">
        <f t="shared" si="154"/>
        <v>2</v>
      </c>
      <c r="C1521" s="108" t="str">
        <f t="shared" si="155"/>
        <v>4</v>
      </c>
      <c r="D1521" s="108" t="str">
        <f t="shared" si="156"/>
        <v>1</v>
      </c>
      <c r="E1521" s="108" t="str">
        <f t="shared" si="157"/>
        <v>8</v>
      </c>
      <c r="F1521" s="108" t="str">
        <f t="shared" si="158"/>
        <v>03</v>
      </c>
      <c r="G1521" s="108" t="str">
        <f t="shared" si="159"/>
        <v>0</v>
      </c>
      <c r="H1521" s="108" t="str">
        <f t="shared" si="160"/>
        <v>0</v>
      </c>
      <c r="I1521" s="109">
        <v>24180300</v>
      </c>
      <c r="J1521" s="108" t="s">
        <v>1311</v>
      </c>
      <c r="K1521" s="108" t="s">
        <v>2776</v>
      </c>
      <c r="L1521" s="110"/>
      <c r="M1521" s="108"/>
      <c r="N1521" s="108"/>
      <c r="O1521" s="108" t="s">
        <v>2878</v>
      </c>
      <c r="P1521" s="111" t="s">
        <v>2880</v>
      </c>
    </row>
    <row r="1522" spans="2:16" ht="45" x14ac:dyDescent="0.25">
      <c r="B1522" s="114" t="str">
        <f t="shared" si="154"/>
        <v>2</v>
      </c>
      <c r="C1522" s="114" t="str">
        <f t="shared" si="155"/>
        <v>4</v>
      </c>
      <c r="D1522" s="114" t="str">
        <f t="shared" si="156"/>
        <v>1</v>
      </c>
      <c r="E1522" s="114" t="str">
        <f t="shared" si="157"/>
        <v>8</v>
      </c>
      <c r="F1522" s="114" t="str">
        <f t="shared" si="158"/>
        <v>03</v>
      </c>
      <c r="G1522" s="114" t="str">
        <f t="shared" si="159"/>
        <v>1</v>
      </c>
      <c r="H1522" s="114" t="str">
        <f t="shared" si="160"/>
        <v>0</v>
      </c>
      <c r="I1522" s="115">
        <v>24180310</v>
      </c>
      <c r="J1522" s="114" t="s">
        <v>1311</v>
      </c>
      <c r="K1522" s="114" t="s">
        <v>2776</v>
      </c>
      <c r="L1522" s="116"/>
      <c r="M1522" s="114"/>
      <c r="N1522" s="114"/>
      <c r="O1522" s="114" t="s">
        <v>2878</v>
      </c>
      <c r="P1522" s="117" t="s">
        <v>2880</v>
      </c>
    </row>
    <row r="1523" spans="2:16" ht="45" x14ac:dyDescent="0.25">
      <c r="B1523" s="85" t="str">
        <f t="shared" si="154"/>
        <v>2</v>
      </c>
      <c r="C1523" s="85" t="str">
        <f t="shared" si="155"/>
        <v>4</v>
      </c>
      <c r="D1523" s="85" t="str">
        <f t="shared" si="156"/>
        <v>1</v>
      </c>
      <c r="E1523" s="85" t="str">
        <f t="shared" si="157"/>
        <v>8</v>
      </c>
      <c r="F1523" s="85" t="str">
        <f t="shared" si="158"/>
        <v>03</v>
      </c>
      <c r="G1523" s="85" t="str">
        <f t="shared" si="159"/>
        <v>1</v>
      </c>
      <c r="H1523" s="85" t="str">
        <f t="shared" si="160"/>
        <v>1</v>
      </c>
      <c r="I1523" s="87">
        <v>24180311</v>
      </c>
      <c r="J1523" s="85" t="s">
        <v>4836</v>
      </c>
      <c r="K1523" s="85" t="s">
        <v>2776</v>
      </c>
      <c r="L1523" s="84"/>
      <c r="M1523" s="85"/>
      <c r="N1523" s="85"/>
      <c r="O1523" s="85"/>
      <c r="P1523" s="86" t="s">
        <v>2890</v>
      </c>
    </row>
    <row r="1524" spans="2:16" ht="30" x14ac:dyDescent="0.25">
      <c r="B1524" s="108" t="str">
        <f t="shared" si="154"/>
        <v>2</v>
      </c>
      <c r="C1524" s="108" t="str">
        <f t="shared" si="155"/>
        <v>4</v>
      </c>
      <c r="D1524" s="108" t="str">
        <f t="shared" si="156"/>
        <v>1</v>
      </c>
      <c r="E1524" s="108" t="str">
        <f t="shared" si="157"/>
        <v>8</v>
      </c>
      <c r="F1524" s="108" t="str">
        <f t="shared" si="158"/>
        <v>05</v>
      </c>
      <c r="G1524" s="108" t="str">
        <f t="shared" si="159"/>
        <v>0</v>
      </c>
      <c r="H1524" s="108" t="str">
        <f t="shared" si="160"/>
        <v>0</v>
      </c>
      <c r="I1524" s="109">
        <v>24180500</v>
      </c>
      <c r="J1524" s="108" t="s">
        <v>2777</v>
      </c>
      <c r="K1524" s="108" t="s">
        <v>2778</v>
      </c>
      <c r="L1524" s="110"/>
      <c r="M1524" s="108"/>
      <c r="N1524" s="108"/>
      <c r="O1524" s="108" t="s">
        <v>2878</v>
      </c>
      <c r="P1524" s="111" t="s">
        <v>2880</v>
      </c>
    </row>
    <row r="1525" spans="2:16" ht="30" x14ac:dyDescent="0.25">
      <c r="B1525" s="114" t="str">
        <f t="shared" si="154"/>
        <v>2</v>
      </c>
      <c r="C1525" s="114" t="str">
        <f t="shared" si="155"/>
        <v>4</v>
      </c>
      <c r="D1525" s="114" t="str">
        <f t="shared" si="156"/>
        <v>1</v>
      </c>
      <c r="E1525" s="114" t="str">
        <f t="shared" si="157"/>
        <v>8</v>
      </c>
      <c r="F1525" s="114" t="str">
        <f t="shared" si="158"/>
        <v>05</v>
      </c>
      <c r="G1525" s="114" t="str">
        <f t="shared" si="159"/>
        <v>1</v>
      </c>
      <c r="H1525" s="114" t="str">
        <f t="shared" si="160"/>
        <v>0</v>
      </c>
      <c r="I1525" s="115">
        <v>24180510</v>
      </c>
      <c r="J1525" s="114" t="s">
        <v>2777</v>
      </c>
      <c r="K1525" s="114" t="s">
        <v>2778</v>
      </c>
      <c r="L1525" s="116"/>
      <c r="M1525" s="114"/>
      <c r="N1525" s="114"/>
      <c r="O1525" s="114" t="s">
        <v>2878</v>
      </c>
      <c r="P1525" s="117" t="s">
        <v>2880</v>
      </c>
    </row>
    <row r="1526" spans="2:16" ht="30" x14ac:dyDescent="0.25">
      <c r="B1526" s="85" t="str">
        <f t="shared" si="154"/>
        <v>2</v>
      </c>
      <c r="C1526" s="85" t="str">
        <f t="shared" si="155"/>
        <v>4</v>
      </c>
      <c r="D1526" s="85" t="str">
        <f t="shared" si="156"/>
        <v>1</v>
      </c>
      <c r="E1526" s="85" t="str">
        <f t="shared" si="157"/>
        <v>8</v>
      </c>
      <c r="F1526" s="85" t="str">
        <f t="shared" si="158"/>
        <v>05</v>
      </c>
      <c r="G1526" s="85" t="str">
        <f t="shared" si="159"/>
        <v>1</v>
      </c>
      <c r="H1526" s="85" t="str">
        <f t="shared" si="160"/>
        <v>1</v>
      </c>
      <c r="I1526" s="87">
        <v>24180511</v>
      </c>
      <c r="J1526" s="85" t="s">
        <v>4867</v>
      </c>
      <c r="K1526" s="85" t="s">
        <v>2778</v>
      </c>
      <c r="L1526" s="84"/>
      <c r="M1526" s="85"/>
      <c r="N1526" s="85"/>
      <c r="O1526" s="85"/>
      <c r="P1526" s="86" t="s">
        <v>2890</v>
      </c>
    </row>
    <row r="1527" spans="2:16" ht="45" x14ac:dyDescent="0.25">
      <c r="B1527" s="108" t="str">
        <f t="shared" si="154"/>
        <v>2</v>
      </c>
      <c r="C1527" s="108" t="str">
        <f t="shared" si="155"/>
        <v>4</v>
      </c>
      <c r="D1527" s="108" t="str">
        <f t="shared" si="156"/>
        <v>1</v>
      </c>
      <c r="E1527" s="108" t="str">
        <f t="shared" si="157"/>
        <v>8</v>
      </c>
      <c r="F1527" s="108" t="str">
        <f t="shared" si="158"/>
        <v>08</v>
      </c>
      <c r="G1527" s="108" t="str">
        <f t="shared" si="159"/>
        <v>0</v>
      </c>
      <c r="H1527" s="108" t="str">
        <f t="shared" si="160"/>
        <v>0</v>
      </c>
      <c r="I1527" s="109">
        <v>24180800</v>
      </c>
      <c r="J1527" s="108" t="s">
        <v>5105</v>
      </c>
      <c r="K1527" s="108" t="s">
        <v>5136</v>
      </c>
      <c r="L1527" s="110"/>
      <c r="M1527" s="108"/>
      <c r="N1527" s="108"/>
      <c r="O1527" s="108" t="s">
        <v>2878</v>
      </c>
      <c r="P1527" s="111" t="s">
        <v>2880</v>
      </c>
    </row>
    <row r="1528" spans="2:16" ht="45" x14ac:dyDescent="0.25">
      <c r="B1528" s="114" t="str">
        <f t="shared" si="154"/>
        <v>2</v>
      </c>
      <c r="C1528" s="114" t="str">
        <f t="shared" si="155"/>
        <v>4</v>
      </c>
      <c r="D1528" s="114" t="str">
        <f t="shared" si="156"/>
        <v>1</v>
      </c>
      <c r="E1528" s="114" t="str">
        <f t="shared" si="157"/>
        <v>8</v>
      </c>
      <c r="F1528" s="114" t="str">
        <f t="shared" si="158"/>
        <v>08</v>
      </c>
      <c r="G1528" s="114" t="str">
        <f t="shared" si="159"/>
        <v>1</v>
      </c>
      <c r="H1528" s="114" t="str">
        <f t="shared" si="160"/>
        <v>0</v>
      </c>
      <c r="I1528" s="115">
        <v>24180810</v>
      </c>
      <c r="J1528" s="114" t="s">
        <v>5105</v>
      </c>
      <c r="K1528" s="114" t="s">
        <v>5136</v>
      </c>
      <c r="L1528" s="116"/>
      <c r="M1528" s="114"/>
      <c r="N1528" s="114"/>
      <c r="O1528" s="114" t="s">
        <v>2878</v>
      </c>
      <c r="P1528" s="117" t="s">
        <v>2880</v>
      </c>
    </row>
    <row r="1529" spans="2:16" ht="45" x14ac:dyDescent="0.25">
      <c r="B1529" s="85" t="str">
        <f t="shared" si="154"/>
        <v>2</v>
      </c>
      <c r="C1529" s="85" t="str">
        <f t="shared" si="155"/>
        <v>4</v>
      </c>
      <c r="D1529" s="85" t="str">
        <f t="shared" si="156"/>
        <v>1</v>
      </c>
      <c r="E1529" s="85" t="str">
        <f t="shared" si="157"/>
        <v>8</v>
      </c>
      <c r="F1529" s="85" t="str">
        <f t="shared" si="158"/>
        <v>08</v>
      </c>
      <c r="G1529" s="85" t="str">
        <f t="shared" si="159"/>
        <v>1</v>
      </c>
      <c r="H1529" s="85" t="str">
        <f t="shared" si="160"/>
        <v>1</v>
      </c>
      <c r="I1529" s="87">
        <v>24180811</v>
      </c>
      <c r="J1529" s="85" t="s">
        <v>5107</v>
      </c>
      <c r="K1529" s="85" t="s">
        <v>5136</v>
      </c>
      <c r="L1529" s="84"/>
      <c r="M1529" s="85"/>
      <c r="N1529" s="85"/>
      <c r="O1529" s="85"/>
      <c r="P1529" s="86" t="s">
        <v>2890</v>
      </c>
    </row>
    <row r="1530" spans="2:16" ht="75" x14ac:dyDescent="0.25">
      <c r="B1530" s="108" t="str">
        <f t="shared" si="154"/>
        <v>2</v>
      </c>
      <c r="C1530" s="108" t="str">
        <f t="shared" si="155"/>
        <v>4</v>
      </c>
      <c r="D1530" s="108" t="str">
        <f t="shared" si="156"/>
        <v>1</v>
      </c>
      <c r="E1530" s="108" t="str">
        <f t="shared" si="157"/>
        <v>8</v>
      </c>
      <c r="F1530" s="108" t="str">
        <f t="shared" si="158"/>
        <v>10</v>
      </c>
      <c r="G1530" s="108" t="str">
        <f t="shared" si="159"/>
        <v>0</v>
      </c>
      <c r="H1530" s="108" t="str">
        <f t="shared" si="160"/>
        <v>0</v>
      </c>
      <c r="I1530" s="109">
        <v>24181000</v>
      </c>
      <c r="J1530" s="108" t="s">
        <v>2798</v>
      </c>
      <c r="K1530" s="108" t="s">
        <v>2799</v>
      </c>
      <c r="L1530" s="110"/>
      <c r="M1530" s="108"/>
      <c r="N1530" s="108"/>
      <c r="O1530" s="108" t="s">
        <v>2878</v>
      </c>
      <c r="P1530" s="111" t="s">
        <v>2880</v>
      </c>
    </row>
    <row r="1531" spans="2:16" ht="45" x14ac:dyDescent="0.25">
      <c r="B1531" s="114" t="str">
        <f t="shared" si="154"/>
        <v>2</v>
      </c>
      <c r="C1531" s="114" t="str">
        <f t="shared" si="155"/>
        <v>4</v>
      </c>
      <c r="D1531" s="114" t="str">
        <f t="shared" si="156"/>
        <v>1</v>
      </c>
      <c r="E1531" s="114" t="str">
        <f t="shared" si="157"/>
        <v>8</v>
      </c>
      <c r="F1531" s="114" t="str">
        <f t="shared" si="158"/>
        <v>10</v>
      </c>
      <c r="G1531" s="114" t="str">
        <f t="shared" si="159"/>
        <v>1</v>
      </c>
      <c r="H1531" s="114" t="str">
        <f t="shared" si="160"/>
        <v>0</v>
      </c>
      <c r="I1531" s="115">
        <v>24181010</v>
      </c>
      <c r="J1531" s="114" t="s">
        <v>2800</v>
      </c>
      <c r="K1531" s="114" t="s">
        <v>2801</v>
      </c>
      <c r="L1531" s="116"/>
      <c r="M1531" s="114"/>
      <c r="N1531" s="114"/>
      <c r="O1531" s="114" t="s">
        <v>2878</v>
      </c>
      <c r="P1531" s="117" t="s">
        <v>2880</v>
      </c>
    </row>
    <row r="1532" spans="2:16" ht="45" x14ac:dyDescent="0.25">
      <c r="B1532" s="85" t="str">
        <f t="shared" si="154"/>
        <v>2</v>
      </c>
      <c r="C1532" s="85" t="str">
        <f t="shared" si="155"/>
        <v>4</v>
      </c>
      <c r="D1532" s="85" t="str">
        <f t="shared" si="156"/>
        <v>1</v>
      </c>
      <c r="E1532" s="85" t="str">
        <f t="shared" si="157"/>
        <v>8</v>
      </c>
      <c r="F1532" s="85" t="str">
        <f t="shared" si="158"/>
        <v>10</v>
      </c>
      <c r="G1532" s="85" t="str">
        <f t="shared" si="159"/>
        <v>1</v>
      </c>
      <c r="H1532" s="85" t="str">
        <f t="shared" si="160"/>
        <v>1</v>
      </c>
      <c r="I1532" s="87">
        <v>24181011</v>
      </c>
      <c r="J1532" s="85" t="s">
        <v>4868</v>
      </c>
      <c r="K1532" s="85" t="s">
        <v>2801</v>
      </c>
      <c r="L1532" s="84"/>
      <c r="M1532" s="85"/>
      <c r="N1532" s="85"/>
      <c r="O1532" s="85"/>
      <c r="P1532" s="86" t="s">
        <v>2890</v>
      </c>
    </row>
    <row r="1533" spans="2:16" ht="45" x14ac:dyDescent="0.25">
      <c r="B1533" s="114" t="str">
        <f t="shared" si="154"/>
        <v>2</v>
      </c>
      <c r="C1533" s="114" t="str">
        <f t="shared" si="155"/>
        <v>4</v>
      </c>
      <c r="D1533" s="114" t="str">
        <f t="shared" si="156"/>
        <v>1</v>
      </c>
      <c r="E1533" s="114" t="str">
        <f t="shared" si="157"/>
        <v>8</v>
      </c>
      <c r="F1533" s="114" t="str">
        <f t="shared" si="158"/>
        <v>10</v>
      </c>
      <c r="G1533" s="114" t="str">
        <f t="shared" si="159"/>
        <v>2</v>
      </c>
      <c r="H1533" s="114" t="str">
        <f t="shared" si="160"/>
        <v>0</v>
      </c>
      <c r="I1533" s="115">
        <v>24181020</v>
      </c>
      <c r="J1533" s="114" t="s">
        <v>2802</v>
      </c>
      <c r="K1533" s="114" t="s">
        <v>2803</v>
      </c>
      <c r="L1533" s="116"/>
      <c r="M1533" s="114"/>
      <c r="N1533" s="114"/>
      <c r="O1533" s="114" t="s">
        <v>2878</v>
      </c>
      <c r="P1533" s="117" t="s">
        <v>2880</v>
      </c>
    </row>
    <row r="1534" spans="2:16" ht="45" x14ac:dyDescent="0.25">
      <c r="B1534" s="85" t="str">
        <f t="shared" si="154"/>
        <v>2</v>
      </c>
      <c r="C1534" s="85" t="str">
        <f t="shared" si="155"/>
        <v>4</v>
      </c>
      <c r="D1534" s="85" t="str">
        <f t="shared" si="156"/>
        <v>1</v>
      </c>
      <c r="E1534" s="85" t="str">
        <f t="shared" si="157"/>
        <v>8</v>
      </c>
      <c r="F1534" s="85" t="str">
        <f t="shared" si="158"/>
        <v>10</v>
      </c>
      <c r="G1534" s="85" t="str">
        <f t="shared" si="159"/>
        <v>2</v>
      </c>
      <c r="H1534" s="85" t="str">
        <f t="shared" si="160"/>
        <v>1</v>
      </c>
      <c r="I1534" s="87">
        <v>24181021</v>
      </c>
      <c r="J1534" s="85" t="s">
        <v>4869</v>
      </c>
      <c r="K1534" s="85" t="s">
        <v>2803</v>
      </c>
      <c r="L1534" s="84"/>
      <c r="M1534" s="85"/>
      <c r="N1534" s="85"/>
      <c r="O1534" s="85"/>
      <c r="P1534" s="86" t="s">
        <v>2890</v>
      </c>
    </row>
    <row r="1535" spans="2:16" ht="45" x14ac:dyDescent="0.25">
      <c r="B1535" s="114" t="str">
        <f t="shared" si="154"/>
        <v>2</v>
      </c>
      <c r="C1535" s="114" t="str">
        <f t="shared" si="155"/>
        <v>4</v>
      </c>
      <c r="D1535" s="114" t="str">
        <f t="shared" si="156"/>
        <v>1</v>
      </c>
      <c r="E1535" s="114" t="str">
        <f t="shared" si="157"/>
        <v>8</v>
      </c>
      <c r="F1535" s="114" t="str">
        <f t="shared" si="158"/>
        <v>10</v>
      </c>
      <c r="G1535" s="114" t="str">
        <f t="shared" si="159"/>
        <v>5</v>
      </c>
      <c r="H1535" s="114" t="str">
        <f t="shared" si="160"/>
        <v>0</v>
      </c>
      <c r="I1535" s="115">
        <v>24181050</v>
      </c>
      <c r="J1535" s="114" t="s">
        <v>2804</v>
      </c>
      <c r="K1535" s="114" t="s">
        <v>2805</v>
      </c>
      <c r="L1535" s="116"/>
      <c r="M1535" s="114"/>
      <c r="N1535" s="114"/>
      <c r="O1535" s="114" t="s">
        <v>2878</v>
      </c>
      <c r="P1535" s="117" t="s">
        <v>2880</v>
      </c>
    </row>
    <row r="1536" spans="2:16" ht="45" x14ac:dyDescent="0.25">
      <c r="B1536" s="85" t="str">
        <f t="shared" si="154"/>
        <v>2</v>
      </c>
      <c r="C1536" s="85" t="str">
        <f t="shared" si="155"/>
        <v>4</v>
      </c>
      <c r="D1536" s="85" t="str">
        <f t="shared" si="156"/>
        <v>1</v>
      </c>
      <c r="E1536" s="85" t="str">
        <f t="shared" si="157"/>
        <v>8</v>
      </c>
      <c r="F1536" s="85" t="str">
        <f t="shared" si="158"/>
        <v>10</v>
      </c>
      <c r="G1536" s="85" t="str">
        <f t="shared" si="159"/>
        <v>5</v>
      </c>
      <c r="H1536" s="85" t="str">
        <f t="shared" si="160"/>
        <v>1</v>
      </c>
      <c r="I1536" s="87">
        <v>24181051</v>
      </c>
      <c r="J1536" s="85" t="s">
        <v>4870</v>
      </c>
      <c r="K1536" s="85" t="s">
        <v>2805</v>
      </c>
      <c r="L1536" s="84"/>
      <c r="M1536" s="85"/>
      <c r="N1536" s="85"/>
      <c r="O1536" s="85"/>
      <c r="P1536" s="86" t="s">
        <v>2890</v>
      </c>
    </row>
    <row r="1537" spans="2:16" ht="90" x14ac:dyDescent="0.25">
      <c r="B1537" s="114" t="str">
        <f t="shared" si="154"/>
        <v>2</v>
      </c>
      <c r="C1537" s="114" t="str">
        <f t="shared" si="155"/>
        <v>4</v>
      </c>
      <c r="D1537" s="114" t="str">
        <f t="shared" si="156"/>
        <v>1</v>
      </c>
      <c r="E1537" s="114" t="str">
        <f t="shared" si="157"/>
        <v>8</v>
      </c>
      <c r="F1537" s="114" t="str">
        <f t="shared" si="158"/>
        <v>10</v>
      </c>
      <c r="G1537" s="114" t="str">
        <f t="shared" si="159"/>
        <v>6</v>
      </c>
      <c r="H1537" s="114" t="str">
        <f t="shared" si="160"/>
        <v>0</v>
      </c>
      <c r="I1537" s="115">
        <v>24181060</v>
      </c>
      <c r="J1537" s="114" t="s">
        <v>2806</v>
      </c>
      <c r="K1537" s="114" t="s">
        <v>2807</v>
      </c>
      <c r="L1537" s="116"/>
      <c r="M1537" s="114"/>
      <c r="N1537" s="114"/>
      <c r="O1537" s="114" t="s">
        <v>2878</v>
      </c>
      <c r="P1537" s="117" t="s">
        <v>2880</v>
      </c>
    </row>
    <row r="1538" spans="2:16" ht="90" x14ac:dyDescent="0.25">
      <c r="B1538" s="85" t="str">
        <f t="shared" si="154"/>
        <v>2</v>
      </c>
      <c r="C1538" s="85" t="str">
        <f t="shared" si="155"/>
        <v>4</v>
      </c>
      <c r="D1538" s="85" t="str">
        <f t="shared" si="156"/>
        <v>1</v>
      </c>
      <c r="E1538" s="85" t="str">
        <f t="shared" si="157"/>
        <v>8</v>
      </c>
      <c r="F1538" s="85" t="str">
        <f t="shared" si="158"/>
        <v>10</v>
      </c>
      <c r="G1538" s="85" t="str">
        <f t="shared" si="159"/>
        <v>6</v>
      </c>
      <c r="H1538" s="85" t="str">
        <f t="shared" si="160"/>
        <v>1</v>
      </c>
      <c r="I1538" s="87">
        <v>24181061</v>
      </c>
      <c r="J1538" s="85" t="s">
        <v>4871</v>
      </c>
      <c r="K1538" s="85" t="s">
        <v>2807</v>
      </c>
      <c r="L1538" s="84"/>
      <c r="M1538" s="85"/>
      <c r="N1538" s="85"/>
      <c r="O1538" s="85"/>
      <c r="P1538" s="86" t="s">
        <v>2890</v>
      </c>
    </row>
    <row r="1539" spans="2:16" ht="90" x14ac:dyDescent="0.25">
      <c r="B1539" s="114" t="str">
        <f t="shared" si="154"/>
        <v>2</v>
      </c>
      <c r="C1539" s="114" t="str">
        <f t="shared" si="155"/>
        <v>4</v>
      </c>
      <c r="D1539" s="114" t="str">
        <f t="shared" si="156"/>
        <v>1</v>
      </c>
      <c r="E1539" s="114" t="str">
        <f t="shared" si="157"/>
        <v>8</v>
      </c>
      <c r="F1539" s="114" t="str">
        <f t="shared" si="158"/>
        <v>10</v>
      </c>
      <c r="G1539" s="114" t="str">
        <f t="shared" si="159"/>
        <v>7</v>
      </c>
      <c r="H1539" s="114" t="str">
        <f t="shared" si="160"/>
        <v>0</v>
      </c>
      <c r="I1539" s="115">
        <v>24181070</v>
      </c>
      <c r="J1539" s="114" t="s">
        <v>5137</v>
      </c>
      <c r="K1539" s="114" t="s">
        <v>5138</v>
      </c>
      <c r="L1539" s="116"/>
      <c r="M1539" s="114"/>
      <c r="N1539" s="114"/>
      <c r="O1539" s="114" t="s">
        <v>2878</v>
      </c>
      <c r="P1539" s="117" t="s">
        <v>2880</v>
      </c>
    </row>
    <row r="1540" spans="2:16" ht="90" x14ac:dyDescent="0.25">
      <c r="B1540" s="85" t="str">
        <f t="shared" si="154"/>
        <v>2</v>
      </c>
      <c r="C1540" s="85" t="str">
        <f t="shared" si="155"/>
        <v>4</v>
      </c>
      <c r="D1540" s="85" t="str">
        <f t="shared" si="156"/>
        <v>1</v>
      </c>
      <c r="E1540" s="85" t="str">
        <f t="shared" si="157"/>
        <v>8</v>
      </c>
      <c r="F1540" s="85" t="str">
        <f t="shared" si="158"/>
        <v>10</v>
      </c>
      <c r="G1540" s="85" t="str">
        <f t="shared" si="159"/>
        <v>7</v>
      </c>
      <c r="H1540" s="85" t="str">
        <f t="shared" si="160"/>
        <v>1</v>
      </c>
      <c r="I1540" s="87">
        <v>24181071</v>
      </c>
      <c r="J1540" s="85" t="s">
        <v>5139</v>
      </c>
      <c r="K1540" s="85" t="s">
        <v>5138</v>
      </c>
      <c r="L1540" s="84"/>
      <c r="M1540" s="85"/>
      <c r="N1540" s="85"/>
      <c r="O1540" s="85"/>
      <c r="P1540" s="86" t="s">
        <v>2890</v>
      </c>
    </row>
    <row r="1541" spans="2:16" ht="45" x14ac:dyDescent="0.25">
      <c r="B1541" s="114" t="str">
        <f t="shared" si="154"/>
        <v>2</v>
      </c>
      <c r="C1541" s="114" t="str">
        <f t="shared" si="155"/>
        <v>4</v>
      </c>
      <c r="D1541" s="114" t="str">
        <f t="shared" si="156"/>
        <v>1</v>
      </c>
      <c r="E1541" s="114" t="str">
        <f t="shared" si="157"/>
        <v>8</v>
      </c>
      <c r="F1541" s="114" t="str">
        <f t="shared" si="158"/>
        <v>10</v>
      </c>
      <c r="G1541" s="114" t="str">
        <f t="shared" si="159"/>
        <v>9</v>
      </c>
      <c r="H1541" s="114" t="str">
        <f t="shared" si="160"/>
        <v>0</v>
      </c>
      <c r="I1541" s="115">
        <v>24181090</v>
      </c>
      <c r="J1541" s="114" t="s">
        <v>1346</v>
      </c>
      <c r="K1541" s="114" t="s">
        <v>2810</v>
      </c>
      <c r="L1541" s="116"/>
      <c r="M1541" s="114"/>
      <c r="N1541" s="114"/>
      <c r="O1541" s="114" t="s">
        <v>2878</v>
      </c>
      <c r="P1541" s="117" t="s">
        <v>2880</v>
      </c>
    </row>
    <row r="1542" spans="2:16" ht="45" x14ac:dyDescent="0.25">
      <c r="B1542" s="85" t="str">
        <f t="shared" si="154"/>
        <v>2</v>
      </c>
      <c r="C1542" s="85" t="str">
        <f t="shared" si="155"/>
        <v>4</v>
      </c>
      <c r="D1542" s="85" t="str">
        <f t="shared" si="156"/>
        <v>1</v>
      </c>
      <c r="E1542" s="85" t="str">
        <f t="shared" si="157"/>
        <v>8</v>
      </c>
      <c r="F1542" s="85" t="str">
        <f t="shared" si="158"/>
        <v>10</v>
      </c>
      <c r="G1542" s="85" t="str">
        <f t="shared" si="159"/>
        <v>9</v>
      </c>
      <c r="H1542" s="85" t="str">
        <f t="shared" si="160"/>
        <v>1</v>
      </c>
      <c r="I1542" s="87">
        <v>24181091</v>
      </c>
      <c r="J1542" s="85" t="s">
        <v>4822</v>
      </c>
      <c r="K1542" s="85" t="s">
        <v>2810</v>
      </c>
      <c r="L1542" s="84"/>
      <c r="M1542" s="85"/>
      <c r="N1542" s="85"/>
      <c r="O1542" s="85"/>
      <c r="P1542" s="86" t="s">
        <v>2890</v>
      </c>
    </row>
    <row r="1543" spans="2:16" ht="75" x14ac:dyDescent="0.25">
      <c r="B1543" s="108" t="str">
        <f t="shared" si="154"/>
        <v>2</v>
      </c>
      <c r="C1543" s="108" t="str">
        <f t="shared" si="155"/>
        <v>4</v>
      </c>
      <c r="D1543" s="108" t="str">
        <f t="shared" si="156"/>
        <v>1</v>
      </c>
      <c r="E1543" s="108" t="str">
        <f t="shared" si="157"/>
        <v>8</v>
      </c>
      <c r="F1543" s="108" t="str">
        <f t="shared" si="158"/>
        <v>99</v>
      </c>
      <c r="G1543" s="108" t="str">
        <f t="shared" si="159"/>
        <v>0</v>
      </c>
      <c r="H1543" s="108" t="str">
        <f t="shared" si="160"/>
        <v>0</v>
      </c>
      <c r="I1543" s="109">
        <v>24189900</v>
      </c>
      <c r="J1543" s="108" t="s">
        <v>1277</v>
      </c>
      <c r="K1543" s="108" t="s">
        <v>2780</v>
      </c>
      <c r="L1543" s="110"/>
      <c r="M1543" s="108"/>
      <c r="N1543" s="108"/>
      <c r="O1543" s="108" t="s">
        <v>2878</v>
      </c>
      <c r="P1543" s="111" t="s">
        <v>2880</v>
      </c>
    </row>
    <row r="1544" spans="2:16" ht="75" x14ac:dyDescent="0.25">
      <c r="B1544" s="114" t="str">
        <f t="shared" si="154"/>
        <v>2</v>
      </c>
      <c r="C1544" s="114" t="str">
        <f t="shared" si="155"/>
        <v>4</v>
      </c>
      <c r="D1544" s="114" t="str">
        <f t="shared" si="156"/>
        <v>1</v>
      </c>
      <c r="E1544" s="114" t="str">
        <f t="shared" si="157"/>
        <v>8</v>
      </c>
      <c r="F1544" s="114" t="str">
        <f t="shared" si="158"/>
        <v>99</v>
      </c>
      <c r="G1544" s="114" t="str">
        <f t="shared" si="159"/>
        <v>1</v>
      </c>
      <c r="H1544" s="114" t="str">
        <f t="shared" si="160"/>
        <v>0</v>
      </c>
      <c r="I1544" s="115">
        <v>24189910</v>
      </c>
      <c r="J1544" s="114" t="s">
        <v>1277</v>
      </c>
      <c r="K1544" s="114" t="s">
        <v>2780</v>
      </c>
      <c r="L1544" s="116"/>
      <c r="M1544" s="114"/>
      <c r="N1544" s="114"/>
      <c r="O1544" s="114" t="s">
        <v>2878</v>
      </c>
      <c r="P1544" s="117" t="s">
        <v>2880</v>
      </c>
    </row>
    <row r="1545" spans="2:16" ht="75" x14ac:dyDescent="0.25">
      <c r="B1545" s="85" t="str">
        <f t="shared" si="154"/>
        <v>2</v>
      </c>
      <c r="C1545" s="85" t="str">
        <f t="shared" si="155"/>
        <v>4</v>
      </c>
      <c r="D1545" s="85" t="str">
        <f t="shared" si="156"/>
        <v>1</v>
      </c>
      <c r="E1545" s="85" t="str">
        <f t="shared" si="157"/>
        <v>8</v>
      </c>
      <c r="F1545" s="85" t="str">
        <f t="shared" si="158"/>
        <v>99</v>
      </c>
      <c r="G1545" s="85" t="str">
        <f t="shared" si="159"/>
        <v>1</v>
      </c>
      <c r="H1545" s="85" t="str">
        <f t="shared" si="160"/>
        <v>1</v>
      </c>
      <c r="I1545" s="87">
        <v>24189911</v>
      </c>
      <c r="J1545" s="85" t="s">
        <v>4823</v>
      </c>
      <c r="K1545" s="85" t="s">
        <v>2780</v>
      </c>
      <c r="L1545" s="84"/>
      <c r="M1545" s="85"/>
      <c r="N1545" s="85"/>
      <c r="O1545" s="85"/>
      <c r="P1545" s="86" t="s">
        <v>2890</v>
      </c>
    </row>
    <row r="1546" spans="2:16" ht="60" x14ac:dyDescent="0.25">
      <c r="B1546" s="126" t="str">
        <f t="shared" si="154"/>
        <v>2</v>
      </c>
      <c r="C1546" s="126" t="str">
        <f t="shared" si="155"/>
        <v>4</v>
      </c>
      <c r="D1546" s="126" t="str">
        <f t="shared" si="156"/>
        <v>2</v>
      </c>
      <c r="E1546" s="126" t="str">
        <f t="shared" si="157"/>
        <v>0</v>
      </c>
      <c r="F1546" s="126" t="str">
        <f t="shared" si="158"/>
        <v>00</v>
      </c>
      <c r="G1546" s="126" t="str">
        <f t="shared" si="159"/>
        <v>0</v>
      </c>
      <c r="H1546" s="126" t="str">
        <f t="shared" si="160"/>
        <v>0</v>
      </c>
      <c r="I1546" s="127">
        <v>24200000</v>
      </c>
      <c r="J1546" s="126" t="s">
        <v>4198</v>
      </c>
      <c r="K1546" s="126" t="s">
        <v>4691</v>
      </c>
      <c r="L1546" s="122"/>
      <c r="M1546" s="126" t="s">
        <v>2878</v>
      </c>
      <c r="N1546" s="126" t="s">
        <v>5016</v>
      </c>
      <c r="O1546" s="126" t="s">
        <v>2878</v>
      </c>
      <c r="P1546" s="128" t="s">
        <v>2880</v>
      </c>
    </row>
    <row r="1547" spans="2:16" ht="60" x14ac:dyDescent="0.25">
      <c r="B1547" s="114" t="str">
        <f t="shared" si="154"/>
        <v>2</v>
      </c>
      <c r="C1547" s="114" t="str">
        <f t="shared" si="155"/>
        <v>4</v>
      </c>
      <c r="D1547" s="114" t="str">
        <f t="shared" si="156"/>
        <v>2</v>
      </c>
      <c r="E1547" s="114" t="str">
        <f t="shared" si="157"/>
        <v>0</v>
      </c>
      <c r="F1547" s="114" t="str">
        <f t="shared" si="158"/>
        <v>00</v>
      </c>
      <c r="G1547" s="114" t="str">
        <f t="shared" si="159"/>
        <v>1</v>
      </c>
      <c r="H1547" s="114" t="str">
        <f t="shared" si="160"/>
        <v>0</v>
      </c>
      <c r="I1547" s="115">
        <v>24200010</v>
      </c>
      <c r="J1547" s="114" t="s">
        <v>4198</v>
      </c>
      <c r="K1547" s="114" t="s">
        <v>4691</v>
      </c>
      <c r="L1547" s="116"/>
      <c r="M1547" s="114" t="s">
        <v>2878</v>
      </c>
      <c r="N1547" s="114" t="s">
        <v>2879</v>
      </c>
      <c r="O1547" s="114" t="s">
        <v>2878</v>
      </c>
      <c r="P1547" s="117" t="s">
        <v>2880</v>
      </c>
    </row>
    <row r="1548" spans="2:16" ht="75" x14ac:dyDescent="0.25">
      <c r="B1548" s="85" t="str">
        <f t="shared" si="154"/>
        <v>2</v>
      </c>
      <c r="C1548" s="85" t="str">
        <f t="shared" si="155"/>
        <v>4</v>
      </c>
      <c r="D1548" s="85" t="str">
        <f t="shared" si="156"/>
        <v>2</v>
      </c>
      <c r="E1548" s="85" t="str">
        <f t="shared" si="157"/>
        <v>0</v>
      </c>
      <c r="F1548" s="85" t="str">
        <f t="shared" si="158"/>
        <v>00</v>
      </c>
      <c r="G1548" s="85" t="str">
        <f t="shared" si="159"/>
        <v>1</v>
      </c>
      <c r="H1548" s="85" t="str">
        <f t="shared" si="160"/>
        <v>1</v>
      </c>
      <c r="I1548" s="87">
        <v>24200011</v>
      </c>
      <c r="J1548" s="85" t="s">
        <v>5061</v>
      </c>
      <c r="K1548" s="85" t="s">
        <v>5064</v>
      </c>
      <c r="L1548" s="84"/>
      <c r="M1548" s="85" t="s">
        <v>4024</v>
      </c>
      <c r="N1548" s="85" t="s">
        <v>2879</v>
      </c>
      <c r="O1548" s="85" t="s">
        <v>4197</v>
      </c>
      <c r="P1548" s="86" t="s">
        <v>2890</v>
      </c>
    </row>
    <row r="1549" spans="2:16" ht="45" x14ac:dyDescent="0.25">
      <c r="B1549" s="104" t="str">
        <f t="shared" si="154"/>
        <v>2</v>
      </c>
      <c r="C1549" s="104" t="str">
        <f t="shared" si="155"/>
        <v>4</v>
      </c>
      <c r="D1549" s="104" t="str">
        <f t="shared" si="156"/>
        <v>2</v>
      </c>
      <c r="E1549" s="104" t="str">
        <f t="shared" si="157"/>
        <v>8</v>
      </c>
      <c r="F1549" s="104" t="str">
        <f t="shared" si="158"/>
        <v>00</v>
      </c>
      <c r="G1549" s="104" t="str">
        <f t="shared" si="159"/>
        <v>0</v>
      </c>
      <c r="H1549" s="104" t="str">
        <f t="shared" si="160"/>
        <v>0</v>
      </c>
      <c r="I1549" s="105">
        <v>24280000</v>
      </c>
      <c r="J1549" s="104" t="s">
        <v>4965</v>
      </c>
      <c r="K1549" s="104" t="s">
        <v>5040</v>
      </c>
      <c r="L1549" s="106"/>
      <c r="M1549" s="104" t="s">
        <v>2878</v>
      </c>
      <c r="N1549" s="104"/>
      <c r="O1549" s="104" t="s">
        <v>5018</v>
      </c>
      <c r="P1549" s="107" t="s">
        <v>2880</v>
      </c>
    </row>
    <row r="1550" spans="2:16" ht="45" x14ac:dyDescent="0.25">
      <c r="B1550" s="108" t="str">
        <f t="shared" si="154"/>
        <v>2</v>
      </c>
      <c r="C1550" s="108" t="str">
        <f t="shared" si="155"/>
        <v>4</v>
      </c>
      <c r="D1550" s="108" t="str">
        <f t="shared" si="156"/>
        <v>2</v>
      </c>
      <c r="E1550" s="108" t="str">
        <f t="shared" si="157"/>
        <v>8</v>
      </c>
      <c r="F1550" s="108" t="str">
        <f t="shared" si="158"/>
        <v>01</v>
      </c>
      <c r="G1550" s="108" t="str">
        <f t="shared" si="159"/>
        <v>0</v>
      </c>
      <c r="H1550" s="108" t="str">
        <f t="shared" si="160"/>
        <v>0</v>
      </c>
      <c r="I1550" s="109">
        <v>24280100</v>
      </c>
      <c r="J1550" s="108" t="s">
        <v>4966</v>
      </c>
      <c r="K1550" s="108" t="s">
        <v>4969</v>
      </c>
      <c r="L1550" s="110"/>
      <c r="M1550" s="108"/>
      <c r="N1550" s="108"/>
      <c r="O1550" s="108" t="s">
        <v>2878</v>
      </c>
      <c r="P1550" s="111" t="s">
        <v>2880</v>
      </c>
    </row>
    <row r="1551" spans="2:16" ht="45" x14ac:dyDescent="0.25">
      <c r="B1551" s="114" t="str">
        <f t="shared" ref="B1551:B1617" si="161">MID($I1551,1,1)</f>
        <v>2</v>
      </c>
      <c r="C1551" s="114" t="str">
        <f t="shared" ref="C1551:C1617" si="162">MID($I1551,2,1)</f>
        <v>4</v>
      </c>
      <c r="D1551" s="114" t="str">
        <f t="shared" ref="D1551:D1617" si="163">MID($I1551,3,1)</f>
        <v>2</v>
      </c>
      <c r="E1551" s="114" t="str">
        <f t="shared" ref="E1551:E1617" si="164">MID($I1551,4,1)</f>
        <v>8</v>
      </c>
      <c r="F1551" s="114" t="str">
        <f t="shared" ref="F1551:F1617" si="165">MID($I1551,5,2)</f>
        <v>01</v>
      </c>
      <c r="G1551" s="114" t="str">
        <f t="shared" ref="G1551:G1617" si="166">MID($I1551,7,1)</f>
        <v>1</v>
      </c>
      <c r="H1551" s="114" t="str">
        <f t="shared" ref="H1551:H1617" si="167">MID($I1551,8,1)</f>
        <v>0</v>
      </c>
      <c r="I1551" s="115">
        <v>24280110</v>
      </c>
      <c r="J1551" s="114" t="s">
        <v>4966</v>
      </c>
      <c r="K1551" s="114" t="s">
        <v>4968</v>
      </c>
      <c r="L1551" s="116"/>
      <c r="M1551" s="114"/>
      <c r="N1551" s="114"/>
      <c r="O1551" s="114" t="s">
        <v>2878</v>
      </c>
      <c r="P1551" s="117" t="s">
        <v>2880</v>
      </c>
    </row>
    <row r="1552" spans="2:16" ht="45" x14ac:dyDescent="0.25">
      <c r="B1552" s="85" t="str">
        <f t="shared" si="161"/>
        <v>2</v>
      </c>
      <c r="C1552" s="85" t="str">
        <f t="shared" si="162"/>
        <v>4</v>
      </c>
      <c r="D1552" s="85" t="str">
        <f t="shared" si="163"/>
        <v>2</v>
      </c>
      <c r="E1552" s="85" t="str">
        <f t="shared" si="164"/>
        <v>8</v>
      </c>
      <c r="F1552" s="85" t="str">
        <f t="shared" si="165"/>
        <v>01</v>
      </c>
      <c r="G1552" s="85" t="str">
        <f t="shared" si="166"/>
        <v>1</v>
      </c>
      <c r="H1552" s="85" t="str">
        <f t="shared" si="167"/>
        <v>1</v>
      </c>
      <c r="I1552" s="87">
        <v>24280111</v>
      </c>
      <c r="J1552" s="85" t="s">
        <v>4967</v>
      </c>
      <c r="K1552" s="85" t="s">
        <v>4968</v>
      </c>
      <c r="L1552" s="84"/>
      <c r="M1552" s="85"/>
      <c r="N1552" s="85"/>
      <c r="O1552" s="85"/>
      <c r="P1552" s="86" t="s">
        <v>2890</v>
      </c>
    </row>
    <row r="1553" spans="2:16" ht="45" x14ac:dyDescent="0.25">
      <c r="B1553" s="108" t="str">
        <f t="shared" si="161"/>
        <v>2</v>
      </c>
      <c r="C1553" s="108" t="str">
        <f t="shared" si="162"/>
        <v>4</v>
      </c>
      <c r="D1553" s="108" t="str">
        <f t="shared" si="163"/>
        <v>2</v>
      </c>
      <c r="E1553" s="108" t="str">
        <f t="shared" si="164"/>
        <v>8</v>
      </c>
      <c r="F1553" s="108" t="str">
        <f t="shared" si="165"/>
        <v>03</v>
      </c>
      <c r="G1553" s="108" t="str">
        <f t="shared" si="166"/>
        <v>0</v>
      </c>
      <c r="H1553" s="108" t="str">
        <f t="shared" si="167"/>
        <v>0</v>
      </c>
      <c r="I1553" s="109">
        <v>24280300</v>
      </c>
      <c r="J1553" s="108" t="s">
        <v>1311</v>
      </c>
      <c r="K1553" s="108" t="s">
        <v>2782</v>
      </c>
      <c r="L1553" s="110"/>
      <c r="M1553" s="108"/>
      <c r="N1553" s="108"/>
      <c r="O1553" s="108" t="s">
        <v>2878</v>
      </c>
      <c r="P1553" s="111" t="s">
        <v>2880</v>
      </c>
    </row>
    <row r="1554" spans="2:16" ht="45" x14ac:dyDescent="0.25">
      <c r="B1554" s="114" t="str">
        <f t="shared" si="161"/>
        <v>2</v>
      </c>
      <c r="C1554" s="114" t="str">
        <f t="shared" si="162"/>
        <v>4</v>
      </c>
      <c r="D1554" s="114" t="str">
        <f t="shared" si="163"/>
        <v>2</v>
      </c>
      <c r="E1554" s="114" t="str">
        <f t="shared" si="164"/>
        <v>8</v>
      </c>
      <c r="F1554" s="114" t="str">
        <f t="shared" si="165"/>
        <v>03</v>
      </c>
      <c r="G1554" s="114" t="str">
        <f t="shared" si="166"/>
        <v>1</v>
      </c>
      <c r="H1554" s="114" t="str">
        <f t="shared" si="167"/>
        <v>0</v>
      </c>
      <c r="I1554" s="115">
        <v>24280310</v>
      </c>
      <c r="J1554" s="114" t="s">
        <v>1311</v>
      </c>
      <c r="K1554" s="114" t="s">
        <v>2782</v>
      </c>
      <c r="L1554" s="116"/>
      <c r="M1554" s="114"/>
      <c r="N1554" s="114"/>
      <c r="O1554" s="114" t="s">
        <v>2878</v>
      </c>
      <c r="P1554" s="117" t="s">
        <v>2880</v>
      </c>
    </row>
    <row r="1555" spans="2:16" ht="45" x14ac:dyDescent="0.25">
      <c r="B1555" s="85" t="str">
        <f t="shared" si="161"/>
        <v>2</v>
      </c>
      <c r="C1555" s="85" t="str">
        <f t="shared" si="162"/>
        <v>4</v>
      </c>
      <c r="D1555" s="85" t="str">
        <f t="shared" si="163"/>
        <v>2</v>
      </c>
      <c r="E1555" s="85" t="str">
        <f t="shared" si="164"/>
        <v>8</v>
      </c>
      <c r="F1555" s="85" t="str">
        <f t="shared" si="165"/>
        <v>03</v>
      </c>
      <c r="G1555" s="85" t="str">
        <f t="shared" si="166"/>
        <v>1</v>
      </c>
      <c r="H1555" s="85" t="str">
        <f t="shared" si="167"/>
        <v>1</v>
      </c>
      <c r="I1555" s="87">
        <v>24280311</v>
      </c>
      <c r="J1555" s="85" t="s">
        <v>4836</v>
      </c>
      <c r="K1555" s="85" t="s">
        <v>2782</v>
      </c>
      <c r="L1555" s="84"/>
      <c r="M1555" s="85"/>
      <c r="N1555" s="85"/>
      <c r="O1555" s="85"/>
      <c r="P1555" s="86" t="s">
        <v>2890</v>
      </c>
    </row>
    <row r="1556" spans="2:16" ht="45" x14ac:dyDescent="0.25">
      <c r="B1556" s="108" t="str">
        <f t="shared" si="161"/>
        <v>2</v>
      </c>
      <c r="C1556" s="108" t="str">
        <f t="shared" si="162"/>
        <v>4</v>
      </c>
      <c r="D1556" s="108" t="str">
        <f t="shared" si="163"/>
        <v>2</v>
      </c>
      <c r="E1556" s="108" t="str">
        <f t="shared" si="164"/>
        <v>8</v>
      </c>
      <c r="F1556" s="108" t="str">
        <f t="shared" si="165"/>
        <v>05</v>
      </c>
      <c r="G1556" s="108" t="str">
        <f t="shared" si="166"/>
        <v>0</v>
      </c>
      <c r="H1556" s="108" t="str">
        <f t="shared" si="167"/>
        <v>0</v>
      </c>
      <c r="I1556" s="109">
        <v>24280500</v>
      </c>
      <c r="J1556" s="108" t="s">
        <v>2777</v>
      </c>
      <c r="K1556" s="108" t="s">
        <v>2783</v>
      </c>
      <c r="L1556" s="110"/>
      <c r="M1556" s="108"/>
      <c r="N1556" s="108"/>
      <c r="O1556" s="108" t="s">
        <v>2878</v>
      </c>
      <c r="P1556" s="111" t="s">
        <v>2880</v>
      </c>
    </row>
    <row r="1557" spans="2:16" ht="45" x14ac:dyDescent="0.25">
      <c r="B1557" s="114" t="str">
        <f t="shared" si="161"/>
        <v>2</v>
      </c>
      <c r="C1557" s="114" t="str">
        <f t="shared" si="162"/>
        <v>4</v>
      </c>
      <c r="D1557" s="114" t="str">
        <f t="shared" si="163"/>
        <v>2</v>
      </c>
      <c r="E1557" s="114" t="str">
        <f t="shared" si="164"/>
        <v>8</v>
      </c>
      <c r="F1557" s="114" t="str">
        <f t="shared" si="165"/>
        <v>05</v>
      </c>
      <c r="G1557" s="114" t="str">
        <f t="shared" si="166"/>
        <v>1</v>
      </c>
      <c r="H1557" s="114" t="str">
        <f t="shared" si="167"/>
        <v>0</v>
      </c>
      <c r="I1557" s="115">
        <v>24280510</v>
      </c>
      <c r="J1557" s="114" t="s">
        <v>2777</v>
      </c>
      <c r="K1557" s="114" t="s">
        <v>2783</v>
      </c>
      <c r="L1557" s="116"/>
      <c r="M1557" s="114"/>
      <c r="N1557" s="114"/>
      <c r="O1557" s="114" t="s">
        <v>2878</v>
      </c>
      <c r="P1557" s="117" t="s">
        <v>2880</v>
      </c>
    </row>
    <row r="1558" spans="2:16" ht="45" x14ac:dyDescent="0.25">
      <c r="B1558" s="85" t="str">
        <f t="shared" si="161"/>
        <v>2</v>
      </c>
      <c r="C1558" s="85" t="str">
        <f t="shared" si="162"/>
        <v>4</v>
      </c>
      <c r="D1558" s="85" t="str">
        <f t="shared" si="163"/>
        <v>2</v>
      </c>
      <c r="E1558" s="85" t="str">
        <f t="shared" si="164"/>
        <v>8</v>
      </c>
      <c r="F1558" s="85" t="str">
        <f t="shared" si="165"/>
        <v>05</v>
      </c>
      <c r="G1558" s="85" t="str">
        <f t="shared" si="166"/>
        <v>1</v>
      </c>
      <c r="H1558" s="85" t="str">
        <f t="shared" si="167"/>
        <v>1</v>
      </c>
      <c r="I1558" s="87">
        <v>24280511</v>
      </c>
      <c r="J1558" s="85" t="s">
        <v>4867</v>
      </c>
      <c r="K1558" s="85" t="s">
        <v>2783</v>
      </c>
      <c r="L1558" s="84"/>
      <c r="M1558" s="85"/>
      <c r="N1558" s="85"/>
      <c r="O1558" s="85"/>
      <c r="P1558" s="86" t="s">
        <v>2890</v>
      </c>
    </row>
    <row r="1559" spans="2:16" ht="60" x14ac:dyDescent="0.25">
      <c r="B1559" s="108" t="str">
        <f t="shared" si="161"/>
        <v>2</v>
      </c>
      <c r="C1559" s="108" t="str">
        <f t="shared" si="162"/>
        <v>4</v>
      </c>
      <c r="D1559" s="108" t="str">
        <f t="shared" si="163"/>
        <v>2</v>
      </c>
      <c r="E1559" s="108" t="str">
        <f t="shared" si="164"/>
        <v>8</v>
      </c>
      <c r="F1559" s="108" t="str">
        <f t="shared" si="165"/>
        <v>10</v>
      </c>
      <c r="G1559" s="108" t="str">
        <f t="shared" si="166"/>
        <v>0</v>
      </c>
      <c r="H1559" s="108" t="str">
        <f t="shared" si="167"/>
        <v>0</v>
      </c>
      <c r="I1559" s="109">
        <v>24281000</v>
      </c>
      <c r="J1559" s="108" t="s">
        <v>2811</v>
      </c>
      <c r="K1559" s="108" t="s">
        <v>2812</v>
      </c>
      <c r="L1559" s="110"/>
      <c r="M1559" s="108"/>
      <c r="N1559" s="108"/>
      <c r="O1559" s="108" t="s">
        <v>2878</v>
      </c>
      <c r="P1559" s="111" t="s">
        <v>2880</v>
      </c>
    </row>
    <row r="1560" spans="2:16" ht="45" x14ac:dyDescent="0.25">
      <c r="B1560" s="114" t="str">
        <f t="shared" si="161"/>
        <v>2</v>
      </c>
      <c r="C1560" s="114" t="str">
        <f t="shared" si="162"/>
        <v>4</v>
      </c>
      <c r="D1560" s="114" t="str">
        <f t="shared" si="163"/>
        <v>2</v>
      </c>
      <c r="E1560" s="114" t="str">
        <f t="shared" si="164"/>
        <v>8</v>
      </c>
      <c r="F1560" s="114" t="str">
        <f t="shared" si="165"/>
        <v>10</v>
      </c>
      <c r="G1560" s="114" t="str">
        <f t="shared" si="166"/>
        <v>1</v>
      </c>
      <c r="H1560" s="114" t="str">
        <f t="shared" si="167"/>
        <v>0</v>
      </c>
      <c r="I1560" s="115">
        <v>24281010</v>
      </c>
      <c r="J1560" s="114" t="s">
        <v>2813</v>
      </c>
      <c r="K1560" s="114" t="s">
        <v>2814</v>
      </c>
      <c r="L1560" s="116"/>
      <c r="M1560" s="114"/>
      <c r="N1560" s="114"/>
      <c r="O1560" s="114" t="s">
        <v>2878</v>
      </c>
      <c r="P1560" s="117" t="s">
        <v>2880</v>
      </c>
    </row>
    <row r="1561" spans="2:16" ht="45" x14ac:dyDescent="0.25">
      <c r="B1561" s="85" t="str">
        <f t="shared" si="161"/>
        <v>2</v>
      </c>
      <c r="C1561" s="85" t="str">
        <f t="shared" si="162"/>
        <v>4</v>
      </c>
      <c r="D1561" s="85" t="str">
        <f t="shared" si="163"/>
        <v>2</v>
      </c>
      <c r="E1561" s="85" t="str">
        <f t="shared" si="164"/>
        <v>8</v>
      </c>
      <c r="F1561" s="85" t="str">
        <f t="shared" si="165"/>
        <v>10</v>
      </c>
      <c r="G1561" s="85" t="str">
        <f t="shared" si="166"/>
        <v>1</v>
      </c>
      <c r="H1561" s="85" t="str">
        <f t="shared" si="167"/>
        <v>1</v>
      </c>
      <c r="I1561" s="87">
        <v>24281011</v>
      </c>
      <c r="J1561" s="85" t="s">
        <v>4873</v>
      </c>
      <c r="K1561" s="85" t="s">
        <v>2814</v>
      </c>
      <c r="L1561" s="84"/>
      <c r="M1561" s="85"/>
      <c r="N1561" s="85"/>
      <c r="O1561" s="85"/>
      <c r="P1561" s="86" t="s">
        <v>2890</v>
      </c>
    </row>
    <row r="1562" spans="2:16" ht="45" x14ac:dyDescent="0.25">
      <c r="B1562" s="114" t="str">
        <f t="shared" si="161"/>
        <v>2</v>
      </c>
      <c r="C1562" s="114" t="str">
        <f t="shared" si="162"/>
        <v>4</v>
      </c>
      <c r="D1562" s="114" t="str">
        <f t="shared" si="163"/>
        <v>2</v>
      </c>
      <c r="E1562" s="114" t="str">
        <f t="shared" si="164"/>
        <v>8</v>
      </c>
      <c r="F1562" s="114" t="str">
        <f t="shared" si="165"/>
        <v>10</v>
      </c>
      <c r="G1562" s="114" t="str">
        <f t="shared" si="166"/>
        <v>2</v>
      </c>
      <c r="H1562" s="114" t="str">
        <f t="shared" si="167"/>
        <v>0</v>
      </c>
      <c r="I1562" s="115">
        <v>24281020</v>
      </c>
      <c r="J1562" s="114" t="s">
        <v>2815</v>
      </c>
      <c r="K1562" s="114" t="s">
        <v>2816</v>
      </c>
      <c r="L1562" s="116"/>
      <c r="M1562" s="114"/>
      <c r="N1562" s="114"/>
      <c r="O1562" s="114" t="s">
        <v>2878</v>
      </c>
      <c r="P1562" s="117" t="s">
        <v>2880</v>
      </c>
    </row>
    <row r="1563" spans="2:16" ht="45" x14ac:dyDescent="0.25">
      <c r="B1563" s="85" t="str">
        <f t="shared" si="161"/>
        <v>2</v>
      </c>
      <c r="C1563" s="85" t="str">
        <f t="shared" si="162"/>
        <v>4</v>
      </c>
      <c r="D1563" s="85" t="str">
        <f t="shared" si="163"/>
        <v>2</v>
      </c>
      <c r="E1563" s="85" t="str">
        <f t="shared" si="164"/>
        <v>8</v>
      </c>
      <c r="F1563" s="85" t="str">
        <f t="shared" si="165"/>
        <v>10</v>
      </c>
      <c r="G1563" s="85" t="str">
        <f t="shared" si="166"/>
        <v>2</v>
      </c>
      <c r="H1563" s="85" t="str">
        <f t="shared" si="167"/>
        <v>1</v>
      </c>
      <c r="I1563" s="87">
        <v>24281021</v>
      </c>
      <c r="J1563" s="85" t="s">
        <v>4874</v>
      </c>
      <c r="K1563" s="85" t="s">
        <v>2816</v>
      </c>
      <c r="L1563" s="84"/>
      <c r="M1563" s="85"/>
      <c r="N1563" s="85"/>
      <c r="O1563" s="85"/>
      <c r="P1563" s="86" t="s">
        <v>2890</v>
      </c>
    </row>
    <row r="1564" spans="2:16" ht="45" x14ac:dyDescent="0.25">
      <c r="B1564" s="114" t="str">
        <f t="shared" si="161"/>
        <v>2</v>
      </c>
      <c r="C1564" s="114" t="str">
        <f t="shared" si="162"/>
        <v>4</v>
      </c>
      <c r="D1564" s="114" t="str">
        <f t="shared" si="163"/>
        <v>2</v>
      </c>
      <c r="E1564" s="114" t="str">
        <f t="shared" si="164"/>
        <v>8</v>
      </c>
      <c r="F1564" s="114" t="str">
        <f t="shared" si="165"/>
        <v>10</v>
      </c>
      <c r="G1564" s="114" t="str">
        <f t="shared" si="166"/>
        <v>5</v>
      </c>
      <c r="H1564" s="114" t="str">
        <f t="shared" si="167"/>
        <v>0</v>
      </c>
      <c r="I1564" s="115">
        <v>24281050</v>
      </c>
      <c r="J1564" s="114" t="s">
        <v>2817</v>
      </c>
      <c r="K1564" s="114" t="s">
        <v>2818</v>
      </c>
      <c r="L1564" s="116"/>
      <c r="M1564" s="114"/>
      <c r="N1564" s="114"/>
      <c r="O1564" s="114" t="s">
        <v>2878</v>
      </c>
      <c r="P1564" s="117" t="s">
        <v>2880</v>
      </c>
    </row>
    <row r="1565" spans="2:16" ht="45" x14ac:dyDescent="0.25">
      <c r="B1565" s="85" t="str">
        <f t="shared" si="161"/>
        <v>2</v>
      </c>
      <c r="C1565" s="85" t="str">
        <f t="shared" si="162"/>
        <v>4</v>
      </c>
      <c r="D1565" s="85" t="str">
        <f t="shared" si="163"/>
        <v>2</v>
      </c>
      <c r="E1565" s="85" t="str">
        <f t="shared" si="164"/>
        <v>8</v>
      </c>
      <c r="F1565" s="85" t="str">
        <f t="shared" si="165"/>
        <v>10</v>
      </c>
      <c r="G1565" s="85" t="str">
        <f t="shared" si="166"/>
        <v>5</v>
      </c>
      <c r="H1565" s="85" t="str">
        <f t="shared" si="167"/>
        <v>1</v>
      </c>
      <c r="I1565" s="87">
        <v>24281051</v>
      </c>
      <c r="J1565" s="85" t="s">
        <v>4875</v>
      </c>
      <c r="K1565" s="85" t="s">
        <v>2818</v>
      </c>
      <c r="L1565" s="84"/>
      <c r="M1565" s="85"/>
      <c r="N1565" s="85"/>
      <c r="O1565" s="85"/>
      <c r="P1565" s="86" t="s">
        <v>2890</v>
      </c>
    </row>
    <row r="1566" spans="2:16" ht="90" x14ac:dyDescent="0.25">
      <c r="B1566" s="114" t="str">
        <f t="shared" si="161"/>
        <v>2</v>
      </c>
      <c r="C1566" s="114" t="str">
        <f t="shared" si="162"/>
        <v>4</v>
      </c>
      <c r="D1566" s="114" t="str">
        <f t="shared" si="163"/>
        <v>2</v>
      </c>
      <c r="E1566" s="114" t="str">
        <f t="shared" si="164"/>
        <v>8</v>
      </c>
      <c r="F1566" s="114" t="str">
        <f t="shared" si="165"/>
        <v>10</v>
      </c>
      <c r="G1566" s="114" t="str">
        <f t="shared" si="166"/>
        <v>6</v>
      </c>
      <c r="H1566" s="114" t="str">
        <f t="shared" si="167"/>
        <v>0</v>
      </c>
      <c r="I1566" s="115">
        <v>24281060</v>
      </c>
      <c r="J1566" s="114" t="s">
        <v>2819</v>
      </c>
      <c r="K1566" s="114" t="s">
        <v>2820</v>
      </c>
      <c r="L1566" s="116"/>
      <c r="M1566" s="114"/>
      <c r="N1566" s="114"/>
      <c r="O1566" s="114" t="s">
        <v>2878</v>
      </c>
      <c r="P1566" s="117" t="s">
        <v>2880</v>
      </c>
    </row>
    <row r="1567" spans="2:16" ht="90" x14ac:dyDescent="0.25">
      <c r="B1567" s="85" t="str">
        <f t="shared" si="161"/>
        <v>2</v>
      </c>
      <c r="C1567" s="85" t="str">
        <f t="shared" si="162"/>
        <v>4</v>
      </c>
      <c r="D1567" s="85" t="str">
        <f t="shared" si="163"/>
        <v>2</v>
      </c>
      <c r="E1567" s="85" t="str">
        <f t="shared" si="164"/>
        <v>8</v>
      </c>
      <c r="F1567" s="85" t="str">
        <f t="shared" si="165"/>
        <v>10</v>
      </c>
      <c r="G1567" s="85" t="str">
        <f t="shared" si="166"/>
        <v>6</v>
      </c>
      <c r="H1567" s="85" t="str">
        <f t="shared" si="167"/>
        <v>1</v>
      </c>
      <c r="I1567" s="87">
        <v>24281061</v>
      </c>
      <c r="J1567" s="85" t="s">
        <v>4876</v>
      </c>
      <c r="K1567" s="85" t="s">
        <v>2820</v>
      </c>
      <c r="L1567" s="84"/>
      <c r="M1567" s="85"/>
      <c r="N1567" s="85"/>
      <c r="O1567" s="85"/>
      <c r="P1567" s="86" t="s">
        <v>2890</v>
      </c>
    </row>
    <row r="1568" spans="2:16" ht="90" x14ac:dyDescent="0.25">
      <c r="B1568" s="114" t="str">
        <f t="shared" si="161"/>
        <v>2</v>
      </c>
      <c r="C1568" s="114" t="str">
        <f t="shared" si="162"/>
        <v>4</v>
      </c>
      <c r="D1568" s="114" t="str">
        <f t="shared" si="163"/>
        <v>2</v>
      </c>
      <c r="E1568" s="114" t="str">
        <f t="shared" si="164"/>
        <v>8</v>
      </c>
      <c r="F1568" s="114" t="str">
        <f t="shared" si="165"/>
        <v>10</v>
      </c>
      <c r="G1568" s="114" t="str">
        <f t="shared" si="166"/>
        <v>7</v>
      </c>
      <c r="H1568" s="114" t="str">
        <f t="shared" si="167"/>
        <v>0</v>
      </c>
      <c r="I1568" s="115">
        <v>24281070</v>
      </c>
      <c r="J1568" s="114" t="s">
        <v>5140</v>
      </c>
      <c r="K1568" s="114" t="s">
        <v>5141</v>
      </c>
      <c r="L1568" s="116"/>
      <c r="M1568" s="114"/>
      <c r="N1568" s="114"/>
      <c r="O1568" s="114" t="s">
        <v>2878</v>
      </c>
      <c r="P1568" s="117" t="s">
        <v>2880</v>
      </c>
    </row>
    <row r="1569" spans="2:16" ht="90" x14ac:dyDescent="0.25">
      <c r="B1569" s="85" t="str">
        <f t="shared" si="161"/>
        <v>2</v>
      </c>
      <c r="C1569" s="85" t="str">
        <f t="shared" si="162"/>
        <v>4</v>
      </c>
      <c r="D1569" s="85" t="str">
        <f t="shared" si="163"/>
        <v>2</v>
      </c>
      <c r="E1569" s="85" t="str">
        <f t="shared" si="164"/>
        <v>8</v>
      </c>
      <c r="F1569" s="85" t="str">
        <f t="shared" si="165"/>
        <v>10</v>
      </c>
      <c r="G1569" s="85" t="str">
        <f t="shared" si="166"/>
        <v>7</v>
      </c>
      <c r="H1569" s="85" t="str">
        <f t="shared" si="167"/>
        <v>1</v>
      </c>
      <c r="I1569" s="87">
        <v>24281071</v>
      </c>
      <c r="J1569" s="85" t="s">
        <v>4877</v>
      </c>
      <c r="K1569" s="85" t="s">
        <v>5141</v>
      </c>
      <c r="L1569" s="84"/>
      <c r="M1569" s="85"/>
      <c r="N1569" s="85"/>
      <c r="O1569" s="85"/>
      <c r="P1569" s="86" t="s">
        <v>2890</v>
      </c>
    </row>
    <row r="1570" spans="2:16" ht="45" x14ac:dyDescent="0.25">
      <c r="B1570" s="114" t="str">
        <f t="shared" si="161"/>
        <v>2</v>
      </c>
      <c r="C1570" s="114" t="str">
        <f t="shared" si="162"/>
        <v>4</v>
      </c>
      <c r="D1570" s="114" t="str">
        <f t="shared" si="163"/>
        <v>2</v>
      </c>
      <c r="E1570" s="114" t="str">
        <f t="shared" si="164"/>
        <v>8</v>
      </c>
      <c r="F1570" s="114" t="str">
        <f t="shared" si="165"/>
        <v>10</v>
      </c>
      <c r="G1570" s="114" t="str">
        <f t="shared" si="166"/>
        <v>9</v>
      </c>
      <c r="H1570" s="114" t="str">
        <f t="shared" si="167"/>
        <v>0</v>
      </c>
      <c r="I1570" s="115">
        <v>24281090</v>
      </c>
      <c r="J1570" s="114" t="s">
        <v>1354</v>
      </c>
      <c r="K1570" s="114" t="s">
        <v>2823</v>
      </c>
      <c r="L1570" s="116"/>
      <c r="M1570" s="114"/>
      <c r="N1570" s="114"/>
      <c r="O1570" s="114" t="s">
        <v>2878</v>
      </c>
      <c r="P1570" s="117" t="s">
        <v>2880</v>
      </c>
    </row>
    <row r="1571" spans="2:16" ht="45" x14ac:dyDescent="0.25">
      <c r="B1571" s="85" t="str">
        <f t="shared" si="161"/>
        <v>2</v>
      </c>
      <c r="C1571" s="85" t="str">
        <f t="shared" si="162"/>
        <v>4</v>
      </c>
      <c r="D1571" s="85" t="str">
        <f t="shared" si="163"/>
        <v>2</v>
      </c>
      <c r="E1571" s="85" t="str">
        <f t="shared" si="164"/>
        <v>8</v>
      </c>
      <c r="F1571" s="85" t="str">
        <f t="shared" si="165"/>
        <v>10</v>
      </c>
      <c r="G1571" s="85" t="str">
        <f t="shared" si="166"/>
        <v>9</v>
      </c>
      <c r="H1571" s="85" t="str">
        <f t="shared" si="167"/>
        <v>1</v>
      </c>
      <c r="I1571" s="87">
        <v>24281091</v>
      </c>
      <c r="J1571" s="85" t="s">
        <v>4835</v>
      </c>
      <c r="K1571" s="85" t="s">
        <v>2823</v>
      </c>
      <c r="L1571" s="84"/>
      <c r="M1571" s="85"/>
      <c r="N1571" s="85"/>
      <c r="O1571" s="85"/>
      <c r="P1571" s="86" t="s">
        <v>2890</v>
      </c>
    </row>
    <row r="1572" spans="2:16" ht="45" x14ac:dyDescent="0.25">
      <c r="B1572" s="108" t="str">
        <f t="shared" si="161"/>
        <v>2</v>
      </c>
      <c r="C1572" s="108" t="str">
        <f t="shared" si="162"/>
        <v>4</v>
      </c>
      <c r="D1572" s="108" t="str">
        <f t="shared" si="163"/>
        <v>2</v>
      </c>
      <c r="E1572" s="108" t="str">
        <f t="shared" si="164"/>
        <v>8</v>
      </c>
      <c r="F1572" s="108" t="str">
        <f t="shared" si="165"/>
        <v>99</v>
      </c>
      <c r="G1572" s="108" t="str">
        <f t="shared" si="166"/>
        <v>0</v>
      </c>
      <c r="H1572" s="108" t="str">
        <f t="shared" si="167"/>
        <v>0</v>
      </c>
      <c r="I1572" s="109">
        <v>24289900</v>
      </c>
      <c r="J1572" s="108" t="s">
        <v>1294</v>
      </c>
      <c r="K1572" s="108" t="s">
        <v>2785</v>
      </c>
      <c r="L1572" s="110"/>
      <c r="M1572" s="108"/>
      <c r="N1572" s="108"/>
      <c r="O1572" s="108" t="s">
        <v>2878</v>
      </c>
      <c r="P1572" s="111" t="s">
        <v>2880</v>
      </c>
    </row>
    <row r="1573" spans="2:16" ht="45" x14ac:dyDescent="0.25">
      <c r="B1573" s="114" t="str">
        <f t="shared" si="161"/>
        <v>2</v>
      </c>
      <c r="C1573" s="114" t="str">
        <f t="shared" si="162"/>
        <v>4</v>
      </c>
      <c r="D1573" s="114" t="str">
        <f t="shared" si="163"/>
        <v>2</v>
      </c>
      <c r="E1573" s="114" t="str">
        <f t="shared" si="164"/>
        <v>8</v>
      </c>
      <c r="F1573" s="114" t="str">
        <f t="shared" si="165"/>
        <v>99</v>
      </c>
      <c r="G1573" s="114" t="str">
        <f t="shared" si="166"/>
        <v>1</v>
      </c>
      <c r="H1573" s="114" t="str">
        <f t="shared" si="167"/>
        <v>0</v>
      </c>
      <c r="I1573" s="115">
        <v>24289910</v>
      </c>
      <c r="J1573" s="114" t="s">
        <v>1294</v>
      </c>
      <c r="K1573" s="114" t="s">
        <v>2785</v>
      </c>
      <c r="L1573" s="116"/>
      <c r="M1573" s="114"/>
      <c r="N1573" s="114"/>
      <c r="O1573" s="114" t="s">
        <v>2878</v>
      </c>
      <c r="P1573" s="117" t="s">
        <v>2880</v>
      </c>
    </row>
    <row r="1574" spans="2:16" ht="45" x14ac:dyDescent="0.25">
      <c r="B1574" s="85" t="str">
        <f t="shared" si="161"/>
        <v>2</v>
      </c>
      <c r="C1574" s="85" t="str">
        <f t="shared" si="162"/>
        <v>4</v>
      </c>
      <c r="D1574" s="85" t="str">
        <f t="shared" si="163"/>
        <v>2</v>
      </c>
      <c r="E1574" s="85" t="str">
        <f t="shared" si="164"/>
        <v>8</v>
      </c>
      <c r="F1574" s="85" t="str">
        <f t="shared" si="165"/>
        <v>99</v>
      </c>
      <c r="G1574" s="85" t="str">
        <f t="shared" si="166"/>
        <v>1</v>
      </c>
      <c r="H1574" s="85" t="str">
        <f t="shared" si="167"/>
        <v>1</v>
      </c>
      <c r="I1574" s="87">
        <v>24289911</v>
      </c>
      <c r="J1574" s="85" t="s">
        <v>4828</v>
      </c>
      <c r="K1574" s="85" t="s">
        <v>2785</v>
      </c>
      <c r="L1574" s="84"/>
      <c r="M1574" s="85"/>
      <c r="N1574" s="85"/>
      <c r="O1574" s="85"/>
      <c r="P1574" s="86" t="s">
        <v>2890</v>
      </c>
    </row>
    <row r="1575" spans="2:16" ht="60" x14ac:dyDescent="0.25">
      <c r="B1575" s="126" t="str">
        <f t="shared" si="161"/>
        <v>2</v>
      </c>
      <c r="C1575" s="126" t="str">
        <f t="shared" si="162"/>
        <v>4</v>
      </c>
      <c r="D1575" s="126" t="str">
        <f t="shared" si="163"/>
        <v>3</v>
      </c>
      <c r="E1575" s="126" t="str">
        <f t="shared" si="164"/>
        <v>0</v>
      </c>
      <c r="F1575" s="126" t="str">
        <f t="shared" si="165"/>
        <v>00</v>
      </c>
      <c r="G1575" s="126" t="str">
        <f t="shared" si="166"/>
        <v>0</v>
      </c>
      <c r="H1575" s="126" t="str">
        <f t="shared" si="167"/>
        <v>0</v>
      </c>
      <c r="I1575" s="127">
        <v>24300000</v>
      </c>
      <c r="J1575" s="126" t="s">
        <v>4200</v>
      </c>
      <c r="K1575" s="126" t="s">
        <v>4692</v>
      </c>
      <c r="L1575" s="122"/>
      <c r="M1575" s="126" t="s">
        <v>2878</v>
      </c>
      <c r="N1575" s="126" t="s">
        <v>5016</v>
      </c>
      <c r="O1575" s="126" t="s">
        <v>2878</v>
      </c>
      <c r="P1575" s="128" t="s">
        <v>2880</v>
      </c>
    </row>
    <row r="1576" spans="2:16" ht="60" x14ac:dyDescent="0.25">
      <c r="B1576" s="114" t="str">
        <f t="shared" si="161"/>
        <v>2</v>
      </c>
      <c r="C1576" s="114" t="str">
        <f t="shared" si="162"/>
        <v>4</v>
      </c>
      <c r="D1576" s="114" t="str">
        <f t="shared" si="163"/>
        <v>3</v>
      </c>
      <c r="E1576" s="114" t="str">
        <f t="shared" si="164"/>
        <v>0</v>
      </c>
      <c r="F1576" s="114" t="str">
        <f t="shared" si="165"/>
        <v>00</v>
      </c>
      <c r="G1576" s="114" t="str">
        <f t="shared" si="166"/>
        <v>1</v>
      </c>
      <c r="H1576" s="114" t="str">
        <f t="shared" si="167"/>
        <v>0</v>
      </c>
      <c r="I1576" s="115">
        <v>24300010</v>
      </c>
      <c r="J1576" s="114" t="s">
        <v>4200</v>
      </c>
      <c r="K1576" s="114" t="s">
        <v>4692</v>
      </c>
      <c r="L1576" s="116"/>
      <c r="M1576" s="114" t="s">
        <v>2878</v>
      </c>
      <c r="N1576" s="114" t="s">
        <v>2879</v>
      </c>
      <c r="O1576" s="114" t="s">
        <v>2878</v>
      </c>
      <c r="P1576" s="117" t="s">
        <v>2880</v>
      </c>
    </row>
    <row r="1577" spans="2:16" ht="75" x14ac:dyDescent="0.25">
      <c r="B1577" s="85" t="str">
        <f t="shared" si="161"/>
        <v>2</v>
      </c>
      <c r="C1577" s="85" t="str">
        <f t="shared" si="162"/>
        <v>4</v>
      </c>
      <c r="D1577" s="85" t="str">
        <f t="shared" si="163"/>
        <v>3</v>
      </c>
      <c r="E1577" s="85" t="str">
        <f t="shared" si="164"/>
        <v>0</v>
      </c>
      <c r="F1577" s="85" t="str">
        <f t="shared" si="165"/>
        <v>00</v>
      </c>
      <c r="G1577" s="85" t="str">
        <f t="shared" si="166"/>
        <v>1</v>
      </c>
      <c r="H1577" s="85" t="str">
        <f t="shared" si="167"/>
        <v>1</v>
      </c>
      <c r="I1577" s="87">
        <v>24300011</v>
      </c>
      <c r="J1577" s="85" t="s">
        <v>5057</v>
      </c>
      <c r="K1577" s="85" t="s">
        <v>5065</v>
      </c>
      <c r="L1577" s="84"/>
      <c r="M1577" s="85" t="s">
        <v>4024</v>
      </c>
      <c r="N1577" s="85" t="s">
        <v>2879</v>
      </c>
      <c r="O1577" s="85" t="s">
        <v>4197</v>
      </c>
      <c r="P1577" s="86" t="s">
        <v>2890</v>
      </c>
    </row>
    <row r="1578" spans="2:16" ht="30" x14ac:dyDescent="0.25">
      <c r="B1578" s="104" t="str">
        <f t="shared" si="161"/>
        <v>2</v>
      </c>
      <c r="C1578" s="104" t="str">
        <f t="shared" si="162"/>
        <v>4</v>
      </c>
      <c r="D1578" s="104" t="str">
        <f t="shared" si="163"/>
        <v>3</v>
      </c>
      <c r="E1578" s="104" t="str">
        <f t="shared" si="164"/>
        <v>8</v>
      </c>
      <c r="F1578" s="104" t="str">
        <f t="shared" si="165"/>
        <v>00</v>
      </c>
      <c r="G1578" s="104" t="str">
        <f t="shared" si="166"/>
        <v>0</v>
      </c>
      <c r="H1578" s="104" t="str">
        <f t="shared" si="167"/>
        <v>0</v>
      </c>
      <c r="I1578" s="105">
        <v>24380000</v>
      </c>
      <c r="J1578" s="104" t="s">
        <v>4200</v>
      </c>
      <c r="K1578" s="104" t="s">
        <v>2786</v>
      </c>
      <c r="L1578" s="106"/>
      <c r="M1578" s="104" t="s">
        <v>2878</v>
      </c>
      <c r="N1578" s="104"/>
      <c r="O1578" s="104" t="s">
        <v>5018</v>
      </c>
      <c r="P1578" s="107" t="s">
        <v>2880</v>
      </c>
    </row>
    <row r="1579" spans="2:16" ht="30" x14ac:dyDescent="0.25">
      <c r="B1579" s="108" t="str">
        <f t="shared" si="161"/>
        <v>2</v>
      </c>
      <c r="C1579" s="108" t="str">
        <f t="shared" si="162"/>
        <v>4</v>
      </c>
      <c r="D1579" s="108" t="str">
        <f t="shared" si="163"/>
        <v>3</v>
      </c>
      <c r="E1579" s="108" t="str">
        <f t="shared" si="164"/>
        <v>8</v>
      </c>
      <c r="F1579" s="108" t="str">
        <f t="shared" si="165"/>
        <v>01</v>
      </c>
      <c r="G1579" s="108" t="str">
        <f t="shared" si="166"/>
        <v>0</v>
      </c>
      <c r="H1579" s="108" t="str">
        <f t="shared" si="167"/>
        <v>0</v>
      </c>
      <c r="I1579" s="109">
        <v>24380100</v>
      </c>
      <c r="J1579" s="108" t="s">
        <v>1314</v>
      </c>
      <c r="K1579" s="108" t="s">
        <v>2790</v>
      </c>
      <c r="L1579" s="110"/>
      <c r="M1579" s="108"/>
      <c r="N1579" s="108"/>
      <c r="O1579" s="108" t="s">
        <v>2878</v>
      </c>
      <c r="P1579" s="111" t="s">
        <v>2880</v>
      </c>
    </row>
    <row r="1580" spans="2:16" ht="30" x14ac:dyDescent="0.25">
      <c r="B1580" s="114" t="str">
        <f t="shared" si="161"/>
        <v>2</v>
      </c>
      <c r="C1580" s="114" t="str">
        <f t="shared" si="162"/>
        <v>4</v>
      </c>
      <c r="D1580" s="114" t="str">
        <f t="shared" si="163"/>
        <v>3</v>
      </c>
      <c r="E1580" s="114" t="str">
        <f t="shared" si="164"/>
        <v>8</v>
      </c>
      <c r="F1580" s="114" t="str">
        <f t="shared" si="165"/>
        <v>01</v>
      </c>
      <c r="G1580" s="114" t="str">
        <f t="shared" si="166"/>
        <v>1</v>
      </c>
      <c r="H1580" s="114" t="str">
        <f t="shared" si="167"/>
        <v>0</v>
      </c>
      <c r="I1580" s="115">
        <v>24380110</v>
      </c>
      <c r="J1580" s="114" t="s">
        <v>1314</v>
      </c>
      <c r="K1580" s="114" t="s">
        <v>2790</v>
      </c>
      <c r="L1580" s="116"/>
      <c r="M1580" s="114"/>
      <c r="N1580" s="114"/>
      <c r="O1580" s="114" t="s">
        <v>2878</v>
      </c>
      <c r="P1580" s="117" t="s">
        <v>2880</v>
      </c>
    </row>
    <row r="1581" spans="2:16" ht="30" x14ac:dyDescent="0.25">
      <c r="B1581" s="85" t="str">
        <f t="shared" si="161"/>
        <v>2</v>
      </c>
      <c r="C1581" s="85" t="str">
        <f t="shared" si="162"/>
        <v>4</v>
      </c>
      <c r="D1581" s="85" t="str">
        <f t="shared" si="163"/>
        <v>3</v>
      </c>
      <c r="E1581" s="85" t="str">
        <f t="shared" si="164"/>
        <v>8</v>
      </c>
      <c r="F1581" s="85" t="str">
        <f t="shared" si="165"/>
        <v>01</v>
      </c>
      <c r="G1581" s="85" t="str">
        <f t="shared" si="166"/>
        <v>1</v>
      </c>
      <c r="H1581" s="85" t="str">
        <f t="shared" si="167"/>
        <v>1</v>
      </c>
      <c r="I1581" s="87">
        <v>24380111</v>
      </c>
      <c r="J1581" s="85" t="s">
        <v>4837</v>
      </c>
      <c r="K1581" s="85" t="s">
        <v>2790</v>
      </c>
      <c r="L1581" s="84"/>
      <c r="M1581" s="85"/>
      <c r="N1581" s="85"/>
      <c r="O1581" s="85"/>
      <c r="P1581" s="86" t="s">
        <v>2890</v>
      </c>
    </row>
    <row r="1582" spans="2:16" ht="60" x14ac:dyDescent="0.25">
      <c r="B1582" s="108" t="str">
        <f t="shared" si="161"/>
        <v>2</v>
      </c>
      <c r="C1582" s="108" t="str">
        <f t="shared" si="162"/>
        <v>4</v>
      </c>
      <c r="D1582" s="108" t="str">
        <f t="shared" si="163"/>
        <v>3</v>
      </c>
      <c r="E1582" s="108" t="str">
        <f t="shared" si="164"/>
        <v>8</v>
      </c>
      <c r="F1582" s="108" t="str">
        <f t="shared" si="165"/>
        <v>10</v>
      </c>
      <c r="G1582" s="108" t="str">
        <f t="shared" si="166"/>
        <v>0</v>
      </c>
      <c r="H1582" s="108" t="str">
        <f t="shared" si="167"/>
        <v>0</v>
      </c>
      <c r="I1582" s="109">
        <v>24381000</v>
      </c>
      <c r="J1582" s="108" t="s">
        <v>2824</v>
      </c>
      <c r="K1582" s="108" t="s">
        <v>2825</v>
      </c>
      <c r="L1582" s="110"/>
      <c r="M1582" s="108"/>
      <c r="N1582" s="108"/>
      <c r="O1582" s="108" t="s">
        <v>2878</v>
      </c>
      <c r="P1582" s="111" t="s">
        <v>2880</v>
      </c>
    </row>
    <row r="1583" spans="2:16" ht="45" x14ac:dyDescent="0.25">
      <c r="B1583" s="114" t="str">
        <f t="shared" si="161"/>
        <v>2</v>
      </c>
      <c r="C1583" s="114" t="str">
        <f t="shared" si="162"/>
        <v>4</v>
      </c>
      <c r="D1583" s="114" t="str">
        <f t="shared" si="163"/>
        <v>3</v>
      </c>
      <c r="E1583" s="114" t="str">
        <f t="shared" si="164"/>
        <v>8</v>
      </c>
      <c r="F1583" s="114" t="str">
        <f t="shared" si="165"/>
        <v>10</v>
      </c>
      <c r="G1583" s="114" t="str">
        <f t="shared" si="166"/>
        <v>1</v>
      </c>
      <c r="H1583" s="114" t="str">
        <f t="shared" si="167"/>
        <v>0</v>
      </c>
      <c r="I1583" s="115">
        <v>24381010</v>
      </c>
      <c r="J1583" s="114" t="s">
        <v>2826</v>
      </c>
      <c r="K1583" s="114" t="s">
        <v>2827</v>
      </c>
      <c r="L1583" s="116"/>
      <c r="M1583" s="114"/>
      <c r="N1583" s="114"/>
      <c r="O1583" s="114" t="s">
        <v>2878</v>
      </c>
      <c r="P1583" s="117" t="s">
        <v>2880</v>
      </c>
    </row>
    <row r="1584" spans="2:16" ht="45" x14ac:dyDescent="0.25">
      <c r="B1584" s="85" t="str">
        <f t="shared" si="161"/>
        <v>2</v>
      </c>
      <c r="C1584" s="85" t="str">
        <f t="shared" si="162"/>
        <v>4</v>
      </c>
      <c r="D1584" s="85" t="str">
        <f t="shared" si="163"/>
        <v>3</v>
      </c>
      <c r="E1584" s="85" t="str">
        <f t="shared" si="164"/>
        <v>8</v>
      </c>
      <c r="F1584" s="85" t="str">
        <f t="shared" si="165"/>
        <v>10</v>
      </c>
      <c r="G1584" s="85" t="str">
        <f t="shared" si="166"/>
        <v>1</v>
      </c>
      <c r="H1584" s="85" t="str">
        <f t="shared" si="167"/>
        <v>1</v>
      </c>
      <c r="I1584" s="87">
        <v>24381011</v>
      </c>
      <c r="J1584" s="85" t="s">
        <v>4878</v>
      </c>
      <c r="K1584" s="85" t="s">
        <v>2827</v>
      </c>
      <c r="L1584" s="84"/>
      <c r="M1584" s="85"/>
      <c r="N1584" s="85"/>
      <c r="O1584" s="85"/>
      <c r="P1584" s="86" t="s">
        <v>2890</v>
      </c>
    </row>
    <row r="1585" spans="2:16" ht="45" x14ac:dyDescent="0.25">
      <c r="B1585" s="114" t="str">
        <f t="shared" si="161"/>
        <v>2</v>
      </c>
      <c r="C1585" s="114" t="str">
        <f t="shared" si="162"/>
        <v>4</v>
      </c>
      <c r="D1585" s="114" t="str">
        <f t="shared" si="163"/>
        <v>3</v>
      </c>
      <c r="E1585" s="114" t="str">
        <f t="shared" si="164"/>
        <v>8</v>
      </c>
      <c r="F1585" s="114" t="str">
        <f t="shared" si="165"/>
        <v>10</v>
      </c>
      <c r="G1585" s="114" t="str">
        <f t="shared" si="166"/>
        <v>2</v>
      </c>
      <c r="H1585" s="114" t="str">
        <f t="shared" si="167"/>
        <v>0</v>
      </c>
      <c r="I1585" s="115">
        <v>24381020</v>
      </c>
      <c r="J1585" s="114" t="s">
        <v>2828</v>
      </c>
      <c r="K1585" s="114" t="s">
        <v>2829</v>
      </c>
      <c r="L1585" s="116"/>
      <c r="M1585" s="114"/>
      <c r="N1585" s="114"/>
      <c r="O1585" s="114" t="s">
        <v>2878</v>
      </c>
      <c r="P1585" s="117" t="s">
        <v>2880</v>
      </c>
    </row>
    <row r="1586" spans="2:16" ht="45" x14ac:dyDescent="0.25">
      <c r="B1586" s="85" t="str">
        <f t="shared" si="161"/>
        <v>2</v>
      </c>
      <c r="C1586" s="85" t="str">
        <f t="shared" si="162"/>
        <v>4</v>
      </c>
      <c r="D1586" s="85" t="str">
        <f t="shared" si="163"/>
        <v>3</v>
      </c>
      <c r="E1586" s="85" t="str">
        <f t="shared" si="164"/>
        <v>8</v>
      </c>
      <c r="F1586" s="85" t="str">
        <f t="shared" si="165"/>
        <v>10</v>
      </c>
      <c r="G1586" s="85" t="str">
        <f t="shared" si="166"/>
        <v>2</v>
      </c>
      <c r="H1586" s="85" t="str">
        <f t="shared" si="167"/>
        <v>1</v>
      </c>
      <c r="I1586" s="87">
        <v>24381021</v>
      </c>
      <c r="J1586" s="85" t="s">
        <v>4879</v>
      </c>
      <c r="K1586" s="85" t="s">
        <v>2829</v>
      </c>
      <c r="L1586" s="84"/>
      <c r="M1586" s="85"/>
      <c r="N1586" s="85"/>
      <c r="O1586" s="85"/>
      <c r="P1586" s="86" t="s">
        <v>2890</v>
      </c>
    </row>
    <row r="1587" spans="2:16" ht="45" x14ac:dyDescent="0.25">
      <c r="B1587" s="114" t="str">
        <f t="shared" si="161"/>
        <v>2</v>
      </c>
      <c r="C1587" s="114" t="str">
        <f t="shared" si="162"/>
        <v>4</v>
      </c>
      <c r="D1587" s="114" t="str">
        <f t="shared" si="163"/>
        <v>3</v>
      </c>
      <c r="E1587" s="114" t="str">
        <f t="shared" si="164"/>
        <v>8</v>
      </c>
      <c r="F1587" s="114" t="str">
        <f t="shared" si="165"/>
        <v>10</v>
      </c>
      <c r="G1587" s="114" t="str">
        <f t="shared" si="166"/>
        <v>9</v>
      </c>
      <c r="H1587" s="114" t="str">
        <f t="shared" si="167"/>
        <v>0</v>
      </c>
      <c r="I1587" s="115">
        <v>24381090</v>
      </c>
      <c r="J1587" s="114" t="s">
        <v>1362</v>
      </c>
      <c r="K1587" s="114" t="s">
        <v>2830</v>
      </c>
      <c r="L1587" s="116"/>
      <c r="M1587" s="114"/>
      <c r="N1587" s="114"/>
      <c r="O1587" s="114" t="s">
        <v>2878</v>
      </c>
      <c r="P1587" s="117" t="s">
        <v>2880</v>
      </c>
    </row>
    <row r="1588" spans="2:16" ht="45" x14ac:dyDescent="0.25">
      <c r="B1588" s="85" t="str">
        <f t="shared" si="161"/>
        <v>2</v>
      </c>
      <c r="C1588" s="85" t="str">
        <f t="shared" si="162"/>
        <v>4</v>
      </c>
      <c r="D1588" s="85" t="str">
        <f t="shared" si="163"/>
        <v>3</v>
      </c>
      <c r="E1588" s="85" t="str">
        <f t="shared" si="164"/>
        <v>8</v>
      </c>
      <c r="F1588" s="85" t="str">
        <f t="shared" si="165"/>
        <v>10</v>
      </c>
      <c r="G1588" s="85" t="str">
        <f t="shared" si="166"/>
        <v>9</v>
      </c>
      <c r="H1588" s="85" t="str">
        <f t="shared" si="167"/>
        <v>1</v>
      </c>
      <c r="I1588" s="87">
        <v>24381091</v>
      </c>
      <c r="J1588" s="85" t="s">
        <v>4840</v>
      </c>
      <c r="K1588" s="85" t="s">
        <v>2830</v>
      </c>
      <c r="L1588" s="84"/>
      <c r="M1588" s="85"/>
      <c r="N1588" s="85"/>
      <c r="O1588" s="85"/>
      <c r="P1588" s="86" t="s">
        <v>2890</v>
      </c>
    </row>
    <row r="1589" spans="2:16" ht="45" x14ac:dyDescent="0.25">
      <c r="B1589" s="108" t="str">
        <f t="shared" si="161"/>
        <v>2</v>
      </c>
      <c r="C1589" s="108" t="str">
        <f t="shared" si="162"/>
        <v>4</v>
      </c>
      <c r="D1589" s="108" t="str">
        <f t="shared" si="163"/>
        <v>3</v>
      </c>
      <c r="E1589" s="108" t="str">
        <f t="shared" si="164"/>
        <v>8</v>
      </c>
      <c r="F1589" s="108" t="str">
        <f t="shared" si="165"/>
        <v>99</v>
      </c>
      <c r="G1589" s="108" t="str">
        <f t="shared" si="166"/>
        <v>0</v>
      </c>
      <c r="H1589" s="108" t="str">
        <f t="shared" si="167"/>
        <v>0</v>
      </c>
      <c r="I1589" s="109">
        <v>24389900</v>
      </c>
      <c r="J1589" s="108" t="s">
        <v>1315</v>
      </c>
      <c r="K1589" s="108" t="s">
        <v>2791</v>
      </c>
      <c r="L1589" s="110"/>
      <c r="M1589" s="108"/>
      <c r="N1589" s="108"/>
      <c r="O1589" s="108" t="s">
        <v>2878</v>
      </c>
      <c r="P1589" s="111" t="s">
        <v>2880</v>
      </c>
    </row>
    <row r="1590" spans="2:16" ht="45" x14ac:dyDescent="0.25">
      <c r="B1590" s="114" t="str">
        <f t="shared" si="161"/>
        <v>2</v>
      </c>
      <c r="C1590" s="114" t="str">
        <f t="shared" si="162"/>
        <v>4</v>
      </c>
      <c r="D1590" s="114" t="str">
        <f t="shared" si="163"/>
        <v>3</v>
      </c>
      <c r="E1590" s="114" t="str">
        <f t="shared" si="164"/>
        <v>8</v>
      </c>
      <c r="F1590" s="114" t="str">
        <f t="shared" si="165"/>
        <v>99</v>
      </c>
      <c r="G1590" s="114" t="str">
        <f t="shared" si="166"/>
        <v>1</v>
      </c>
      <c r="H1590" s="114" t="str">
        <f t="shared" si="167"/>
        <v>0</v>
      </c>
      <c r="I1590" s="115">
        <v>24389910</v>
      </c>
      <c r="J1590" s="114" t="s">
        <v>1315</v>
      </c>
      <c r="K1590" s="114" t="s">
        <v>2791</v>
      </c>
      <c r="L1590" s="116"/>
      <c r="M1590" s="114"/>
      <c r="N1590" s="114"/>
      <c r="O1590" s="114" t="s">
        <v>2878</v>
      </c>
      <c r="P1590" s="117" t="s">
        <v>2880</v>
      </c>
    </row>
    <row r="1591" spans="2:16" ht="45" x14ac:dyDescent="0.25">
      <c r="B1591" s="85" t="str">
        <f t="shared" si="161"/>
        <v>2</v>
      </c>
      <c r="C1591" s="85" t="str">
        <f t="shared" si="162"/>
        <v>4</v>
      </c>
      <c r="D1591" s="85" t="str">
        <f t="shared" si="163"/>
        <v>3</v>
      </c>
      <c r="E1591" s="85" t="str">
        <f t="shared" si="164"/>
        <v>8</v>
      </c>
      <c r="F1591" s="85" t="str">
        <f t="shared" si="165"/>
        <v>99</v>
      </c>
      <c r="G1591" s="85" t="str">
        <f t="shared" si="166"/>
        <v>1</v>
      </c>
      <c r="H1591" s="85" t="str">
        <f t="shared" si="167"/>
        <v>1</v>
      </c>
      <c r="I1591" s="87">
        <v>24389911</v>
      </c>
      <c r="J1591" s="85" t="s">
        <v>4841</v>
      </c>
      <c r="K1591" s="85" t="s">
        <v>2791</v>
      </c>
      <c r="L1591" s="84"/>
      <c r="M1591" s="85"/>
      <c r="N1591" s="85"/>
      <c r="O1591" s="85"/>
      <c r="P1591" s="86" t="s">
        <v>2890</v>
      </c>
    </row>
    <row r="1592" spans="2:16" ht="60" x14ac:dyDescent="0.25">
      <c r="B1592" s="126" t="str">
        <f t="shared" si="161"/>
        <v>2</v>
      </c>
      <c r="C1592" s="126" t="str">
        <f t="shared" si="162"/>
        <v>4</v>
      </c>
      <c r="D1592" s="126" t="str">
        <f t="shared" si="163"/>
        <v>4</v>
      </c>
      <c r="E1592" s="126" t="str">
        <f t="shared" si="164"/>
        <v>0</v>
      </c>
      <c r="F1592" s="126" t="str">
        <f t="shared" si="165"/>
        <v>00</v>
      </c>
      <c r="G1592" s="126" t="str">
        <f t="shared" si="166"/>
        <v>0</v>
      </c>
      <c r="H1592" s="126" t="str">
        <f t="shared" si="167"/>
        <v>0</v>
      </c>
      <c r="I1592" s="127">
        <v>24400000</v>
      </c>
      <c r="J1592" s="126" t="s">
        <v>1326</v>
      </c>
      <c r="K1592" s="126" t="s">
        <v>4693</v>
      </c>
      <c r="L1592" s="122"/>
      <c r="M1592" s="126" t="s">
        <v>2878</v>
      </c>
      <c r="N1592" s="126" t="s">
        <v>5016</v>
      </c>
      <c r="O1592" s="126" t="s">
        <v>2878</v>
      </c>
      <c r="P1592" s="128" t="s">
        <v>2880</v>
      </c>
    </row>
    <row r="1593" spans="2:16" ht="60" x14ac:dyDescent="0.25">
      <c r="B1593" s="114" t="str">
        <f t="shared" si="161"/>
        <v>2</v>
      </c>
      <c r="C1593" s="114" t="str">
        <f t="shared" si="162"/>
        <v>4</v>
      </c>
      <c r="D1593" s="114" t="str">
        <f t="shared" si="163"/>
        <v>4</v>
      </c>
      <c r="E1593" s="114" t="str">
        <f t="shared" si="164"/>
        <v>0</v>
      </c>
      <c r="F1593" s="114" t="str">
        <f t="shared" si="165"/>
        <v>00</v>
      </c>
      <c r="G1593" s="114" t="str">
        <f t="shared" si="166"/>
        <v>1</v>
      </c>
      <c r="H1593" s="114" t="str">
        <f t="shared" si="167"/>
        <v>0</v>
      </c>
      <c r="I1593" s="115">
        <v>24400010</v>
      </c>
      <c r="J1593" s="114" t="s">
        <v>1326</v>
      </c>
      <c r="K1593" s="114" t="s">
        <v>4693</v>
      </c>
      <c r="L1593" s="116"/>
      <c r="M1593" s="114" t="s">
        <v>2878</v>
      </c>
      <c r="N1593" s="114" t="s">
        <v>2879</v>
      </c>
      <c r="O1593" s="114" t="s">
        <v>2878</v>
      </c>
      <c r="P1593" s="117" t="s">
        <v>2880</v>
      </c>
    </row>
    <row r="1594" spans="2:16" ht="75" x14ac:dyDescent="0.25">
      <c r="B1594" s="85" t="str">
        <f t="shared" si="161"/>
        <v>2</v>
      </c>
      <c r="C1594" s="85" t="str">
        <f t="shared" si="162"/>
        <v>4</v>
      </c>
      <c r="D1594" s="85" t="str">
        <f t="shared" si="163"/>
        <v>4</v>
      </c>
      <c r="E1594" s="85" t="str">
        <f t="shared" si="164"/>
        <v>0</v>
      </c>
      <c r="F1594" s="85" t="str">
        <f t="shared" si="165"/>
        <v>00</v>
      </c>
      <c r="G1594" s="85" t="str">
        <f t="shared" si="166"/>
        <v>1</v>
      </c>
      <c r="H1594" s="85" t="str">
        <f t="shared" si="167"/>
        <v>1</v>
      </c>
      <c r="I1594" s="87">
        <v>24400011</v>
      </c>
      <c r="J1594" s="85" t="s">
        <v>4203</v>
      </c>
      <c r="K1594" s="85" t="s">
        <v>5066</v>
      </c>
      <c r="L1594" s="84"/>
      <c r="M1594" s="85" t="s">
        <v>4024</v>
      </c>
      <c r="N1594" s="85" t="s">
        <v>2879</v>
      </c>
      <c r="O1594" s="85" t="s">
        <v>4197</v>
      </c>
      <c r="P1594" s="86" t="s">
        <v>2890</v>
      </c>
    </row>
    <row r="1595" spans="2:16" ht="75" x14ac:dyDescent="0.25">
      <c r="B1595" s="104" t="str">
        <f t="shared" si="161"/>
        <v>2</v>
      </c>
      <c r="C1595" s="104" t="str">
        <f t="shared" si="162"/>
        <v>4</v>
      </c>
      <c r="D1595" s="104" t="str">
        <f t="shared" si="163"/>
        <v>4</v>
      </c>
      <c r="E1595" s="104" t="str">
        <f t="shared" si="164"/>
        <v>8</v>
      </c>
      <c r="F1595" s="104" t="str">
        <f t="shared" si="165"/>
        <v>00</v>
      </c>
      <c r="G1595" s="104" t="str">
        <f t="shared" si="166"/>
        <v>0</v>
      </c>
      <c r="H1595" s="104" t="str">
        <f t="shared" si="167"/>
        <v>0</v>
      </c>
      <c r="I1595" s="105">
        <v>24480000</v>
      </c>
      <c r="J1595" s="104" t="s">
        <v>5025</v>
      </c>
      <c r="K1595" s="104" t="s">
        <v>5041</v>
      </c>
      <c r="L1595" s="106"/>
      <c r="M1595" s="104" t="s">
        <v>2878</v>
      </c>
      <c r="N1595" s="104" t="s">
        <v>2879</v>
      </c>
      <c r="O1595" s="104" t="s">
        <v>5018</v>
      </c>
      <c r="P1595" s="107" t="s">
        <v>2880</v>
      </c>
    </row>
    <row r="1596" spans="2:16" ht="60" x14ac:dyDescent="0.25">
      <c r="B1596" s="108" t="str">
        <f t="shared" si="161"/>
        <v>2</v>
      </c>
      <c r="C1596" s="108" t="str">
        <f t="shared" si="162"/>
        <v>4</v>
      </c>
      <c r="D1596" s="108" t="str">
        <f t="shared" si="163"/>
        <v>4</v>
      </c>
      <c r="E1596" s="108" t="str">
        <f t="shared" si="164"/>
        <v>8</v>
      </c>
      <c r="F1596" s="108" t="str">
        <f t="shared" si="165"/>
        <v>10</v>
      </c>
      <c r="G1596" s="108" t="str">
        <f t="shared" si="166"/>
        <v>0</v>
      </c>
      <c r="H1596" s="108" t="str">
        <f t="shared" si="167"/>
        <v>0</v>
      </c>
      <c r="I1596" s="109">
        <v>24481000</v>
      </c>
      <c r="J1596" s="108" t="s">
        <v>2831</v>
      </c>
      <c r="K1596" s="108" t="s">
        <v>2832</v>
      </c>
      <c r="L1596" s="110"/>
      <c r="M1596" s="108"/>
      <c r="N1596" s="108"/>
      <c r="O1596" s="108" t="s">
        <v>2878</v>
      </c>
      <c r="P1596" s="111" t="s">
        <v>2880</v>
      </c>
    </row>
    <row r="1597" spans="2:16" ht="60" x14ac:dyDescent="0.25">
      <c r="B1597" s="114" t="str">
        <f t="shared" si="161"/>
        <v>2</v>
      </c>
      <c r="C1597" s="114" t="str">
        <f t="shared" si="162"/>
        <v>4</v>
      </c>
      <c r="D1597" s="114" t="str">
        <f t="shared" si="163"/>
        <v>4</v>
      </c>
      <c r="E1597" s="114" t="str">
        <f t="shared" si="164"/>
        <v>8</v>
      </c>
      <c r="F1597" s="114" t="str">
        <f t="shared" si="165"/>
        <v>10</v>
      </c>
      <c r="G1597" s="114" t="str">
        <f t="shared" si="166"/>
        <v>1</v>
      </c>
      <c r="H1597" s="114" t="str">
        <f t="shared" si="167"/>
        <v>0</v>
      </c>
      <c r="I1597" s="115">
        <v>24481010</v>
      </c>
      <c r="J1597" s="114" t="s">
        <v>2831</v>
      </c>
      <c r="K1597" s="114" t="s">
        <v>2832</v>
      </c>
      <c r="L1597" s="116"/>
      <c r="M1597" s="114"/>
      <c r="N1597" s="114"/>
      <c r="O1597" s="114" t="s">
        <v>2878</v>
      </c>
      <c r="P1597" s="117" t="s">
        <v>2880</v>
      </c>
    </row>
    <row r="1598" spans="2:16" ht="60" x14ac:dyDescent="0.25">
      <c r="B1598" s="85" t="str">
        <f t="shared" si="161"/>
        <v>2</v>
      </c>
      <c r="C1598" s="85" t="str">
        <f t="shared" si="162"/>
        <v>4</v>
      </c>
      <c r="D1598" s="85" t="str">
        <f t="shared" si="163"/>
        <v>4</v>
      </c>
      <c r="E1598" s="85" t="str">
        <f t="shared" si="164"/>
        <v>8</v>
      </c>
      <c r="F1598" s="85" t="str">
        <f t="shared" si="165"/>
        <v>10</v>
      </c>
      <c r="G1598" s="85" t="str">
        <f t="shared" si="166"/>
        <v>1</v>
      </c>
      <c r="H1598" s="85" t="str">
        <f t="shared" si="167"/>
        <v>1</v>
      </c>
      <c r="I1598" s="87">
        <v>24481011</v>
      </c>
      <c r="J1598" s="85" t="s">
        <v>4880</v>
      </c>
      <c r="K1598" s="85" t="s">
        <v>2832</v>
      </c>
      <c r="L1598" s="84"/>
      <c r="M1598" s="85"/>
      <c r="N1598" s="85"/>
      <c r="O1598" s="85"/>
      <c r="P1598" s="86" t="s">
        <v>2890</v>
      </c>
    </row>
    <row r="1599" spans="2:16" ht="60" x14ac:dyDescent="0.25">
      <c r="B1599" s="126" t="str">
        <f t="shared" si="161"/>
        <v>2</v>
      </c>
      <c r="C1599" s="126" t="str">
        <f t="shared" si="162"/>
        <v>4</v>
      </c>
      <c r="D1599" s="126" t="str">
        <f t="shared" si="163"/>
        <v>5</v>
      </c>
      <c r="E1599" s="126" t="str">
        <f t="shared" si="164"/>
        <v>0</v>
      </c>
      <c r="F1599" s="126" t="str">
        <f t="shared" si="165"/>
        <v>00</v>
      </c>
      <c r="G1599" s="126" t="str">
        <f t="shared" si="166"/>
        <v>0</v>
      </c>
      <c r="H1599" s="126" t="str">
        <f t="shared" si="167"/>
        <v>0</v>
      </c>
      <c r="I1599" s="127">
        <v>24500000</v>
      </c>
      <c r="J1599" s="126" t="s">
        <v>4204</v>
      </c>
      <c r="K1599" s="126" t="s">
        <v>4694</v>
      </c>
      <c r="L1599" s="122"/>
      <c r="M1599" s="126" t="s">
        <v>2878</v>
      </c>
      <c r="N1599" s="126" t="s">
        <v>5016</v>
      </c>
      <c r="O1599" s="126" t="s">
        <v>2878</v>
      </c>
      <c r="P1599" s="128" t="s">
        <v>2880</v>
      </c>
    </row>
    <row r="1600" spans="2:16" ht="60" x14ac:dyDescent="0.25">
      <c r="B1600" s="114" t="str">
        <f t="shared" si="161"/>
        <v>2</v>
      </c>
      <c r="C1600" s="114" t="str">
        <f t="shared" si="162"/>
        <v>4</v>
      </c>
      <c r="D1600" s="114" t="str">
        <f t="shared" si="163"/>
        <v>5</v>
      </c>
      <c r="E1600" s="114" t="str">
        <f t="shared" si="164"/>
        <v>0</v>
      </c>
      <c r="F1600" s="114" t="str">
        <f t="shared" si="165"/>
        <v>00</v>
      </c>
      <c r="G1600" s="114" t="str">
        <f t="shared" si="166"/>
        <v>1</v>
      </c>
      <c r="H1600" s="114" t="str">
        <f t="shared" si="167"/>
        <v>0</v>
      </c>
      <c r="I1600" s="115">
        <v>24500010</v>
      </c>
      <c r="J1600" s="114" t="s">
        <v>4204</v>
      </c>
      <c r="K1600" s="114" t="s">
        <v>4694</v>
      </c>
      <c r="L1600" s="116"/>
      <c r="M1600" s="114" t="s">
        <v>2878</v>
      </c>
      <c r="N1600" s="114" t="s">
        <v>2879</v>
      </c>
      <c r="O1600" s="114" t="s">
        <v>2878</v>
      </c>
      <c r="P1600" s="117" t="s">
        <v>2880</v>
      </c>
    </row>
    <row r="1601" spans="2:16" ht="75" x14ac:dyDescent="0.25">
      <c r="B1601" s="85" t="str">
        <f t="shared" si="161"/>
        <v>2</v>
      </c>
      <c r="C1601" s="85" t="str">
        <f t="shared" si="162"/>
        <v>4</v>
      </c>
      <c r="D1601" s="85" t="str">
        <f t="shared" si="163"/>
        <v>5</v>
      </c>
      <c r="E1601" s="85" t="str">
        <f t="shared" si="164"/>
        <v>0</v>
      </c>
      <c r="F1601" s="85" t="str">
        <f t="shared" si="165"/>
        <v>00</v>
      </c>
      <c r="G1601" s="85" t="str">
        <f t="shared" si="166"/>
        <v>1</v>
      </c>
      <c r="H1601" s="85" t="str">
        <f t="shared" si="167"/>
        <v>1</v>
      </c>
      <c r="I1601" s="87">
        <v>24500011</v>
      </c>
      <c r="J1601" s="85" t="s">
        <v>4206</v>
      </c>
      <c r="K1601" s="85" t="s">
        <v>5067</v>
      </c>
      <c r="L1601" s="84"/>
      <c r="M1601" s="85" t="s">
        <v>4024</v>
      </c>
      <c r="N1601" s="85" t="s">
        <v>2879</v>
      </c>
      <c r="O1601" s="85" t="s">
        <v>4197</v>
      </c>
      <c r="P1601" s="86" t="s">
        <v>2890</v>
      </c>
    </row>
    <row r="1602" spans="2:16" ht="75" x14ac:dyDescent="0.25">
      <c r="B1602" s="104" t="str">
        <f t="shared" si="161"/>
        <v>2</v>
      </c>
      <c r="C1602" s="104" t="str">
        <f t="shared" si="162"/>
        <v>4</v>
      </c>
      <c r="D1602" s="104" t="str">
        <f t="shared" si="163"/>
        <v>5</v>
      </c>
      <c r="E1602" s="104" t="str">
        <f t="shared" si="164"/>
        <v>8</v>
      </c>
      <c r="F1602" s="104" t="str">
        <f t="shared" si="165"/>
        <v>00</v>
      </c>
      <c r="G1602" s="104" t="str">
        <f t="shared" si="166"/>
        <v>0</v>
      </c>
      <c r="H1602" s="104" t="str">
        <f t="shared" si="167"/>
        <v>0</v>
      </c>
      <c r="I1602" s="105">
        <v>24580000</v>
      </c>
      <c r="J1602" s="104" t="s">
        <v>5026</v>
      </c>
      <c r="K1602" s="104" t="s">
        <v>5042</v>
      </c>
      <c r="L1602" s="106"/>
      <c r="M1602" s="104" t="s">
        <v>2878</v>
      </c>
      <c r="N1602" s="104"/>
      <c r="O1602" s="104" t="s">
        <v>5018</v>
      </c>
      <c r="P1602" s="107" t="s">
        <v>2880</v>
      </c>
    </row>
    <row r="1603" spans="2:16" ht="60" x14ac:dyDescent="0.25">
      <c r="B1603" s="108" t="str">
        <f t="shared" si="161"/>
        <v>2</v>
      </c>
      <c r="C1603" s="108" t="str">
        <f t="shared" si="162"/>
        <v>4</v>
      </c>
      <c r="D1603" s="108" t="str">
        <f t="shared" si="163"/>
        <v>5</v>
      </c>
      <c r="E1603" s="108" t="str">
        <f t="shared" si="164"/>
        <v>8</v>
      </c>
      <c r="F1603" s="108" t="str">
        <f t="shared" si="165"/>
        <v>01</v>
      </c>
      <c r="G1603" s="108" t="str">
        <f t="shared" si="166"/>
        <v>0</v>
      </c>
      <c r="H1603" s="108" t="str">
        <f t="shared" si="167"/>
        <v>0</v>
      </c>
      <c r="I1603" s="109">
        <v>24580100</v>
      </c>
      <c r="J1603" s="108" t="s">
        <v>4204</v>
      </c>
      <c r="K1603" s="108" t="s">
        <v>4694</v>
      </c>
      <c r="L1603" s="110"/>
      <c r="M1603" s="108"/>
      <c r="N1603" s="108"/>
      <c r="O1603" s="108" t="s">
        <v>2878</v>
      </c>
      <c r="P1603" s="111" t="s">
        <v>2880</v>
      </c>
    </row>
    <row r="1604" spans="2:16" ht="60" x14ac:dyDescent="0.25">
      <c r="B1604" s="114" t="str">
        <f t="shared" si="161"/>
        <v>2</v>
      </c>
      <c r="C1604" s="114" t="str">
        <f t="shared" si="162"/>
        <v>4</v>
      </c>
      <c r="D1604" s="114" t="str">
        <f t="shared" si="163"/>
        <v>5</v>
      </c>
      <c r="E1604" s="114" t="str">
        <f t="shared" si="164"/>
        <v>8</v>
      </c>
      <c r="F1604" s="114" t="str">
        <f t="shared" si="165"/>
        <v>01</v>
      </c>
      <c r="G1604" s="114" t="str">
        <f t="shared" si="166"/>
        <v>1</v>
      </c>
      <c r="H1604" s="114" t="str">
        <f t="shared" si="167"/>
        <v>0</v>
      </c>
      <c r="I1604" s="115">
        <v>24580110</v>
      </c>
      <c r="J1604" s="114" t="s">
        <v>4204</v>
      </c>
      <c r="K1604" s="114" t="s">
        <v>4694</v>
      </c>
      <c r="L1604" s="116"/>
      <c r="M1604" s="114"/>
      <c r="N1604" s="114"/>
      <c r="O1604" s="114" t="s">
        <v>2878</v>
      </c>
      <c r="P1604" s="117" t="s">
        <v>2880</v>
      </c>
    </row>
    <row r="1605" spans="2:16" ht="75" x14ac:dyDescent="0.25">
      <c r="B1605" s="85" t="str">
        <f t="shared" si="161"/>
        <v>2</v>
      </c>
      <c r="C1605" s="85" t="str">
        <f t="shared" si="162"/>
        <v>4</v>
      </c>
      <c r="D1605" s="85" t="str">
        <f t="shared" si="163"/>
        <v>5</v>
      </c>
      <c r="E1605" s="85" t="str">
        <f t="shared" si="164"/>
        <v>8</v>
      </c>
      <c r="F1605" s="85" t="str">
        <f t="shared" si="165"/>
        <v>01</v>
      </c>
      <c r="G1605" s="85" t="str">
        <f t="shared" si="166"/>
        <v>1</v>
      </c>
      <c r="H1605" s="85" t="str">
        <f t="shared" si="167"/>
        <v>1</v>
      </c>
      <c r="I1605" s="87">
        <v>24580111</v>
      </c>
      <c r="J1605" s="85" t="s">
        <v>4206</v>
      </c>
      <c r="K1605" s="85" t="s">
        <v>4987</v>
      </c>
      <c r="L1605" s="84"/>
      <c r="M1605" s="85"/>
      <c r="N1605" s="85"/>
      <c r="O1605" s="85"/>
      <c r="P1605" s="86" t="s">
        <v>2890</v>
      </c>
    </row>
    <row r="1606" spans="2:16" ht="45" x14ac:dyDescent="0.25">
      <c r="B1606" s="126" t="str">
        <f t="shared" si="161"/>
        <v>2</v>
      </c>
      <c r="C1606" s="126" t="str">
        <f t="shared" si="162"/>
        <v>4</v>
      </c>
      <c r="D1606" s="126" t="str">
        <f t="shared" si="163"/>
        <v>6</v>
      </c>
      <c r="E1606" s="126" t="str">
        <f t="shared" si="164"/>
        <v>0</v>
      </c>
      <c r="F1606" s="126" t="str">
        <f t="shared" si="165"/>
        <v>00</v>
      </c>
      <c r="G1606" s="126" t="str">
        <f t="shared" si="166"/>
        <v>0</v>
      </c>
      <c r="H1606" s="126" t="str">
        <f t="shared" si="167"/>
        <v>0</v>
      </c>
      <c r="I1606" s="127">
        <v>24600000</v>
      </c>
      <c r="J1606" s="126" t="s">
        <v>1328</v>
      </c>
      <c r="K1606" s="126" t="s">
        <v>4695</v>
      </c>
      <c r="L1606" s="122"/>
      <c r="M1606" s="126" t="s">
        <v>2878</v>
      </c>
      <c r="N1606" s="126" t="s">
        <v>5016</v>
      </c>
      <c r="O1606" s="126" t="s">
        <v>2878</v>
      </c>
      <c r="P1606" s="128" t="s">
        <v>2880</v>
      </c>
    </row>
    <row r="1607" spans="2:16" ht="45" x14ac:dyDescent="0.25">
      <c r="B1607" s="114" t="str">
        <f t="shared" si="161"/>
        <v>2</v>
      </c>
      <c r="C1607" s="114" t="str">
        <f t="shared" si="162"/>
        <v>4</v>
      </c>
      <c r="D1607" s="114" t="str">
        <f t="shared" si="163"/>
        <v>6</v>
      </c>
      <c r="E1607" s="114" t="str">
        <f t="shared" si="164"/>
        <v>0</v>
      </c>
      <c r="F1607" s="114" t="str">
        <f t="shared" si="165"/>
        <v>00</v>
      </c>
      <c r="G1607" s="114" t="str">
        <f t="shared" si="166"/>
        <v>1</v>
      </c>
      <c r="H1607" s="114" t="str">
        <f t="shared" si="167"/>
        <v>0</v>
      </c>
      <c r="I1607" s="115">
        <v>24600010</v>
      </c>
      <c r="J1607" s="114" t="s">
        <v>1328</v>
      </c>
      <c r="K1607" s="114" t="s">
        <v>4695</v>
      </c>
      <c r="L1607" s="116"/>
      <c r="M1607" s="114" t="s">
        <v>2878</v>
      </c>
      <c r="N1607" s="114" t="s">
        <v>2879</v>
      </c>
      <c r="O1607" s="114" t="s">
        <v>2878</v>
      </c>
      <c r="P1607" s="117" t="s">
        <v>2880</v>
      </c>
    </row>
    <row r="1608" spans="2:16" ht="75" x14ac:dyDescent="0.25">
      <c r="B1608" s="85" t="str">
        <f t="shared" si="161"/>
        <v>2</v>
      </c>
      <c r="C1608" s="85" t="str">
        <f t="shared" si="162"/>
        <v>4</v>
      </c>
      <c r="D1608" s="85" t="str">
        <f t="shared" si="163"/>
        <v>6</v>
      </c>
      <c r="E1608" s="85" t="str">
        <f t="shared" si="164"/>
        <v>0</v>
      </c>
      <c r="F1608" s="85" t="str">
        <f t="shared" si="165"/>
        <v>00</v>
      </c>
      <c r="G1608" s="85" t="str">
        <f t="shared" si="166"/>
        <v>1</v>
      </c>
      <c r="H1608" s="85" t="str">
        <f t="shared" si="167"/>
        <v>1</v>
      </c>
      <c r="I1608" s="87">
        <v>24600011</v>
      </c>
      <c r="J1608" s="85" t="s">
        <v>4208</v>
      </c>
      <c r="K1608" s="85" t="s">
        <v>5068</v>
      </c>
      <c r="L1608" s="84"/>
      <c r="M1608" s="85" t="s">
        <v>4024</v>
      </c>
      <c r="N1608" s="85" t="s">
        <v>2879</v>
      </c>
      <c r="O1608" s="85" t="s">
        <v>4197</v>
      </c>
      <c r="P1608" s="86" t="s">
        <v>2890</v>
      </c>
    </row>
    <row r="1609" spans="2:16" ht="60" x14ac:dyDescent="0.25">
      <c r="B1609" s="104" t="str">
        <f t="shared" si="161"/>
        <v>2</v>
      </c>
      <c r="C1609" s="104" t="str">
        <f t="shared" si="162"/>
        <v>4</v>
      </c>
      <c r="D1609" s="104" t="str">
        <f t="shared" si="163"/>
        <v>6</v>
      </c>
      <c r="E1609" s="104" t="str">
        <f t="shared" si="164"/>
        <v>8</v>
      </c>
      <c r="F1609" s="104" t="str">
        <f t="shared" si="165"/>
        <v>00</v>
      </c>
      <c r="G1609" s="104" t="str">
        <f t="shared" si="166"/>
        <v>0</v>
      </c>
      <c r="H1609" s="104" t="str">
        <f t="shared" si="167"/>
        <v>0</v>
      </c>
      <c r="I1609" s="105">
        <v>24680000</v>
      </c>
      <c r="J1609" s="104" t="s">
        <v>5027</v>
      </c>
      <c r="K1609" s="104" t="s">
        <v>5043</v>
      </c>
      <c r="L1609" s="106"/>
      <c r="M1609" s="104" t="s">
        <v>2878</v>
      </c>
      <c r="N1609" s="104"/>
      <c r="O1609" s="104" t="s">
        <v>5018</v>
      </c>
      <c r="P1609" s="107" t="s">
        <v>2880</v>
      </c>
    </row>
    <row r="1610" spans="2:16" ht="45" x14ac:dyDescent="0.25">
      <c r="B1610" s="108" t="str">
        <f t="shared" si="161"/>
        <v>2</v>
      </c>
      <c r="C1610" s="108" t="str">
        <f t="shared" si="162"/>
        <v>4</v>
      </c>
      <c r="D1610" s="108" t="str">
        <f t="shared" si="163"/>
        <v>6</v>
      </c>
      <c r="E1610" s="108" t="str">
        <f t="shared" si="164"/>
        <v>8</v>
      </c>
      <c r="F1610" s="108" t="str">
        <f t="shared" si="165"/>
        <v>01</v>
      </c>
      <c r="G1610" s="108" t="str">
        <f t="shared" si="166"/>
        <v>0</v>
      </c>
      <c r="H1610" s="108" t="str">
        <f t="shared" si="167"/>
        <v>0</v>
      </c>
      <c r="I1610" s="109">
        <v>24680100</v>
      </c>
      <c r="J1610" s="108" t="s">
        <v>1328</v>
      </c>
      <c r="K1610" s="108" t="s">
        <v>4695</v>
      </c>
      <c r="L1610" s="110"/>
      <c r="M1610" s="108"/>
      <c r="N1610" s="108"/>
      <c r="O1610" s="108" t="s">
        <v>2878</v>
      </c>
      <c r="P1610" s="111" t="s">
        <v>2880</v>
      </c>
    </row>
    <row r="1611" spans="2:16" ht="45" x14ac:dyDescent="0.25">
      <c r="B1611" s="114" t="str">
        <f t="shared" si="161"/>
        <v>2</v>
      </c>
      <c r="C1611" s="114" t="str">
        <f t="shared" si="162"/>
        <v>4</v>
      </c>
      <c r="D1611" s="114" t="str">
        <f t="shared" si="163"/>
        <v>6</v>
      </c>
      <c r="E1611" s="114" t="str">
        <f t="shared" si="164"/>
        <v>8</v>
      </c>
      <c r="F1611" s="114" t="str">
        <f t="shared" si="165"/>
        <v>01</v>
      </c>
      <c r="G1611" s="114" t="str">
        <f t="shared" si="166"/>
        <v>1</v>
      </c>
      <c r="H1611" s="114" t="str">
        <f t="shared" si="167"/>
        <v>0</v>
      </c>
      <c r="I1611" s="115">
        <v>24680110</v>
      </c>
      <c r="J1611" s="114" t="s">
        <v>1328</v>
      </c>
      <c r="K1611" s="114" t="s">
        <v>4695</v>
      </c>
      <c r="L1611" s="116"/>
      <c r="M1611" s="114"/>
      <c r="N1611" s="114"/>
      <c r="O1611" s="114" t="s">
        <v>2878</v>
      </c>
      <c r="P1611" s="117" t="s">
        <v>2880</v>
      </c>
    </row>
    <row r="1612" spans="2:16" ht="60" x14ac:dyDescent="0.25">
      <c r="B1612" s="85" t="str">
        <f t="shared" si="161"/>
        <v>2</v>
      </c>
      <c r="C1612" s="85" t="str">
        <f t="shared" si="162"/>
        <v>4</v>
      </c>
      <c r="D1612" s="85" t="str">
        <f t="shared" si="163"/>
        <v>6</v>
      </c>
      <c r="E1612" s="85" t="str">
        <f t="shared" si="164"/>
        <v>8</v>
      </c>
      <c r="F1612" s="85" t="str">
        <f t="shared" si="165"/>
        <v>01</v>
      </c>
      <c r="G1612" s="85" t="str">
        <f t="shared" si="166"/>
        <v>1</v>
      </c>
      <c r="H1612" s="85" t="str">
        <f t="shared" si="167"/>
        <v>1</v>
      </c>
      <c r="I1612" s="87">
        <v>24680111</v>
      </c>
      <c r="J1612" s="85" t="s">
        <v>4208</v>
      </c>
      <c r="K1612" s="85" t="s">
        <v>4986</v>
      </c>
      <c r="L1612" s="84"/>
      <c r="M1612" s="85"/>
      <c r="N1612" s="85"/>
      <c r="O1612" s="85"/>
      <c r="P1612" s="86" t="s">
        <v>2890</v>
      </c>
    </row>
    <row r="1613" spans="2:16" ht="60" x14ac:dyDescent="0.25">
      <c r="B1613" s="126" t="str">
        <f t="shared" si="161"/>
        <v>2</v>
      </c>
      <c r="C1613" s="126" t="str">
        <f t="shared" si="162"/>
        <v>4</v>
      </c>
      <c r="D1613" s="126" t="str">
        <f t="shared" si="163"/>
        <v>7</v>
      </c>
      <c r="E1613" s="126" t="str">
        <f t="shared" si="164"/>
        <v>0</v>
      </c>
      <c r="F1613" s="126" t="str">
        <f t="shared" si="165"/>
        <v>00</v>
      </c>
      <c r="G1613" s="126" t="str">
        <f t="shared" si="166"/>
        <v>0</v>
      </c>
      <c r="H1613" s="126" t="str">
        <f t="shared" si="167"/>
        <v>0</v>
      </c>
      <c r="I1613" s="127">
        <v>24700000</v>
      </c>
      <c r="J1613" s="126" t="s">
        <v>4209</v>
      </c>
      <c r="K1613" s="126" t="s">
        <v>4696</v>
      </c>
      <c r="L1613" s="122"/>
      <c r="M1613" s="126" t="s">
        <v>2878</v>
      </c>
      <c r="N1613" s="126" t="s">
        <v>5016</v>
      </c>
      <c r="O1613" s="126" t="s">
        <v>2878</v>
      </c>
      <c r="P1613" s="128" t="s">
        <v>2880</v>
      </c>
    </row>
    <row r="1614" spans="2:16" ht="60" x14ac:dyDescent="0.25">
      <c r="B1614" s="114" t="str">
        <f t="shared" si="161"/>
        <v>2</v>
      </c>
      <c r="C1614" s="114" t="str">
        <f t="shared" si="162"/>
        <v>4</v>
      </c>
      <c r="D1614" s="114" t="str">
        <f t="shared" si="163"/>
        <v>7</v>
      </c>
      <c r="E1614" s="114" t="str">
        <f t="shared" si="164"/>
        <v>0</v>
      </c>
      <c r="F1614" s="114" t="str">
        <f t="shared" si="165"/>
        <v>00</v>
      </c>
      <c r="G1614" s="114" t="str">
        <f t="shared" si="166"/>
        <v>1</v>
      </c>
      <c r="H1614" s="114" t="str">
        <f t="shared" si="167"/>
        <v>0</v>
      </c>
      <c r="I1614" s="115">
        <v>24700010</v>
      </c>
      <c r="J1614" s="114" t="s">
        <v>4209</v>
      </c>
      <c r="K1614" s="114" t="s">
        <v>4696</v>
      </c>
      <c r="L1614" s="116"/>
      <c r="M1614" s="114" t="s">
        <v>2878</v>
      </c>
      <c r="N1614" s="114" t="s">
        <v>2879</v>
      </c>
      <c r="O1614" s="114" t="s">
        <v>2878</v>
      </c>
      <c r="P1614" s="117" t="s">
        <v>2880</v>
      </c>
    </row>
    <row r="1615" spans="2:16" ht="75" x14ac:dyDescent="0.25">
      <c r="B1615" s="85" t="str">
        <f t="shared" si="161"/>
        <v>2</v>
      </c>
      <c r="C1615" s="85" t="str">
        <f t="shared" si="162"/>
        <v>4</v>
      </c>
      <c r="D1615" s="85" t="str">
        <f t="shared" si="163"/>
        <v>7</v>
      </c>
      <c r="E1615" s="85" t="str">
        <f t="shared" si="164"/>
        <v>0</v>
      </c>
      <c r="F1615" s="85" t="str">
        <f t="shared" si="165"/>
        <v>00</v>
      </c>
      <c r="G1615" s="85" t="str">
        <f t="shared" si="166"/>
        <v>1</v>
      </c>
      <c r="H1615" s="85" t="str">
        <f t="shared" si="167"/>
        <v>1</v>
      </c>
      <c r="I1615" s="87">
        <v>24700011</v>
      </c>
      <c r="J1615" s="85" t="s">
        <v>4211</v>
      </c>
      <c r="K1615" s="85" t="s">
        <v>5069</v>
      </c>
      <c r="L1615" s="84"/>
      <c r="M1615" s="85" t="s">
        <v>4024</v>
      </c>
      <c r="N1615" s="85" t="s">
        <v>2879</v>
      </c>
      <c r="O1615" s="85" t="s">
        <v>4197</v>
      </c>
      <c r="P1615" s="86" t="s">
        <v>2890</v>
      </c>
    </row>
    <row r="1616" spans="2:16" ht="60" x14ac:dyDescent="0.25">
      <c r="B1616" s="104" t="str">
        <f t="shared" si="161"/>
        <v>2</v>
      </c>
      <c r="C1616" s="104" t="str">
        <f t="shared" si="162"/>
        <v>4</v>
      </c>
      <c r="D1616" s="104" t="str">
        <f t="shared" si="163"/>
        <v>7</v>
      </c>
      <c r="E1616" s="104" t="str">
        <f t="shared" si="164"/>
        <v>8</v>
      </c>
      <c r="F1616" s="104" t="str">
        <f t="shared" si="165"/>
        <v>00</v>
      </c>
      <c r="G1616" s="104" t="str">
        <f t="shared" si="166"/>
        <v>0</v>
      </c>
      <c r="H1616" s="104" t="str">
        <f t="shared" si="167"/>
        <v>0</v>
      </c>
      <c r="I1616" s="105">
        <v>24780000</v>
      </c>
      <c r="J1616" s="104" t="s">
        <v>5028</v>
      </c>
      <c r="K1616" s="104" t="s">
        <v>5044</v>
      </c>
      <c r="L1616" s="106"/>
      <c r="M1616" s="104" t="s">
        <v>2878</v>
      </c>
      <c r="N1616" s="104"/>
      <c r="O1616" s="104" t="s">
        <v>5018</v>
      </c>
      <c r="P1616" s="107" t="s">
        <v>2880</v>
      </c>
    </row>
    <row r="1617" spans="2:16" ht="30" x14ac:dyDescent="0.25">
      <c r="B1617" s="108" t="str">
        <f t="shared" si="161"/>
        <v>2</v>
      </c>
      <c r="C1617" s="108" t="str">
        <f t="shared" si="162"/>
        <v>4</v>
      </c>
      <c r="D1617" s="108" t="str">
        <f t="shared" si="163"/>
        <v>7</v>
      </c>
      <c r="E1617" s="108" t="str">
        <f t="shared" si="164"/>
        <v>8</v>
      </c>
      <c r="F1617" s="108" t="str">
        <f t="shared" si="165"/>
        <v>01</v>
      </c>
      <c r="G1617" s="108" t="str">
        <f t="shared" si="166"/>
        <v>0</v>
      </c>
      <c r="H1617" s="108" t="str">
        <f t="shared" si="167"/>
        <v>0</v>
      </c>
      <c r="I1617" s="109">
        <v>24780100</v>
      </c>
      <c r="J1617" s="108" t="s">
        <v>4209</v>
      </c>
      <c r="K1617" s="108" t="s">
        <v>4984</v>
      </c>
      <c r="L1617" s="110"/>
      <c r="M1617" s="108"/>
      <c r="N1617" s="108"/>
      <c r="O1617" s="108" t="s">
        <v>2878</v>
      </c>
      <c r="P1617" s="111" t="s">
        <v>2880</v>
      </c>
    </row>
    <row r="1618" spans="2:16" ht="30" x14ac:dyDescent="0.25">
      <c r="B1618" s="114" t="str">
        <f t="shared" ref="B1618:B1649" si="168">MID($I1618,1,1)</f>
        <v>2</v>
      </c>
      <c r="C1618" s="114" t="str">
        <f t="shared" ref="C1618:C1649" si="169">MID($I1618,2,1)</f>
        <v>4</v>
      </c>
      <c r="D1618" s="114" t="str">
        <f t="shared" ref="D1618:D1649" si="170">MID($I1618,3,1)</f>
        <v>7</v>
      </c>
      <c r="E1618" s="114" t="str">
        <f t="shared" ref="E1618:E1649" si="171">MID($I1618,4,1)</f>
        <v>8</v>
      </c>
      <c r="F1618" s="114" t="str">
        <f t="shared" ref="F1618:F1649" si="172">MID($I1618,5,2)</f>
        <v>01</v>
      </c>
      <c r="G1618" s="114" t="str">
        <f t="shared" ref="G1618:G1649" si="173">MID($I1618,7,1)</f>
        <v>1</v>
      </c>
      <c r="H1618" s="114" t="str">
        <f t="shared" ref="H1618:H1649" si="174">MID($I1618,8,1)</f>
        <v>0</v>
      </c>
      <c r="I1618" s="115">
        <v>24780110</v>
      </c>
      <c r="J1618" s="114" t="s">
        <v>4209</v>
      </c>
      <c r="K1618" s="114" t="s">
        <v>4984</v>
      </c>
      <c r="L1618" s="116"/>
      <c r="M1618" s="114"/>
      <c r="N1618" s="114"/>
      <c r="O1618" s="114" t="s">
        <v>2878</v>
      </c>
      <c r="P1618" s="117" t="s">
        <v>2880</v>
      </c>
    </row>
    <row r="1619" spans="2:16" ht="30" x14ac:dyDescent="0.25">
      <c r="B1619" s="85" t="str">
        <f t="shared" si="168"/>
        <v>2</v>
      </c>
      <c r="C1619" s="85" t="str">
        <f t="shared" si="169"/>
        <v>4</v>
      </c>
      <c r="D1619" s="85" t="str">
        <f t="shared" si="170"/>
        <v>7</v>
      </c>
      <c r="E1619" s="85" t="str">
        <f t="shared" si="171"/>
        <v>8</v>
      </c>
      <c r="F1619" s="85" t="str">
        <f t="shared" si="172"/>
        <v>01</v>
      </c>
      <c r="G1619" s="85" t="str">
        <f t="shared" si="173"/>
        <v>1</v>
      </c>
      <c r="H1619" s="85" t="str">
        <f t="shared" si="174"/>
        <v>1</v>
      </c>
      <c r="I1619" s="87">
        <v>24780111</v>
      </c>
      <c r="J1619" s="85" t="s">
        <v>4849</v>
      </c>
      <c r="K1619" s="85" t="s">
        <v>4985</v>
      </c>
      <c r="L1619" s="84"/>
      <c r="M1619" s="85"/>
      <c r="N1619" s="85"/>
      <c r="O1619" s="85"/>
      <c r="P1619" s="86" t="s">
        <v>2890</v>
      </c>
    </row>
    <row r="1620" spans="2:16" ht="30" x14ac:dyDescent="0.25">
      <c r="B1620" s="126" t="str">
        <f t="shared" si="168"/>
        <v>2</v>
      </c>
      <c r="C1620" s="126" t="str">
        <f t="shared" si="169"/>
        <v>4</v>
      </c>
      <c r="D1620" s="126" t="str">
        <f t="shared" si="170"/>
        <v>8</v>
      </c>
      <c r="E1620" s="126" t="str">
        <f t="shared" si="171"/>
        <v>0</v>
      </c>
      <c r="F1620" s="126" t="str">
        <f t="shared" si="172"/>
        <v>00</v>
      </c>
      <c r="G1620" s="126" t="str">
        <f t="shared" si="173"/>
        <v>0</v>
      </c>
      <c r="H1620" s="126" t="str">
        <f t="shared" si="174"/>
        <v>0</v>
      </c>
      <c r="I1620" s="127">
        <v>24800000</v>
      </c>
      <c r="J1620" s="126" t="s">
        <v>4212</v>
      </c>
      <c r="K1620" s="126" t="s">
        <v>4697</v>
      </c>
      <c r="L1620" s="122"/>
      <c r="M1620" s="126" t="s">
        <v>2878</v>
      </c>
      <c r="N1620" s="126" t="s">
        <v>5016</v>
      </c>
      <c r="O1620" s="126" t="s">
        <v>2878</v>
      </c>
      <c r="P1620" s="128" t="s">
        <v>2880</v>
      </c>
    </row>
    <row r="1621" spans="2:16" ht="30" x14ac:dyDescent="0.25">
      <c r="B1621" s="114" t="str">
        <f t="shared" si="168"/>
        <v>2</v>
      </c>
      <c r="C1621" s="114" t="str">
        <f t="shared" si="169"/>
        <v>4</v>
      </c>
      <c r="D1621" s="114" t="str">
        <f t="shared" si="170"/>
        <v>8</v>
      </c>
      <c r="E1621" s="114" t="str">
        <f t="shared" si="171"/>
        <v>0</v>
      </c>
      <c r="F1621" s="114" t="str">
        <f t="shared" si="172"/>
        <v>00</v>
      </c>
      <c r="G1621" s="114" t="str">
        <f t="shared" si="173"/>
        <v>1</v>
      </c>
      <c r="H1621" s="114" t="str">
        <f t="shared" si="174"/>
        <v>0</v>
      </c>
      <c r="I1621" s="115">
        <v>24800010</v>
      </c>
      <c r="J1621" s="114" t="s">
        <v>5048</v>
      </c>
      <c r="K1621" s="114" t="s">
        <v>4697</v>
      </c>
      <c r="L1621" s="116"/>
      <c r="M1621" s="114" t="s">
        <v>2878</v>
      </c>
      <c r="N1621" s="114" t="s">
        <v>2879</v>
      </c>
      <c r="O1621" s="114" t="s">
        <v>2878</v>
      </c>
      <c r="P1621" s="117" t="s">
        <v>2880</v>
      </c>
    </row>
    <row r="1622" spans="2:16" ht="75" x14ac:dyDescent="0.25">
      <c r="B1622" s="85" t="str">
        <f t="shared" si="168"/>
        <v>2</v>
      </c>
      <c r="C1622" s="85" t="str">
        <f t="shared" si="169"/>
        <v>4</v>
      </c>
      <c r="D1622" s="85" t="str">
        <f t="shared" si="170"/>
        <v>8</v>
      </c>
      <c r="E1622" s="85" t="str">
        <f t="shared" si="171"/>
        <v>0</v>
      </c>
      <c r="F1622" s="85" t="str">
        <f t="shared" si="172"/>
        <v>00</v>
      </c>
      <c r="G1622" s="85" t="str">
        <f t="shared" si="173"/>
        <v>1</v>
      </c>
      <c r="H1622" s="85" t="str">
        <f t="shared" si="174"/>
        <v>1</v>
      </c>
      <c r="I1622" s="87">
        <v>24800011</v>
      </c>
      <c r="J1622" s="85" t="s">
        <v>4698</v>
      </c>
      <c r="K1622" s="85" t="s">
        <v>4699</v>
      </c>
      <c r="L1622" s="84"/>
      <c r="M1622" s="85" t="s">
        <v>4024</v>
      </c>
      <c r="N1622" s="85" t="s">
        <v>2879</v>
      </c>
      <c r="O1622" s="85" t="s">
        <v>4197</v>
      </c>
      <c r="P1622" s="86" t="s">
        <v>2890</v>
      </c>
    </row>
    <row r="1623" spans="2:16" ht="45" x14ac:dyDescent="0.25">
      <c r="B1623" s="104" t="str">
        <f t="shared" si="168"/>
        <v>2</v>
      </c>
      <c r="C1623" s="104" t="str">
        <f t="shared" si="169"/>
        <v>4</v>
      </c>
      <c r="D1623" s="104" t="str">
        <f t="shared" si="170"/>
        <v>8</v>
      </c>
      <c r="E1623" s="104" t="str">
        <f t="shared" si="171"/>
        <v>8</v>
      </c>
      <c r="F1623" s="104" t="str">
        <f t="shared" si="172"/>
        <v>00</v>
      </c>
      <c r="G1623" s="104" t="str">
        <f t="shared" si="173"/>
        <v>0</v>
      </c>
      <c r="H1623" s="104" t="str">
        <f t="shared" si="174"/>
        <v>0</v>
      </c>
      <c r="I1623" s="105">
        <v>24880000</v>
      </c>
      <c r="J1623" s="104" t="s">
        <v>5029</v>
      </c>
      <c r="K1623" s="104" t="s">
        <v>5045</v>
      </c>
      <c r="L1623" s="106"/>
      <c r="M1623" s="104" t="s">
        <v>2878</v>
      </c>
      <c r="N1623" s="104"/>
      <c r="O1623" s="104" t="s">
        <v>5018</v>
      </c>
      <c r="P1623" s="107" t="s">
        <v>2880</v>
      </c>
    </row>
    <row r="1624" spans="2:16" ht="30" x14ac:dyDescent="0.25">
      <c r="B1624" s="108" t="str">
        <f t="shared" si="168"/>
        <v>2</v>
      </c>
      <c r="C1624" s="108" t="str">
        <f t="shared" si="169"/>
        <v>4</v>
      </c>
      <c r="D1624" s="108" t="str">
        <f t="shared" si="170"/>
        <v>8</v>
      </c>
      <c r="E1624" s="108" t="str">
        <f t="shared" si="171"/>
        <v>8</v>
      </c>
      <c r="F1624" s="108" t="str">
        <f t="shared" si="172"/>
        <v>01</v>
      </c>
      <c r="G1624" s="108" t="str">
        <f t="shared" si="173"/>
        <v>0</v>
      </c>
      <c r="H1624" s="108" t="str">
        <f t="shared" si="174"/>
        <v>0</v>
      </c>
      <c r="I1624" s="109">
        <v>24880100</v>
      </c>
      <c r="J1624" s="108" t="s">
        <v>4981</v>
      </c>
      <c r="K1624" s="108" t="s">
        <v>4697</v>
      </c>
      <c r="L1624" s="110"/>
      <c r="M1624" s="108"/>
      <c r="N1624" s="108"/>
      <c r="O1624" s="108" t="s">
        <v>2878</v>
      </c>
      <c r="P1624" s="111" t="s">
        <v>2880</v>
      </c>
    </row>
    <row r="1625" spans="2:16" ht="30" x14ac:dyDescent="0.25">
      <c r="B1625" s="114" t="str">
        <f t="shared" si="168"/>
        <v>2</v>
      </c>
      <c r="C1625" s="114" t="str">
        <f t="shared" si="169"/>
        <v>4</v>
      </c>
      <c r="D1625" s="114" t="str">
        <f t="shared" si="170"/>
        <v>8</v>
      </c>
      <c r="E1625" s="114" t="str">
        <f t="shared" si="171"/>
        <v>8</v>
      </c>
      <c r="F1625" s="114" t="str">
        <f t="shared" si="172"/>
        <v>01</v>
      </c>
      <c r="G1625" s="114" t="str">
        <f t="shared" si="173"/>
        <v>1</v>
      </c>
      <c r="H1625" s="114" t="str">
        <f t="shared" si="174"/>
        <v>0</v>
      </c>
      <c r="I1625" s="115">
        <v>24880110</v>
      </c>
      <c r="J1625" s="114" t="s">
        <v>4981</v>
      </c>
      <c r="K1625" s="114" t="s">
        <v>4699</v>
      </c>
      <c r="L1625" s="116"/>
      <c r="M1625" s="114"/>
      <c r="N1625" s="114"/>
      <c r="O1625" s="114" t="s">
        <v>2878</v>
      </c>
      <c r="P1625" s="117" t="s">
        <v>2880</v>
      </c>
    </row>
    <row r="1626" spans="2:16" ht="45" x14ac:dyDescent="0.25">
      <c r="B1626" s="85" t="str">
        <f t="shared" si="168"/>
        <v>2</v>
      </c>
      <c r="C1626" s="85" t="str">
        <f t="shared" si="169"/>
        <v>4</v>
      </c>
      <c r="D1626" s="85" t="str">
        <f t="shared" si="170"/>
        <v>8</v>
      </c>
      <c r="E1626" s="85" t="str">
        <f t="shared" si="171"/>
        <v>8</v>
      </c>
      <c r="F1626" s="85" t="str">
        <f t="shared" si="172"/>
        <v>01</v>
      </c>
      <c r="G1626" s="85" t="str">
        <f t="shared" si="173"/>
        <v>1</v>
      </c>
      <c r="H1626" s="85" t="str">
        <f t="shared" si="174"/>
        <v>1</v>
      </c>
      <c r="I1626" s="87">
        <v>24880111</v>
      </c>
      <c r="J1626" s="85" t="s">
        <v>4983</v>
      </c>
      <c r="K1626" s="85" t="s">
        <v>4982</v>
      </c>
      <c r="L1626" s="84"/>
      <c r="M1626" s="85"/>
      <c r="N1626" s="85"/>
      <c r="O1626" s="85"/>
      <c r="P1626" s="86" t="s">
        <v>2890</v>
      </c>
    </row>
    <row r="1627" spans="2:16" ht="45" x14ac:dyDescent="0.25">
      <c r="B1627" s="123" t="str">
        <f t="shared" si="168"/>
        <v>2</v>
      </c>
      <c r="C1627" s="123" t="str">
        <f t="shared" si="169"/>
        <v>9</v>
      </c>
      <c r="D1627" s="123" t="str">
        <f t="shared" si="170"/>
        <v>0</v>
      </c>
      <c r="E1627" s="123" t="str">
        <f t="shared" si="171"/>
        <v>0</v>
      </c>
      <c r="F1627" s="123" t="str">
        <f t="shared" si="172"/>
        <v>00</v>
      </c>
      <c r="G1627" s="123" t="str">
        <f t="shared" si="173"/>
        <v>0</v>
      </c>
      <c r="H1627" s="123" t="str">
        <f t="shared" si="174"/>
        <v>0</v>
      </c>
      <c r="I1627" s="124">
        <v>29000000</v>
      </c>
      <c r="J1627" s="123" t="s">
        <v>2839</v>
      </c>
      <c r="K1627" s="123" t="s">
        <v>4700</v>
      </c>
      <c r="L1627" s="103"/>
      <c r="M1627" s="123" t="s">
        <v>2878</v>
      </c>
      <c r="N1627" s="123" t="s">
        <v>5016</v>
      </c>
      <c r="O1627" s="123" t="s">
        <v>2878</v>
      </c>
      <c r="P1627" s="125" t="s">
        <v>2880</v>
      </c>
    </row>
    <row r="1628" spans="2:16" ht="60" x14ac:dyDescent="0.25">
      <c r="B1628" s="126" t="str">
        <f t="shared" si="168"/>
        <v>2</v>
      </c>
      <c r="C1628" s="126" t="str">
        <f t="shared" si="169"/>
        <v>9</v>
      </c>
      <c r="D1628" s="126" t="str">
        <f t="shared" si="170"/>
        <v>1</v>
      </c>
      <c r="E1628" s="126" t="str">
        <f t="shared" si="171"/>
        <v>0</v>
      </c>
      <c r="F1628" s="126" t="str">
        <f t="shared" si="172"/>
        <v>00</v>
      </c>
      <c r="G1628" s="126" t="str">
        <f t="shared" si="173"/>
        <v>0</v>
      </c>
      <c r="H1628" s="126" t="str">
        <f t="shared" si="174"/>
        <v>0</v>
      </c>
      <c r="I1628" s="127">
        <v>29100000</v>
      </c>
      <c r="J1628" s="126" t="s">
        <v>4701</v>
      </c>
      <c r="K1628" s="126" t="s">
        <v>4702</v>
      </c>
      <c r="L1628" s="122"/>
      <c r="M1628" s="126" t="s">
        <v>2878</v>
      </c>
      <c r="N1628" s="126" t="s">
        <v>5016</v>
      </c>
      <c r="O1628" s="126" t="s">
        <v>2878</v>
      </c>
      <c r="P1628" s="128" t="s">
        <v>2880</v>
      </c>
    </row>
    <row r="1629" spans="2:16" ht="60" x14ac:dyDescent="0.25">
      <c r="B1629" s="114" t="str">
        <f t="shared" si="168"/>
        <v>2</v>
      </c>
      <c r="C1629" s="114" t="str">
        <f t="shared" si="169"/>
        <v>9</v>
      </c>
      <c r="D1629" s="114" t="str">
        <f t="shared" si="170"/>
        <v>1</v>
      </c>
      <c r="E1629" s="114" t="str">
        <f t="shared" si="171"/>
        <v>0</v>
      </c>
      <c r="F1629" s="114" t="str">
        <f t="shared" si="172"/>
        <v>00</v>
      </c>
      <c r="G1629" s="114" t="str">
        <f t="shared" si="173"/>
        <v>1</v>
      </c>
      <c r="H1629" s="114" t="str">
        <f t="shared" si="174"/>
        <v>0</v>
      </c>
      <c r="I1629" s="115">
        <v>29100010</v>
      </c>
      <c r="J1629" s="114" t="s">
        <v>4701</v>
      </c>
      <c r="K1629" s="114" t="s">
        <v>4702</v>
      </c>
      <c r="L1629" s="116"/>
      <c r="M1629" s="114" t="s">
        <v>2878</v>
      </c>
      <c r="N1629" s="114" t="s">
        <v>2879</v>
      </c>
      <c r="O1629" s="114" t="s">
        <v>2878</v>
      </c>
      <c r="P1629" s="117" t="s">
        <v>2880</v>
      </c>
    </row>
    <row r="1630" spans="2:16" ht="60" x14ac:dyDescent="0.25">
      <c r="B1630" s="85" t="str">
        <f t="shared" si="168"/>
        <v>2</v>
      </c>
      <c r="C1630" s="85" t="str">
        <f t="shared" si="169"/>
        <v>9</v>
      </c>
      <c r="D1630" s="85" t="str">
        <f t="shared" si="170"/>
        <v>1</v>
      </c>
      <c r="E1630" s="85" t="str">
        <f t="shared" si="171"/>
        <v>0</v>
      </c>
      <c r="F1630" s="85" t="str">
        <f t="shared" si="172"/>
        <v>00</v>
      </c>
      <c r="G1630" s="85" t="str">
        <f t="shared" si="173"/>
        <v>1</v>
      </c>
      <c r="H1630" s="85" t="str">
        <f t="shared" si="174"/>
        <v>1</v>
      </c>
      <c r="I1630" s="87">
        <v>29100011</v>
      </c>
      <c r="J1630" s="85" t="s">
        <v>4881</v>
      </c>
      <c r="K1630" s="85" t="s">
        <v>4703</v>
      </c>
      <c r="L1630" s="84"/>
      <c r="M1630" s="85" t="s">
        <v>4704</v>
      </c>
      <c r="N1630" s="85" t="s">
        <v>2879</v>
      </c>
      <c r="O1630" s="85" t="s">
        <v>4705</v>
      </c>
      <c r="P1630" s="86" t="s">
        <v>2890</v>
      </c>
    </row>
    <row r="1631" spans="2:16" ht="45" x14ac:dyDescent="0.25">
      <c r="B1631" s="126" t="str">
        <f t="shared" si="168"/>
        <v>2</v>
      </c>
      <c r="C1631" s="126" t="str">
        <f t="shared" si="169"/>
        <v>9</v>
      </c>
      <c r="D1631" s="126" t="str">
        <f t="shared" si="170"/>
        <v>2</v>
      </c>
      <c r="E1631" s="126" t="str">
        <f t="shared" si="171"/>
        <v>0</v>
      </c>
      <c r="F1631" s="126" t="str">
        <f t="shared" si="172"/>
        <v>00</v>
      </c>
      <c r="G1631" s="126" t="str">
        <f t="shared" si="173"/>
        <v>0</v>
      </c>
      <c r="H1631" s="126" t="str">
        <f t="shared" si="174"/>
        <v>0</v>
      </c>
      <c r="I1631" s="127">
        <v>29200000</v>
      </c>
      <c r="J1631" s="126" t="s">
        <v>4706</v>
      </c>
      <c r="K1631" s="126" t="s">
        <v>4707</v>
      </c>
      <c r="L1631" s="122"/>
      <c r="M1631" s="126" t="s">
        <v>2878</v>
      </c>
      <c r="N1631" s="126" t="s">
        <v>5016</v>
      </c>
      <c r="O1631" s="126" t="s">
        <v>2878</v>
      </c>
      <c r="P1631" s="128" t="s">
        <v>2880</v>
      </c>
    </row>
    <row r="1632" spans="2:16" ht="45" x14ac:dyDescent="0.25">
      <c r="B1632" s="114" t="str">
        <f t="shared" si="168"/>
        <v>2</v>
      </c>
      <c r="C1632" s="114" t="str">
        <f t="shared" si="169"/>
        <v>9</v>
      </c>
      <c r="D1632" s="114" t="str">
        <f t="shared" si="170"/>
        <v>2</v>
      </c>
      <c r="E1632" s="114" t="str">
        <f t="shared" si="171"/>
        <v>0</v>
      </c>
      <c r="F1632" s="114" t="str">
        <f t="shared" si="172"/>
        <v>00</v>
      </c>
      <c r="G1632" s="114" t="str">
        <f t="shared" si="173"/>
        <v>1</v>
      </c>
      <c r="H1632" s="114" t="str">
        <f t="shared" si="174"/>
        <v>0</v>
      </c>
      <c r="I1632" s="115">
        <v>29200010</v>
      </c>
      <c r="J1632" s="114" t="s">
        <v>4708</v>
      </c>
      <c r="K1632" s="114" t="s">
        <v>4709</v>
      </c>
      <c r="L1632" s="116"/>
      <c r="M1632" s="114" t="s">
        <v>2878</v>
      </c>
      <c r="N1632" s="114" t="s">
        <v>2879</v>
      </c>
      <c r="O1632" s="114" t="s">
        <v>2878</v>
      </c>
      <c r="P1632" s="117" t="s">
        <v>2880</v>
      </c>
    </row>
    <row r="1633" spans="2:16" ht="45" x14ac:dyDescent="0.25">
      <c r="B1633" s="85" t="str">
        <f t="shared" si="168"/>
        <v>2</v>
      </c>
      <c r="C1633" s="85" t="str">
        <f t="shared" si="169"/>
        <v>9</v>
      </c>
      <c r="D1633" s="85" t="str">
        <f t="shared" si="170"/>
        <v>2</v>
      </c>
      <c r="E1633" s="85" t="str">
        <f t="shared" si="171"/>
        <v>0</v>
      </c>
      <c r="F1633" s="85" t="str">
        <f t="shared" si="172"/>
        <v>00</v>
      </c>
      <c r="G1633" s="85" t="str">
        <f t="shared" si="173"/>
        <v>1</v>
      </c>
      <c r="H1633" s="85" t="str">
        <f t="shared" si="174"/>
        <v>1</v>
      </c>
      <c r="I1633" s="87">
        <v>29200011</v>
      </c>
      <c r="J1633" s="85" t="s">
        <v>4710</v>
      </c>
      <c r="K1633" s="85" t="s">
        <v>4711</v>
      </c>
      <c r="L1633" s="84"/>
      <c r="M1633" s="85" t="s">
        <v>4712</v>
      </c>
      <c r="N1633" s="85" t="s">
        <v>2879</v>
      </c>
      <c r="O1633" s="85" t="s">
        <v>4713</v>
      </c>
      <c r="P1633" s="86" t="s">
        <v>2890</v>
      </c>
    </row>
    <row r="1634" spans="2:16" ht="45" x14ac:dyDescent="0.25">
      <c r="B1634" s="114" t="str">
        <f t="shared" si="168"/>
        <v>2</v>
      </c>
      <c r="C1634" s="114" t="str">
        <f t="shared" si="169"/>
        <v>9</v>
      </c>
      <c r="D1634" s="114" t="str">
        <f t="shared" si="170"/>
        <v>2</v>
      </c>
      <c r="E1634" s="114" t="str">
        <f t="shared" si="171"/>
        <v>0</v>
      </c>
      <c r="F1634" s="114" t="str">
        <f t="shared" si="172"/>
        <v>00</v>
      </c>
      <c r="G1634" s="114" t="str">
        <f t="shared" si="173"/>
        <v>2</v>
      </c>
      <c r="H1634" s="114" t="str">
        <f t="shared" si="174"/>
        <v>0</v>
      </c>
      <c r="I1634" s="115">
        <v>29200020</v>
      </c>
      <c r="J1634" s="114" t="s">
        <v>4714</v>
      </c>
      <c r="K1634" s="114" t="s">
        <v>4715</v>
      </c>
      <c r="L1634" s="116"/>
      <c r="M1634" s="114" t="s">
        <v>2878</v>
      </c>
      <c r="N1634" s="114" t="s">
        <v>2879</v>
      </c>
      <c r="O1634" s="114" t="s">
        <v>2878</v>
      </c>
      <c r="P1634" s="117" t="s">
        <v>2880</v>
      </c>
    </row>
    <row r="1635" spans="2:16" ht="45" x14ac:dyDescent="0.25">
      <c r="B1635" s="85" t="str">
        <f t="shared" si="168"/>
        <v>2</v>
      </c>
      <c r="C1635" s="85" t="str">
        <f t="shared" si="169"/>
        <v>9</v>
      </c>
      <c r="D1635" s="85" t="str">
        <f t="shared" si="170"/>
        <v>2</v>
      </c>
      <c r="E1635" s="85" t="str">
        <f t="shared" si="171"/>
        <v>0</v>
      </c>
      <c r="F1635" s="85" t="str">
        <f t="shared" si="172"/>
        <v>00</v>
      </c>
      <c r="G1635" s="85" t="str">
        <f t="shared" si="173"/>
        <v>2</v>
      </c>
      <c r="H1635" s="85" t="str">
        <f t="shared" si="174"/>
        <v>1</v>
      </c>
      <c r="I1635" s="87">
        <v>29200021</v>
      </c>
      <c r="J1635" s="85" t="s">
        <v>4716</v>
      </c>
      <c r="K1635" s="85" t="s">
        <v>4717</v>
      </c>
      <c r="L1635" s="84"/>
      <c r="M1635" s="85" t="s">
        <v>4712</v>
      </c>
      <c r="N1635" s="85" t="s">
        <v>2879</v>
      </c>
      <c r="O1635" s="85" t="s">
        <v>4713</v>
      </c>
      <c r="P1635" s="86" t="s">
        <v>2890</v>
      </c>
    </row>
    <row r="1636" spans="2:16" ht="60" x14ac:dyDescent="0.25">
      <c r="B1636" s="126" t="str">
        <f t="shared" si="168"/>
        <v>2</v>
      </c>
      <c r="C1636" s="126" t="str">
        <f t="shared" si="169"/>
        <v>9</v>
      </c>
      <c r="D1636" s="126" t="str">
        <f t="shared" si="170"/>
        <v>3</v>
      </c>
      <c r="E1636" s="126" t="str">
        <f t="shared" si="171"/>
        <v>0</v>
      </c>
      <c r="F1636" s="126" t="str">
        <f t="shared" si="172"/>
        <v>00</v>
      </c>
      <c r="G1636" s="126" t="str">
        <f t="shared" si="173"/>
        <v>0</v>
      </c>
      <c r="H1636" s="126" t="str">
        <f t="shared" si="174"/>
        <v>0</v>
      </c>
      <c r="I1636" s="127">
        <v>29300000</v>
      </c>
      <c r="J1636" s="126" t="s">
        <v>4718</v>
      </c>
      <c r="K1636" s="126" t="s">
        <v>4719</v>
      </c>
      <c r="L1636" s="122"/>
      <c r="M1636" s="126" t="s">
        <v>2878</v>
      </c>
      <c r="N1636" s="126" t="s">
        <v>5016</v>
      </c>
      <c r="O1636" s="126" t="s">
        <v>2878</v>
      </c>
      <c r="P1636" s="128" t="s">
        <v>2880</v>
      </c>
    </row>
    <row r="1637" spans="2:16" ht="60" x14ac:dyDescent="0.25">
      <c r="B1637" s="114" t="str">
        <f t="shared" si="168"/>
        <v>2</v>
      </c>
      <c r="C1637" s="114" t="str">
        <f t="shared" si="169"/>
        <v>9</v>
      </c>
      <c r="D1637" s="114" t="str">
        <f t="shared" si="170"/>
        <v>3</v>
      </c>
      <c r="E1637" s="114" t="str">
        <f t="shared" si="171"/>
        <v>0</v>
      </c>
      <c r="F1637" s="114" t="str">
        <f t="shared" si="172"/>
        <v>00</v>
      </c>
      <c r="G1637" s="114" t="str">
        <f t="shared" si="173"/>
        <v>1</v>
      </c>
      <c r="H1637" s="114" t="str">
        <f t="shared" si="174"/>
        <v>0</v>
      </c>
      <c r="I1637" s="115">
        <v>29300010</v>
      </c>
      <c r="J1637" s="114" t="s">
        <v>4718</v>
      </c>
      <c r="K1637" s="114" t="s">
        <v>4719</v>
      </c>
      <c r="L1637" s="116"/>
      <c r="M1637" s="114" t="s">
        <v>2878</v>
      </c>
      <c r="N1637" s="114" t="s">
        <v>2879</v>
      </c>
      <c r="O1637" s="114" t="s">
        <v>2878</v>
      </c>
      <c r="P1637" s="117" t="s">
        <v>2880</v>
      </c>
    </row>
    <row r="1638" spans="2:16" ht="60" x14ac:dyDescent="0.25">
      <c r="B1638" s="85" t="str">
        <f t="shared" si="168"/>
        <v>2</v>
      </c>
      <c r="C1638" s="85" t="str">
        <f t="shared" si="169"/>
        <v>9</v>
      </c>
      <c r="D1638" s="85" t="str">
        <f t="shared" si="170"/>
        <v>3</v>
      </c>
      <c r="E1638" s="85" t="str">
        <f t="shared" si="171"/>
        <v>0</v>
      </c>
      <c r="F1638" s="85" t="str">
        <f t="shared" si="172"/>
        <v>00</v>
      </c>
      <c r="G1638" s="85" t="str">
        <f t="shared" si="173"/>
        <v>1</v>
      </c>
      <c r="H1638" s="85" t="str">
        <f t="shared" si="174"/>
        <v>1</v>
      </c>
      <c r="I1638" s="87">
        <v>29300011</v>
      </c>
      <c r="J1638" s="85" t="s">
        <v>4720</v>
      </c>
      <c r="K1638" s="85" t="s">
        <v>4721</v>
      </c>
      <c r="L1638" s="84"/>
      <c r="M1638" s="85" t="s">
        <v>4560</v>
      </c>
      <c r="N1638" s="85" t="s">
        <v>2879</v>
      </c>
      <c r="O1638" s="85" t="s">
        <v>4722</v>
      </c>
      <c r="P1638" s="86" t="s">
        <v>2890</v>
      </c>
    </row>
    <row r="1639" spans="2:16" ht="30" x14ac:dyDescent="0.25">
      <c r="B1639" s="126" t="str">
        <f t="shared" si="168"/>
        <v>2</v>
      </c>
      <c r="C1639" s="126" t="str">
        <f t="shared" si="169"/>
        <v>9</v>
      </c>
      <c r="D1639" s="126" t="str">
        <f t="shared" si="170"/>
        <v>4</v>
      </c>
      <c r="E1639" s="126" t="str">
        <f t="shared" si="171"/>
        <v>0</v>
      </c>
      <c r="F1639" s="126" t="str">
        <f t="shared" si="172"/>
        <v>00</v>
      </c>
      <c r="G1639" s="126" t="str">
        <f t="shared" si="173"/>
        <v>0</v>
      </c>
      <c r="H1639" s="126" t="str">
        <f t="shared" si="174"/>
        <v>0</v>
      </c>
      <c r="I1639" s="127">
        <v>29400000</v>
      </c>
      <c r="J1639" s="126" t="s">
        <v>4723</v>
      </c>
      <c r="K1639" s="126" t="s">
        <v>4724</v>
      </c>
      <c r="L1639" s="122"/>
      <c r="M1639" s="126" t="s">
        <v>2878</v>
      </c>
      <c r="N1639" s="126" t="s">
        <v>5016</v>
      </c>
      <c r="O1639" s="126" t="s">
        <v>2878</v>
      </c>
      <c r="P1639" s="128" t="s">
        <v>2880</v>
      </c>
    </row>
    <row r="1640" spans="2:16" ht="30" x14ac:dyDescent="0.25">
      <c r="B1640" s="114" t="str">
        <f t="shared" si="168"/>
        <v>2</v>
      </c>
      <c r="C1640" s="114" t="str">
        <f t="shared" si="169"/>
        <v>9</v>
      </c>
      <c r="D1640" s="114" t="str">
        <f t="shared" si="170"/>
        <v>4</v>
      </c>
      <c r="E1640" s="114" t="str">
        <f t="shared" si="171"/>
        <v>0</v>
      </c>
      <c r="F1640" s="114" t="str">
        <f t="shared" si="172"/>
        <v>00</v>
      </c>
      <c r="G1640" s="114" t="str">
        <f t="shared" si="173"/>
        <v>1</v>
      </c>
      <c r="H1640" s="114" t="str">
        <f t="shared" si="174"/>
        <v>0</v>
      </c>
      <c r="I1640" s="115">
        <v>29400010</v>
      </c>
      <c r="J1640" s="114" t="s">
        <v>4723</v>
      </c>
      <c r="K1640" s="114" t="s">
        <v>4724</v>
      </c>
      <c r="L1640" s="116"/>
      <c r="M1640" s="114" t="s">
        <v>2878</v>
      </c>
      <c r="N1640" s="114" t="s">
        <v>2879</v>
      </c>
      <c r="O1640" s="114" t="s">
        <v>2878</v>
      </c>
      <c r="P1640" s="117" t="s">
        <v>2880</v>
      </c>
    </row>
    <row r="1641" spans="2:16" ht="75" x14ac:dyDescent="0.25">
      <c r="B1641" s="85" t="str">
        <f t="shared" si="168"/>
        <v>2</v>
      </c>
      <c r="C1641" s="85" t="str">
        <f t="shared" si="169"/>
        <v>9</v>
      </c>
      <c r="D1641" s="85" t="str">
        <f t="shared" si="170"/>
        <v>4</v>
      </c>
      <c r="E1641" s="85" t="str">
        <f t="shared" si="171"/>
        <v>0</v>
      </c>
      <c r="F1641" s="85" t="str">
        <f t="shared" si="172"/>
        <v>00</v>
      </c>
      <c r="G1641" s="85" t="str">
        <f t="shared" si="173"/>
        <v>1</v>
      </c>
      <c r="H1641" s="85" t="str">
        <f t="shared" si="174"/>
        <v>1</v>
      </c>
      <c r="I1641" s="87">
        <v>29400011</v>
      </c>
      <c r="J1641" s="85" t="s">
        <v>4725</v>
      </c>
      <c r="K1641" s="85" t="s">
        <v>4726</v>
      </c>
      <c r="L1641" s="84"/>
      <c r="M1641" s="85" t="s">
        <v>4610</v>
      </c>
      <c r="N1641" s="85" t="s">
        <v>2879</v>
      </c>
      <c r="O1641" s="85" t="s">
        <v>4727</v>
      </c>
      <c r="P1641" s="86" t="s">
        <v>2890</v>
      </c>
    </row>
    <row r="1642" spans="2:16" ht="30" x14ac:dyDescent="0.25">
      <c r="B1642" s="126" t="str">
        <f t="shared" si="168"/>
        <v>2</v>
      </c>
      <c r="C1642" s="126" t="str">
        <f t="shared" si="169"/>
        <v>9</v>
      </c>
      <c r="D1642" s="126" t="str">
        <f t="shared" si="170"/>
        <v>9</v>
      </c>
      <c r="E1642" s="126" t="str">
        <f t="shared" si="171"/>
        <v>0</v>
      </c>
      <c r="F1642" s="126" t="str">
        <f t="shared" si="172"/>
        <v>00</v>
      </c>
      <c r="G1642" s="126" t="str">
        <f t="shared" si="173"/>
        <v>0</v>
      </c>
      <c r="H1642" s="126" t="str">
        <f t="shared" si="174"/>
        <v>0</v>
      </c>
      <c r="I1642" s="127">
        <v>29900000</v>
      </c>
      <c r="J1642" s="126" t="s">
        <v>4728</v>
      </c>
      <c r="K1642" s="126" t="s">
        <v>4729</v>
      </c>
      <c r="L1642" s="122"/>
      <c r="M1642" s="126" t="s">
        <v>2878</v>
      </c>
      <c r="N1642" s="126" t="s">
        <v>5016</v>
      </c>
      <c r="O1642" s="126" t="s">
        <v>2878</v>
      </c>
      <c r="P1642" s="128" t="s">
        <v>2880</v>
      </c>
    </row>
    <row r="1643" spans="2:16" ht="30" x14ac:dyDescent="0.25">
      <c r="B1643" s="114" t="str">
        <f t="shared" si="168"/>
        <v>2</v>
      </c>
      <c r="C1643" s="114" t="str">
        <f t="shared" si="169"/>
        <v>9</v>
      </c>
      <c r="D1643" s="114" t="str">
        <f t="shared" si="170"/>
        <v>9</v>
      </c>
      <c r="E1643" s="114" t="str">
        <f t="shared" si="171"/>
        <v>0</v>
      </c>
      <c r="F1643" s="114" t="str">
        <f t="shared" si="172"/>
        <v>00</v>
      </c>
      <c r="G1643" s="114" t="str">
        <f t="shared" si="173"/>
        <v>1</v>
      </c>
      <c r="H1643" s="114" t="str">
        <f t="shared" si="174"/>
        <v>0</v>
      </c>
      <c r="I1643" s="115">
        <v>29900010</v>
      </c>
      <c r="J1643" s="114" t="s">
        <v>4728</v>
      </c>
      <c r="K1643" s="114" t="s">
        <v>4729</v>
      </c>
      <c r="L1643" s="116"/>
      <c r="M1643" s="114" t="s">
        <v>2878</v>
      </c>
      <c r="N1643" s="114" t="s">
        <v>2879</v>
      </c>
      <c r="O1643" s="114" t="s">
        <v>2878</v>
      </c>
      <c r="P1643" s="117" t="s">
        <v>2880</v>
      </c>
    </row>
    <row r="1644" spans="2:16" ht="60" x14ac:dyDescent="0.25">
      <c r="B1644" s="85" t="str">
        <f t="shared" si="168"/>
        <v>2</v>
      </c>
      <c r="C1644" s="85" t="str">
        <f t="shared" si="169"/>
        <v>9</v>
      </c>
      <c r="D1644" s="85" t="str">
        <f t="shared" si="170"/>
        <v>9</v>
      </c>
      <c r="E1644" s="85" t="str">
        <f t="shared" si="171"/>
        <v>0</v>
      </c>
      <c r="F1644" s="85" t="str">
        <f t="shared" si="172"/>
        <v>00</v>
      </c>
      <c r="G1644" s="85" t="str">
        <f t="shared" si="173"/>
        <v>1</v>
      </c>
      <c r="H1644" s="85" t="str">
        <f t="shared" si="174"/>
        <v>1</v>
      </c>
      <c r="I1644" s="87">
        <v>29900011</v>
      </c>
      <c r="J1644" s="85" t="s">
        <v>4730</v>
      </c>
      <c r="K1644" s="85" t="s">
        <v>4731</v>
      </c>
      <c r="L1644" s="84"/>
      <c r="M1644" s="85" t="s">
        <v>4610</v>
      </c>
      <c r="N1644" s="85" t="s">
        <v>2879</v>
      </c>
      <c r="O1644" s="85" t="s">
        <v>4732</v>
      </c>
      <c r="P1644" s="86" t="s">
        <v>2890</v>
      </c>
    </row>
    <row r="1645" spans="2:16" ht="45" x14ac:dyDescent="0.25">
      <c r="B1645" s="104" t="str">
        <f t="shared" si="168"/>
        <v>2</v>
      </c>
      <c r="C1645" s="104" t="str">
        <f t="shared" si="169"/>
        <v>9</v>
      </c>
      <c r="D1645" s="104" t="str">
        <f t="shared" si="170"/>
        <v>9</v>
      </c>
      <c r="E1645" s="104" t="str">
        <f t="shared" si="171"/>
        <v>8</v>
      </c>
      <c r="F1645" s="104" t="str">
        <f t="shared" si="172"/>
        <v>00</v>
      </c>
      <c r="G1645" s="104" t="str">
        <f t="shared" si="173"/>
        <v>0</v>
      </c>
      <c r="H1645" s="104" t="str">
        <f t="shared" si="174"/>
        <v>0</v>
      </c>
      <c r="I1645" s="105">
        <v>29980000</v>
      </c>
      <c r="J1645" s="104" t="s">
        <v>5030</v>
      </c>
      <c r="K1645" s="104" t="s">
        <v>4989</v>
      </c>
      <c r="L1645" s="106"/>
      <c r="M1645" s="104" t="s">
        <v>2878</v>
      </c>
      <c r="N1645" s="104"/>
      <c r="O1645" s="104" t="s">
        <v>5018</v>
      </c>
      <c r="P1645" s="107" t="s">
        <v>2880</v>
      </c>
    </row>
    <row r="1646" spans="2:16" ht="45" x14ac:dyDescent="0.25">
      <c r="B1646" s="108" t="str">
        <f t="shared" si="168"/>
        <v>2</v>
      </c>
      <c r="C1646" s="108" t="str">
        <f t="shared" si="169"/>
        <v>9</v>
      </c>
      <c r="D1646" s="108" t="str">
        <f t="shared" si="170"/>
        <v>9</v>
      </c>
      <c r="E1646" s="108" t="str">
        <f t="shared" si="171"/>
        <v>8</v>
      </c>
      <c r="F1646" s="108" t="str">
        <f t="shared" si="172"/>
        <v>01</v>
      </c>
      <c r="G1646" s="108" t="str">
        <f t="shared" si="173"/>
        <v>0</v>
      </c>
      <c r="H1646" s="108" t="str">
        <f t="shared" si="174"/>
        <v>0</v>
      </c>
      <c r="I1646" s="109">
        <v>29980100</v>
      </c>
      <c r="J1646" s="108" t="s">
        <v>4988</v>
      </c>
      <c r="K1646" s="108" t="s">
        <v>4989</v>
      </c>
      <c r="L1646" s="110"/>
      <c r="M1646" s="108" t="s">
        <v>2878</v>
      </c>
      <c r="N1646" s="108"/>
      <c r="O1646" s="108" t="s">
        <v>2878</v>
      </c>
      <c r="P1646" s="111" t="s">
        <v>2880</v>
      </c>
    </row>
    <row r="1647" spans="2:16" ht="60" x14ac:dyDescent="0.25">
      <c r="B1647" s="114" t="str">
        <f t="shared" si="168"/>
        <v>2</v>
      </c>
      <c r="C1647" s="114" t="str">
        <f t="shared" si="169"/>
        <v>9</v>
      </c>
      <c r="D1647" s="114" t="str">
        <f t="shared" si="170"/>
        <v>9</v>
      </c>
      <c r="E1647" s="114" t="str">
        <f t="shared" si="171"/>
        <v>8</v>
      </c>
      <c r="F1647" s="114" t="str">
        <f t="shared" si="172"/>
        <v>01</v>
      </c>
      <c r="G1647" s="114" t="str">
        <f t="shared" si="173"/>
        <v>1</v>
      </c>
      <c r="H1647" s="114" t="str">
        <f t="shared" si="174"/>
        <v>0</v>
      </c>
      <c r="I1647" s="115">
        <v>29980110</v>
      </c>
      <c r="J1647" s="114" t="s">
        <v>2861</v>
      </c>
      <c r="K1647" s="114" t="s">
        <v>2862</v>
      </c>
      <c r="L1647" s="116"/>
      <c r="M1647" s="114"/>
      <c r="N1647" s="114" t="s">
        <v>2863</v>
      </c>
      <c r="O1647" s="114" t="s">
        <v>2878</v>
      </c>
      <c r="P1647" s="117" t="s">
        <v>2880</v>
      </c>
    </row>
    <row r="1648" spans="2:16" ht="60" x14ac:dyDescent="0.25">
      <c r="B1648" s="85" t="str">
        <f t="shared" si="168"/>
        <v>2</v>
      </c>
      <c r="C1648" s="85" t="str">
        <f t="shared" si="169"/>
        <v>9</v>
      </c>
      <c r="D1648" s="85" t="str">
        <f t="shared" si="170"/>
        <v>9</v>
      </c>
      <c r="E1648" s="85" t="str">
        <f t="shared" si="171"/>
        <v>8</v>
      </c>
      <c r="F1648" s="85" t="str">
        <f t="shared" si="172"/>
        <v>01</v>
      </c>
      <c r="G1648" s="85" t="str">
        <f t="shared" si="173"/>
        <v>1</v>
      </c>
      <c r="H1648" s="85" t="str">
        <f t="shared" si="174"/>
        <v>1</v>
      </c>
      <c r="I1648" s="87">
        <v>29980111</v>
      </c>
      <c r="J1648" s="85" t="s">
        <v>4882</v>
      </c>
      <c r="K1648" s="85" t="s">
        <v>2862</v>
      </c>
      <c r="L1648" s="84"/>
      <c r="M1648" s="85"/>
      <c r="N1648" s="85" t="s">
        <v>2863</v>
      </c>
      <c r="O1648" s="85"/>
      <c r="P1648" s="86" t="s">
        <v>2890</v>
      </c>
    </row>
    <row r="1649" spans="2:16" ht="60" x14ac:dyDescent="0.25">
      <c r="B1649" s="126" t="str">
        <f t="shared" si="168"/>
        <v>9</v>
      </c>
      <c r="C1649" s="126" t="str">
        <f t="shared" si="169"/>
        <v>9</v>
      </c>
      <c r="D1649" s="126" t="str">
        <f t="shared" si="170"/>
        <v>9</v>
      </c>
      <c r="E1649" s="126" t="str">
        <f t="shared" si="171"/>
        <v>0</v>
      </c>
      <c r="F1649" s="126" t="str">
        <f t="shared" si="172"/>
        <v>00</v>
      </c>
      <c r="G1649" s="126" t="str">
        <f t="shared" si="173"/>
        <v>0</v>
      </c>
      <c r="H1649" s="126" t="str">
        <f t="shared" si="174"/>
        <v>0</v>
      </c>
      <c r="I1649" s="127">
        <v>99900000</v>
      </c>
      <c r="J1649" s="126" t="s">
        <v>2865</v>
      </c>
      <c r="K1649" s="126" t="s">
        <v>2866</v>
      </c>
      <c r="L1649" s="122"/>
      <c r="M1649" s="126"/>
      <c r="N1649" s="126" t="s">
        <v>5016</v>
      </c>
      <c r="O1649" s="126"/>
      <c r="P1649" s="128" t="s">
        <v>2880</v>
      </c>
    </row>
  </sheetData>
  <autoFilter ref="B2:P1649" xr:uid="{00000000-0009-0000-0000-000002000000}"/>
  <pageMargins left="0.511811024" right="0.511811024" top="0.78740157499999996" bottom="0.78740157499999996" header="0.31496062000000002" footer="0.31496062000000002"/>
  <pageSetup paperSize="9" scale="66" orientation="portrait" verticalDpi="0" r:id="rId1"/>
  <colBreaks count="1" manualBreakCount="1">
    <brk id="10" max="1563"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82B0-7420-488C-9F48-CF49CABB326C}">
  <dimension ref="B1:F1423"/>
  <sheetViews>
    <sheetView showGridLines="0" zoomScaleNormal="100" zoomScaleSheetLayoutView="100" workbookViewId="0">
      <pane xSplit="2" ySplit="2" topLeftCell="C3" activePane="bottomRight" state="frozen"/>
      <selection pane="topRight" activeCell="B1" sqref="B1"/>
      <selection pane="bottomLeft" activeCell="A2" sqref="A2"/>
      <selection pane="bottomRight" activeCell="C3" sqref="C3"/>
    </sheetView>
  </sheetViews>
  <sheetFormatPr defaultRowHeight="15" x14ac:dyDescent="0.25"/>
  <cols>
    <col min="1" max="1" width="2.140625" customWidth="1"/>
    <col min="2" max="2" width="11.85546875" style="72" bestFit="1" customWidth="1"/>
    <col min="3" max="3" width="53.7109375" style="75" bestFit="1" customWidth="1"/>
    <col min="4" max="4" width="23.5703125" style="74" bestFit="1" customWidth="1"/>
    <col min="5" max="5" width="53.42578125" style="75" customWidth="1"/>
    <col min="6" max="6" width="50.7109375" style="73" customWidth="1"/>
  </cols>
  <sheetData>
    <row r="1" spans="2:6" ht="9.75" customHeight="1" x14ac:dyDescent="0.25">
      <c r="B1" s="76"/>
      <c r="C1" s="77"/>
      <c r="D1" s="78"/>
      <c r="E1" s="77"/>
      <c r="F1" s="79"/>
    </row>
    <row r="2" spans="2:6" ht="15.75" x14ac:dyDescent="0.25">
      <c r="B2" s="80" t="s">
        <v>6</v>
      </c>
      <c r="C2" s="81" t="s">
        <v>7</v>
      </c>
      <c r="D2" s="82" t="s">
        <v>4733</v>
      </c>
      <c r="E2" s="81" t="s">
        <v>4735</v>
      </c>
      <c r="F2" s="83" t="s">
        <v>4734</v>
      </c>
    </row>
    <row r="3" spans="2:6" x14ac:dyDescent="0.25">
      <c r="B3" s="88">
        <v>10000000</v>
      </c>
      <c r="C3" s="89" t="s">
        <v>15</v>
      </c>
      <c r="D3" s="90">
        <v>10000000</v>
      </c>
      <c r="E3" s="89" t="s">
        <v>15</v>
      </c>
      <c r="F3" s="91"/>
    </row>
    <row r="4" spans="2:6" x14ac:dyDescent="0.25">
      <c r="B4" s="88">
        <v>11000000</v>
      </c>
      <c r="C4" s="89" t="s">
        <v>18</v>
      </c>
      <c r="D4" s="90">
        <v>11000000</v>
      </c>
      <c r="E4" s="89" t="s">
        <v>2881</v>
      </c>
      <c r="F4" s="91"/>
    </row>
    <row r="5" spans="2:6" x14ac:dyDescent="0.25">
      <c r="B5" s="88">
        <v>11100000</v>
      </c>
      <c r="C5" s="89" t="s">
        <v>21</v>
      </c>
      <c r="D5" s="90">
        <v>11100000</v>
      </c>
      <c r="E5" s="89" t="s">
        <v>21</v>
      </c>
      <c r="F5" s="91"/>
    </row>
    <row r="6" spans="2:6" x14ac:dyDescent="0.25">
      <c r="B6" s="88">
        <v>11110000</v>
      </c>
      <c r="C6" s="89" t="s">
        <v>24</v>
      </c>
      <c r="D6" s="90">
        <v>11110000</v>
      </c>
      <c r="E6" s="89" t="s">
        <v>24</v>
      </c>
      <c r="F6" s="91"/>
    </row>
    <row r="7" spans="2:6" x14ac:dyDescent="0.25">
      <c r="B7" s="88">
        <v>11110100</v>
      </c>
      <c r="C7" s="89" t="s">
        <v>27</v>
      </c>
      <c r="D7" s="90">
        <v>11110110</v>
      </c>
      <c r="E7" s="89" t="s">
        <v>4951</v>
      </c>
      <c r="F7" s="91"/>
    </row>
    <row r="8" spans="2:6" x14ac:dyDescent="0.25">
      <c r="B8" s="88">
        <v>11110101</v>
      </c>
      <c r="C8" s="89" t="s">
        <v>30</v>
      </c>
      <c r="D8" s="90">
        <v>11110111</v>
      </c>
      <c r="E8" s="89" t="s">
        <v>2887</v>
      </c>
      <c r="F8" s="91"/>
    </row>
    <row r="9" spans="2:6" x14ac:dyDescent="0.25">
      <c r="B9" s="88">
        <v>11110102</v>
      </c>
      <c r="C9" s="89" t="s">
        <v>33</v>
      </c>
      <c r="D9" s="90">
        <v>11110111</v>
      </c>
      <c r="E9" s="89" t="s">
        <v>2887</v>
      </c>
      <c r="F9" s="91"/>
    </row>
    <row r="10" spans="2:6" x14ac:dyDescent="0.25">
      <c r="B10" s="88">
        <v>11110200</v>
      </c>
      <c r="C10" s="89" t="s">
        <v>36</v>
      </c>
      <c r="D10" s="90">
        <v>11110210</v>
      </c>
      <c r="E10" s="89" t="s">
        <v>36</v>
      </c>
      <c r="F10" s="91"/>
    </row>
    <row r="11" spans="2:6" x14ac:dyDescent="0.25">
      <c r="B11" s="88">
        <v>11110201</v>
      </c>
      <c r="C11" s="89" t="s">
        <v>39</v>
      </c>
      <c r="D11" s="90">
        <v>11110211</v>
      </c>
      <c r="E11" s="89" t="s">
        <v>2897</v>
      </c>
      <c r="F11" s="91"/>
    </row>
    <row r="12" spans="2:6" x14ac:dyDescent="0.25">
      <c r="B12" s="88">
        <v>11110202</v>
      </c>
      <c r="C12" s="89" t="s">
        <v>41</v>
      </c>
      <c r="D12" s="90">
        <v>11110211</v>
      </c>
      <c r="E12" s="89" t="s">
        <v>2897</v>
      </c>
      <c r="F12" s="91"/>
    </row>
    <row r="13" spans="2:6" x14ac:dyDescent="0.25">
      <c r="B13" s="88">
        <v>11120000</v>
      </c>
      <c r="C13" s="89" t="s">
        <v>43</v>
      </c>
      <c r="D13" s="90">
        <v>11120000</v>
      </c>
      <c r="E13" s="89" t="s">
        <v>2902</v>
      </c>
      <c r="F13" s="91"/>
    </row>
    <row r="14" spans="2:6" x14ac:dyDescent="0.25">
      <c r="B14" s="88">
        <v>11120100</v>
      </c>
      <c r="C14" s="89" t="s">
        <v>45</v>
      </c>
      <c r="D14" s="90">
        <v>11120100</v>
      </c>
      <c r="E14" s="89" t="s">
        <v>45</v>
      </c>
      <c r="F14" s="91"/>
    </row>
    <row r="15" spans="2:6" ht="30" x14ac:dyDescent="0.25">
      <c r="B15" s="88">
        <v>11120101</v>
      </c>
      <c r="C15" s="89" t="s">
        <v>48</v>
      </c>
      <c r="D15" s="90">
        <v>11120111</v>
      </c>
      <c r="E15" s="89" t="s">
        <v>2906</v>
      </c>
      <c r="F15" s="91"/>
    </row>
    <row r="16" spans="2:6" ht="30" x14ac:dyDescent="0.25">
      <c r="B16" s="88">
        <v>11120102</v>
      </c>
      <c r="C16" s="89" t="s">
        <v>51</v>
      </c>
      <c r="D16" s="90">
        <v>11120121</v>
      </c>
      <c r="E16" s="89" t="s">
        <v>2913</v>
      </c>
      <c r="F16" s="91"/>
    </row>
    <row r="17" spans="2:6" x14ac:dyDescent="0.25">
      <c r="B17" s="88">
        <v>11120200</v>
      </c>
      <c r="C17" s="89" t="s">
        <v>53</v>
      </c>
      <c r="D17" s="90">
        <v>11180110</v>
      </c>
      <c r="E17" s="89" t="s">
        <v>53</v>
      </c>
      <c r="F17" s="91"/>
    </row>
    <row r="18" spans="2:6" ht="30" x14ac:dyDescent="0.25">
      <c r="B18" s="88">
        <v>11120400</v>
      </c>
      <c r="C18" s="89" t="s">
        <v>55</v>
      </c>
      <c r="D18" s="90">
        <v>11130000</v>
      </c>
      <c r="E18" s="89" t="s">
        <v>2919</v>
      </c>
      <c r="F18" s="91"/>
    </row>
    <row r="19" spans="2:6" x14ac:dyDescent="0.25">
      <c r="B19" s="88">
        <v>11120410</v>
      </c>
      <c r="C19" s="89" t="s">
        <v>57</v>
      </c>
      <c r="D19" s="90">
        <v>11130111</v>
      </c>
      <c r="E19" s="89" t="s">
        <v>2923</v>
      </c>
      <c r="F19" s="91"/>
    </row>
    <row r="20" spans="2:6" ht="30" x14ac:dyDescent="0.25">
      <c r="B20" s="88">
        <v>11120411</v>
      </c>
      <c r="C20" s="89" t="s">
        <v>59</v>
      </c>
      <c r="D20" s="90">
        <v>11130111</v>
      </c>
      <c r="E20" s="89" t="s">
        <v>2923</v>
      </c>
      <c r="F20" s="91"/>
    </row>
    <row r="21" spans="2:6" ht="30" x14ac:dyDescent="0.25">
      <c r="B21" s="88">
        <v>11120421</v>
      </c>
      <c r="C21" s="89" t="s">
        <v>61</v>
      </c>
      <c r="D21" s="90">
        <v>11130211</v>
      </c>
      <c r="E21" s="89" t="s">
        <v>2932</v>
      </c>
      <c r="F21" s="91"/>
    </row>
    <row r="22" spans="2:6" ht="30" x14ac:dyDescent="0.25">
      <c r="B22" s="88">
        <v>11120422</v>
      </c>
      <c r="C22" s="89" t="s">
        <v>63</v>
      </c>
      <c r="D22" s="90">
        <v>11130211</v>
      </c>
      <c r="E22" s="89" t="s">
        <v>2932</v>
      </c>
      <c r="F22" s="91"/>
    </row>
    <row r="23" spans="2:6" ht="30" x14ac:dyDescent="0.25">
      <c r="B23" s="88">
        <v>11120423</v>
      </c>
      <c r="C23" s="89" t="s">
        <v>65</v>
      </c>
      <c r="D23" s="90">
        <v>11130211</v>
      </c>
      <c r="E23" s="89" t="s">
        <v>2932</v>
      </c>
      <c r="F23" s="91"/>
    </row>
    <row r="24" spans="2:6" ht="30" x14ac:dyDescent="0.25">
      <c r="B24" s="88">
        <v>11120431</v>
      </c>
      <c r="C24" s="89" t="s">
        <v>67</v>
      </c>
      <c r="D24" s="90">
        <v>11130311</v>
      </c>
      <c r="E24" s="89" t="s">
        <v>2942</v>
      </c>
      <c r="F24" s="91"/>
    </row>
    <row r="25" spans="2:6" ht="30" x14ac:dyDescent="0.25">
      <c r="B25" s="88">
        <v>11120432</v>
      </c>
      <c r="C25" s="89" t="s">
        <v>69</v>
      </c>
      <c r="D25" s="90">
        <v>11130321</v>
      </c>
      <c r="E25" s="89" t="s">
        <v>2950</v>
      </c>
      <c r="F25" s="91"/>
    </row>
    <row r="26" spans="2:6" ht="30" x14ac:dyDescent="0.25">
      <c r="B26" s="88">
        <v>11120433</v>
      </c>
      <c r="C26" s="89" t="s">
        <v>71</v>
      </c>
      <c r="D26" s="90">
        <v>11130331</v>
      </c>
      <c r="E26" s="89" t="s">
        <v>2958</v>
      </c>
      <c r="F26" s="91"/>
    </row>
    <row r="27" spans="2:6" ht="30" x14ac:dyDescent="0.25">
      <c r="B27" s="88">
        <v>11120434</v>
      </c>
      <c r="C27" s="89" t="s">
        <v>73</v>
      </c>
      <c r="D27" s="90">
        <v>11130341</v>
      </c>
      <c r="E27" s="89" t="s">
        <v>2966</v>
      </c>
      <c r="F27" s="91"/>
    </row>
    <row r="28" spans="2:6" ht="30" x14ac:dyDescent="0.25">
      <c r="B28" s="88">
        <v>11120435</v>
      </c>
      <c r="C28" s="89" t="s">
        <v>75</v>
      </c>
      <c r="D28" s="90">
        <v>11130311</v>
      </c>
      <c r="E28" s="89" t="s">
        <v>2942</v>
      </c>
      <c r="F28" s="91"/>
    </row>
    <row r="29" spans="2:6" x14ac:dyDescent="0.25">
      <c r="B29" s="88">
        <v>11120500</v>
      </c>
      <c r="C29" s="89" t="s">
        <v>77</v>
      </c>
      <c r="D29" s="90">
        <v>11180120</v>
      </c>
      <c r="E29" s="89" t="s">
        <v>4952</v>
      </c>
      <c r="F29" s="91"/>
    </row>
    <row r="30" spans="2:6" ht="30" x14ac:dyDescent="0.25">
      <c r="B30" s="88">
        <v>11120700</v>
      </c>
      <c r="C30" s="89" t="s">
        <v>79</v>
      </c>
      <c r="D30" s="90">
        <v>11180130</v>
      </c>
      <c r="E30" s="89" t="s">
        <v>79</v>
      </c>
      <c r="F30" s="91"/>
    </row>
    <row r="31" spans="2:6" ht="30" x14ac:dyDescent="0.25">
      <c r="B31" s="88">
        <v>11120800</v>
      </c>
      <c r="C31" s="89" t="s">
        <v>81</v>
      </c>
      <c r="D31" s="90">
        <v>11180140</v>
      </c>
      <c r="E31" s="89" t="s">
        <v>4953</v>
      </c>
      <c r="F31" s="91"/>
    </row>
    <row r="32" spans="2:6" x14ac:dyDescent="0.25">
      <c r="B32" s="88">
        <v>11130000</v>
      </c>
      <c r="C32" s="89" t="s">
        <v>83</v>
      </c>
      <c r="D32" s="90">
        <v>11140000</v>
      </c>
      <c r="E32" s="89" t="s">
        <v>2971</v>
      </c>
      <c r="F32" s="91"/>
    </row>
    <row r="33" spans="2:6" x14ac:dyDescent="0.25">
      <c r="B33" s="88">
        <v>11130100</v>
      </c>
      <c r="C33" s="89" t="s">
        <v>85</v>
      </c>
      <c r="D33" s="90">
        <v>11140100</v>
      </c>
      <c r="E33" s="89" t="s">
        <v>2973</v>
      </c>
      <c r="F33" s="91"/>
    </row>
    <row r="34" spans="2:6" ht="30" x14ac:dyDescent="0.25">
      <c r="B34" s="88">
        <v>11130101</v>
      </c>
      <c r="C34" s="89" t="s">
        <v>87</v>
      </c>
      <c r="D34" s="90">
        <v>11140111</v>
      </c>
      <c r="E34" s="89" t="s">
        <v>2977</v>
      </c>
      <c r="F34" s="91"/>
    </row>
    <row r="35" spans="2:6" ht="30" x14ac:dyDescent="0.25">
      <c r="B35" s="88">
        <v>11130102</v>
      </c>
      <c r="C35" s="89" t="s">
        <v>89</v>
      </c>
      <c r="D35" s="90">
        <v>11140121</v>
      </c>
      <c r="E35" s="89" t="s">
        <v>4755</v>
      </c>
      <c r="F35" s="91"/>
    </row>
    <row r="36" spans="2:6" ht="30" x14ac:dyDescent="0.25">
      <c r="B36" s="88">
        <v>11130103</v>
      </c>
      <c r="C36" s="89" t="s">
        <v>91</v>
      </c>
      <c r="D36" s="90">
        <v>11140131</v>
      </c>
      <c r="E36" s="89" t="s">
        <v>2989</v>
      </c>
      <c r="F36" s="91"/>
    </row>
    <row r="37" spans="2:6" ht="30" x14ac:dyDescent="0.25">
      <c r="B37" s="88">
        <v>11130104</v>
      </c>
      <c r="C37" s="89" t="s">
        <v>93</v>
      </c>
      <c r="D37" s="90">
        <v>11140141</v>
      </c>
      <c r="E37" s="89" t="s">
        <v>2996</v>
      </c>
      <c r="F37" s="91"/>
    </row>
    <row r="38" spans="2:6" ht="30" x14ac:dyDescent="0.25">
      <c r="B38" s="88">
        <v>11130109</v>
      </c>
      <c r="C38" s="89" t="s">
        <v>95</v>
      </c>
      <c r="D38" s="90">
        <v>11140151</v>
      </c>
      <c r="E38" s="89" t="s">
        <v>3003</v>
      </c>
      <c r="F38" s="91"/>
    </row>
    <row r="39" spans="2:6" ht="30" x14ac:dyDescent="0.25">
      <c r="B39" s="88">
        <v>11130110</v>
      </c>
      <c r="C39" s="89" t="s">
        <v>97</v>
      </c>
      <c r="D39" s="90">
        <v>11140151</v>
      </c>
      <c r="E39" s="89" t="s">
        <v>3003</v>
      </c>
      <c r="F39" s="91"/>
    </row>
    <row r="40" spans="2:6" ht="30" x14ac:dyDescent="0.25">
      <c r="B40" s="88">
        <v>11130111</v>
      </c>
      <c r="C40" s="89" t="s">
        <v>99</v>
      </c>
      <c r="D40" s="90">
        <v>11140151</v>
      </c>
      <c r="E40" s="89" t="s">
        <v>3003</v>
      </c>
      <c r="F40" s="91"/>
    </row>
    <row r="41" spans="2:6" ht="45" x14ac:dyDescent="0.25">
      <c r="B41" s="88">
        <v>11130200</v>
      </c>
      <c r="C41" s="89" t="s">
        <v>101</v>
      </c>
      <c r="D41" s="90">
        <v>11180210</v>
      </c>
      <c r="E41" s="89" t="s">
        <v>101</v>
      </c>
      <c r="F41" s="91"/>
    </row>
    <row r="42" spans="2:6" ht="60" x14ac:dyDescent="0.25">
      <c r="B42" s="88">
        <v>11130201</v>
      </c>
      <c r="C42" s="89" t="s">
        <v>101</v>
      </c>
      <c r="D42" s="90">
        <v>11180210</v>
      </c>
      <c r="E42" s="89" t="s">
        <v>4759</v>
      </c>
      <c r="F42" s="91"/>
    </row>
    <row r="43" spans="2:6" ht="30" x14ac:dyDescent="0.25">
      <c r="B43" s="88">
        <v>11130202</v>
      </c>
      <c r="C43" s="89" t="s">
        <v>104</v>
      </c>
      <c r="D43" s="90">
        <v>11180220</v>
      </c>
      <c r="E43" s="89" t="s">
        <v>4763</v>
      </c>
      <c r="F43" s="91"/>
    </row>
    <row r="44" spans="2:6" ht="30" x14ac:dyDescent="0.25">
      <c r="B44" s="88">
        <v>11130300</v>
      </c>
      <c r="C44" s="89" t="s">
        <v>106</v>
      </c>
      <c r="D44" s="90">
        <v>11150000</v>
      </c>
      <c r="E44" s="89" t="s">
        <v>3008</v>
      </c>
      <c r="F44" s="91"/>
    </row>
    <row r="45" spans="2:6" x14ac:dyDescent="0.25">
      <c r="B45" s="88">
        <v>11130301</v>
      </c>
      <c r="C45" s="89" t="s">
        <v>108</v>
      </c>
      <c r="D45" s="90">
        <v>11150110</v>
      </c>
      <c r="E45" s="89" t="s">
        <v>4954</v>
      </c>
      <c r="F45" s="91"/>
    </row>
    <row r="46" spans="2:6" ht="45" x14ac:dyDescent="0.25">
      <c r="B46" s="88">
        <v>11130302</v>
      </c>
      <c r="C46" s="89" t="s">
        <v>110</v>
      </c>
      <c r="D46" s="90">
        <v>11150111</v>
      </c>
      <c r="E46" s="89" t="s">
        <v>3013</v>
      </c>
      <c r="F46" s="91"/>
    </row>
    <row r="47" spans="2:6" ht="30" x14ac:dyDescent="0.25">
      <c r="B47" s="88">
        <v>11130309</v>
      </c>
      <c r="C47" s="89" t="s">
        <v>112</v>
      </c>
      <c r="D47" s="90">
        <v>11150121</v>
      </c>
      <c r="E47" s="89" t="s">
        <v>3022</v>
      </c>
      <c r="F47" s="91"/>
    </row>
    <row r="48" spans="2:6" ht="45" x14ac:dyDescent="0.25">
      <c r="B48" s="88">
        <v>11130310</v>
      </c>
      <c r="C48" s="89" t="s">
        <v>114</v>
      </c>
      <c r="D48" s="90">
        <v>11150121</v>
      </c>
      <c r="E48" s="89" t="s">
        <v>3022</v>
      </c>
      <c r="F48" s="91"/>
    </row>
    <row r="49" spans="2:6" x14ac:dyDescent="0.25">
      <c r="B49" s="88">
        <v>11130500</v>
      </c>
      <c r="C49" s="89" t="s">
        <v>116</v>
      </c>
      <c r="D49" s="90">
        <v>11180230</v>
      </c>
      <c r="E49" s="89" t="s">
        <v>116</v>
      </c>
      <c r="F49" s="91"/>
    </row>
    <row r="50" spans="2:6" x14ac:dyDescent="0.25">
      <c r="B50" s="88">
        <v>11130501</v>
      </c>
      <c r="C50" s="89" t="s">
        <v>116</v>
      </c>
      <c r="D50" s="90">
        <v>11180231</v>
      </c>
      <c r="E50" s="89" t="s">
        <v>4764</v>
      </c>
      <c r="F50" s="91"/>
    </row>
    <row r="51" spans="2:6" x14ac:dyDescent="0.25">
      <c r="B51" s="88">
        <v>11130502</v>
      </c>
      <c r="C51" s="89" t="s">
        <v>119</v>
      </c>
      <c r="D51" s="90">
        <v>11180240</v>
      </c>
      <c r="E51" s="89" t="s">
        <v>119</v>
      </c>
      <c r="F51" s="91"/>
    </row>
    <row r="52" spans="2:6" x14ac:dyDescent="0.25">
      <c r="B52" s="88">
        <v>11150000</v>
      </c>
      <c r="C52" s="89" t="s">
        <v>121</v>
      </c>
      <c r="D52" s="90" t="s">
        <v>4736</v>
      </c>
      <c r="E52" s="89"/>
      <c r="F52" s="91" t="s">
        <v>4885</v>
      </c>
    </row>
    <row r="53" spans="2:6" x14ac:dyDescent="0.25">
      <c r="B53" s="88">
        <v>11200000</v>
      </c>
      <c r="C53" s="89" t="s">
        <v>123</v>
      </c>
      <c r="D53" s="90">
        <v>11200000</v>
      </c>
      <c r="E53" s="89" t="s">
        <v>123</v>
      </c>
      <c r="F53" s="91"/>
    </row>
    <row r="54" spans="2:6" x14ac:dyDescent="0.25">
      <c r="B54" s="88">
        <v>11210000</v>
      </c>
      <c r="C54" s="89" t="s">
        <v>125</v>
      </c>
      <c r="D54" s="90">
        <v>11210000</v>
      </c>
      <c r="E54" s="89" t="s">
        <v>125</v>
      </c>
      <c r="F54" s="91"/>
    </row>
    <row r="55" spans="2:6" ht="30" x14ac:dyDescent="0.25">
      <c r="B55" s="88">
        <v>11210100</v>
      </c>
      <c r="C55" s="89" t="s">
        <v>127</v>
      </c>
      <c r="D55" s="90">
        <v>11210111</v>
      </c>
      <c r="E55" s="89" t="s">
        <v>3042</v>
      </c>
      <c r="F55" s="91"/>
    </row>
    <row r="56" spans="2:6" x14ac:dyDescent="0.25">
      <c r="B56" s="88">
        <v>11210200</v>
      </c>
      <c r="C56" s="89" t="s">
        <v>129</v>
      </c>
      <c r="D56" s="90">
        <v>11210200</v>
      </c>
      <c r="E56" s="89" t="s">
        <v>3049</v>
      </c>
      <c r="F56" s="91"/>
    </row>
    <row r="57" spans="2:6" x14ac:dyDescent="0.25">
      <c r="B57" s="88">
        <v>11210201</v>
      </c>
      <c r="C57" s="89" t="s">
        <v>131</v>
      </c>
      <c r="D57" s="90">
        <v>11210211</v>
      </c>
      <c r="E57" s="89" t="s">
        <v>3053</v>
      </c>
      <c r="F57" s="91"/>
    </row>
    <row r="58" spans="2:6" x14ac:dyDescent="0.25">
      <c r="B58" s="88">
        <v>11210202</v>
      </c>
      <c r="C58" s="89" t="s">
        <v>133</v>
      </c>
      <c r="D58" s="90">
        <v>11210221</v>
      </c>
      <c r="E58" s="89" t="s">
        <v>3062</v>
      </c>
      <c r="F58" s="91"/>
    </row>
    <row r="59" spans="2:6" ht="30" x14ac:dyDescent="0.25">
      <c r="B59" s="88">
        <v>11210300</v>
      </c>
      <c r="C59" s="89" t="s">
        <v>135</v>
      </c>
      <c r="D59" s="90">
        <v>11210311</v>
      </c>
      <c r="E59" s="89" t="s">
        <v>3068</v>
      </c>
      <c r="F59" s="91"/>
    </row>
    <row r="60" spans="2:6" x14ac:dyDescent="0.25">
      <c r="B60" s="88">
        <v>11210400</v>
      </c>
      <c r="C60" s="89" t="s">
        <v>137</v>
      </c>
      <c r="D60" s="90" t="s">
        <v>4736</v>
      </c>
      <c r="E60" s="89"/>
      <c r="F60" s="91" t="s">
        <v>4885</v>
      </c>
    </row>
    <row r="61" spans="2:6" ht="30" x14ac:dyDescent="0.25">
      <c r="B61" s="88">
        <v>11210401</v>
      </c>
      <c r="C61" s="89" t="s">
        <v>139</v>
      </c>
      <c r="D61" s="90">
        <v>11210111</v>
      </c>
      <c r="E61" s="89" t="s">
        <v>3042</v>
      </c>
      <c r="F61" s="91"/>
    </row>
    <row r="62" spans="2:6" ht="30" x14ac:dyDescent="0.25">
      <c r="B62" s="88">
        <v>11210402</v>
      </c>
      <c r="C62" s="89" t="s">
        <v>141</v>
      </c>
      <c r="D62" s="90">
        <v>11210111</v>
      </c>
      <c r="E62" s="89" t="s">
        <v>3042</v>
      </c>
      <c r="F62" s="91"/>
    </row>
    <row r="63" spans="2:6" x14ac:dyDescent="0.25">
      <c r="B63" s="88">
        <v>11210500</v>
      </c>
      <c r="C63" s="89" t="s">
        <v>143</v>
      </c>
      <c r="D63" s="90">
        <v>11210111</v>
      </c>
      <c r="E63" s="89" t="s">
        <v>3042</v>
      </c>
      <c r="F63" s="91"/>
    </row>
    <row r="64" spans="2:6" ht="30" x14ac:dyDescent="0.25">
      <c r="B64" s="88">
        <v>11211000</v>
      </c>
      <c r="C64" s="89" t="s">
        <v>145</v>
      </c>
      <c r="D64" s="90">
        <v>11210111</v>
      </c>
      <c r="E64" s="89" t="s">
        <v>3042</v>
      </c>
      <c r="F64" s="91"/>
    </row>
    <row r="65" spans="2:6" ht="30" x14ac:dyDescent="0.25">
      <c r="B65" s="88">
        <v>11211100</v>
      </c>
      <c r="C65" s="89" t="s">
        <v>147</v>
      </c>
      <c r="D65" s="90">
        <v>11210111</v>
      </c>
      <c r="E65" s="89" t="s">
        <v>3042</v>
      </c>
      <c r="F65" s="91"/>
    </row>
    <row r="66" spans="2:6" ht="30" x14ac:dyDescent="0.25">
      <c r="B66" s="88">
        <v>11211300</v>
      </c>
      <c r="C66" s="89" t="s">
        <v>149</v>
      </c>
      <c r="D66" s="90">
        <v>11210111</v>
      </c>
      <c r="E66" s="89" t="s">
        <v>3042</v>
      </c>
      <c r="F66" s="91"/>
    </row>
    <row r="67" spans="2:6" ht="30" x14ac:dyDescent="0.25">
      <c r="B67" s="88">
        <v>11211400</v>
      </c>
      <c r="C67" s="89" t="s">
        <v>153</v>
      </c>
      <c r="D67" s="90">
        <v>11210111</v>
      </c>
      <c r="E67" s="89" t="s">
        <v>3042</v>
      </c>
      <c r="F67" s="91"/>
    </row>
    <row r="68" spans="2:6" ht="30" x14ac:dyDescent="0.25">
      <c r="B68" s="88">
        <v>11211500</v>
      </c>
      <c r="C68" s="89" t="s">
        <v>155</v>
      </c>
      <c r="D68" s="90">
        <v>11210111</v>
      </c>
      <c r="E68" s="89" t="s">
        <v>3042</v>
      </c>
      <c r="F68" s="91"/>
    </row>
    <row r="69" spans="2:6" x14ac:dyDescent="0.25">
      <c r="B69" s="88">
        <v>11211600</v>
      </c>
      <c r="C69" s="89" t="s">
        <v>157</v>
      </c>
      <c r="D69" s="90">
        <v>11210111</v>
      </c>
      <c r="E69" s="89" t="s">
        <v>3042</v>
      </c>
      <c r="F69" s="91"/>
    </row>
    <row r="70" spans="2:6" x14ac:dyDescent="0.25">
      <c r="B70" s="88">
        <v>11211700</v>
      </c>
      <c r="C70" s="89" t="s">
        <v>159</v>
      </c>
      <c r="D70" s="90">
        <v>11210111</v>
      </c>
      <c r="E70" s="89" t="s">
        <v>3042</v>
      </c>
      <c r="F70" s="91"/>
    </row>
    <row r="71" spans="2:6" x14ac:dyDescent="0.25">
      <c r="B71" s="88">
        <v>11212000</v>
      </c>
      <c r="C71" s="89" t="s">
        <v>161</v>
      </c>
      <c r="D71" s="90" t="s">
        <v>4736</v>
      </c>
      <c r="E71" s="89"/>
      <c r="F71" s="91" t="s">
        <v>4885</v>
      </c>
    </row>
    <row r="72" spans="2:6" x14ac:dyDescent="0.25">
      <c r="B72" s="88">
        <v>11212001</v>
      </c>
      <c r="C72" s="89" t="s">
        <v>163</v>
      </c>
      <c r="D72" s="90">
        <v>11210111</v>
      </c>
      <c r="E72" s="89" t="s">
        <v>3042</v>
      </c>
      <c r="F72" s="91"/>
    </row>
    <row r="73" spans="2:6" x14ac:dyDescent="0.25">
      <c r="B73" s="88">
        <v>11212002</v>
      </c>
      <c r="C73" s="89" t="s">
        <v>165</v>
      </c>
      <c r="D73" s="90">
        <v>11210111</v>
      </c>
      <c r="E73" s="89" t="s">
        <v>3042</v>
      </c>
      <c r="F73" s="91"/>
    </row>
    <row r="74" spans="2:6" x14ac:dyDescent="0.25">
      <c r="B74" s="88">
        <v>11212003</v>
      </c>
      <c r="C74" s="89" t="s">
        <v>167</v>
      </c>
      <c r="D74" s="90">
        <v>11210111</v>
      </c>
      <c r="E74" s="89" t="s">
        <v>3042</v>
      </c>
      <c r="F74" s="91"/>
    </row>
    <row r="75" spans="2:6" x14ac:dyDescent="0.25">
      <c r="B75" s="88">
        <v>11212004</v>
      </c>
      <c r="C75" s="89" t="s">
        <v>169</v>
      </c>
      <c r="D75" s="90">
        <v>11210111</v>
      </c>
      <c r="E75" s="89" t="s">
        <v>3042</v>
      </c>
      <c r="F75" s="91"/>
    </row>
    <row r="76" spans="2:6" x14ac:dyDescent="0.25">
      <c r="B76" s="88">
        <v>11212005</v>
      </c>
      <c r="C76" s="89" t="s">
        <v>171</v>
      </c>
      <c r="D76" s="90">
        <v>11210111</v>
      </c>
      <c r="E76" s="89" t="s">
        <v>3042</v>
      </c>
      <c r="F76" s="91"/>
    </row>
    <row r="77" spans="2:6" ht="30" x14ac:dyDescent="0.25">
      <c r="B77" s="88">
        <v>11212006</v>
      </c>
      <c r="C77" s="89" t="s">
        <v>173</v>
      </c>
      <c r="D77" s="90">
        <v>11210111</v>
      </c>
      <c r="E77" s="89" t="s">
        <v>3042</v>
      </c>
      <c r="F77" s="91"/>
    </row>
    <row r="78" spans="2:6" x14ac:dyDescent="0.25">
      <c r="B78" s="88">
        <v>11212099</v>
      </c>
      <c r="C78" s="89" t="s">
        <v>175</v>
      </c>
      <c r="D78" s="90">
        <v>11210111</v>
      </c>
      <c r="E78" s="89" t="s">
        <v>3042</v>
      </c>
      <c r="F78" s="91"/>
    </row>
    <row r="79" spans="2:6" x14ac:dyDescent="0.25">
      <c r="B79" s="88">
        <v>11212100</v>
      </c>
      <c r="C79" s="89" t="s">
        <v>177</v>
      </c>
      <c r="D79" s="90">
        <v>11210411</v>
      </c>
      <c r="E79" s="89" t="s">
        <v>3076</v>
      </c>
      <c r="F79" s="91"/>
    </row>
    <row r="80" spans="2:6" x14ac:dyDescent="0.25">
      <c r="B80" s="88">
        <v>11212200</v>
      </c>
      <c r="C80" s="89" t="s">
        <v>179</v>
      </c>
      <c r="D80" s="90">
        <v>11210111</v>
      </c>
      <c r="E80" s="89" t="s">
        <v>3042</v>
      </c>
      <c r="F80" s="91"/>
    </row>
    <row r="81" spans="2:6" x14ac:dyDescent="0.25">
      <c r="B81" s="88">
        <v>11212300</v>
      </c>
      <c r="C81" s="89" t="s">
        <v>181</v>
      </c>
      <c r="D81" s="90">
        <v>11210111</v>
      </c>
      <c r="E81" s="89" t="s">
        <v>3042</v>
      </c>
      <c r="F81" s="91"/>
    </row>
    <row r="82" spans="2:6" ht="30" x14ac:dyDescent="0.25">
      <c r="B82" s="88">
        <v>11212400</v>
      </c>
      <c r="C82" s="89" t="s">
        <v>183</v>
      </c>
      <c r="D82" s="90">
        <v>11210111</v>
      </c>
      <c r="E82" s="89" t="s">
        <v>3042</v>
      </c>
      <c r="F82" s="91"/>
    </row>
    <row r="83" spans="2:6" ht="30" x14ac:dyDescent="0.25">
      <c r="B83" s="88">
        <v>11212500</v>
      </c>
      <c r="C83" s="89" t="s">
        <v>185</v>
      </c>
      <c r="D83" s="90">
        <v>11210111</v>
      </c>
      <c r="E83" s="89" t="s">
        <v>3042</v>
      </c>
      <c r="F83" s="91"/>
    </row>
    <row r="84" spans="2:6" x14ac:dyDescent="0.25">
      <c r="B84" s="88">
        <v>11212600</v>
      </c>
      <c r="C84" s="89" t="s">
        <v>187</v>
      </c>
      <c r="D84" s="90">
        <v>11210111</v>
      </c>
      <c r="E84" s="89" t="s">
        <v>3042</v>
      </c>
      <c r="F84" s="91"/>
    </row>
    <row r="85" spans="2:6" x14ac:dyDescent="0.25">
      <c r="B85" s="88">
        <v>11212700</v>
      </c>
      <c r="C85" s="89" t="s">
        <v>189</v>
      </c>
      <c r="D85" s="90">
        <v>11210111</v>
      </c>
      <c r="E85" s="89" t="s">
        <v>3042</v>
      </c>
      <c r="F85" s="91"/>
    </row>
    <row r="86" spans="2:6" ht="30" x14ac:dyDescent="0.25">
      <c r="B86" s="88">
        <v>11212800</v>
      </c>
      <c r="C86" s="89" t="s">
        <v>191</v>
      </c>
      <c r="D86" s="90">
        <v>11210111</v>
      </c>
      <c r="E86" s="89" t="s">
        <v>3042</v>
      </c>
      <c r="F86" s="91"/>
    </row>
    <row r="87" spans="2:6" x14ac:dyDescent="0.25">
      <c r="B87" s="88">
        <v>11212900</v>
      </c>
      <c r="C87" s="89" t="s">
        <v>193</v>
      </c>
      <c r="D87" s="90">
        <v>11210111</v>
      </c>
      <c r="E87" s="89" t="s">
        <v>3042</v>
      </c>
      <c r="F87" s="91"/>
    </row>
    <row r="88" spans="2:6" x14ac:dyDescent="0.25">
      <c r="B88" s="88">
        <v>11213000</v>
      </c>
      <c r="C88" s="89" t="s">
        <v>195</v>
      </c>
      <c r="D88" s="90">
        <v>11210111</v>
      </c>
      <c r="E88" s="89" t="s">
        <v>3042</v>
      </c>
      <c r="F88" s="91"/>
    </row>
    <row r="89" spans="2:6" x14ac:dyDescent="0.25">
      <c r="B89" s="88">
        <v>11213100</v>
      </c>
      <c r="C89" s="89" t="s">
        <v>197</v>
      </c>
      <c r="D89" s="90">
        <v>11210111</v>
      </c>
      <c r="E89" s="89" t="s">
        <v>3042</v>
      </c>
      <c r="F89" s="91"/>
    </row>
    <row r="90" spans="2:6" x14ac:dyDescent="0.25">
      <c r="B90" s="88">
        <v>11213200</v>
      </c>
      <c r="C90" s="89" t="s">
        <v>199</v>
      </c>
      <c r="D90" s="90">
        <v>11210111</v>
      </c>
      <c r="E90" s="89" t="s">
        <v>3042</v>
      </c>
      <c r="F90" s="91"/>
    </row>
    <row r="91" spans="2:6" x14ac:dyDescent="0.25">
      <c r="B91" s="88">
        <v>11213400</v>
      </c>
      <c r="C91" s="89" t="s">
        <v>201</v>
      </c>
      <c r="D91" s="90">
        <v>11210111</v>
      </c>
      <c r="E91" s="89" t="s">
        <v>3042</v>
      </c>
      <c r="F91" s="91"/>
    </row>
    <row r="92" spans="2:6" x14ac:dyDescent="0.25">
      <c r="B92" s="88">
        <v>11213500</v>
      </c>
      <c r="C92" s="92" t="s">
        <v>203</v>
      </c>
      <c r="D92" s="90">
        <v>11210111</v>
      </c>
      <c r="E92" s="89" t="s">
        <v>3042</v>
      </c>
      <c r="F92" s="91"/>
    </row>
    <row r="93" spans="2:6" x14ac:dyDescent="0.25">
      <c r="B93" s="88">
        <v>11213600</v>
      </c>
      <c r="C93" s="89" t="s">
        <v>205</v>
      </c>
      <c r="D93" s="90">
        <v>11210111</v>
      </c>
      <c r="E93" s="89" t="s">
        <v>3042</v>
      </c>
      <c r="F93" s="91"/>
    </row>
    <row r="94" spans="2:6" x14ac:dyDescent="0.25">
      <c r="B94" s="88">
        <v>11213700</v>
      </c>
      <c r="C94" s="92" t="s">
        <v>207</v>
      </c>
      <c r="D94" s="90">
        <v>11210111</v>
      </c>
      <c r="E94" s="89" t="s">
        <v>3042</v>
      </c>
      <c r="F94" s="91"/>
    </row>
    <row r="95" spans="2:6" ht="30" x14ac:dyDescent="0.25">
      <c r="B95" s="88">
        <v>11213800</v>
      </c>
      <c r="C95" s="89" t="s">
        <v>209</v>
      </c>
      <c r="D95" s="90">
        <v>11210111</v>
      </c>
      <c r="E95" s="89" t="s">
        <v>3042</v>
      </c>
      <c r="F95" s="91"/>
    </row>
    <row r="96" spans="2:6" x14ac:dyDescent="0.25">
      <c r="B96" s="88">
        <v>11213900</v>
      </c>
      <c r="C96" s="89" t="s">
        <v>211</v>
      </c>
      <c r="D96" s="90">
        <v>11210111</v>
      </c>
      <c r="E96" s="89" t="s">
        <v>3042</v>
      </c>
      <c r="F96" s="91"/>
    </row>
    <row r="97" spans="2:6" x14ac:dyDescent="0.25">
      <c r="B97" s="88">
        <v>11214000</v>
      </c>
      <c r="C97" s="89" t="s">
        <v>213</v>
      </c>
      <c r="D97" s="90">
        <v>11210111</v>
      </c>
      <c r="E97" s="89" t="s">
        <v>3042</v>
      </c>
      <c r="F97" s="91"/>
    </row>
    <row r="98" spans="2:6" ht="30" x14ac:dyDescent="0.25">
      <c r="B98" s="88">
        <v>11215000</v>
      </c>
      <c r="C98" s="89" t="s">
        <v>215</v>
      </c>
      <c r="D98" s="90">
        <v>11210111</v>
      </c>
      <c r="E98" s="89" t="s">
        <v>3042</v>
      </c>
      <c r="F98" s="91"/>
    </row>
    <row r="99" spans="2:6" x14ac:dyDescent="0.25">
      <c r="B99" s="88">
        <v>11219900</v>
      </c>
      <c r="C99" s="89" t="s">
        <v>220</v>
      </c>
      <c r="D99" s="90">
        <v>11210111</v>
      </c>
      <c r="E99" s="89" t="s">
        <v>3042</v>
      </c>
      <c r="F99" s="91"/>
    </row>
    <row r="100" spans="2:6" x14ac:dyDescent="0.25">
      <c r="B100" s="88">
        <v>11220000</v>
      </c>
      <c r="C100" s="89" t="s">
        <v>222</v>
      </c>
      <c r="D100" s="90">
        <v>11220000</v>
      </c>
      <c r="E100" s="89" t="s">
        <v>222</v>
      </c>
      <c r="F100" s="91"/>
    </row>
    <row r="101" spans="2:6" x14ac:dyDescent="0.25">
      <c r="B101" s="88">
        <v>11220100</v>
      </c>
      <c r="C101" s="89" t="s">
        <v>224</v>
      </c>
      <c r="D101" s="90">
        <v>11210111</v>
      </c>
      <c r="E101" s="89" t="s">
        <v>3042</v>
      </c>
      <c r="F101" s="91"/>
    </row>
    <row r="102" spans="2:6" ht="30" x14ac:dyDescent="0.25">
      <c r="B102" s="88">
        <v>11220200</v>
      </c>
      <c r="C102" s="89" t="s">
        <v>226</v>
      </c>
      <c r="D102" s="90">
        <v>11210111</v>
      </c>
      <c r="E102" s="89" t="s">
        <v>3042</v>
      </c>
      <c r="F102" s="91"/>
    </row>
    <row r="103" spans="2:6" ht="45" x14ac:dyDescent="0.25">
      <c r="B103" s="88">
        <v>11220300</v>
      </c>
      <c r="C103" s="89" t="s">
        <v>228</v>
      </c>
      <c r="D103" s="90">
        <v>11210111</v>
      </c>
      <c r="E103" s="89" t="s">
        <v>3042</v>
      </c>
      <c r="F103" s="91"/>
    </row>
    <row r="104" spans="2:6" x14ac:dyDescent="0.25">
      <c r="B104" s="88">
        <v>11220400</v>
      </c>
      <c r="C104" s="89" t="s">
        <v>230</v>
      </c>
      <c r="D104" s="90">
        <v>11210111</v>
      </c>
      <c r="E104" s="89" t="s">
        <v>3042</v>
      </c>
      <c r="F104" s="91"/>
    </row>
    <row r="105" spans="2:6" x14ac:dyDescent="0.25">
      <c r="B105" s="88">
        <v>11220600</v>
      </c>
      <c r="C105" s="92" t="s">
        <v>232</v>
      </c>
      <c r="D105" s="95">
        <v>11220111</v>
      </c>
      <c r="E105" s="92" t="s">
        <v>3093</v>
      </c>
      <c r="F105" s="98"/>
    </row>
    <row r="106" spans="2:6" x14ac:dyDescent="0.25">
      <c r="B106" s="88">
        <v>11220700</v>
      </c>
      <c r="C106" s="92" t="s">
        <v>234</v>
      </c>
      <c r="D106" s="95">
        <v>11220111</v>
      </c>
      <c r="E106" s="92" t="s">
        <v>3093</v>
      </c>
      <c r="F106" s="98"/>
    </row>
    <row r="107" spans="2:6" x14ac:dyDescent="0.25">
      <c r="B107" s="88">
        <v>11220800</v>
      </c>
      <c r="C107" s="92" t="s">
        <v>236</v>
      </c>
      <c r="D107" s="95">
        <v>11220211</v>
      </c>
      <c r="E107" s="92" t="s">
        <v>4769</v>
      </c>
      <c r="F107" s="98" t="s">
        <v>4980</v>
      </c>
    </row>
    <row r="108" spans="2:6" ht="30" x14ac:dyDescent="0.25">
      <c r="B108" s="88">
        <v>11221100</v>
      </c>
      <c r="C108" s="92" t="s">
        <v>238</v>
      </c>
      <c r="D108" s="95">
        <v>11210111</v>
      </c>
      <c r="E108" s="92" t="s">
        <v>3042</v>
      </c>
      <c r="F108" s="94"/>
    </row>
    <row r="109" spans="2:6" x14ac:dyDescent="0.25">
      <c r="B109" s="88">
        <v>11221200</v>
      </c>
      <c r="C109" s="92" t="s">
        <v>240</v>
      </c>
      <c r="D109" s="95">
        <v>16100111</v>
      </c>
      <c r="E109" s="92" t="s">
        <v>4056</v>
      </c>
      <c r="F109" s="98"/>
    </row>
    <row r="110" spans="2:6" x14ac:dyDescent="0.25">
      <c r="B110" s="88">
        <v>11221201</v>
      </c>
      <c r="C110" s="92" t="s">
        <v>242</v>
      </c>
      <c r="D110" s="95">
        <v>16100111</v>
      </c>
      <c r="E110" s="92" t="s">
        <v>4056</v>
      </c>
      <c r="F110" s="98"/>
    </row>
    <row r="111" spans="2:6" x14ac:dyDescent="0.25">
      <c r="B111" s="88">
        <v>11221202</v>
      </c>
      <c r="C111" s="92" t="s">
        <v>244</v>
      </c>
      <c r="D111" s="95">
        <v>16100111</v>
      </c>
      <c r="E111" s="92" t="s">
        <v>4056</v>
      </c>
      <c r="F111" s="98"/>
    </row>
    <row r="112" spans="2:6" x14ac:dyDescent="0.25">
      <c r="B112" s="88">
        <v>11221500</v>
      </c>
      <c r="C112" s="89" t="s">
        <v>246</v>
      </c>
      <c r="D112" s="90">
        <v>11220111</v>
      </c>
      <c r="E112" s="89" t="s">
        <v>3093</v>
      </c>
      <c r="F112" s="91"/>
    </row>
    <row r="113" spans="2:6" x14ac:dyDescent="0.25">
      <c r="B113" s="88">
        <v>11221900</v>
      </c>
      <c r="C113" s="89" t="s">
        <v>248</v>
      </c>
      <c r="D113" s="90">
        <v>11210111</v>
      </c>
      <c r="E113" s="89" t="s">
        <v>3042</v>
      </c>
      <c r="F113" s="91"/>
    </row>
    <row r="114" spans="2:6" x14ac:dyDescent="0.25">
      <c r="B114" s="88">
        <v>11222100</v>
      </c>
      <c r="C114" s="89" t="s">
        <v>250</v>
      </c>
      <c r="D114" s="90">
        <v>11210111</v>
      </c>
      <c r="E114" s="89" t="s">
        <v>3042</v>
      </c>
      <c r="F114" s="91"/>
    </row>
    <row r="115" spans="2:6" ht="30" x14ac:dyDescent="0.25">
      <c r="B115" s="88">
        <v>11222200</v>
      </c>
      <c r="C115" s="89" t="s">
        <v>252</v>
      </c>
      <c r="D115" s="90">
        <v>11210511</v>
      </c>
      <c r="E115" s="89" t="s">
        <v>3085</v>
      </c>
      <c r="F115" s="91"/>
    </row>
    <row r="116" spans="2:6" x14ac:dyDescent="0.25">
      <c r="B116" s="88">
        <v>11222800</v>
      </c>
      <c r="C116" s="89" t="s">
        <v>254</v>
      </c>
      <c r="D116" s="90">
        <v>11220111</v>
      </c>
      <c r="E116" s="89" t="s">
        <v>3093</v>
      </c>
      <c r="F116" s="91" t="s">
        <v>5052</v>
      </c>
    </row>
    <row r="117" spans="2:6" x14ac:dyDescent="0.25">
      <c r="B117" s="88">
        <v>11222900</v>
      </c>
      <c r="C117" s="92" t="s">
        <v>256</v>
      </c>
      <c r="D117" s="90">
        <v>11220211</v>
      </c>
      <c r="E117" s="92" t="s">
        <v>4056</v>
      </c>
      <c r="F117" s="94" t="s">
        <v>5052</v>
      </c>
    </row>
    <row r="118" spans="2:6" x14ac:dyDescent="0.25">
      <c r="B118" s="88">
        <v>11229000</v>
      </c>
      <c r="C118" s="89" t="s">
        <v>258</v>
      </c>
      <c r="D118" s="90">
        <v>11220111</v>
      </c>
      <c r="E118" s="89" t="s">
        <v>3093</v>
      </c>
      <c r="F118" s="91"/>
    </row>
    <row r="119" spans="2:6" x14ac:dyDescent="0.25">
      <c r="B119" s="88">
        <v>11229900</v>
      </c>
      <c r="C119" s="89" t="s">
        <v>260</v>
      </c>
      <c r="D119" s="90">
        <v>11220111</v>
      </c>
      <c r="E119" s="89" t="s">
        <v>3093</v>
      </c>
      <c r="F119" s="91"/>
    </row>
    <row r="120" spans="2:6" x14ac:dyDescent="0.25">
      <c r="B120" s="88">
        <v>11300000</v>
      </c>
      <c r="C120" s="89" t="s">
        <v>262</v>
      </c>
      <c r="D120" s="90">
        <v>11300011</v>
      </c>
      <c r="E120" s="89" t="s">
        <v>3100</v>
      </c>
      <c r="F120" s="91"/>
    </row>
    <row r="121" spans="2:6" ht="30" x14ac:dyDescent="0.25">
      <c r="B121" s="88">
        <v>11300100</v>
      </c>
      <c r="C121" s="89" t="s">
        <v>264</v>
      </c>
      <c r="D121" s="90">
        <v>11380111</v>
      </c>
      <c r="E121" s="89" t="s">
        <v>4773</v>
      </c>
      <c r="F121" s="91"/>
    </row>
    <row r="122" spans="2:6" ht="30" x14ac:dyDescent="0.25">
      <c r="B122" s="88">
        <v>11300200</v>
      </c>
      <c r="C122" s="89" t="s">
        <v>266</v>
      </c>
      <c r="D122" s="90">
        <v>11380211</v>
      </c>
      <c r="E122" s="89" t="s">
        <v>4774</v>
      </c>
      <c r="F122" s="91"/>
    </row>
    <row r="123" spans="2:6" ht="30" x14ac:dyDescent="0.25">
      <c r="B123" s="88">
        <v>11300300</v>
      </c>
      <c r="C123" s="89" t="s">
        <v>268</v>
      </c>
      <c r="D123" s="90">
        <v>11380311</v>
      </c>
      <c r="E123" s="89" t="s">
        <v>4775</v>
      </c>
      <c r="F123" s="91"/>
    </row>
    <row r="124" spans="2:6" ht="30" x14ac:dyDescent="0.25">
      <c r="B124" s="88">
        <v>11300400</v>
      </c>
      <c r="C124" s="89" t="s">
        <v>270</v>
      </c>
      <c r="D124" s="90">
        <v>11380411</v>
      </c>
      <c r="E124" s="89" t="s">
        <v>4776</v>
      </c>
      <c r="F124" s="91"/>
    </row>
    <row r="125" spans="2:6" x14ac:dyDescent="0.25">
      <c r="B125" s="88">
        <v>11309900</v>
      </c>
      <c r="C125" s="89" t="s">
        <v>272</v>
      </c>
      <c r="D125" s="90">
        <v>11389910</v>
      </c>
      <c r="E125" s="89" t="s">
        <v>272</v>
      </c>
      <c r="F125" s="91"/>
    </row>
    <row r="126" spans="2:6" ht="45" x14ac:dyDescent="0.25">
      <c r="B126" s="88">
        <v>11310205</v>
      </c>
      <c r="C126" s="89" t="s">
        <v>274</v>
      </c>
      <c r="D126" s="90">
        <v>13320121</v>
      </c>
      <c r="E126" s="89" t="s">
        <v>3603</v>
      </c>
      <c r="F126" s="91"/>
    </row>
    <row r="127" spans="2:6" x14ac:dyDescent="0.25">
      <c r="B127" s="88">
        <v>12000000</v>
      </c>
      <c r="C127" s="89" t="s">
        <v>276</v>
      </c>
      <c r="D127" s="90">
        <v>12000000</v>
      </c>
      <c r="E127" s="89" t="s">
        <v>3104</v>
      </c>
      <c r="F127" s="91"/>
    </row>
    <row r="128" spans="2:6" x14ac:dyDescent="0.25">
      <c r="B128" s="88">
        <v>12100000</v>
      </c>
      <c r="C128" s="89" t="s">
        <v>278</v>
      </c>
      <c r="D128" s="90">
        <v>12100000</v>
      </c>
      <c r="E128" s="89" t="s">
        <v>278</v>
      </c>
      <c r="F128" s="91"/>
    </row>
    <row r="129" spans="2:6" ht="30" x14ac:dyDescent="0.25">
      <c r="B129" s="88">
        <v>12100100</v>
      </c>
      <c r="C129" s="89" t="s">
        <v>280</v>
      </c>
      <c r="D129" s="90">
        <v>12100110</v>
      </c>
      <c r="E129" s="89" t="s">
        <v>3107</v>
      </c>
      <c r="F129" s="91"/>
    </row>
    <row r="130" spans="2:6" ht="30" x14ac:dyDescent="0.25">
      <c r="B130" s="88">
        <v>12100101</v>
      </c>
      <c r="C130" s="89" t="s">
        <v>282</v>
      </c>
      <c r="D130" s="90">
        <v>12100111</v>
      </c>
      <c r="E130" s="89" t="s">
        <v>3109</v>
      </c>
      <c r="F130" s="91"/>
    </row>
    <row r="131" spans="2:6" ht="30" x14ac:dyDescent="0.25">
      <c r="B131" s="88">
        <v>12100102</v>
      </c>
      <c r="C131" s="89" t="s">
        <v>284</v>
      </c>
      <c r="D131" s="90">
        <v>12100111</v>
      </c>
      <c r="E131" s="89" t="s">
        <v>3109</v>
      </c>
      <c r="F131" s="91"/>
    </row>
    <row r="132" spans="2:6" x14ac:dyDescent="0.25">
      <c r="B132" s="88">
        <v>12100200</v>
      </c>
      <c r="C132" s="89" t="s">
        <v>286</v>
      </c>
      <c r="D132" s="90">
        <v>12101211</v>
      </c>
      <c r="E132" s="89" t="s">
        <v>3275</v>
      </c>
      <c r="F132" s="91"/>
    </row>
    <row r="133" spans="2:6" x14ac:dyDescent="0.25">
      <c r="B133" s="88">
        <v>12100400</v>
      </c>
      <c r="C133" s="89" t="s">
        <v>288</v>
      </c>
      <c r="D133" s="90">
        <v>12101011</v>
      </c>
      <c r="E133" s="89" t="s">
        <v>3252</v>
      </c>
      <c r="F133" s="91"/>
    </row>
    <row r="134" spans="2:6" x14ac:dyDescent="0.25">
      <c r="B134" s="88">
        <v>12100500</v>
      </c>
      <c r="C134" s="89" t="s">
        <v>290</v>
      </c>
      <c r="D134" s="90">
        <v>12101311</v>
      </c>
      <c r="E134" s="89" t="s">
        <v>3283</v>
      </c>
      <c r="F134" s="91"/>
    </row>
    <row r="135" spans="2:6" ht="30" x14ac:dyDescent="0.25">
      <c r="B135" s="88">
        <v>12100600</v>
      </c>
      <c r="C135" s="89" t="s">
        <v>292</v>
      </c>
      <c r="D135" s="90">
        <v>12101411</v>
      </c>
      <c r="E135" s="89" t="s">
        <v>3289</v>
      </c>
      <c r="F135" s="91"/>
    </row>
    <row r="136" spans="2:6" x14ac:dyDescent="0.25">
      <c r="B136" s="88">
        <v>12100700</v>
      </c>
      <c r="C136" s="89" t="s">
        <v>294</v>
      </c>
      <c r="D136" s="90" t="s">
        <v>4736</v>
      </c>
      <c r="E136" s="89"/>
      <c r="F136" s="91" t="s">
        <v>4885</v>
      </c>
    </row>
    <row r="137" spans="2:6" ht="30" x14ac:dyDescent="0.25">
      <c r="B137" s="88">
        <v>12100900</v>
      </c>
      <c r="C137" s="89" t="s">
        <v>296</v>
      </c>
      <c r="D137" s="90">
        <v>12101511</v>
      </c>
      <c r="E137" s="89" t="s">
        <v>3297</v>
      </c>
      <c r="F137" s="91"/>
    </row>
    <row r="138" spans="2:6" ht="30" x14ac:dyDescent="0.25">
      <c r="B138" s="88">
        <v>12101300</v>
      </c>
      <c r="C138" s="89" t="s">
        <v>298</v>
      </c>
      <c r="D138" s="90">
        <v>12101810</v>
      </c>
      <c r="E138" s="89" t="s">
        <v>4955</v>
      </c>
      <c r="F138" s="91"/>
    </row>
    <row r="139" spans="2:6" ht="45" x14ac:dyDescent="0.25">
      <c r="B139" s="88">
        <v>12101301</v>
      </c>
      <c r="C139" s="89" t="s">
        <v>300</v>
      </c>
      <c r="D139" s="90">
        <v>12101811</v>
      </c>
      <c r="E139" s="89" t="s">
        <v>3319</v>
      </c>
      <c r="F139" s="91"/>
    </row>
    <row r="140" spans="2:6" ht="45" x14ac:dyDescent="0.25">
      <c r="B140" s="88">
        <v>12101302</v>
      </c>
      <c r="C140" s="89" t="s">
        <v>302</v>
      </c>
      <c r="D140" s="90">
        <v>12101811</v>
      </c>
      <c r="E140" s="89" t="s">
        <v>3319</v>
      </c>
      <c r="F140" s="91"/>
    </row>
    <row r="141" spans="2:6" ht="30" x14ac:dyDescent="0.25">
      <c r="B141" s="88">
        <v>12101500</v>
      </c>
      <c r="C141" s="89" t="s">
        <v>304</v>
      </c>
      <c r="D141" s="90">
        <v>12100511</v>
      </c>
      <c r="E141" s="89" t="s">
        <v>3170</v>
      </c>
      <c r="F141" s="91"/>
    </row>
    <row r="142" spans="2:6" ht="30" x14ac:dyDescent="0.25">
      <c r="B142" s="88">
        <v>12101700</v>
      </c>
      <c r="C142" s="89" t="s">
        <v>306</v>
      </c>
      <c r="D142" s="90">
        <v>12100811</v>
      </c>
      <c r="E142" s="89" t="s">
        <v>3235</v>
      </c>
      <c r="F142" s="91"/>
    </row>
    <row r="143" spans="2:6" ht="30" x14ac:dyDescent="0.25">
      <c r="B143" s="88">
        <v>12101800</v>
      </c>
      <c r="C143" s="89" t="s">
        <v>308</v>
      </c>
      <c r="D143" s="90">
        <v>12100700</v>
      </c>
      <c r="E143" s="89" t="s">
        <v>3179</v>
      </c>
      <c r="F143" s="91"/>
    </row>
    <row r="144" spans="2:6" x14ac:dyDescent="0.25">
      <c r="B144" s="88">
        <v>12101801</v>
      </c>
      <c r="C144" s="89" t="s">
        <v>310</v>
      </c>
      <c r="D144" s="90">
        <v>12100711</v>
      </c>
      <c r="E144" s="89" t="s">
        <v>3183</v>
      </c>
      <c r="F144" s="91"/>
    </row>
    <row r="145" spans="2:6" x14ac:dyDescent="0.25">
      <c r="B145" s="88">
        <v>12101802</v>
      </c>
      <c r="C145" s="89" t="s">
        <v>312</v>
      </c>
      <c r="D145" s="90">
        <v>12100721</v>
      </c>
      <c r="E145" s="89" t="s">
        <v>3192</v>
      </c>
      <c r="F145" s="91"/>
    </row>
    <row r="146" spans="2:6" ht="30" x14ac:dyDescent="0.25">
      <c r="B146" s="88">
        <v>12101803</v>
      </c>
      <c r="C146" s="89" t="s">
        <v>314</v>
      </c>
      <c r="D146" s="90">
        <v>12100731</v>
      </c>
      <c r="E146" s="89" t="s">
        <v>3201</v>
      </c>
      <c r="F146" s="91"/>
    </row>
    <row r="147" spans="2:6" x14ac:dyDescent="0.25">
      <c r="B147" s="88">
        <v>12101804</v>
      </c>
      <c r="C147" s="89" t="s">
        <v>316</v>
      </c>
      <c r="D147" s="90">
        <v>12100741</v>
      </c>
      <c r="E147" s="89" t="s">
        <v>3209</v>
      </c>
      <c r="F147" s="91"/>
    </row>
    <row r="148" spans="2:6" x14ac:dyDescent="0.25">
      <c r="B148" s="88">
        <v>12101805</v>
      </c>
      <c r="C148" s="89" t="s">
        <v>318</v>
      </c>
      <c r="D148" s="90">
        <v>12100751</v>
      </c>
      <c r="E148" s="89" t="s">
        <v>3217</v>
      </c>
      <c r="F148" s="91"/>
    </row>
    <row r="149" spans="2:6" ht="30" x14ac:dyDescent="0.25">
      <c r="B149" s="88">
        <v>12101806</v>
      </c>
      <c r="C149" s="89" t="s">
        <v>320</v>
      </c>
      <c r="D149" s="90">
        <v>19300411</v>
      </c>
      <c r="E149" s="89" t="s">
        <v>4452</v>
      </c>
      <c r="F149" s="91"/>
    </row>
    <row r="150" spans="2:6" ht="30" x14ac:dyDescent="0.25">
      <c r="B150" s="88">
        <v>12101807</v>
      </c>
      <c r="C150" s="89" t="s">
        <v>322</v>
      </c>
      <c r="D150" s="90" t="s">
        <v>4736</v>
      </c>
      <c r="E150" s="89"/>
      <c r="F150" s="91" t="s">
        <v>4885</v>
      </c>
    </row>
    <row r="151" spans="2:6" ht="45" x14ac:dyDescent="0.25">
      <c r="B151" s="88">
        <v>12101808</v>
      </c>
      <c r="C151" s="89" t="s">
        <v>324</v>
      </c>
      <c r="D151" s="90">
        <v>12100761</v>
      </c>
      <c r="E151" s="89" t="s">
        <v>3226</v>
      </c>
      <c r="F151" s="91"/>
    </row>
    <row r="152" spans="2:6" ht="30" x14ac:dyDescent="0.25">
      <c r="B152" s="88">
        <v>12101809</v>
      </c>
      <c r="C152" s="89" t="s">
        <v>326</v>
      </c>
      <c r="D152" s="90">
        <v>19300411</v>
      </c>
      <c r="E152" s="89" t="s">
        <v>4452</v>
      </c>
      <c r="F152" s="91"/>
    </row>
    <row r="153" spans="2:6" ht="30" x14ac:dyDescent="0.25">
      <c r="B153" s="88">
        <v>12102900</v>
      </c>
      <c r="C153" s="89" t="s">
        <v>328</v>
      </c>
      <c r="D153" s="90">
        <v>12100400</v>
      </c>
      <c r="E153" s="89" t="s">
        <v>3135</v>
      </c>
      <c r="F153" s="91"/>
    </row>
    <row r="154" spans="2:6" ht="30" x14ac:dyDescent="0.25">
      <c r="B154" s="88">
        <v>12102901</v>
      </c>
      <c r="C154" s="89" t="s">
        <v>330</v>
      </c>
      <c r="D154" s="90">
        <v>12100411</v>
      </c>
      <c r="E154" s="89" t="s">
        <v>3138</v>
      </c>
      <c r="F154" s="91"/>
    </row>
    <row r="155" spans="2:6" x14ac:dyDescent="0.25">
      <c r="B155" s="88">
        <v>12102902</v>
      </c>
      <c r="C155" s="89" t="s">
        <v>332</v>
      </c>
      <c r="D155" s="90">
        <v>12180211</v>
      </c>
      <c r="E155" s="89" t="s">
        <v>4949</v>
      </c>
      <c r="F155" s="91"/>
    </row>
    <row r="156" spans="2:6" x14ac:dyDescent="0.25">
      <c r="B156" s="88">
        <v>12102903</v>
      </c>
      <c r="C156" s="89" t="s">
        <v>334</v>
      </c>
      <c r="D156" s="90" t="s">
        <v>4736</v>
      </c>
      <c r="E156" s="89"/>
      <c r="F156" s="91" t="s">
        <v>4885</v>
      </c>
    </row>
    <row r="157" spans="2:6" x14ac:dyDescent="0.25">
      <c r="B157" s="88">
        <v>12102904</v>
      </c>
      <c r="C157" s="89" t="s">
        <v>336</v>
      </c>
      <c r="D157" s="90" t="s">
        <v>4736</v>
      </c>
      <c r="E157" s="89"/>
      <c r="F157" s="91" t="s">
        <v>4885</v>
      </c>
    </row>
    <row r="158" spans="2:6" x14ac:dyDescent="0.25">
      <c r="B158" s="88">
        <v>12102905</v>
      </c>
      <c r="C158" s="89" t="s">
        <v>338</v>
      </c>
      <c r="D158" s="90" t="s">
        <v>4736</v>
      </c>
      <c r="E158" s="89"/>
      <c r="F158" s="91" t="s">
        <v>4885</v>
      </c>
    </row>
    <row r="159" spans="2:6" x14ac:dyDescent="0.25">
      <c r="B159" s="88">
        <v>12102906</v>
      </c>
      <c r="C159" s="89" t="s">
        <v>340</v>
      </c>
      <c r="D159" s="90" t="s">
        <v>4736</v>
      </c>
      <c r="E159" s="89"/>
      <c r="F159" s="91" t="s">
        <v>4885</v>
      </c>
    </row>
    <row r="160" spans="2:6" ht="30" x14ac:dyDescent="0.25">
      <c r="B160" s="88">
        <v>12102907</v>
      </c>
      <c r="C160" s="89" t="s">
        <v>342</v>
      </c>
      <c r="D160" s="90">
        <v>12100421</v>
      </c>
      <c r="E160" s="89" t="s">
        <v>3147</v>
      </c>
      <c r="F160" s="91"/>
    </row>
    <row r="161" spans="2:6" x14ac:dyDescent="0.25">
      <c r="B161" s="88">
        <v>12102908</v>
      </c>
      <c r="C161" s="89" t="s">
        <v>344</v>
      </c>
      <c r="D161" s="90">
        <v>12180221</v>
      </c>
      <c r="E161" s="89" t="s">
        <v>4950</v>
      </c>
      <c r="F161" s="91"/>
    </row>
    <row r="162" spans="2:6" ht="30" x14ac:dyDescent="0.25">
      <c r="B162" s="88">
        <v>12102909</v>
      </c>
      <c r="C162" s="89" t="s">
        <v>346</v>
      </c>
      <c r="D162" s="90">
        <v>12100431</v>
      </c>
      <c r="E162" s="89" t="s">
        <v>4891</v>
      </c>
      <c r="F162" s="97" t="s">
        <v>4980</v>
      </c>
    </row>
    <row r="163" spans="2:6" x14ac:dyDescent="0.25">
      <c r="B163" s="88">
        <v>12102910</v>
      </c>
      <c r="C163" s="89" t="s">
        <v>348</v>
      </c>
      <c r="D163" s="90">
        <v>12180231</v>
      </c>
      <c r="E163" s="89" t="s">
        <v>4779</v>
      </c>
      <c r="F163" s="91"/>
    </row>
    <row r="164" spans="2:6" ht="30" x14ac:dyDescent="0.25">
      <c r="B164" s="88">
        <v>12102911</v>
      </c>
      <c r="C164" s="89" t="s">
        <v>346</v>
      </c>
      <c r="D164" s="90">
        <v>12100441</v>
      </c>
      <c r="E164" s="89" t="s">
        <v>4890</v>
      </c>
      <c r="F164" s="97" t="s">
        <v>4980</v>
      </c>
    </row>
    <row r="165" spans="2:6" x14ac:dyDescent="0.25">
      <c r="B165" s="88">
        <v>12102911</v>
      </c>
      <c r="C165" s="89" t="s">
        <v>350</v>
      </c>
      <c r="D165" s="90">
        <v>12100441</v>
      </c>
      <c r="E165" s="89" t="s">
        <v>4890</v>
      </c>
      <c r="F165" s="97" t="s">
        <v>4980</v>
      </c>
    </row>
    <row r="166" spans="2:6" x14ac:dyDescent="0.25">
      <c r="B166" s="88">
        <v>12102912</v>
      </c>
      <c r="C166" s="89" t="s">
        <v>352</v>
      </c>
      <c r="D166" s="90">
        <v>12180241</v>
      </c>
      <c r="E166" s="89" t="s">
        <v>4779</v>
      </c>
      <c r="F166" s="91"/>
    </row>
    <row r="167" spans="2:6" ht="30" x14ac:dyDescent="0.25">
      <c r="B167" s="88">
        <v>12102913</v>
      </c>
      <c r="C167" s="89" t="s">
        <v>354</v>
      </c>
      <c r="D167" s="90">
        <v>12180111</v>
      </c>
      <c r="E167" s="89" t="s">
        <v>4778</v>
      </c>
      <c r="F167" s="91" t="s">
        <v>5052</v>
      </c>
    </row>
    <row r="168" spans="2:6" ht="30" x14ac:dyDescent="0.25">
      <c r="B168" s="88">
        <v>12102915</v>
      </c>
      <c r="C168" s="89" t="s">
        <v>356</v>
      </c>
      <c r="D168" s="90" t="s">
        <v>4736</v>
      </c>
      <c r="E168" s="89"/>
      <c r="F168" s="91" t="s">
        <v>4885</v>
      </c>
    </row>
    <row r="169" spans="2:6" ht="30" x14ac:dyDescent="0.25">
      <c r="B169" s="88">
        <v>12102916</v>
      </c>
      <c r="C169" s="89" t="s">
        <v>358</v>
      </c>
      <c r="D169" s="90">
        <v>12100451</v>
      </c>
      <c r="E169" s="89" t="s">
        <v>3157</v>
      </c>
      <c r="F169" s="97" t="s">
        <v>4980</v>
      </c>
    </row>
    <row r="170" spans="2:6" ht="30" x14ac:dyDescent="0.25">
      <c r="B170" s="88">
        <v>12102917</v>
      </c>
      <c r="C170" s="89" t="s">
        <v>361</v>
      </c>
      <c r="D170" s="90">
        <v>12100461</v>
      </c>
      <c r="E170" s="89" t="s">
        <v>3164</v>
      </c>
      <c r="F170" s="97" t="s">
        <v>4980</v>
      </c>
    </row>
    <row r="171" spans="2:6" ht="45" x14ac:dyDescent="0.25">
      <c r="B171" s="88">
        <v>12102918</v>
      </c>
      <c r="C171" s="89" t="s">
        <v>363</v>
      </c>
      <c r="D171" s="90">
        <v>12100471</v>
      </c>
      <c r="E171" s="89" t="s">
        <v>4903</v>
      </c>
      <c r="F171" s="97" t="s">
        <v>4980</v>
      </c>
    </row>
    <row r="172" spans="2:6" ht="30" x14ac:dyDescent="0.25">
      <c r="B172" s="88">
        <v>12102919</v>
      </c>
      <c r="C172" s="89" t="s">
        <v>365</v>
      </c>
      <c r="D172" s="90">
        <v>12100481</v>
      </c>
      <c r="E172" s="89" t="s">
        <v>4904</v>
      </c>
      <c r="F172" s="97" t="s">
        <v>4980</v>
      </c>
    </row>
    <row r="173" spans="2:6" ht="30" x14ac:dyDescent="0.25">
      <c r="B173" s="88">
        <v>12103000</v>
      </c>
      <c r="C173" s="89" t="s">
        <v>367</v>
      </c>
      <c r="D173" s="90">
        <v>12100310</v>
      </c>
      <c r="E173" s="89" t="s">
        <v>3125</v>
      </c>
      <c r="F173" s="91"/>
    </row>
    <row r="174" spans="2:6" ht="30" x14ac:dyDescent="0.25">
      <c r="B174" s="88">
        <v>12103001</v>
      </c>
      <c r="C174" s="89" t="s">
        <v>369</v>
      </c>
      <c r="D174" s="90">
        <v>12100311</v>
      </c>
      <c r="E174" s="89" t="s">
        <v>3128</v>
      </c>
      <c r="F174" s="91"/>
    </row>
    <row r="175" spans="2:6" ht="30" x14ac:dyDescent="0.25">
      <c r="B175" s="88">
        <v>12103002</v>
      </c>
      <c r="C175" s="89" t="s">
        <v>371</v>
      </c>
      <c r="D175" s="90">
        <v>12100311</v>
      </c>
      <c r="E175" s="89" t="s">
        <v>3128</v>
      </c>
      <c r="F175" s="91"/>
    </row>
    <row r="176" spans="2:6" ht="30" x14ac:dyDescent="0.25">
      <c r="B176" s="88">
        <v>12103003</v>
      </c>
      <c r="C176" s="89" t="s">
        <v>373</v>
      </c>
      <c r="D176" s="90">
        <v>12100311</v>
      </c>
      <c r="E176" s="89" t="s">
        <v>3128</v>
      </c>
      <c r="F176" s="91"/>
    </row>
    <row r="177" spans="2:6" ht="30" x14ac:dyDescent="0.25">
      <c r="B177" s="88">
        <v>12103004</v>
      </c>
      <c r="C177" s="89" t="s">
        <v>375</v>
      </c>
      <c r="D177" s="90">
        <v>12100311</v>
      </c>
      <c r="E177" s="89" t="s">
        <v>3128</v>
      </c>
      <c r="F177" s="91"/>
    </row>
    <row r="178" spans="2:6" ht="30" x14ac:dyDescent="0.25">
      <c r="B178" s="88">
        <v>12103005</v>
      </c>
      <c r="C178" s="89" t="s">
        <v>377</v>
      </c>
      <c r="D178" s="90">
        <v>12100311</v>
      </c>
      <c r="E178" s="89" t="s">
        <v>3128</v>
      </c>
      <c r="F178" s="91"/>
    </row>
    <row r="179" spans="2:6" ht="30" x14ac:dyDescent="0.25">
      <c r="B179" s="88">
        <v>12103006</v>
      </c>
      <c r="C179" s="89" t="s">
        <v>379</v>
      </c>
      <c r="D179" s="90">
        <v>12100311</v>
      </c>
      <c r="E179" s="89" t="s">
        <v>3128</v>
      </c>
      <c r="F179" s="91"/>
    </row>
    <row r="180" spans="2:6" ht="30" x14ac:dyDescent="0.25">
      <c r="B180" s="88">
        <v>12103007</v>
      </c>
      <c r="C180" s="89" t="s">
        <v>381</v>
      </c>
      <c r="D180" s="90">
        <v>12100311</v>
      </c>
      <c r="E180" s="89" t="s">
        <v>3128</v>
      </c>
      <c r="F180" s="91"/>
    </row>
    <row r="181" spans="2:6" ht="30" x14ac:dyDescent="0.25">
      <c r="B181" s="88">
        <v>12103008</v>
      </c>
      <c r="C181" s="89" t="s">
        <v>383</v>
      </c>
      <c r="D181" s="90">
        <v>12100311</v>
      </c>
      <c r="E181" s="89" t="s">
        <v>3128</v>
      </c>
      <c r="F181" s="91"/>
    </row>
    <row r="182" spans="2:6" ht="30" x14ac:dyDescent="0.25">
      <c r="B182" s="88">
        <v>12103009</v>
      </c>
      <c r="C182" s="89" t="s">
        <v>385</v>
      </c>
      <c r="D182" s="90">
        <v>12100311</v>
      </c>
      <c r="E182" s="89" t="s">
        <v>3128</v>
      </c>
      <c r="F182" s="91"/>
    </row>
    <row r="183" spans="2:6" ht="30" x14ac:dyDescent="0.25">
      <c r="B183" s="88">
        <v>12103010</v>
      </c>
      <c r="C183" s="89" t="s">
        <v>387</v>
      </c>
      <c r="D183" s="90" t="s">
        <v>4736</v>
      </c>
      <c r="E183" s="89"/>
      <c r="F183" s="91" t="s">
        <v>4885</v>
      </c>
    </row>
    <row r="184" spans="2:6" ht="30" x14ac:dyDescent="0.25">
      <c r="B184" s="88">
        <v>12103011</v>
      </c>
      <c r="C184" s="89" t="s">
        <v>389</v>
      </c>
      <c r="D184" s="90">
        <v>12100311</v>
      </c>
      <c r="E184" s="89" t="s">
        <v>3128</v>
      </c>
      <c r="F184" s="91"/>
    </row>
    <row r="185" spans="2:6" ht="30" x14ac:dyDescent="0.25">
      <c r="B185" s="88">
        <v>12103012</v>
      </c>
      <c r="C185" s="89" t="s">
        <v>391</v>
      </c>
      <c r="D185" s="90">
        <v>12100311</v>
      </c>
      <c r="E185" s="89" t="s">
        <v>3128</v>
      </c>
      <c r="F185" s="91"/>
    </row>
    <row r="186" spans="2:6" ht="30" x14ac:dyDescent="0.25">
      <c r="B186" s="88">
        <v>12103013</v>
      </c>
      <c r="C186" s="89" t="s">
        <v>393</v>
      </c>
      <c r="D186" s="90">
        <v>12100311</v>
      </c>
      <c r="E186" s="89" t="s">
        <v>3128</v>
      </c>
      <c r="F186" s="91"/>
    </row>
    <row r="187" spans="2:6" ht="30" x14ac:dyDescent="0.25">
      <c r="B187" s="88">
        <v>12103014</v>
      </c>
      <c r="C187" s="89" t="s">
        <v>395</v>
      </c>
      <c r="D187" s="90">
        <v>12100311</v>
      </c>
      <c r="E187" s="89" t="s">
        <v>3128</v>
      </c>
      <c r="F187" s="91"/>
    </row>
    <row r="188" spans="2:6" ht="30" x14ac:dyDescent="0.25">
      <c r="B188" s="88">
        <v>12103015</v>
      </c>
      <c r="C188" s="89" t="s">
        <v>397</v>
      </c>
      <c r="D188" s="90">
        <v>12100311</v>
      </c>
      <c r="E188" s="89" t="s">
        <v>3128</v>
      </c>
      <c r="F188" s="91"/>
    </row>
    <row r="189" spans="2:6" ht="30" x14ac:dyDescent="0.25">
      <c r="B189" s="88">
        <v>12103016</v>
      </c>
      <c r="C189" s="89" t="s">
        <v>399</v>
      </c>
      <c r="D189" s="90">
        <v>12100311</v>
      </c>
      <c r="E189" s="89" t="s">
        <v>3128</v>
      </c>
      <c r="F189" s="91"/>
    </row>
    <row r="190" spans="2:6" ht="30" x14ac:dyDescent="0.25">
      <c r="B190" s="88">
        <v>12103017</v>
      </c>
      <c r="C190" s="89" t="s">
        <v>401</v>
      </c>
      <c r="D190" s="90">
        <v>12100311</v>
      </c>
      <c r="E190" s="89" t="s">
        <v>3128</v>
      </c>
      <c r="F190" s="91"/>
    </row>
    <row r="191" spans="2:6" ht="30" x14ac:dyDescent="0.25">
      <c r="B191" s="88">
        <v>12103018</v>
      </c>
      <c r="C191" s="89" t="s">
        <v>403</v>
      </c>
      <c r="D191" s="90">
        <v>12100311</v>
      </c>
      <c r="E191" s="89" t="s">
        <v>3128</v>
      </c>
      <c r="F191" s="91"/>
    </row>
    <row r="192" spans="2:6" ht="30" x14ac:dyDescent="0.25">
      <c r="B192" s="88">
        <v>12103019</v>
      </c>
      <c r="C192" s="89" t="s">
        <v>405</v>
      </c>
      <c r="D192" s="90" t="s">
        <v>4736</v>
      </c>
      <c r="E192" s="89"/>
      <c r="F192" s="91" t="s">
        <v>4885</v>
      </c>
    </row>
    <row r="193" spans="2:6" x14ac:dyDescent="0.25">
      <c r="B193" s="88">
        <v>12103020</v>
      </c>
      <c r="C193" s="89" t="s">
        <v>407</v>
      </c>
      <c r="D193" s="90" t="s">
        <v>4736</v>
      </c>
      <c r="E193" s="89"/>
      <c r="F193" s="91" t="s">
        <v>4885</v>
      </c>
    </row>
    <row r="194" spans="2:6" ht="30" x14ac:dyDescent="0.25">
      <c r="B194" s="88">
        <v>12103021</v>
      </c>
      <c r="C194" s="89" t="s">
        <v>409</v>
      </c>
      <c r="D194" s="90">
        <v>12100311</v>
      </c>
      <c r="E194" s="89" t="s">
        <v>3128</v>
      </c>
      <c r="F194" s="91"/>
    </row>
    <row r="195" spans="2:6" ht="30" x14ac:dyDescent="0.25">
      <c r="B195" s="88">
        <v>12103022</v>
      </c>
      <c r="C195" s="89" t="s">
        <v>411</v>
      </c>
      <c r="D195" s="90" t="s">
        <v>4736</v>
      </c>
      <c r="E195" s="89"/>
      <c r="F195" s="91" t="s">
        <v>4885</v>
      </c>
    </row>
    <row r="196" spans="2:6" ht="30" x14ac:dyDescent="0.25">
      <c r="B196" s="88">
        <v>12103023</v>
      </c>
      <c r="C196" s="89" t="s">
        <v>413</v>
      </c>
      <c r="D196" s="90">
        <v>12100311</v>
      </c>
      <c r="E196" s="89" t="s">
        <v>3128</v>
      </c>
      <c r="F196" s="91"/>
    </row>
    <row r="197" spans="2:6" ht="30" x14ac:dyDescent="0.25">
      <c r="B197" s="88">
        <v>12103024</v>
      </c>
      <c r="C197" s="89" t="s">
        <v>415</v>
      </c>
      <c r="D197" s="90">
        <v>12100311</v>
      </c>
      <c r="E197" s="89" t="s">
        <v>3128</v>
      </c>
      <c r="F197" s="91"/>
    </row>
    <row r="198" spans="2:6" x14ac:dyDescent="0.25">
      <c r="B198" s="88">
        <v>12103099</v>
      </c>
      <c r="C198" s="89" t="s">
        <v>417</v>
      </c>
      <c r="D198" s="90" t="s">
        <v>4736</v>
      </c>
      <c r="E198" s="89"/>
      <c r="F198" s="91" t="s">
        <v>4885</v>
      </c>
    </row>
    <row r="199" spans="2:6" ht="30" x14ac:dyDescent="0.25">
      <c r="B199" s="88">
        <v>12103100</v>
      </c>
      <c r="C199" s="89" t="s">
        <v>419</v>
      </c>
      <c r="D199" s="90">
        <v>12100600</v>
      </c>
      <c r="E199" s="89" t="s">
        <v>4887</v>
      </c>
      <c r="F199" s="97" t="s">
        <v>4980</v>
      </c>
    </row>
    <row r="200" spans="2:6" ht="30" x14ac:dyDescent="0.25">
      <c r="B200" s="88">
        <v>12103101</v>
      </c>
      <c r="C200" s="89" t="s">
        <v>421</v>
      </c>
      <c r="D200" s="90">
        <v>12100611</v>
      </c>
      <c r="E200" s="89" t="s">
        <v>4888</v>
      </c>
      <c r="F200" s="97" t="s">
        <v>4980</v>
      </c>
    </row>
    <row r="201" spans="2:6" ht="30" x14ac:dyDescent="0.25">
      <c r="B201" s="88">
        <v>12103102</v>
      </c>
      <c r="C201" s="89" t="s">
        <v>424</v>
      </c>
      <c r="D201" s="90">
        <v>12100621</v>
      </c>
      <c r="E201" s="89" t="s">
        <v>4889</v>
      </c>
      <c r="F201" s="97" t="s">
        <v>4980</v>
      </c>
    </row>
    <row r="202" spans="2:6" x14ac:dyDescent="0.25">
      <c r="B202" s="88">
        <v>12103200</v>
      </c>
      <c r="C202" s="89" t="s">
        <v>426</v>
      </c>
      <c r="D202" s="90" t="s">
        <v>4736</v>
      </c>
      <c r="E202" s="89"/>
      <c r="F202" s="91" t="s">
        <v>4885</v>
      </c>
    </row>
    <row r="203" spans="2:6" x14ac:dyDescent="0.25">
      <c r="B203" s="88">
        <v>12103201</v>
      </c>
      <c r="C203" s="89" t="s">
        <v>428</v>
      </c>
      <c r="D203" s="90">
        <v>12101611</v>
      </c>
      <c r="E203" s="89" t="s">
        <v>3302</v>
      </c>
      <c r="F203" s="91"/>
    </row>
    <row r="204" spans="2:6" x14ac:dyDescent="0.25">
      <c r="B204" s="88">
        <v>12103203</v>
      </c>
      <c r="C204" s="89" t="s">
        <v>430</v>
      </c>
      <c r="D204" s="90">
        <v>12101711</v>
      </c>
      <c r="E204" s="89" t="s">
        <v>3311</v>
      </c>
      <c r="F204" s="91"/>
    </row>
    <row r="205" spans="2:6" ht="30" x14ac:dyDescent="0.25">
      <c r="B205" s="88">
        <v>12103300</v>
      </c>
      <c r="C205" s="89" t="s">
        <v>432</v>
      </c>
      <c r="D205" s="90">
        <v>12300111</v>
      </c>
      <c r="E205" s="89" t="s">
        <v>3451</v>
      </c>
      <c r="F205" s="91"/>
    </row>
    <row r="206" spans="2:6" ht="30" x14ac:dyDescent="0.25">
      <c r="B206" s="88">
        <v>12103301</v>
      </c>
      <c r="C206" s="89" t="s">
        <v>434</v>
      </c>
      <c r="D206" s="90">
        <v>12300111</v>
      </c>
      <c r="E206" s="89" t="s">
        <v>3451</v>
      </c>
      <c r="F206" s="91"/>
    </row>
    <row r="207" spans="2:6" ht="30" x14ac:dyDescent="0.25">
      <c r="B207" s="88">
        <v>12103302</v>
      </c>
      <c r="C207" s="89" t="s">
        <v>436</v>
      </c>
      <c r="D207" s="90">
        <v>12300111</v>
      </c>
      <c r="E207" s="89" t="s">
        <v>3451</v>
      </c>
      <c r="F207" s="91"/>
    </row>
    <row r="208" spans="2:6" ht="30" x14ac:dyDescent="0.25">
      <c r="B208" s="88">
        <v>12103400</v>
      </c>
      <c r="C208" s="89" t="s">
        <v>438</v>
      </c>
      <c r="D208" s="90">
        <v>12300111</v>
      </c>
      <c r="E208" s="89" t="s">
        <v>3451</v>
      </c>
      <c r="F208" s="91"/>
    </row>
    <row r="209" spans="2:6" ht="30" x14ac:dyDescent="0.25">
      <c r="B209" s="88">
        <v>12103401</v>
      </c>
      <c r="C209" s="89" t="s">
        <v>440</v>
      </c>
      <c r="D209" s="90">
        <v>12300111</v>
      </c>
      <c r="E209" s="89" t="s">
        <v>3451</v>
      </c>
      <c r="F209" s="91"/>
    </row>
    <row r="210" spans="2:6" ht="30" x14ac:dyDescent="0.25">
      <c r="B210" s="88">
        <v>12103402</v>
      </c>
      <c r="C210" s="89" t="s">
        <v>442</v>
      </c>
      <c r="D210" s="90">
        <v>12300111</v>
      </c>
      <c r="E210" s="89" t="s">
        <v>3451</v>
      </c>
      <c r="F210" s="91"/>
    </row>
    <row r="211" spans="2:6" ht="30" x14ac:dyDescent="0.25">
      <c r="B211" s="88">
        <v>12103500</v>
      </c>
      <c r="C211" s="89" t="s">
        <v>443</v>
      </c>
      <c r="D211" s="90">
        <v>12300111</v>
      </c>
      <c r="E211" s="89" t="s">
        <v>3451</v>
      </c>
      <c r="F211" s="91"/>
    </row>
    <row r="212" spans="2:6" ht="30" x14ac:dyDescent="0.25">
      <c r="B212" s="88">
        <v>12103501</v>
      </c>
      <c r="C212" s="89" t="s">
        <v>445</v>
      </c>
      <c r="D212" s="90">
        <v>12300111</v>
      </c>
      <c r="E212" s="89" t="s">
        <v>3451</v>
      </c>
      <c r="F212" s="91"/>
    </row>
    <row r="213" spans="2:6" ht="30" x14ac:dyDescent="0.25">
      <c r="B213" s="88">
        <v>12103502</v>
      </c>
      <c r="C213" s="89" t="s">
        <v>447</v>
      </c>
      <c r="D213" s="90">
        <v>12300111</v>
      </c>
      <c r="E213" s="89" t="s">
        <v>3451</v>
      </c>
      <c r="F213" s="91"/>
    </row>
    <row r="214" spans="2:6" ht="30" x14ac:dyDescent="0.25">
      <c r="B214" s="88">
        <v>12103600</v>
      </c>
      <c r="C214" s="89" t="s">
        <v>449</v>
      </c>
      <c r="D214" s="90">
        <v>12300111</v>
      </c>
      <c r="E214" s="89" t="s">
        <v>3451</v>
      </c>
      <c r="F214" s="91"/>
    </row>
    <row r="215" spans="2:6" ht="30" x14ac:dyDescent="0.25">
      <c r="B215" s="88">
        <v>12103601</v>
      </c>
      <c r="C215" s="89" t="s">
        <v>451</v>
      </c>
      <c r="D215" s="90">
        <v>12300111</v>
      </c>
      <c r="E215" s="89" t="s">
        <v>3451</v>
      </c>
      <c r="F215" s="91"/>
    </row>
    <row r="216" spans="2:6" ht="30" x14ac:dyDescent="0.25">
      <c r="B216" s="88">
        <v>12103602</v>
      </c>
      <c r="C216" s="89" t="s">
        <v>453</v>
      </c>
      <c r="D216" s="90">
        <v>12300111</v>
      </c>
      <c r="E216" s="89" t="s">
        <v>3451</v>
      </c>
      <c r="F216" s="91"/>
    </row>
    <row r="217" spans="2:6" ht="45" x14ac:dyDescent="0.25">
      <c r="B217" s="88">
        <v>12103700</v>
      </c>
      <c r="C217" s="89" t="s">
        <v>454</v>
      </c>
      <c r="D217" s="90">
        <v>12100911</v>
      </c>
      <c r="E217" s="89" t="s">
        <v>3244</v>
      </c>
      <c r="F217" s="91"/>
    </row>
    <row r="218" spans="2:6" ht="45" x14ac:dyDescent="0.25">
      <c r="B218" s="88">
        <v>12103701</v>
      </c>
      <c r="C218" s="89" t="s">
        <v>456</v>
      </c>
      <c r="D218" s="90">
        <v>12100911</v>
      </c>
      <c r="E218" s="89" t="s">
        <v>3244</v>
      </c>
      <c r="F218" s="91"/>
    </row>
    <row r="219" spans="2:6" ht="45" x14ac:dyDescent="0.25">
      <c r="B219" s="88">
        <v>12103702</v>
      </c>
      <c r="C219" s="89" t="s">
        <v>458</v>
      </c>
      <c r="D219" s="90">
        <v>12100911</v>
      </c>
      <c r="E219" s="89" t="s">
        <v>3244</v>
      </c>
      <c r="F219" s="91"/>
    </row>
    <row r="220" spans="2:6" x14ac:dyDescent="0.25">
      <c r="B220" s="88">
        <v>12103800</v>
      </c>
      <c r="C220" s="89" t="s">
        <v>460</v>
      </c>
      <c r="D220" s="90">
        <v>12100211</v>
      </c>
      <c r="E220" s="89" t="s">
        <v>3118</v>
      </c>
      <c r="F220" s="91"/>
    </row>
    <row r="221" spans="2:6" ht="30" x14ac:dyDescent="0.25">
      <c r="B221" s="88">
        <v>12103801</v>
      </c>
      <c r="C221" s="89" t="s">
        <v>462</v>
      </c>
      <c r="D221" s="90">
        <v>12100211</v>
      </c>
      <c r="E221" s="89" t="s">
        <v>3118</v>
      </c>
      <c r="F221" s="91"/>
    </row>
    <row r="222" spans="2:6" ht="30" x14ac:dyDescent="0.25">
      <c r="B222" s="88">
        <v>12103802</v>
      </c>
      <c r="C222" s="89" t="s">
        <v>464</v>
      </c>
      <c r="D222" s="90">
        <v>12100211</v>
      </c>
      <c r="E222" s="89" t="s">
        <v>3118</v>
      </c>
      <c r="F222" s="91"/>
    </row>
    <row r="223" spans="2:6" ht="30" x14ac:dyDescent="0.25">
      <c r="B223" s="88">
        <v>12103900</v>
      </c>
      <c r="C223" s="89" t="s">
        <v>466</v>
      </c>
      <c r="D223" s="90">
        <v>12300111</v>
      </c>
      <c r="E223" s="89" t="s">
        <v>3451</v>
      </c>
      <c r="F223" s="91"/>
    </row>
    <row r="224" spans="2:6" ht="30" x14ac:dyDescent="0.25">
      <c r="B224" s="88">
        <v>12104100</v>
      </c>
      <c r="C224" s="89" t="s">
        <v>468</v>
      </c>
      <c r="D224" s="90">
        <v>12300111</v>
      </c>
      <c r="E224" s="89" t="s">
        <v>3451</v>
      </c>
      <c r="F224" s="91"/>
    </row>
    <row r="225" spans="2:6" ht="30" x14ac:dyDescent="0.25">
      <c r="B225" s="88">
        <v>12104200</v>
      </c>
      <c r="C225" s="89" t="s">
        <v>470</v>
      </c>
      <c r="D225" s="90">
        <v>12300111</v>
      </c>
      <c r="E225" s="89" t="s">
        <v>3451</v>
      </c>
      <c r="F225" s="91"/>
    </row>
    <row r="226" spans="2:6" ht="30" x14ac:dyDescent="0.25">
      <c r="B226" s="88">
        <v>12104300</v>
      </c>
      <c r="C226" s="89" t="s">
        <v>472</v>
      </c>
      <c r="D226" s="90">
        <v>12300111</v>
      </c>
      <c r="E226" s="89" t="s">
        <v>3451</v>
      </c>
      <c r="F226" s="91"/>
    </row>
    <row r="227" spans="2:6" ht="30" x14ac:dyDescent="0.25">
      <c r="B227" s="88">
        <v>12104400</v>
      </c>
      <c r="C227" s="89" t="s">
        <v>474</v>
      </c>
      <c r="D227" s="90">
        <v>12300111</v>
      </c>
      <c r="E227" s="89" t="s">
        <v>3451</v>
      </c>
      <c r="F227" s="91"/>
    </row>
    <row r="228" spans="2:6" x14ac:dyDescent="0.25">
      <c r="B228" s="88">
        <v>12104500</v>
      </c>
      <c r="C228" s="89" t="s">
        <v>476</v>
      </c>
      <c r="D228" s="90" t="s">
        <v>4736</v>
      </c>
      <c r="E228" s="89"/>
      <c r="F228" s="91" t="s">
        <v>4885</v>
      </c>
    </row>
    <row r="229" spans="2:6" ht="30" x14ac:dyDescent="0.25">
      <c r="B229" s="88">
        <v>12104700</v>
      </c>
      <c r="C229" s="89" t="s">
        <v>478</v>
      </c>
      <c r="D229" s="90">
        <v>12101111</v>
      </c>
      <c r="E229" s="89" t="s">
        <v>3260</v>
      </c>
      <c r="F229" s="91"/>
    </row>
    <row r="230" spans="2:6" ht="30" x14ac:dyDescent="0.25">
      <c r="B230" s="88">
        <v>12104800</v>
      </c>
      <c r="C230" s="89" t="s">
        <v>480</v>
      </c>
      <c r="D230" s="90">
        <v>12101121</v>
      </c>
      <c r="E230" s="89" t="s">
        <v>3268</v>
      </c>
      <c r="F230" s="91"/>
    </row>
    <row r="231" spans="2:6" x14ac:dyDescent="0.25">
      <c r="B231" s="88">
        <v>12109900</v>
      </c>
      <c r="C231" s="89" t="s">
        <v>482</v>
      </c>
      <c r="D231" s="90">
        <v>12109911</v>
      </c>
      <c r="E231" s="89" t="s">
        <v>3327</v>
      </c>
      <c r="F231" s="91"/>
    </row>
    <row r="232" spans="2:6" x14ac:dyDescent="0.25">
      <c r="B232" s="88">
        <v>12200000</v>
      </c>
      <c r="C232" s="89" t="s">
        <v>484</v>
      </c>
      <c r="D232" s="90">
        <v>12200000</v>
      </c>
      <c r="E232" s="89" t="s">
        <v>3333</v>
      </c>
      <c r="F232" s="91"/>
    </row>
    <row r="233" spans="2:6" ht="30" x14ac:dyDescent="0.25">
      <c r="B233" s="88">
        <v>12200100</v>
      </c>
      <c r="C233" s="89" t="s">
        <v>486</v>
      </c>
      <c r="D233" s="90">
        <v>12200111</v>
      </c>
      <c r="E233" s="89" t="s">
        <v>3339</v>
      </c>
      <c r="F233" s="91"/>
    </row>
    <row r="234" spans="2:6" ht="45" x14ac:dyDescent="0.25">
      <c r="B234" s="88">
        <v>12200200</v>
      </c>
      <c r="C234" s="89" t="s">
        <v>488</v>
      </c>
      <c r="D234" s="90">
        <v>12200121</v>
      </c>
      <c r="E234" s="89" t="s">
        <v>3348</v>
      </c>
      <c r="F234" s="91"/>
    </row>
    <row r="235" spans="2:6" ht="30" x14ac:dyDescent="0.25">
      <c r="B235" s="88">
        <v>12200300</v>
      </c>
      <c r="C235" s="89" t="s">
        <v>490</v>
      </c>
      <c r="D235" s="90" t="s">
        <v>4736</v>
      </c>
      <c r="E235" s="89"/>
      <c r="F235" s="91" t="s">
        <v>4885</v>
      </c>
    </row>
    <row r="236" spans="2:6" x14ac:dyDescent="0.25">
      <c r="B236" s="88">
        <v>12200301</v>
      </c>
      <c r="C236" s="89" t="s">
        <v>492</v>
      </c>
      <c r="D236" s="90">
        <v>11210111</v>
      </c>
      <c r="E236" s="89" t="s">
        <v>3042</v>
      </c>
      <c r="F236" s="91"/>
    </row>
    <row r="237" spans="2:6" ht="30" x14ac:dyDescent="0.25">
      <c r="B237" s="88">
        <v>12200302</v>
      </c>
      <c r="C237" s="89" t="s">
        <v>497</v>
      </c>
      <c r="D237" s="90">
        <v>12200211</v>
      </c>
      <c r="E237" s="89" t="s">
        <v>3355</v>
      </c>
      <c r="F237" s="91"/>
    </row>
    <row r="238" spans="2:6" ht="30" x14ac:dyDescent="0.25">
      <c r="B238" s="88">
        <v>12200399</v>
      </c>
      <c r="C238" s="89" t="s">
        <v>499</v>
      </c>
      <c r="D238" s="90" t="s">
        <v>4736</v>
      </c>
      <c r="E238" s="89"/>
      <c r="F238" s="91" t="s">
        <v>4885</v>
      </c>
    </row>
    <row r="239" spans="2:6" ht="30" x14ac:dyDescent="0.25">
      <c r="B239" s="88">
        <v>12200500</v>
      </c>
      <c r="C239" s="89" t="s">
        <v>501</v>
      </c>
      <c r="D239" s="90">
        <v>12200311</v>
      </c>
      <c r="E239" s="89" t="s">
        <v>3363</v>
      </c>
      <c r="F239" s="91"/>
    </row>
    <row r="240" spans="2:6" ht="30" x14ac:dyDescent="0.25">
      <c r="B240" s="88">
        <v>12200600</v>
      </c>
      <c r="C240" s="89" t="s">
        <v>503</v>
      </c>
      <c r="D240" s="90">
        <v>12200410</v>
      </c>
      <c r="E240" s="89" t="s">
        <v>4956</v>
      </c>
      <c r="F240" s="91"/>
    </row>
    <row r="241" spans="2:6" ht="30" x14ac:dyDescent="0.25">
      <c r="B241" s="88">
        <v>12200601</v>
      </c>
      <c r="C241" s="89" t="s">
        <v>505</v>
      </c>
      <c r="D241" s="95">
        <v>12200411</v>
      </c>
      <c r="E241" s="89" t="s">
        <v>3372</v>
      </c>
      <c r="F241" s="91"/>
    </row>
    <row r="242" spans="2:6" ht="30" x14ac:dyDescent="0.25">
      <c r="B242" s="88">
        <v>12200602</v>
      </c>
      <c r="C242" s="89" t="s">
        <v>507</v>
      </c>
      <c r="D242" s="90">
        <v>12200411</v>
      </c>
      <c r="E242" s="89" t="s">
        <v>3372</v>
      </c>
      <c r="F242" s="91"/>
    </row>
    <row r="243" spans="2:6" ht="30" x14ac:dyDescent="0.25">
      <c r="B243" s="88">
        <v>12200603</v>
      </c>
      <c r="C243" s="89" t="s">
        <v>509</v>
      </c>
      <c r="D243" s="90">
        <v>12200411</v>
      </c>
      <c r="E243" s="89" t="s">
        <v>3372</v>
      </c>
      <c r="F243" s="91"/>
    </row>
    <row r="244" spans="2:6" ht="30" x14ac:dyDescent="0.25">
      <c r="B244" s="88">
        <v>12201600</v>
      </c>
      <c r="C244" s="89" t="s">
        <v>511</v>
      </c>
      <c r="D244" s="90">
        <v>19909911</v>
      </c>
      <c r="E244" s="89" t="s">
        <v>4535</v>
      </c>
      <c r="F244" s="91"/>
    </row>
    <row r="245" spans="2:6" ht="30" x14ac:dyDescent="0.25">
      <c r="B245" s="88">
        <v>12201800</v>
      </c>
      <c r="C245" s="89" t="s">
        <v>513</v>
      </c>
      <c r="D245" s="90">
        <v>12200511</v>
      </c>
      <c r="E245" s="89" t="s">
        <v>3381</v>
      </c>
      <c r="F245" s="91"/>
    </row>
    <row r="246" spans="2:6" ht="30" x14ac:dyDescent="0.25">
      <c r="B246" s="88">
        <v>12202400</v>
      </c>
      <c r="C246" s="89" t="s">
        <v>515</v>
      </c>
      <c r="D246" s="90">
        <v>12200611</v>
      </c>
      <c r="E246" s="89" t="s">
        <v>4780</v>
      </c>
      <c r="F246" s="91"/>
    </row>
    <row r="247" spans="2:6" ht="45" x14ac:dyDescent="0.25">
      <c r="B247" s="88">
        <v>12202500</v>
      </c>
      <c r="C247" s="89" t="s">
        <v>517</v>
      </c>
      <c r="D247" s="90">
        <v>12200711</v>
      </c>
      <c r="E247" s="89" t="s">
        <v>4784</v>
      </c>
      <c r="F247" s="91"/>
    </row>
    <row r="248" spans="2:6" ht="30" x14ac:dyDescent="0.25">
      <c r="B248" s="88">
        <v>12202600</v>
      </c>
      <c r="C248" s="89" t="s">
        <v>519</v>
      </c>
      <c r="D248" s="90">
        <v>12200900</v>
      </c>
      <c r="E248" s="89" t="s">
        <v>519</v>
      </c>
      <c r="F248" s="91"/>
    </row>
    <row r="249" spans="2:6" ht="45" x14ac:dyDescent="0.25">
      <c r="B249" s="88">
        <v>12202601</v>
      </c>
      <c r="C249" s="89" t="s">
        <v>521</v>
      </c>
      <c r="D249" s="90">
        <v>12200911</v>
      </c>
      <c r="E249" s="89" t="s">
        <v>3420</v>
      </c>
      <c r="F249" s="91"/>
    </row>
    <row r="250" spans="2:6" ht="30" x14ac:dyDescent="0.25">
      <c r="B250" s="88">
        <v>12202602</v>
      </c>
      <c r="C250" s="89" t="s">
        <v>523</v>
      </c>
      <c r="D250" s="90">
        <v>12200921</v>
      </c>
      <c r="E250" s="89" t="s">
        <v>3428</v>
      </c>
      <c r="F250" s="91"/>
    </row>
    <row r="251" spans="2:6" ht="45" x14ac:dyDescent="0.25">
      <c r="B251" s="88">
        <v>12202800</v>
      </c>
      <c r="C251" s="89" t="s">
        <v>525</v>
      </c>
      <c r="D251" s="90">
        <v>12200800</v>
      </c>
      <c r="E251" s="89" t="s">
        <v>3398</v>
      </c>
      <c r="F251" s="91"/>
    </row>
    <row r="252" spans="2:6" ht="45" x14ac:dyDescent="0.25">
      <c r="B252" s="88">
        <v>12202801</v>
      </c>
      <c r="C252" s="89" t="s">
        <v>527</v>
      </c>
      <c r="D252" s="90">
        <v>12200811</v>
      </c>
      <c r="E252" s="89" t="s">
        <v>3402</v>
      </c>
      <c r="F252" s="91"/>
    </row>
    <row r="253" spans="2:6" ht="45" x14ac:dyDescent="0.25">
      <c r="B253" s="88">
        <v>12202802</v>
      </c>
      <c r="C253" s="89" t="s">
        <v>529</v>
      </c>
      <c r="D253" s="90">
        <v>12200821</v>
      </c>
      <c r="E253" s="89" t="s">
        <v>3411</v>
      </c>
      <c r="F253" s="91"/>
    </row>
    <row r="254" spans="2:6" ht="45" x14ac:dyDescent="0.25">
      <c r="B254" s="88">
        <v>12202803</v>
      </c>
      <c r="C254" s="89" t="s">
        <v>531</v>
      </c>
      <c r="D254" s="90">
        <v>12200821</v>
      </c>
      <c r="E254" s="89" t="s">
        <v>3411</v>
      </c>
      <c r="F254" s="91"/>
    </row>
    <row r="255" spans="2:6" ht="30" x14ac:dyDescent="0.25">
      <c r="B255" s="88">
        <v>12203000</v>
      </c>
      <c r="C255" s="89" t="s">
        <v>533</v>
      </c>
      <c r="D255" s="90">
        <v>12201011</v>
      </c>
      <c r="E255" s="89" t="s">
        <v>3436</v>
      </c>
      <c r="F255" s="91"/>
    </row>
    <row r="256" spans="2:6" ht="30" x14ac:dyDescent="0.25">
      <c r="B256" s="88">
        <v>12204000</v>
      </c>
      <c r="C256" s="89" t="s">
        <v>535</v>
      </c>
      <c r="D256" s="90" t="s">
        <v>4736</v>
      </c>
      <c r="E256" s="89"/>
      <c r="F256" s="91" t="s">
        <v>4885</v>
      </c>
    </row>
    <row r="257" spans="2:6" ht="30" x14ac:dyDescent="0.25">
      <c r="B257" s="88">
        <v>12204100</v>
      </c>
      <c r="C257" s="89" t="s">
        <v>537</v>
      </c>
      <c r="D257" s="90" t="s">
        <v>4736</v>
      </c>
      <c r="E257" s="89"/>
      <c r="F257" s="91" t="s">
        <v>4885</v>
      </c>
    </row>
    <row r="258" spans="2:6" ht="30" x14ac:dyDescent="0.25">
      <c r="B258" s="88">
        <v>12204101</v>
      </c>
      <c r="C258" s="89" t="s">
        <v>539</v>
      </c>
      <c r="D258" s="90" t="s">
        <v>4736</v>
      </c>
      <c r="E258" s="89"/>
      <c r="F258" s="91" t="s">
        <v>4885</v>
      </c>
    </row>
    <row r="259" spans="2:6" ht="30" x14ac:dyDescent="0.25">
      <c r="B259" s="88">
        <v>12204102</v>
      </c>
      <c r="C259" s="89" t="s">
        <v>541</v>
      </c>
      <c r="D259" s="90" t="s">
        <v>4736</v>
      </c>
      <c r="E259" s="89"/>
      <c r="F259" s="91" t="s">
        <v>4885</v>
      </c>
    </row>
    <row r="260" spans="2:6" ht="30" x14ac:dyDescent="0.25">
      <c r="B260" s="88">
        <v>12204103</v>
      </c>
      <c r="C260" s="89" t="s">
        <v>543</v>
      </c>
      <c r="D260" s="90" t="s">
        <v>4736</v>
      </c>
      <c r="E260" s="89"/>
      <c r="F260" s="91" t="s">
        <v>4885</v>
      </c>
    </row>
    <row r="261" spans="2:6" ht="45" x14ac:dyDescent="0.25">
      <c r="B261" s="88">
        <v>12204104</v>
      </c>
      <c r="C261" s="89" t="s">
        <v>545</v>
      </c>
      <c r="D261" s="90" t="s">
        <v>4736</v>
      </c>
      <c r="E261" s="89"/>
      <c r="F261" s="91" t="s">
        <v>4885</v>
      </c>
    </row>
    <row r="262" spans="2:6" ht="30" x14ac:dyDescent="0.25">
      <c r="B262" s="88">
        <v>12204200</v>
      </c>
      <c r="C262" s="89" t="s">
        <v>547</v>
      </c>
      <c r="D262" s="90" t="s">
        <v>4736</v>
      </c>
      <c r="E262" s="89"/>
      <c r="F262" s="91" t="s">
        <v>4885</v>
      </c>
    </row>
    <row r="263" spans="2:6" ht="30" x14ac:dyDescent="0.25">
      <c r="B263" s="88">
        <v>12204201</v>
      </c>
      <c r="C263" s="89" t="s">
        <v>549</v>
      </c>
      <c r="D263" s="90" t="s">
        <v>4736</v>
      </c>
      <c r="E263" s="89"/>
      <c r="F263" s="91" t="s">
        <v>4885</v>
      </c>
    </row>
    <row r="264" spans="2:6" ht="30" x14ac:dyDescent="0.25">
      <c r="B264" s="88">
        <v>12204202</v>
      </c>
      <c r="C264" s="89" t="s">
        <v>551</v>
      </c>
      <c r="D264" s="90" t="s">
        <v>4736</v>
      </c>
      <c r="E264" s="89"/>
      <c r="F264" s="91" t="s">
        <v>4885</v>
      </c>
    </row>
    <row r="265" spans="2:6" ht="30" x14ac:dyDescent="0.25">
      <c r="B265" s="88">
        <v>12204203</v>
      </c>
      <c r="C265" s="89" t="s">
        <v>553</v>
      </c>
      <c r="D265" s="90" t="s">
        <v>4736</v>
      </c>
      <c r="E265" s="89"/>
      <c r="F265" s="91" t="s">
        <v>4885</v>
      </c>
    </row>
    <row r="266" spans="2:6" ht="45" x14ac:dyDescent="0.25">
      <c r="B266" s="88">
        <v>12204204</v>
      </c>
      <c r="C266" s="89" t="s">
        <v>555</v>
      </c>
      <c r="D266" s="90" t="s">
        <v>4736</v>
      </c>
      <c r="E266" s="89"/>
      <c r="F266" s="91" t="s">
        <v>4885</v>
      </c>
    </row>
    <row r="267" spans="2:6" x14ac:dyDescent="0.25">
      <c r="B267" s="88">
        <v>12209900</v>
      </c>
      <c r="C267" s="89" t="s">
        <v>557</v>
      </c>
      <c r="D267" s="90">
        <v>12209910</v>
      </c>
      <c r="E267" s="89" t="s">
        <v>557</v>
      </c>
      <c r="F267" s="91"/>
    </row>
    <row r="268" spans="2:6" x14ac:dyDescent="0.25">
      <c r="B268" s="88">
        <v>12209901</v>
      </c>
      <c r="C268" s="89" t="s">
        <v>559</v>
      </c>
      <c r="D268" s="90">
        <v>12209911</v>
      </c>
      <c r="E268" s="89" t="s">
        <v>3444</v>
      </c>
      <c r="F268" s="91"/>
    </row>
    <row r="269" spans="2:6" x14ac:dyDescent="0.25">
      <c r="B269" s="88">
        <v>12209902</v>
      </c>
      <c r="C269" s="89" t="s">
        <v>561</v>
      </c>
      <c r="D269" s="90">
        <v>12209911</v>
      </c>
      <c r="E269" s="89" t="s">
        <v>3444</v>
      </c>
      <c r="F269" s="91"/>
    </row>
    <row r="270" spans="2:6" ht="30" x14ac:dyDescent="0.25">
      <c r="B270" s="96">
        <v>12300000</v>
      </c>
      <c r="C270" s="92" t="s">
        <v>563</v>
      </c>
      <c r="D270" s="95"/>
      <c r="E270" s="92"/>
      <c r="F270" s="94" t="s">
        <v>5050</v>
      </c>
    </row>
    <row r="271" spans="2:6" x14ac:dyDescent="0.25">
      <c r="B271" s="88">
        <v>13000000</v>
      </c>
      <c r="C271" s="89" t="s">
        <v>565</v>
      </c>
      <c r="D271" s="90">
        <v>13000000</v>
      </c>
      <c r="E271" s="89" t="s">
        <v>565</v>
      </c>
      <c r="F271" s="91"/>
    </row>
    <row r="272" spans="2:6" x14ac:dyDescent="0.25">
      <c r="B272" s="88">
        <v>13100000</v>
      </c>
      <c r="C272" s="89" t="s">
        <v>567</v>
      </c>
      <c r="D272" s="90">
        <v>13100000</v>
      </c>
      <c r="E272" s="89" t="s">
        <v>3456</v>
      </c>
      <c r="F272" s="91"/>
    </row>
    <row r="273" spans="2:6" x14ac:dyDescent="0.25">
      <c r="B273" s="88">
        <v>13110000</v>
      </c>
      <c r="C273" s="89" t="s">
        <v>569</v>
      </c>
      <c r="D273" s="90">
        <v>13100111</v>
      </c>
      <c r="E273" s="89" t="s">
        <v>3463</v>
      </c>
      <c r="F273" s="91"/>
    </row>
    <row r="274" spans="2:6" x14ac:dyDescent="0.25">
      <c r="B274" s="88">
        <v>13120000</v>
      </c>
      <c r="C274" s="89" t="s">
        <v>571</v>
      </c>
      <c r="D274" s="90">
        <v>13100111</v>
      </c>
      <c r="E274" s="89" t="s">
        <v>3463</v>
      </c>
      <c r="F274" s="91"/>
    </row>
    <row r="275" spans="2:6" x14ac:dyDescent="0.25">
      <c r="B275" s="88">
        <v>13130000</v>
      </c>
      <c r="C275" s="89" t="s">
        <v>573</v>
      </c>
      <c r="D275" s="90">
        <v>13100121</v>
      </c>
      <c r="E275" s="89" t="s">
        <v>3472</v>
      </c>
      <c r="F275" s="91"/>
    </row>
    <row r="276" spans="2:6" x14ac:dyDescent="0.25">
      <c r="B276" s="88">
        <v>13140000</v>
      </c>
      <c r="C276" s="89" t="s">
        <v>575</v>
      </c>
      <c r="D276" s="90">
        <v>13100121</v>
      </c>
      <c r="E276" s="89" t="s">
        <v>3472</v>
      </c>
      <c r="F276" s="91"/>
    </row>
    <row r="277" spans="2:6" x14ac:dyDescent="0.25">
      <c r="B277" s="88">
        <v>13150000</v>
      </c>
      <c r="C277" s="89" t="s">
        <v>577</v>
      </c>
      <c r="D277" s="90">
        <v>13100121</v>
      </c>
      <c r="E277" s="89" t="s">
        <v>3472</v>
      </c>
      <c r="F277" s="91"/>
    </row>
    <row r="278" spans="2:6" x14ac:dyDescent="0.25">
      <c r="B278" s="88">
        <v>13151000</v>
      </c>
      <c r="C278" s="89" t="s">
        <v>579</v>
      </c>
      <c r="D278" s="90">
        <v>13100121</v>
      </c>
      <c r="E278" s="89" t="s">
        <v>3472</v>
      </c>
      <c r="F278" s="91"/>
    </row>
    <row r="279" spans="2:6" ht="30" x14ac:dyDescent="0.25">
      <c r="B279" s="88">
        <v>13152000</v>
      </c>
      <c r="C279" s="89" t="s">
        <v>581</v>
      </c>
      <c r="D279" s="90">
        <v>13100121</v>
      </c>
      <c r="E279" s="89" t="s">
        <v>3472</v>
      </c>
      <c r="F279" s="91"/>
    </row>
    <row r="280" spans="2:6" x14ac:dyDescent="0.25">
      <c r="B280" s="88">
        <v>13153000</v>
      </c>
      <c r="C280" s="89" t="s">
        <v>583</v>
      </c>
      <c r="D280" s="90">
        <v>13100121</v>
      </c>
      <c r="E280" s="89" t="s">
        <v>3472</v>
      </c>
      <c r="F280" s="91"/>
    </row>
    <row r="281" spans="2:6" x14ac:dyDescent="0.25">
      <c r="B281" s="88">
        <v>13190000</v>
      </c>
      <c r="C281" s="89" t="s">
        <v>585</v>
      </c>
      <c r="D281" s="90">
        <v>13109911</v>
      </c>
      <c r="E281" s="89" t="s">
        <v>3489</v>
      </c>
      <c r="F281" s="91"/>
    </row>
    <row r="282" spans="2:6" x14ac:dyDescent="0.25">
      <c r="B282" s="88">
        <v>13200000</v>
      </c>
      <c r="C282" s="89" t="s">
        <v>587</v>
      </c>
      <c r="D282" s="90">
        <v>13200000</v>
      </c>
      <c r="E282" s="89" t="s">
        <v>3495</v>
      </c>
      <c r="F282" s="91"/>
    </row>
    <row r="283" spans="2:6" x14ac:dyDescent="0.25">
      <c r="B283" s="88">
        <v>13210000</v>
      </c>
      <c r="C283" s="89" t="s">
        <v>589</v>
      </c>
      <c r="D283" s="90">
        <v>13210051</v>
      </c>
      <c r="E283" s="89" t="s">
        <v>3515</v>
      </c>
      <c r="F283" s="91"/>
    </row>
    <row r="284" spans="2:6" x14ac:dyDescent="0.25">
      <c r="B284" s="88">
        <v>13220000</v>
      </c>
      <c r="C284" s="89" t="s">
        <v>591</v>
      </c>
      <c r="D284" s="90" t="s">
        <v>4736</v>
      </c>
      <c r="E284" s="89"/>
      <c r="F284" s="91" t="s">
        <v>4885</v>
      </c>
    </row>
    <row r="285" spans="2:6" x14ac:dyDescent="0.25">
      <c r="B285" s="88">
        <v>13220001</v>
      </c>
      <c r="C285" s="89" t="s">
        <v>594</v>
      </c>
      <c r="D285" s="90">
        <v>13220011</v>
      </c>
      <c r="E285" s="89" t="s">
        <v>3523</v>
      </c>
      <c r="F285" s="91"/>
    </row>
    <row r="286" spans="2:6" x14ac:dyDescent="0.25">
      <c r="B286" s="88">
        <v>13220002</v>
      </c>
      <c r="C286" s="89" t="s">
        <v>597</v>
      </c>
      <c r="D286" s="90">
        <v>13230011</v>
      </c>
      <c r="E286" s="89" t="s">
        <v>3531</v>
      </c>
      <c r="F286" s="91"/>
    </row>
    <row r="287" spans="2:6" x14ac:dyDescent="0.25">
      <c r="B287" s="88">
        <v>13220003</v>
      </c>
      <c r="C287" s="89" t="s">
        <v>599</v>
      </c>
      <c r="D287" s="90">
        <v>13210061</v>
      </c>
      <c r="E287" s="89" t="s">
        <v>3519</v>
      </c>
      <c r="F287" s="91"/>
    </row>
    <row r="288" spans="2:6" x14ac:dyDescent="0.25">
      <c r="B288" s="88">
        <v>13230000</v>
      </c>
      <c r="C288" s="89" t="s">
        <v>597</v>
      </c>
      <c r="D288" s="90" t="s">
        <v>4736</v>
      </c>
      <c r="E288" s="89"/>
      <c r="F288" s="91" t="s">
        <v>4737</v>
      </c>
    </row>
    <row r="289" spans="2:6" x14ac:dyDescent="0.25">
      <c r="B289" s="88">
        <v>13250000</v>
      </c>
      <c r="C289" s="89" t="s">
        <v>603</v>
      </c>
      <c r="D289" s="90">
        <v>13210011</v>
      </c>
      <c r="E289" s="89" t="s">
        <v>3500</v>
      </c>
      <c r="F289" s="91"/>
    </row>
    <row r="290" spans="2:6" x14ac:dyDescent="0.25">
      <c r="B290" s="88">
        <v>13260000</v>
      </c>
      <c r="C290" s="89" t="s">
        <v>605</v>
      </c>
      <c r="D290" s="90">
        <v>13210021</v>
      </c>
      <c r="E290" s="89" t="s">
        <v>3504</v>
      </c>
      <c r="F290" s="91"/>
    </row>
    <row r="291" spans="2:6" ht="30" x14ac:dyDescent="0.25">
      <c r="B291" s="88">
        <v>13270000</v>
      </c>
      <c r="C291" s="89" t="s">
        <v>607</v>
      </c>
      <c r="D291" s="90">
        <v>13210031</v>
      </c>
      <c r="E291" s="89" t="s">
        <v>3507</v>
      </c>
      <c r="F291" s="91"/>
    </row>
    <row r="292" spans="2:6" ht="30" x14ac:dyDescent="0.25">
      <c r="B292" s="88">
        <v>13280000</v>
      </c>
      <c r="C292" s="89" t="s">
        <v>609</v>
      </c>
      <c r="D292" s="90" t="s">
        <v>4736</v>
      </c>
      <c r="E292" s="89"/>
      <c r="F292" s="91" t="s">
        <v>4885</v>
      </c>
    </row>
    <row r="293" spans="2:6" ht="30" x14ac:dyDescent="0.25">
      <c r="B293" s="88">
        <v>13281000</v>
      </c>
      <c r="C293" s="89" t="s">
        <v>611</v>
      </c>
      <c r="D293" s="90">
        <v>13210041</v>
      </c>
      <c r="E293" s="89" t="s">
        <v>3510</v>
      </c>
      <c r="F293" s="91"/>
    </row>
    <row r="294" spans="2:6" ht="30" x14ac:dyDescent="0.25">
      <c r="B294" s="88">
        <v>13282000</v>
      </c>
      <c r="C294" s="89" t="s">
        <v>613</v>
      </c>
      <c r="D294" s="90">
        <v>13210041</v>
      </c>
      <c r="E294" s="89" t="s">
        <v>3510</v>
      </c>
      <c r="F294" s="91"/>
    </row>
    <row r="295" spans="2:6" ht="30" x14ac:dyDescent="0.25">
      <c r="B295" s="88">
        <v>13283000</v>
      </c>
      <c r="C295" s="89" t="s">
        <v>615</v>
      </c>
      <c r="D295" s="90">
        <v>13210041</v>
      </c>
      <c r="E295" s="89" t="s">
        <v>3510</v>
      </c>
      <c r="F295" s="91"/>
    </row>
    <row r="296" spans="2:6" x14ac:dyDescent="0.25">
      <c r="B296" s="88">
        <v>13290000</v>
      </c>
      <c r="C296" s="89" t="s">
        <v>617</v>
      </c>
      <c r="D296" s="90">
        <v>13290011</v>
      </c>
      <c r="E296" s="89" t="s">
        <v>3539</v>
      </c>
      <c r="F296" s="91"/>
    </row>
    <row r="297" spans="2:6" ht="30" x14ac:dyDescent="0.25">
      <c r="B297" s="88">
        <v>13300000</v>
      </c>
      <c r="C297" s="89" t="s">
        <v>619</v>
      </c>
      <c r="D297" s="90">
        <v>13300000</v>
      </c>
      <c r="E297" s="89" t="s">
        <v>3544</v>
      </c>
      <c r="F297" s="91"/>
    </row>
    <row r="298" spans="2:6" x14ac:dyDescent="0.25">
      <c r="B298" s="88">
        <v>13310000</v>
      </c>
      <c r="C298" s="89" t="s">
        <v>621</v>
      </c>
      <c r="D298" s="90" t="s">
        <v>4736</v>
      </c>
      <c r="E298" s="89"/>
      <c r="F298" s="91" t="s">
        <v>4885</v>
      </c>
    </row>
    <row r="299" spans="2:6" ht="30" x14ac:dyDescent="0.25">
      <c r="B299" s="88">
        <v>13310100</v>
      </c>
      <c r="C299" s="89" t="s">
        <v>623</v>
      </c>
      <c r="D299" s="90">
        <v>13310000</v>
      </c>
      <c r="E299" s="89" t="s">
        <v>3546</v>
      </c>
      <c r="F299" s="91"/>
    </row>
    <row r="300" spans="2:6" ht="30" x14ac:dyDescent="0.25">
      <c r="B300" s="88">
        <v>13310101</v>
      </c>
      <c r="C300" s="89" t="s">
        <v>625</v>
      </c>
      <c r="D300" s="90">
        <v>13310211</v>
      </c>
      <c r="E300" s="89" t="s">
        <v>3559</v>
      </c>
      <c r="F300" s="91"/>
    </row>
    <row r="301" spans="2:6" ht="30" x14ac:dyDescent="0.25">
      <c r="B301" s="88">
        <v>13310102</v>
      </c>
      <c r="C301" s="89" t="s">
        <v>627</v>
      </c>
      <c r="D301" s="90">
        <v>13310111</v>
      </c>
      <c r="E301" s="89" t="s">
        <v>3550</v>
      </c>
      <c r="F301" s="91"/>
    </row>
    <row r="302" spans="2:6" ht="30" x14ac:dyDescent="0.25">
      <c r="B302" s="88">
        <v>13310103</v>
      </c>
      <c r="C302" s="89" t="s">
        <v>629</v>
      </c>
      <c r="D302" s="90">
        <v>13310311</v>
      </c>
      <c r="E302" s="89" t="s">
        <v>3567</v>
      </c>
      <c r="F302" s="91"/>
    </row>
    <row r="303" spans="2:6" ht="30" x14ac:dyDescent="0.25">
      <c r="B303" s="88">
        <v>13310104</v>
      </c>
      <c r="C303" s="89" t="s">
        <v>631</v>
      </c>
      <c r="D303" s="90">
        <v>13310411</v>
      </c>
      <c r="E303" s="89" t="s">
        <v>3574</v>
      </c>
      <c r="F303" s="91"/>
    </row>
    <row r="304" spans="2:6" ht="30" x14ac:dyDescent="0.25">
      <c r="B304" s="88">
        <v>13310105</v>
      </c>
      <c r="C304" s="89" t="s">
        <v>633</v>
      </c>
      <c r="D304" s="90">
        <v>13310111</v>
      </c>
      <c r="E304" s="89" t="s">
        <v>4886</v>
      </c>
      <c r="F304" s="91"/>
    </row>
    <row r="305" spans="2:6" ht="30" x14ac:dyDescent="0.25">
      <c r="B305" s="88">
        <v>13310106</v>
      </c>
      <c r="C305" s="89" t="s">
        <v>635</v>
      </c>
      <c r="D305" s="90">
        <v>13320411</v>
      </c>
      <c r="E305" s="89" t="s">
        <v>3627</v>
      </c>
      <c r="F305" s="91"/>
    </row>
    <row r="306" spans="2:6" ht="30" x14ac:dyDescent="0.25">
      <c r="B306" s="88">
        <v>13310107</v>
      </c>
      <c r="C306" s="89" t="s">
        <v>637</v>
      </c>
      <c r="D306" s="90">
        <v>13320111</v>
      </c>
      <c r="E306" s="89" t="s">
        <v>3594</v>
      </c>
      <c r="F306" s="91"/>
    </row>
    <row r="307" spans="2:6" ht="30" x14ac:dyDescent="0.25">
      <c r="B307" s="88">
        <v>13310199</v>
      </c>
      <c r="C307" s="89" t="s">
        <v>640</v>
      </c>
      <c r="D307" s="90" t="s">
        <v>4736</v>
      </c>
      <c r="E307" s="89"/>
      <c r="F307" s="91" t="s">
        <v>4885</v>
      </c>
    </row>
    <row r="308" spans="2:6" ht="30" x14ac:dyDescent="0.25">
      <c r="B308" s="88">
        <v>13310200</v>
      </c>
      <c r="C308" s="89" t="s">
        <v>642</v>
      </c>
      <c r="D308" s="90">
        <v>13330000</v>
      </c>
      <c r="E308" s="89" t="s">
        <v>3634</v>
      </c>
      <c r="F308" s="91"/>
    </row>
    <row r="309" spans="2:6" ht="30" x14ac:dyDescent="0.25">
      <c r="B309" s="88">
        <v>13310201</v>
      </c>
      <c r="C309" s="89" t="s">
        <v>644</v>
      </c>
      <c r="D309" s="90">
        <v>13330011</v>
      </c>
      <c r="E309" s="89" t="s">
        <v>3638</v>
      </c>
      <c r="F309" s="91"/>
    </row>
    <row r="310" spans="2:6" ht="30" x14ac:dyDescent="0.25">
      <c r="B310" s="88">
        <v>13310202</v>
      </c>
      <c r="C310" s="89" t="s">
        <v>646</v>
      </c>
      <c r="D310" s="90">
        <v>13330031</v>
      </c>
      <c r="E310" s="89" t="s">
        <v>3655</v>
      </c>
      <c r="F310" s="91"/>
    </row>
    <row r="311" spans="2:6" x14ac:dyDescent="0.25">
      <c r="B311" s="88">
        <v>13310203</v>
      </c>
      <c r="C311" s="89" t="s">
        <v>648</v>
      </c>
      <c r="D311" s="90">
        <v>13330041</v>
      </c>
      <c r="E311" s="89" t="s">
        <v>3663</v>
      </c>
      <c r="F311" s="91"/>
    </row>
    <row r="312" spans="2:6" ht="45" x14ac:dyDescent="0.25">
      <c r="B312" s="88">
        <v>13310204</v>
      </c>
      <c r="C312" s="89" t="s">
        <v>650</v>
      </c>
      <c r="D312" s="90">
        <v>13330061</v>
      </c>
      <c r="E312" s="89" t="s">
        <v>3681</v>
      </c>
      <c r="F312" s="91"/>
    </row>
    <row r="313" spans="2:6" ht="45" x14ac:dyDescent="0.25">
      <c r="B313" s="88">
        <v>13310205</v>
      </c>
      <c r="C313" s="89" t="s">
        <v>274</v>
      </c>
      <c r="D313" s="90">
        <v>13320121</v>
      </c>
      <c r="E313" s="89" t="s">
        <v>3603</v>
      </c>
      <c r="F313" s="91"/>
    </row>
    <row r="314" spans="2:6" ht="30" x14ac:dyDescent="0.25">
      <c r="B314" s="88">
        <v>13310206</v>
      </c>
      <c r="C314" s="89" t="s">
        <v>653</v>
      </c>
      <c r="D314" s="90">
        <v>13330051</v>
      </c>
      <c r="E314" s="89" t="s">
        <v>3672</v>
      </c>
      <c r="F314" s="91"/>
    </row>
    <row r="315" spans="2:6" ht="30" x14ac:dyDescent="0.25">
      <c r="B315" s="88">
        <v>13310207</v>
      </c>
      <c r="C315" s="89" t="s">
        <v>657</v>
      </c>
      <c r="D315" s="90">
        <v>13330071</v>
      </c>
      <c r="E315" s="89" t="s">
        <v>3690</v>
      </c>
      <c r="F315" s="91"/>
    </row>
    <row r="316" spans="2:6" ht="30" x14ac:dyDescent="0.25">
      <c r="B316" s="88">
        <v>13310299</v>
      </c>
      <c r="C316" s="89" t="s">
        <v>659</v>
      </c>
      <c r="D316" s="90">
        <v>13330091</v>
      </c>
      <c r="E316" s="89" t="s">
        <v>3698</v>
      </c>
      <c r="F316" s="91"/>
    </row>
    <row r="317" spans="2:6" ht="30" x14ac:dyDescent="0.25">
      <c r="B317" s="88">
        <v>13310300</v>
      </c>
      <c r="C317" s="89" t="s">
        <v>661</v>
      </c>
      <c r="D317" s="90" t="s">
        <v>4736</v>
      </c>
      <c r="E317" s="89"/>
      <c r="F317" s="91" t="s">
        <v>4885</v>
      </c>
    </row>
    <row r="318" spans="2:6" x14ac:dyDescent="0.25">
      <c r="B318" s="88">
        <v>13319900</v>
      </c>
      <c r="C318" s="89" t="s">
        <v>663</v>
      </c>
      <c r="D318" s="90">
        <v>13399911</v>
      </c>
      <c r="E318" s="89" t="s">
        <v>3713</v>
      </c>
      <c r="F318" s="91"/>
    </row>
    <row r="319" spans="2:6" ht="30" x14ac:dyDescent="0.25">
      <c r="B319" s="88">
        <v>13320000</v>
      </c>
      <c r="C319" s="89" t="s">
        <v>665</v>
      </c>
      <c r="D319" s="90">
        <v>13400000</v>
      </c>
      <c r="E319" s="89" t="s">
        <v>3718</v>
      </c>
      <c r="F319" s="91"/>
    </row>
    <row r="320" spans="2:6" ht="30" x14ac:dyDescent="0.25">
      <c r="B320" s="88">
        <v>13320100</v>
      </c>
      <c r="C320" s="89" t="s">
        <v>667</v>
      </c>
      <c r="D320" s="90">
        <v>13410100</v>
      </c>
      <c r="E320" s="89" t="s">
        <v>3722</v>
      </c>
      <c r="F320" s="91"/>
    </row>
    <row r="321" spans="2:6" x14ac:dyDescent="0.25">
      <c r="B321" s="88">
        <v>13320101</v>
      </c>
      <c r="C321" s="89" t="s">
        <v>669</v>
      </c>
      <c r="D321" s="90">
        <v>13410111</v>
      </c>
      <c r="E321" s="89" t="s">
        <v>3726</v>
      </c>
      <c r="F321" s="91"/>
    </row>
    <row r="322" spans="2:6" ht="30" x14ac:dyDescent="0.25">
      <c r="B322" s="88">
        <v>13320102</v>
      </c>
      <c r="C322" s="89" t="s">
        <v>671</v>
      </c>
      <c r="D322" s="90">
        <v>13410121</v>
      </c>
      <c r="E322" s="89" t="s">
        <v>3731</v>
      </c>
      <c r="F322" s="91"/>
    </row>
    <row r="323" spans="2:6" ht="30" x14ac:dyDescent="0.25">
      <c r="B323" s="88">
        <v>13320103</v>
      </c>
      <c r="C323" s="89" t="s">
        <v>673</v>
      </c>
      <c r="D323" s="90">
        <v>13430111</v>
      </c>
      <c r="E323" s="89" t="s">
        <v>3831</v>
      </c>
      <c r="F323" s="91"/>
    </row>
    <row r="324" spans="2:6" ht="30" x14ac:dyDescent="0.25">
      <c r="B324" s="88">
        <v>13320200</v>
      </c>
      <c r="C324" s="89" t="s">
        <v>676</v>
      </c>
      <c r="D324" s="90">
        <v>13450111</v>
      </c>
      <c r="E324" s="89" t="s">
        <v>3872</v>
      </c>
      <c r="F324" s="91"/>
    </row>
    <row r="325" spans="2:6" ht="30" x14ac:dyDescent="0.25">
      <c r="B325" s="88">
        <v>13320300</v>
      </c>
      <c r="C325" s="89" t="s">
        <v>678</v>
      </c>
      <c r="D325" s="90">
        <v>13440111</v>
      </c>
      <c r="E325" s="89" t="s">
        <v>3852</v>
      </c>
      <c r="F325" s="91"/>
    </row>
    <row r="326" spans="2:6" x14ac:dyDescent="0.25">
      <c r="B326" s="88">
        <v>13320400</v>
      </c>
      <c r="C326" s="89" t="s">
        <v>680</v>
      </c>
      <c r="D326" s="90">
        <v>13460000</v>
      </c>
      <c r="E326" s="89" t="s">
        <v>3908</v>
      </c>
      <c r="F326" s="91"/>
    </row>
    <row r="327" spans="2:6" ht="30" x14ac:dyDescent="0.25">
      <c r="B327" s="88">
        <v>13320401</v>
      </c>
      <c r="C327" s="89" t="s">
        <v>682</v>
      </c>
      <c r="D327" s="90">
        <v>13460111</v>
      </c>
      <c r="E327" s="89" t="s">
        <v>3914</v>
      </c>
      <c r="F327" s="91"/>
    </row>
    <row r="328" spans="2:6" ht="30" x14ac:dyDescent="0.25">
      <c r="B328" s="88">
        <v>13320402</v>
      </c>
      <c r="C328" s="89" t="s">
        <v>684</v>
      </c>
      <c r="D328" s="90">
        <v>13460121</v>
      </c>
      <c r="E328" s="89" t="s">
        <v>3923</v>
      </c>
      <c r="F328" s="91"/>
    </row>
    <row r="329" spans="2:6" x14ac:dyDescent="0.25">
      <c r="B329" s="88">
        <v>13320403</v>
      </c>
      <c r="C329" s="89" t="s">
        <v>686</v>
      </c>
      <c r="D329" s="90">
        <v>13460211</v>
      </c>
      <c r="E329" s="89" t="s">
        <v>3934</v>
      </c>
      <c r="F329" s="91"/>
    </row>
    <row r="330" spans="2:6" x14ac:dyDescent="0.25">
      <c r="B330" s="88">
        <v>13320404</v>
      </c>
      <c r="C330" s="89" t="s">
        <v>688</v>
      </c>
      <c r="D330" s="90">
        <v>13460221</v>
      </c>
      <c r="E330" s="89" t="s">
        <v>3943</v>
      </c>
      <c r="F330" s="91"/>
    </row>
    <row r="331" spans="2:6" x14ac:dyDescent="0.25">
      <c r="B331" s="88">
        <v>13320405</v>
      </c>
      <c r="C331" s="89" t="s">
        <v>690</v>
      </c>
      <c r="D331" s="90">
        <v>13469911</v>
      </c>
      <c r="E331" s="89" t="s">
        <v>3954</v>
      </c>
      <c r="F331" s="91"/>
    </row>
    <row r="332" spans="2:6" x14ac:dyDescent="0.25">
      <c r="B332" s="88">
        <v>13320406</v>
      </c>
      <c r="C332" s="89" t="s">
        <v>692</v>
      </c>
      <c r="D332" s="90">
        <v>13469921</v>
      </c>
      <c r="E332" s="89" t="s">
        <v>3963</v>
      </c>
      <c r="F332" s="91"/>
    </row>
    <row r="333" spans="2:6" ht="30" x14ac:dyDescent="0.25">
      <c r="B333" s="88">
        <v>13329900</v>
      </c>
      <c r="C333" s="89" t="s">
        <v>694</v>
      </c>
      <c r="D333" s="90">
        <v>13499911</v>
      </c>
      <c r="E333" s="89" t="s">
        <v>3991</v>
      </c>
      <c r="F333" s="91"/>
    </row>
    <row r="334" spans="2:6" ht="30" x14ac:dyDescent="0.25">
      <c r="B334" s="88">
        <v>13330000</v>
      </c>
      <c r="C334" s="89" t="s">
        <v>696</v>
      </c>
      <c r="D334" s="90">
        <v>13100211</v>
      </c>
      <c r="E334" s="89" t="s">
        <v>3481</v>
      </c>
      <c r="F334" s="91"/>
    </row>
    <row r="335" spans="2:6" ht="30" x14ac:dyDescent="0.25">
      <c r="B335" s="88">
        <v>13330100</v>
      </c>
      <c r="C335" s="89" t="s">
        <v>698</v>
      </c>
      <c r="D335" s="90">
        <v>13100211</v>
      </c>
      <c r="E335" s="89" t="s">
        <v>3481</v>
      </c>
      <c r="F335" s="91"/>
    </row>
    <row r="336" spans="2:6" ht="30" x14ac:dyDescent="0.25">
      <c r="B336" s="88">
        <v>13330200</v>
      </c>
      <c r="C336" s="89" t="s">
        <v>700</v>
      </c>
      <c r="D336" s="90">
        <v>13500111</v>
      </c>
      <c r="E336" s="89" t="s">
        <v>4001</v>
      </c>
      <c r="F336" s="91"/>
    </row>
    <row r="337" spans="2:6" ht="30" x14ac:dyDescent="0.25">
      <c r="B337" s="88">
        <v>13330300</v>
      </c>
      <c r="C337" s="89" t="s">
        <v>702</v>
      </c>
      <c r="D337" s="90">
        <v>13450211</v>
      </c>
      <c r="E337" s="89" t="s">
        <v>3881</v>
      </c>
      <c r="F337" s="91"/>
    </row>
    <row r="338" spans="2:6" ht="30" x14ac:dyDescent="0.25">
      <c r="B338" s="88">
        <v>13330400</v>
      </c>
      <c r="C338" s="89" t="s">
        <v>704</v>
      </c>
      <c r="D338" s="90">
        <v>13100211</v>
      </c>
      <c r="E338" s="89" t="s">
        <v>3481</v>
      </c>
      <c r="F338" s="91"/>
    </row>
    <row r="339" spans="2:6" ht="30" x14ac:dyDescent="0.25">
      <c r="B339" s="88">
        <v>13330500</v>
      </c>
      <c r="C339" s="89" t="s">
        <v>706</v>
      </c>
      <c r="D339" s="90">
        <v>13100211</v>
      </c>
      <c r="E339" s="89" t="s">
        <v>3481</v>
      </c>
      <c r="F339" s="91"/>
    </row>
    <row r="340" spans="2:6" ht="30" x14ac:dyDescent="0.25">
      <c r="B340" s="88">
        <v>13330600</v>
      </c>
      <c r="C340" s="89" t="s">
        <v>709</v>
      </c>
      <c r="D340" s="90">
        <v>13500211</v>
      </c>
      <c r="E340" s="89" t="s">
        <v>4789</v>
      </c>
      <c r="F340" s="91"/>
    </row>
    <row r="341" spans="2:6" ht="30" x14ac:dyDescent="0.25">
      <c r="B341" s="88">
        <v>13330700</v>
      </c>
      <c r="C341" s="89" t="s">
        <v>712</v>
      </c>
      <c r="D341" s="90">
        <v>13100211</v>
      </c>
      <c r="E341" s="89" t="s">
        <v>3481</v>
      </c>
      <c r="F341" s="91"/>
    </row>
    <row r="342" spans="2:6" ht="30" x14ac:dyDescent="0.25">
      <c r="B342" s="88">
        <v>13339900</v>
      </c>
      <c r="C342" s="89" t="s">
        <v>714</v>
      </c>
      <c r="D342" s="90">
        <v>13100211</v>
      </c>
      <c r="E342" s="89" t="s">
        <v>3481</v>
      </c>
      <c r="F342" s="91"/>
    </row>
    <row r="343" spans="2:6" ht="30" x14ac:dyDescent="0.25">
      <c r="B343" s="88">
        <v>13390000</v>
      </c>
      <c r="C343" s="89" t="s">
        <v>716</v>
      </c>
      <c r="D343" s="90">
        <v>13100211</v>
      </c>
      <c r="E343" s="89" t="s">
        <v>3481</v>
      </c>
      <c r="F343" s="91"/>
    </row>
    <row r="344" spans="2:6" x14ac:dyDescent="0.25">
      <c r="B344" s="88">
        <v>13400000</v>
      </c>
      <c r="C344" s="89" t="s">
        <v>718</v>
      </c>
      <c r="D344" s="90" t="s">
        <v>4736</v>
      </c>
      <c r="E344" s="89"/>
      <c r="F344" s="91" t="s">
        <v>4885</v>
      </c>
    </row>
    <row r="345" spans="2:6" x14ac:dyDescent="0.25">
      <c r="B345" s="88">
        <v>13400100</v>
      </c>
      <c r="C345" s="89" t="s">
        <v>720</v>
      </c>
      <c r="D345" s="90">
        <v>13450311</v>
      </c>
      <c r="E345" s="89" t="s">
        <v>3892</v>
      </c>
      <c r="F345" s="91"/>
    </row>
    <row r="346" spans="2:6" ht="30" x14ac:dyDescent="0.25">
      <c r="B346" s="88">
        <v>13400200</v>
      </c>
      <c r="C346" s="89" t="s">
        <v>722</v>
      </c>
      <c r="D346" s="90">
        <v>13450321</v>
      </c>
      <c r="E346" s="89" t="s">
        <v>3901</v>
      </c>
      <c r="F346" s="91"/>
    </row>
    <row r="347" spans="2:6" ht="30" x14ac:dyDescent="0.25">
      <c r="B347" s="88">
        <v>13400300</v>
      </c>
      <c r="C347" s="89" t="s">
        <v>724</v>
      </c>
      <c r="D347" s="90">
        <v>13440211</v>
      </c>
      <c r="E347" s="89" t="s">
        <v>3861</v>
      </c>
      <c r="F347" s="91"/>
    </row>
    <row r="348" spans="2:6" ht="30" x14ac:dyDescent="0.25">
      <c r="B348" s="88">
        <v>13400400</v>
      </c>
      <c r="C348" s="89" t="s">
        <v>726</v>
      </c>
      <c r="D348" s="90" t="s">
        <v>4736</v>
      </c>
      <c r="E348" s="89"/>
      <c r="F348" s="91" t="s">
        <v>4737</v>
      </c>
    </row>
    <row r="349" spans="2:6" ht="30" x14ac:dyDescent="0.25">
      <c r="B349" s="88">
        <v>13400500</v>
      </c>
      <c r="C349" s="89" t="s">
        <v>729</v>
      </c>
      <c r="D349" s="90" t="s">
        <v>4736</v>
      </c>
      <c r="E349" s="89"/>
      <c r="F349" s="91" t="s">
        <v>4737</v>
      </c>
    </row>
    <row r="350" spans="2:6" ht="60" x14ac:dyDescent="0.25">
      <c r="B350" s="88">
        <v>13400501</v>
      </c>
      <c r="C350" s="89" t="s">
        <v>731</v>
      </c>
      <c r="D350" s="90" t="s">
        <v>4736</v>
      </c>
      <c r="E350" s="89"/>
      <c r="F350" s="91" t="s">
        <v>4737</v>
      </c>
    </row>
    <row r="351" spans="2:6" ht="60" x14ac:dyDescent="0.25">
      <c r="B351" s="88">
        <v>13400502</v>
      </c>
      <c r="C351" s="89" t="s">
        <v>733</v>
      </c>
      <c r="D351" s="90" t="s">
        <v>4736</v>
      </c>
      <c r="E351" s="89"/>
      <c r="F351" s="91" t="s">
        <v>4737</v>
      </c>
    </row>
    <row r="352" spans="2:6" ht="30" x14ac:dyDescent="0.25">
      <c r="B352" s="88">
        <v>13400503</v>
      </c>
      <c r="C352" s="89" t="s">
        <v>735</v>
      </c>
      <c r="D352" s="90" t="s">
        <v>4736</v>
      </c>
      <c r="E352" s="89"/>
      <c r="F352" s="91" t="s">
        <v>4737</v>
      </c>
    </row>
    <row r="353" spans="2:6" ht="30" x14ac:dyDescent="0.25">
      <c r="B353" s="88">
        <v>13400600</v>
      </c>
      <c r="C353" s="89" t="s">
        <v>737</v>
      </c>
      <c r="D353" s="90" t="s">
        <v>4736</v>
      </c>
      <c r="E353" s="89"/>
      <c r="F353" s="91" t="s">
        <v>4737</v>
      </c>
    </row>
    <row r="354" spans="2:6" ht="30" x14ac:dyDescent="0.25">
      <c r="B354" s="88">
        <v>13400700</v>
      </c>
      <c r="C354" s="89" t="s">
        <v>739</v>
      </c>
      <c r="D354" s="90" t="s">
        <v>4736</v>
      </c>
      <c r="E354" s="89"/>
      <c r="F354" s="91" t="s">
        <v>4737</v>
      </c>
    </row>
    <row r="355" spans="2:6" ht="60" x14ac:dyDescent="0.25">
      <c r="B355" s="88">
        <v>13400701</v>
      </c>
      <c r="C355" s="89" t="s">
        <v>741</v>
      </c>
      <c r="D355" s="90" t="s">
        <v>4736</v>
      </c>
      <c r="E355" s="89"/>
      <c r="F355" s="91" t="s">
        <v>4737</v>
      </c>
    </row>
    <row r="356" spans="2:6" ht="60" x14ac:dyDescent="0.25">
      <c r="B356" s="88">
        <v>13400702</v>
      </c>
      <c r="C356" s="89" t="s">
        <v>743</v>
      </c>
      <c r="D356" s="90" t="s">
        <v>4736</v>
      </c>
      <c r="E356" s="89"/>
      <c r="F356" s="91" t="s">
        <v>4737</v>
      </c>
    </row>
    <row r="357" spans="2:6" ht="30" x14ac:dyDescent="0.25">
      <c r="B357" s="88">
        <v>13400703</v>
      </c>
      <c r="C357" s="89" t="s">
        <v>745</v>
      </c>
      <c r="D357" s="90" t="s">
        <v>4736</v>
      </c>
      <c r="E357" s="89"/>
      <c r="F357" s="91" t="s">
        <v>4737</v>
      </c>
    </row>
    <row r="358" spans="2:6" ht="30" x14ac:dyDescent="0.25">
      <c r="B358" s="88">
        <v>13400800</v>
      </c>
      <c r="C358" s="89" t="s">
        <v>747</v>
      </c>
      <c r="D358" s="90" t="s">
        <v>4736</v>
      </c>
      <c r="E358" s="89"/>
      <c r="F358" s="91" t="s">
        <v>4737</v>
      </c>
    </row>
    <row r="359" spans="2:6" ht="45" x14ac:dyDescent="0.25">
      <c r="B359" s="88">
        <v>13400801</v>
      </c>
      <c r="C359" s="89" t="s">
        <v>749</v>
      </c>
      <c r="D359" s="90" t="s">
        <v>4736</v>
      </c>
      <c r="E359" s="89"/>
      <c r="F359" s="91" t="s">
        <v>4737</v>
      </c>
    </row>
    <row r="360" spans="2:6" ht="45" x14ac:dyDescent="0.25">
      <c r="B360" s="88">
        <v>13400802</v>
      </c>
      <c r="C360" s="89" t="s">
        <v>751</v>
      </c>
      <c r="D360" s="90" t="s">
        <v>4736</v>
      </c>
      <c r="E360" s="89"/>
      <c r="F360" s="91" t="s">
        <v>4737</v>
      </c>
    </row>
    <row r="361" spans="2:6" ht="30" x14ac:dyDescent="0.25">
      <c r="B361" s="88">
        <v>13400803</v>
      </c>
      <c r="C361" s="89" t="s">
        <v>753</v>
      </c>
      <c r="D361" s="90" t="s">
        <v>4736</v>
      </c>
      <c r="E361" s="89"/>
      <c r="F361" s="91" t="s">
        <v>4737</v>
      </c>
    </row>
    <row r="362" spans="2:6" ht="30" x14ac:dyDescent="0.25">
      <c r="B362" s="88">
        <v>13400900</v>
      </c>
      <c r="C362" s="89" t="s">
        <v>755</v>
      </c>
      <c r="D362" s="90">
        <v>13469931</v>
      </c>
      <c r="E362" s="89" t="s">
        <v>3971</v>
      </c>
      <c r="F362" s="91"/>
    </row>
    <row r="363" spans="2:6" ht="30" x14ac:dyDescent="0.25">
      <c r="B363" s="88">
        <v>13401000</v>
      </c>
      <c r="C363" s="89" t="s">
        <v>757</v>
      </c>
      <c r="D363" s="90" t="s">
        <v>4736</v>
      </c>
      <c r="E363" s="89"/>
      <c r="F363" s="91" t="s">
        <v>4737</v>
      </c>
    </row>
    <row r="364" spans="2:6" ht="30" x14ac:dyDescent="0.25">
      <c r="B364" s="88">
        <v>13401001</v>
      </c>
      <c r="C364" s="89" t="s">
        <v>759</v>
      </c>
      <c r="D364" s="90" t="s">
        <v>4736</v>
      </c>
      <c r="E364" s="89"/>
      <c r="F364" s="91" t="s">
        <v>4737</v>
      </c>
    </row>
    <row r="365" spans="2:6" ht="30" x14ac:dyDescent="0.25">
      <c r="B365" s="88">
        <v>13401002</v>
      </c>
      <c r="C365" s="89" t="s">
        <v>761</v>
      </c>
      <c r="D365" s="90" t="s">
        <v>4736</v>
      </c>
      <c r="E365" s="89"/>
      <c r="F365" s="91" t="s">
        <v>4737</v>
      </c>
    </row>
    <row r="366" spans="2:6" ht="30" x14ac:dyDescent="0.25">
      <c r="B366" s="88">
        <v>13401003</v>
      </c>
      <c r="C366" s="89" t="s">
        <v>763</v>
      </c>
      <c r="D366" s="90" t="s">
        <v>4736</v>
      </c>
      <c r="E366" s="89"/>
      <c r="F366" s="91" t="s">
        <v>4737</v>
      </c>
    </row>
    <row r="367" spans="2:6" ht="30" x14ac:dyDescent="0.25">
      <c r="B367" s="88">
        <v>13401004</v>
      </c>
      <c r="C367" s="89" t="s">
        <v>765</v>
      </c>
      <c r="D367" s="90" t="s">
        <v>4736</v>
      </c>
      <c r="E367" s="89"/>
      <c r="F367" s="91" t="s">
        <v>4737</v>
      </c>
    </row>
    <row r="368" spans="2:6" ht="30" x14ac:dyDescent="0.25">
      <c r="B368" s="88">
        <v>13401005</v>
      </c>
      <c r="C368" s="89" t="s">
        <v>767</v>
      </c>
      <c r="D368" s="90" t="s">
        <v>4736</v>
      </c>
      <c r="E368" s="89"/>
      <c r="F368" s="91" t="s">
        <v>4737</v>
      </c>
    </row>
    <row r="369" spans="2:6" x14ac:dyDescent="0.25">
      <c r="B369" s="88">
        <v>13401100</v>
      </c>
      <c r="C369" s="89" t="s">
        <v>769</v>
      </c>
      <c r="D369" s="90">
        <v>13490111</v>
      </c>
      <c r="E369" s="89" t="s">
        <v>3982</v>
      </c>
      <c r="F369" s="91"/>
    </row>
    <row r="370" spans="2:6" ht="30" x14ac:dyDescent="0.25">
      <c r="B370" s="88">
        <v>13410000</v>
      </c>
      <c r="C370" s="89" t="s">
        <v>772</v>
      </c>
      <c r="D370" s="90" t="s">
        <v>4736</v>
      </c>
      <c r="E370" s="89"/>
      <c r="F370" s="91" t="s">
        <v>4737</v>
      </c>
    </row>
    <row r="371" spans="2:6" ht="45" x14ac:dyDescent="0.25">
      <c r="B371" s="88">
        <v>13411000</v>
      </c>
      <c r="C371" s="89" t="s">
        <v>776</v>
      </c>
      <c r="D371" s="90" t="s">
        <v>4736</v>
      </c>
      <c r="E371" s="89"/>
      <c r="F371" s="91" t="s">
        <v>4737</v>
      </c>
    </row>
    <row r="372" spans="2:6" ht="45" x14ac:dyDescent="0.25">
      <c r="B372" s="88">
        <v>13411100</v>
      </c>
      <c r="C372" s="89" t="s">
        <v>778</v>
      </c>
      <c r="D372" s="90" t="s">
        <v>4736</v>
      </c>
      <c r="E372" s="89"/>
      <c r="F372" s="91" t="s">
        <v>4737</v>
      </c>
    </row>
    <row r="373" spans="2:6" ht="45" x14ac:dyDescent="0.25">
      <c r="B373" s="88">
        <v>13411110</v>
      </c>
      <c r="C373" s="89" t="s">
        <v>780</v>
      </c>
      <c r="D373" s="90" t="s">
        <v>4736</v>
      </c>
      <c r="E373" s="89"/>
      <c r="F373" s="91" t="s">
        <v>4737</v>
      </c>
    </row>
    <row r="374" spans="2:6" ht="60" x14ac:dyDescent="0.25">
      <c r="B374" s="88">
        <v>13411111</v>
      </c>
      <c r="C374" s="89" t="s">
        <v>782</v>
      </c>
      <c r="D374" s="90" t="s">
        <v>4736</v>
      </c>
      <c r="E374" s="89"/>
      <c r="F374" s="91" t="s">
        <v>4737</v>
      </c>
    </row>
    <row r="375" spans="2:6" ht="30" x14ac:dyDescent="0.25">
      <c r="B375" s="88">
        <v>13411120</v>
      </c>
      <c r="C375" s="89" t="s">
        <v>784</v>
      </c>
      <c r="D375" s="90" t="s">
        <v>4736</v>
      </c>
      <c r="E375" s="89"/>
      <c r="F375" s="91" t="s">
        <v>4737</v>
      </c>
    </row>
    <row r="376" spans="2:6" ht="60" x14ac:dyDescent="0.25">
      <c r="B376" s="88">
        <v>13411121</v>
      </c>
      <c r="C376" s="89" t="s">
        <v>786</v>
      </c>
      <c r="D376" s="90" t="s">
        <v>4736</v>
      </c>
      <c r="E376" s="89"/>
      <c r="F376" s="91" t="s">
        <v>4737</v>
      </c>
    </row>
    <row r="377" spans="2:6" ht="45" x14ac:dyDescent="0.25">
      <c r="B377" s="88">
        <v>13411130</v>
      </c>
      <c r="C377" s="89" t="s">
        <v>788</v>
      </c>
      <c r="D377" s="90" t="s">
        <v>4736</v>
      </c>
      <c r="E377" s="89"/>
      <c r="F377" s="91" t="s">
        <v>4737</v>
      </c>
    </row>
    <row r="378" spans="2:6" ht="45" x14ac:dyDescent="0.25">
      <c r="B378" s="88">
        <v>13411200</v>
      </c>
      <c r="C378" s="89" t="s">
        <v>790</v>
      </c>
      <c r="D378" s="90" t="s">
        <v>4736</v>
      </c>
      <c r="E378" s="89"/>
      <c r="F378" s="91" t="s">
        <v>4737</v>
      </c>
    </row>
    <row r="379" spans="2:6" ht="45" x14ac:dyDescent="0.25">
      <c r="B379" s="88">
        <v>13411210</v>
      </c>
      <c r="C379" s="89" t="s">
        <v>792</v>
      </c>
      <c r="D379" s="90" t="s">
        <v>4736</v>
      </c>
      <c r="E379" s="89"/>
      <c r="F379" s="91" t="s">
        <v>4737</v>
      </c>
    </row>
    <row r="380" spans="2:6" ht="60" x14ac:dyDescent="0.25">
      <c r="B380" s="88">
        <v>13411211</v>
      </c>
      <c r="C380" s="89" t="s">
        <v>794</v>
      </c>
      <c r="D380" s="90" t="s">
        <v>4736</v>
      </c>
      <c r="E380" s="89"/>
      <c r="F380" s="91" t="s">
        <v>4737</v>
      </c>
    </row>
    <row r="381" spans="2:6" ht="60" x14ac:dyDescent="0.25">
      <c r="B381" s="88">
        <v>13411212</v>
      </c>
      <c r="C381" s="89" t="s">
        <v>796</v>
      </c>
      <c r="D381" s="90" t="s">
        <v>4736</v>
      </c>
      <c r="E381" s="89"/>
      <c r="F381" s="91" t="s">
        <v>4737</v>
      </c>
    </row>
    <row r="382" spans="2:6" ht="60" x14ac:dyDescent="0.25">
      <c r="B382" s="88">
        <v>13411220</v>
      </c>
      <c r="C382" s="89" t="s">
        <v>798</v>
      </c>
      <c r="D382" s="90" t="s">
        <v>4736</v>
      </c>
      <c r="E382" s="89"/>
      <c r="F382" s="91" t="s">
        <v>4737</v>
      </c>
    </row>
    <row r="383" spans="2:6" ht="60" x14ac:dyDescent="0.25">
      <c r="B383" s="88">
        <v>13411221</v>
      </c>
      <c r="C383" s="89" t="s">
        <v>800</v>
      </c>
      <c r="D383" s="90" t="s">
        <v>4736</v>
      </c>
      <c r="E383" s="89"/>
      <c r="F383" s="91" t="s">
        <v>4737</v>
      </c>
    </row>
    <row r="384" spans="2:6" ht="60" x14ac:dyDescent="0.25">
      <c r="B384" s="88">
        <v>13411222</v>
      </c>
      <c r="C384" s="89" t="s">
        <v>802</v>
      </c>
      <c r="D384" s="90" t="s">
        <v>4736</v>
      </c>
      <c r="E384" s="89"/>
      <c r="F384" s="91" t="s">
        <v>4737</v>
      </c>
    </row>
    <row r="385" spans="2:6" ht="60" x14ac:dyDescent="0.25">
      <c r="B385" s="88">
        <v>13411230</v>
      </c>
      <c r="C385" s="89" t="s">
        <v>804</v>
      </c>
      <c r="D385" s="90" t="s">
        <v>4736</v>
      </c>
      <c r="E385" s="89"/>
      <c r="F385" s="91" t="s">
        <v>4737</v>
      </c>
    </row>
    <row r="386" spans="2:6" ht="45" x14ac:dyDescent="0.25">
      <c r="B386" s="88">
        <v>13412000</v>
      </c>
      <c r="C386" s="89" t="s">
        <v>806</v>
      </c>
      <c r="D386" s="90" t="s">
        <v>4736</v>
      </c>
      <c r="E386" s="89"/>
      <c r="F386" s="91" t="s">
        <v>4737</v>
      </c>
    </row>
    <row r="387" spans="2:6" ht="45" x14ac:dyDescent="0.25">
      <c r="B387" s="88">
        <v>13412200</v>
      </c>
      <c r="C387" s="89" t="s">
        <v>808</v>
      </c>
      <c r="D387" s="90" t="s">
        <v>4736</v>
      </c>
      <c r="E387" s="89"/>
      <c r="F387" s="91" t="s">
        <v>4737</v>
      </c>
    </row>
    <row r="388" spans="2:6" ht="45" x14ac:dyDescent="0.25">
      <c r="B388" s="88">
        <v>13412210</v>
      </c>
      <c r="C388" s="89" t="s">
        <v>810</v>
      </c>
      <c r="D388" s="90" t="s">
        <v>4736</v>
      </c>
      <c r="E388" s="89"/>
      <c r="F388" s="91" t="s">
        <v>4737</v>
      </c>
    </row>
    <row r="389" spans="2:6" ht="60" x14ac:dyDescent="0.25">
      <c r="B389" s="88">
        <v>13412211</v>
      </c>
      <c r="C389" s="89" t="s">
        <v>812</v>
      </c>
      <c r="D389" s="90" t="s">
        <v>4736</v>
      </c>
      <c r="E389" s="89"/>
      <c r="F389" s="91" t="s">
        <v>4737</v>
      </c>
    </row>
    <row r="390" spans="2:6" ht="60" x14ac:dyDescent="0.25">
      <c r="B390" s="88">
        <v>13412212</v>
      </c>
      <c r="C390" s="89" t="s">
        <v>814</v>
      </c>
      <c r="D390" s="90" t="s">
        <v>4736</v>
      </c>
      <c r="E390" s="89"/>
      <c r="F390" s="91" t="s">
        <v>4737</v>
      </c>
    </row>
    <row r="391" spans="2:6" ht="60" x14ac:dyDescent="0.25">
      <c r="B391" s="88">
        <v>13412220</v>
      </c>
      <c r="C391" s="89" t="s">
        <v>816</v>
      </c>
      <c r="D391" s="90" t="s">
        <v>4736</v>
      </c>
      <c r="E391" s="89"/>
      <c r="F391" s="91" t="s">
        <v>4737</v>
      </c>
    </row>
    <row r="392" spans="2:6" ht="60" x14ac:dyDescent="0.25">
      <c r="B392" s="88">
        <v>13412221</v>
      </c>
      <c r="C392" s="89" t="s">
        <v>818</v>
      </c>
      <c r="D392" s="90" t="s">
        <v>4736</v>
      </c>
      <c r="E392" s="89"/>
      <c r="F392" s="91" t="s">
        <v>4737</v>
      </c>
    </row>
    <row r="393" spans="2:6" ht="60" x14ac:dyDescent="0.25">
      <c r="B393" s="88">
        <v>13412222</v>
      </c>
      <c r="C393" s="89" t="s">
        <v>820</v>
      </c>
      <c r="D393" s="90" t="s">
        <v>4736</v>
      </c>
      <c r="E393" s="89"/>
      <c r="F393" s="91" t="s">
        <v>4737</v>
      </c>
    </row>
    <row r="394" spans="2:6" ht="60" x14ac:dyDescent="0.25">
      <c r="B394" s="88">
        <v>13412230</v>
      </c>
      <c r="C394" s="89" t="s">
        <v>822</v>
      </c>
      <c r="D394" s="90" t="s">
        <v>4736</v>
      </c>
      <c r="E394" s="89"/>
      <c r="F394" s="91" t="s">
        <v>4737</v>
      </c>
    </row>
    <row r="395" spans="2:6" ht="30" x14ac:dyDescent="0.25">
      <c r="B395" s="88">
        <v>13420000</v>
      </c>
      <c r="C395" s="89" t="s">
        <v>824</v>
      </c>
      <c r="D395" s="90" t="s">
        <v>4736</v>
      </c>
      <c r="E395" s="89"/>
      <c r="F395" s="91" t="s">
        <v>4737</v>
      </c>
    </row>
    <row r="396" spans="2:6" ht="30" x14ac:dyDescent="0.25">
      <c r="B396" s="88">
        <v>13420010</v>
      </c>
      <c r="C396" s="89" t="s">
        <v>826</v>
      </c>
      <c r="D396" s="90" t="s">
        <v>4736</v>
      </c>
      <c r="E396" s="89"/>
      <c r="F396" s="91" t="s">
        <v>4737</v>
      </c>
    </row>
    <row r="397" spans="2:6" ht="45" x14ac:dyDescent="0.25">
      <c r="B397" s="88">
        <v>13420011</v>
      </c>
      <c r="C397" s="89" t="s">
        <v>828</v>
      </c>
      <c r="D397" s="90" t="s">
        <v>4736</v>
      </c>
      <c r="E397" s="89"/>
      <c r="F397" s="91" t="s">
        <v>4737</v>
      </c>
    </row>
    <row r="398" spans="2:6" ht="45" x14ac:dyDescent="0.25">
      <c r="B398" s="88">
        <v>13420012</v>
      </c>
      <c r="C398" s="89" t="s">
        <v>830</v>
      </c>
      <c r="D398" s="90" t="s">
        <v>4736</v>
      </c>
      <c r="E398" s="89"/>
      <c r="F398" s="91" t="s">
        <v>4737</v>
      </c>
    </row>
    <row r="399" spans="2:6" ht="30" x14ac:dyDescent="0.25">
      <c r="B399" s="88">
        <v>13430000</v>
      </c>
      <c r="C399" s="89" t="s">
        <v>832</v>
      </c>
      <c r="D399" s="90">
        <v>13420000</v>
      </c>
      <c r="E399" s="89" t="s">
        <v>3796</v>
      </c>
      <c r="F399" s="91"/>
    </row>
    <row r="400" spans="2:6" ht="45" x14ac:dyDescent="0.25">
      <c r="B400" s="88">
        <v>13431000</v>
      </c>
      <c r="C400" s="89" t="s">
        <v>835</v>
      </c>
      <c r="D400" s="90">
        <v>13420200</v>
      </c>
      <c r="E400" s="89" t="s">
        <v>3798</v>
      </c>
      <c r="F400" s="91"/>
    </row>
    <row r="401" spans="2:6" ht="45" x14ac:dyDescent="0.25">
      <c r="B401" s="88">
        <v>13431100</v>
      </c>
      <c r="C401" s="89" t="s">
        <v>837</v>
      </c>
      <c r="D401" s="90">
        <v>13420211</v>
      </c>
      <c r="E401" s="89" t="s">
        <v>3802</v>
      </c>
      <c r="F401" s="91"/>
    </row>
    <row r="402" spans="2:6" ht="45" x14ac:dyDescent="0.25">
      <c r="B402" s="88">
        <v>13431200</v>
      </c>
      <c r="C402" s="89" t="s">
        <v>839</v>
      </c>
      <c r="D402" s="90">
        <v>13420240</v>
      </c>
      <c r="E402" s="89" t="s">
        <v>3806</v>
      </c>
      <c r="F402" s="91"/>
    </row>
    <row r="403" spans="2:6" ht="45" x14ac:dyDescent="0.25">
      <c r="B403" s="88">
        <v>13431210</v>
      </c>
      <c r="C403" s="89" t="s">
        <v>841</v>
      </c>
      <c r="D403" s="90" t="s">
        <v>4736</v>
      </c>
      <c r="E403" s="89"/>
      <c r="F403" s="91" t="s">
        <v>4885</v>
      </c>
    </row>
    <row r="404" spans="2:6" ht="45" x14ac:dyDescent="0.25">
      <c r="B404" s="88">
        <v>13431220</v>
      </c>
      <c r="C404" s="89" t="s">
        <v>843</v>
      </c>
      <c r="D404" s="90">
        <v>13420241</v>
      </c>
      <c r="E404" s="89" t="s">
        <v>3808</v>
      </c>
      <c r="F404" s="91"/>
    </row>
    <row r="405" spans="2:6" ht="45" x14ac:dyDescent="0.25">
      <c r="B405" s="88">
        <v>13432000</v>
      </c>
      <c r="C405" s="89" t="s">
        <v>845</v>
      </c>
      <c r="D405" s="90">
        <v>13420300</v>
      </c>
      <c r="E405" s="89" t="s">
        <v>3812</v>
      </c>
      <c r="F405" s="91"/>
    </row>
    <row r="406" spans="2:6" ht="45" x14ac:dyDescent="0.25">
      <c r="B406" s="88">
        <v>13432100</v>
      </c>
      <c r="C406" s="89" t="s">
        <v>847</v>
      </c>
      <c r="D406" s="90">
        <v>13420311</v>
      </c>
      <c r="E406" s="89" t="s">
        <v>3816</v>
      </c>
      <c r="F406" s="91"/>
    </row>
    <row r="407" spans="2:6" ht="45" x14ac:dyDescent="0.25">
      <c r="B407" s="88">
        <v>13432200</v>
      </c>
      <c r="C407" s="89" t="s">
        <v>849</v>
      </c>
      <c r="D407" s="90">
        <v>13420340</v>
      </c>
      <c r="E407" s="89" t="s">
        <v>3820</v>
      </c>
      <c r="F407" s="91"/>
    </row>
    <row r="408" spans="2:6" ht="45" x14ac:dyDescent="0.25">
      <c r="B408" s="88">
        <v>13432210</v>
      </c>
      <c r="C408" s="89" t="s">
        <v>851</v>
      </c>
      <c r="D408" s="90" t="s">
        <v>4736</v>
      </c>
      <c r="E408" s="89"/>
      <c r="F408" s="91" t="s">
        <v>4885</v>
      </c>
    </row>
    <row r="409" spans="2:6" ht="45" x14ac:dyDescent="0.25">
      <c r="B409" s="88">
        <v>13432220</v>
      </c>
      <c r="C409" s="89" t="s">
        <v>853</v>
      </c>
      <c r="D409" s="90">
        <v>13420341</v>
      </c>
      <c r="E409" s="89" t="s">
        <v>3822</v>
      </c>
      <c r="F409" s="91"/>
    </row>
    <row r="410" spans="2:6" ht="30" x14ac:dyDescent="0.25">
      <c r="B410" s="88">
        <v>13440000</v>
      </c>
      <c r="C410" s="89" t="s">
        <v>855</v>
      </c>
      <c r="D410" s="90">
        <v>13410000</v>
      </c>
      <c r="E410" s="89" t="s">
        <v>3720</v>
      </c>
      <c r="F410" s="91"/>
    </row>
    <row r="411" spans="2:6" ht="30" x14ac:dyDescent="0.25">
      <c r="B411" s="88">
        <v>13441100</v>
      </c>
      <c r="C411" s="89" t="s">
        <v>857</v>
      </c>
      <c r="D411" s="90">
        <v>13410211</v>
      </c>
      <c r="E411" s="89" t="s">
        <v>3737</v>
      </c>
      <c r="F411" s="91"/>
    </row>
    <row r="412" spans="2:6" ht="30" x14ac:dyDescent="0.25">
      <c r="B412" s="88">
        <v>13441200</v>
      </c>
      <c r="C412" s="89" t="s">
        <v>859</v>
      </c>
      <c r="D412" s="90">
        <v>13410200</v>
      </c>
      <c r="E412" s="89" t="s">
        <v>3735</v>
      </c>
      <c r="F412" s="91"/>
    </row>
    <row r="413" spans="2:6" ht="60" x14ac:dyDescent="0.25">
      <c r="B413" s="88">
        <v>13441211</v>
      </c>
      <c r="C413" s="89" t="s">
        <v>861</v>
      </c>
      <c r="D413" s="90">
        <v>13410221</v>
      </c>
      <c r="E413" s="89" t="s">
        <v>3742</v>
      </c>
      <c r="F413" s="91"/>
    </row>
    <row r="414" spans="2:6" ht="60" x14ac:dyDescent="0.25">
      <c r="B414" s="88">
        <v>13441212</v>
      </c>
      <c r="C414" s="89" t="s">
        <v>863</v>
      </c>
      <c r="D414" s="90">
        <v>13410231</v>
      </c>
      <c r="E414" s="89" t="s">
        <v>3748</v>
      </c>
      <c r="F414" s="91"/>
    </row>
    <row r="415" spans="2:6" ht="60" x14ac:dyDescent="0.25">
      <c r="B415" s="88">
        <v>13441220</v>
      </c>
      <c r="C415" s="89" t="s">
        <v>865</v>
      </c>
      <c r="D415" s="90">
        <v>13410241</v>
      </c>
      <c r="E415" s="89" t="s">
        <v>3752</v>
      </c>
      <c r="F415" s="91"/>
    </row>
    <row r="416" spans="2:6" ht="30" x14ac:dyDescent="0.25">
      <c r="B416" s="88">
        <v>13442100</v>
      </c>
      <c r="C416" s="89" t="s">
        <v>867</v>
      </c>
      <c r="D416" s="90">
        <v>13410311</v>
      </c>
      <c r="E416" s="89" t="s">
        <v>3757</v>
      </c>
      <c r="F416" s="91"/>
    </row>
    <row r="417" spans="2:6" ht="30" x14ac:dyDescent="0.25">
      <c r="B417" s="88">
        <v>13442200</v>
      </c>
      <c r="C417" s="89" t="s">
        <v>869</v>
      </c>
      <c r="D417" s="90">
        <v>13410300</v>
      </c>
      <c r="E417" s="89" t="s">
        <v>3755</v>
      </c>
      <c r="F417" s="91"/>
    </row>
    <row r="418" spans="2:6" ht="60" x14ac:dyDescent="0.25">
      <c r="B418" s="88">
        <v>13442211</v>
      </c>
      <c r="C418" s="89" t="s">
        <v>871</v>
      </c>
      <c r="D418" s="90">
        <v>13410321</v>
      </c>
      <c r="E418" s="89" t="s">
        <v>3763</v>
      </c>
      <c r="F418" s="91"/>
    </row>
    <row r="419" spans="2:6" ht="60" x14ac:dyDescent="0.25">
      <c r="B419" s="88">
        <v>13442212</v>
      </c>
      <c r="C419" s="89" t="s">
        <v>873</v>
      </c>
      <c r="D419" s="90">
        <v>13410331</v>
      </c>
      <c r="E419" s="89" t="s">
        <v>3768</v>
      </c>
      <c r="F419" s="91"/>
    </row>
    <row r="420" spans="2:6" ht="60" x14ac:dyDescent="0.25">
      <c r="B420" s="88">
        <v>13442220</v>
      </c>
      <c r="C420" s="89" t="s">
        <v>875</v>
      </c>
      <c r="D420" s="90">
        <v>13410341</v>
      </c>
      <c r="E420" s="89" t="s">
        <v>3772</v>
      </c>
      <c r="F420" s="91"/>
    </row>
    <row r="421" spans="2:6" ht="30" x14ac:dyDescent="0.25">
      <c r="B421" s="88">
        <v>13443100</v>
      </c>
      <c r="C421" s="89" t="s">
        <v>877</v>
      </c>
      <c r="D421" s="90">
        <v>13410411</v>
      </c>
      <c r="E421" s="89" t="s">
        <v>3778</v>
      </c>
      <c r="F421" s="91"/>
    </row>
    <row r="422" spans="2:6" ht="30" x14ac:dyDescent="0.25">
      <c r="B422" s="88">
        <v>13443200</v>
      </c>
      <c r="C422" s="89" t="s">
        <v>879</v>
      </c>
      <c r="D422" s="90">
        <v>13410400</v>
      </c>
      <c r="E422" s="89" t="s">
        <v>3775</v>
      </c>
      <c r="F422" s="91"/>
    </row>
    <row r="423" spans="2:6" ht="60" x14ac:dyDescent="0.25">
      <c r="B423" s="88">
        <v>13443211</v>
      </c>
      <c r="C423" s="89" t="s">
        <v>881</v>
      </c>
      <c r="D423" s="90">
        <v>13410421</v>
      </c>
      <c r="E423" s="89" t="s">
        <v>3783</v>
      </c>
      <c r="F423" s="91"/>
    </row>
    <row r="424" spans="2:6" ht="60" x14ac:dyDescent="0.25">
      <c r="B424" s="88">
        <v>13443212</v>
      </c>
      <c r="C424" s="89" t="s">
        <v>883</v>
      </c>
      <c r="D424" s="90">
        <v>13410431</v>
      </c>
      <c r="E424" s="89" t="s">
        <v>3788</v>
      </c>
      <c r="F424" s="91"/>
    </row>
    <row r="425" spans="2:6" ht="60" x14ac:dyDescent="0.25">
      <c r="B425" s="88">
        <v>13443220</v>
      </c>
      <c r="C425" s="89" t="s">
        <v>885</v>
      </c>
      <c r="D425" s="90">
        <v>13410441</v>
      </c>
      <c r="E425" s="89" t="s">
        <v>3793</v>
      </c>
      <c r="F425" s="91"/>
    </row>
    <row r="426" spans="2:6" ht="30" x14ac:dyDescent="0.25">
      <c r="B426" s="88">
        <v>13500000</v>
      </c>
      <c r="C426" s="89" t="s">
        <v>784</v>
      </c>
      <c r="D426" s="90">
        <v>13500000</v>
      </c>
      <c r="E426" s="89" t="s">
        <v>3997</v>
      </c>
      <c r="F426" s="91"/>
    </row>
    <row r="427" spans="2:6" ht="30" x14ac:dyDescent="0.25">
      <c r="B427" s="88">
        <v>13510000</v>
      </c>
      <c r="C427" s="89" t="s">
        <v>888</v>
      </c>
      <c r="D427" s="90">
        <v>13500311</v>
      </c>
      <c r="E427" s="89" t="s">
        <v>4015</v>
      </c>
      <c r="F427" s="91"/>
    </row>
    <row r="428" spans="2:6" ht="30" x14ac:dyDescent="0.25">
      <c r="B428" s="88">
        <v>13510100</v>
      </c>
      <c r="C428" s="89" t="s">
        <v>890</v>
      </c>
      <c r="D428" s="90">
        <v>13500311</v>
      </c>
      <c r="E428" s="89" t="s">
        <v>4015</v>
      </c>
      <c r="F428" s="91"/>
    </row>
    <row r="429" spans="2:6" ht="45" x14ac:dyDescent="0.25">
      <c r="B429" s="88">
        <v>13510200</v>
      </c>
      <c r="C429" s="89" t="s">
        <v>892</v>
      </c>
      <c r="D429" s="90">
        <v>13500311</v>
      </c>
      <c r="E429" s="89" t="s">
        <v>4015</v>
      </c>
      <c r="F429" s="91"/>
    </row>
    <row r="430" spans="2:6" ht="30" x14ac:dyDescent="0.25">
      <c r="B430" s="88">
        <v>13510300</v>
      </c>
      <c r="C430" s="89" t="s">
        <v>894</v>
      </c>
      <c r="D430" s="90">
        <v>13500311</v>
      </c>
      <c r="E430" s="89" t="s">
        <v>4015</v>
      </c>
      <c r="F430" s="91"/>
    </row>
    <row r="431" spans="2:6" ht="45" x14ac:dyDescent="0.25">
      <c r="B431" s="88">
        <v>13510400</v>
      </c>
      <c r="C431" s="89" t="s">
        <v>895</v>
      </c>
      <c r="D431" s="90">
        <v>13500311</v>
      </c>
      <c r="E431" s="89" t="s">
        <v>4015</v>
      </c>
      <c r="F431" s="91"/>
    </row>
    <row r="432" spans="2:6" ht="30" x14ac:dyDescent="0.25">
      <c r="B432" s="88">
        <v>13520000</v>
      </c>
      <c r="C432" s="89" t="s">
        <v>896</v>
      </c>
      <c r="D432" s="90">
        <v>13900011</v>
      </c>
      <c r="E432" s="89" t="s">
        <v>4031</v>
      </c>
      <c r="F432" s="91"/>
    </row>
    <row r="433" spans="2:6" x14ac:dyDescent="0.25">
      <c r="B433" s="88">
        <v>13600000</v>
      </c>
      <c r="C433" s="89" t="s">
        <v>898</v>
      </c>
      <c r="D433" s="90">
        <v>13600000</v>
      </c>
      <c r="E433" s="89" t="s">
        <v>4018</v>
      </c>
      <c r="F433" s="91"/>
    </row>
    <row r="434" spans="2:6" ht="30" x14ac:dyDescent="0.25">
      <c r="B434" s="88">
        <v>13610000</v>
      </c>
      <c r="C434" s="89" t="s">
        <v>900</v>
      </c>
      <c r="D434" s="90">
        <v>13600110</v>
      </c>
      <c r="E434" s="89" t="s">
        <v>4020</v>
      </c>
      <c r="F434" s="91"/>
    </row>
    <row r="435" spans="2:6" ht="30" x14ac:dyDescent="0.25">
      <c r="B435" s="88">
        <v>13610100</v>
      </c>
      <c r="C435" s="89" t="s">
        <v>902</v>
      </c>
      <c r="D435" s="90">
        <v>13600111</v>
      </c>
      <c r="E435" s="89" t="s">
        <v>4022</v>
      </c>
      <c r="F435" s="91"/>
    </row>
    <row r="436" spans="2:6" ht="30" x14ac:dyDescent="0.25">
      <c r="B436" s="88">
        <v>13610200</v>
      </c>
      <c r="C436" s="89" t="s">
        <v>904</v>
      </c>
      <c r="D436" s="90">
        <v>13600111</v>
      </c>
      <c r="E436" s="89" t="s">
        <v>4022</v>
      </c>
      <c r="F436" s="91"/>
    </row>
    <row r="437" spans="2:6" ht="30" x14ac:dyDescent="0.25">
      <c r="B437" s="88">
        <v>13610300</v>
      </c>
      <c r="C437" s="89" t="s">
        <v>906</v>
      </c>
      <c r="D437" s="90">
        <v>13600111</v>
      </c>
      <c r="E437" s="89" t="s">
        <v>4022</v>
      </c>
      <c r="F437" s="91"/>
    </row>
    <row r="438" spans="2:6" x14ac:dyDescent="0.25">
      <c r="B438" s="88">
        <v>13900000</v>
      </c>
      <c r="C438" s="89" t="s">
        <v>908</v>
      </c>
      <c r="D438" s="90">
        <v>13900011</v>
      </c>
      <c r="E438" s="89" t="s">
        <v>4031</v>
      </c>
      <c r="F438" s="91"/>
    </row>
    <row r="439" spans="2:6" x14ac:dyDescent="0.25">
      <c r="B439" s="88">
        <v>14000000</v>
      </c>
      <c r="C439" s="89" t="s">
        <v>910</v>
      </c>
      <c r="D439" s="90">
        <v>14000011</v>
      </c>
      <c r="E439" s="89" t="s">
        <v>4039</v>
      </c>
      <c r="F439" s="91"/>
    </row>
    <row r="440" spans="2:6" x14ac:dyDescent="0.25">
      <c r="B440" s="88">
        <v>14100000</v>
      </c>
      <c r="C440" s="89" t="s">
        <v>912</v>
      </c>
      <c r="D440" s="90">
        <v>14000011</v>
      </c>
      <c r="E440" s="89" t="s">
        <v>4039</v>
      </c>
      <c r="F440" s="91"/>
    </row>
    <row r="441" spans="2:6" x14ac:dyDescent="0.25">
      <c r="B441" s="88">
        <v>14200000</v>
      </c>
      <c r="C441" s="89" t="s">
        <v>914</v>
      </c>
      <c r="D441" s="90">
        <v>14000011</v>
      </c>
      <c r="E441" s="89" t="s">
        <v>4039</v>
      </c>
      <c r="F441" s="91"/>
    </row>
    <row r="442" spans="2:6" x14ac:dyDescent="0.25">
      <c r="B442" s="88">
        <v>14900000</v>
      </c>
      <c r="C442" s="89" t="s">
        <v>916</v>
      </c>
      <c r="D442" s="90">
        <v>14000011</v>
      </c>
      <c r="E442" s="89" t="s">
        <v>4039</v>
      </c>
      <c r="F442" s="91"/>
    </row>
    <row r="443" spans="2:6" x14ac:dyDescent="0.25">
      <c r="B443" s="88">
        <v>15000000</v>
      </c>
      <c r="C443" s="89" t="s">
        <v>918</v>
      </c>
      <c r="D443" s="90">
        <v>15000011</v>
      </c>
      <c r="E443" s="89" t="s">
        <v>4047</v>
      </c>
      <c r="F443" s="91"/>
    </row>
    <row r="444" spans="2:6" x14ac:dyDescent="0.25">
      <c r="B444" s="88">
        <v>15100000</v>
      </c>
      <c r="C444" s="89" t="s">
        <v>920</v>
      </c>
      <c r="D444" s="90">
        <v>15000011</v>
      </c>
      <c r="E444" s="89" t="s">
        <v>4047</v>
      </c>
      <c r="F444" s="91"/>
    </row>
    <row r="445" spans="2:6" x14ac:dyDescent="0.25">
      <c r="B445" s="88">
        <v>15200000</v>
      </c>
      <c r="C445" s="89" t="s">
        <v>922</v>
      </c>
      <c r="D445" s="90">
        <v>15000011</v>
      </c>
      <c r="E445" s="89" t="s">
        <v>4047</v>
      </c>
      <c r="F445" s="91"/>
    </row>
    <row r="446" spans="2:6" x14ac:dyDescent="0.25">
      <c r="B446" s="88">
        <v>15201200</v>
      </c>
      <c r="C446" s="89" t="s">
        <v>924</v>
      </c>
      <c r="D446" s="90">
        <v>15000011</v>
      </c>
      <c r="E446" s="89" t="s">
        <v>4047</v>
      </c>
      <c r="F446" s="91"/>
    </row>
    <row r="447" spans="2:6" x14ac:dyDescent="0.25">
      <c r="B447" s="88">
        <v>15202000</v>
      </c>
      <c r="C447" s="89" t="s">
        <v>926</v>
      </c>
      <c r="D447" s="90">
        <v>15000011</v>
      </c>
      <c r="E447" s="89" t="s">
        <v>4047</v>
      </c>
      <c r="F447" s="91"/>
    </row>
    <row r="448" spans="2:6" ht="30" x14ac:dyDescent="0.25">
      <c r="B448" s="88">
        <v>15202100</v>
      </c>
      <c r="C448" s="89" t="s">
        <v>928</v>
      </c>
      <c r="D448" s="90">
        <v>15000011</v>
      </c>
      <c r="E448" s="89" t="s">
        <v>4047</v>
      </c>
      <c r="F448" s="91"/>
    </row>
    <row r="449" spans="2:6" x14ac:dyDescent="0.25">
      <c r="B449" s="88">
        <v>15202101</v>
      </c>
      <c r="C449" s="89" t="s">
        <v>930</v>
      </c>
      <c r="D449" s="90">
        <v>15000011</v>
      </c>
      <c r="E449" s="89" t="s">
        <v>4047</v>
      </c>
      <c r="F449" s="91"/>
    </row>
    <row r="450" spans="2:6" x14ac:dyDescent="0.25">
      <c r="B450" s="88">
        <v>15202102</v>
      </c>
      <c r="C450" s="89" t="s">
        <v>932</v>
      </c>
      <c r="D450" s="90">
        <v>15000011</v>
      </c>
      <c r="E450" s="89" t="s">
        <v>4047</v>
      </c>
      <c r="F450" s="91"/>
    </row>
    <row r="451" spans="2:6" x14ac:dyDescent="0.25">
      <c r="B451" s="88">
        <v>15202200</v>
      </c>
      <c r="C451" s="89" t="s">
        <v>934</v>
      </c>
      <c r="D451" s="90">
        <v>15000011</v>
      </c>
      <c r="E451" s="89" t="s">
        <v>4047</v>
      </c>
      <c r="F451" s="91"/>
    </row>
    <row r="452" spans="2:6" x14ac:dyDescent="0.25">
      <c r="B452" s="88">
        <v>15202600</v>
      </c>
      <c r="C452" s="89" t="s">
        <v>936</v>
      </c>
      <c r="D452" s="90">
        <v>15000011</v>
      </c>
      <c r="E452" s="89" t="s">
        <v>4047</v>
      </c>
      <c r="F452" s="91"/>
    </row>
    <row r="453" spans="2:6" x14ac:dyDescent="0.25">
      <c r="B453" s="88">
        <v>15202700</v>
      </c>
      <c r="C453" s="89" t="s">
        <v>938</v>
      </c>
      <c r="D453" s="90">
        <v>15000011</v>
      </c>
      <c r="E453" s="89" t="s">
        <v>4047</v>
      </c>
      <c r="F453" s="91"/>
    </row>
    <row r="454" spans="2:6" x14ac:dyDescent="0.25">
      <c r="B454" s="88">
        <v>15202800</v>
      </c>
      <c r="C454" s="89" t="s">
        <v>940</v>
      </c>
      <c r="D454" s="90">
        <v>15000011</v>
      </c>
      <c r="E454" s="89" t="s">
        <v>4047</v>
      </c>
      <c r="F454" s="91"/>
    </row>
    <row r="455" spans="2:6" x14ac:dyDescent="0.25">
      <c r="B455" s="88">
        <v>15202900</v>
      </c>
      <c r="C455" s="89" t="s">
        <v>942</v>
      </c>
      <c r="D455" s="90">
        <v>15000011</v>
      </c>
      <c r="E455" s="89" t="s">
        <v>4047</v>
      </c>
      <c r="F455" s="91"/>
    </row>
    <row r="456" spans="2:6" x14ac:dyDescent="0.25">
      <c r="B456" s="88">
        <v>15203000</v>
      </c>
      <c r="C456" s="89" t="s">
        <v>944</v>
      </c>
      <c r="D456" s="90">
        <v>15000011</v>
      </c>
      <c r="E456" s="89" t="s">
        <v>4047</v>
      </c>
      <c r="F456" s="91"/>
    </row>
    <row r="457" spans="2:6" x14ac:dyDescent="0.25">
      <c r="B457" s="88">
        <v>15209900</v>
      </c>
      <c r="C457" s="89" t="s">
        <v>946</v>
      </c>
      <c r="D457" s="90">
        <v>15000011</v>
      </c>
      <c r="E457" s="89" t="s">
        <v>4047</v>
      </c>
      <c r="F457" s="91"/>
    </row>
    <row r="458" spans="2:6" x14ac:dyDescent="0.25">
      <c r="B458" s="88">
        <v>15300000</v>
      </c>
      <c r="C458" s="89" t="s">
        <v>948</v>
      </c>
      <c r="D458" s="90">
        <v>15000011</v>
      </c>
      <c r="E458" s="89" t="s">
        <v>4047</v>
      </c>
      <c r="F458" s="91"/>
    </row>
    <row r="459" spans="2:6" x14ac:dyDescent="0.25">
      <c r="B459" s="88">
        <v>15900000</v>
      </c>
      <c r="C459" s="89" t="s">
        <v>950</v>
      </c>
      <c r="D459" s="90">
        <v>15000011</v>
      </c>
      <c r="E459" s="89" t="s">
        <v>4047</v>
      </c>
      <c r="F459" s="91"/>
    </row>
    <row r="460" spans="2:6" x14ac:dyDescent="0.25">
      <c r="B460" s="88">
        <v>16000000</v>
      </c>
      <c r="C460" s="89" t="s">
        <v>952</v>
      </c>
      <c r="D460" s="90">
        <v>16000000</v>
      </c>
      <c r="E460" s="89" t="s">
        <v>952</v>
      </c>
      <c r="F460" s="91"/>
    </row>
    <row r="461" spans="2:6" x14ac:dyDescent="0.25">
      <c r="B461" s="88">
        <v>16000100</v>
      </c>
      <c r="C461" s="89" t="s">
        <v>954</v>
      </c>
      <c r="D461" s="90">
        <v>16100111</v>
      </c>
      <c r="E461" s="89" t="s">
        <v>4056</v>
      </c>
      <c r="F461" s="91"/>
    </row>
    <row r="462" spans="2:6" x14ac:dyDescent="0.25">
      <c r="B462" s="88">
        <v>16000101</v>
      </c>
      <c r="C462" s="89" t="s">
        <v>956</v>
      </c>
      <c r="D462" s="90">
        <v>16100111</v>
      </c>
      <c r="E462" s="89" t="s">
        <v>4056</v>
      </c>
      <c r="F462" s="91"/>
    </row>
    <row r="463" spans="2:6" ht="30" x14ac:dyDescent="0.25">
      <c r="B463" s="88">
        <v>16000102</v>
      </c>
      <c r="C463" s="89" t="s">
        <v>958</v>
      </c>
      <c r="D463" s="90">
        <v>16100111</v>
      </c>
      <c r="E463" s="89" t="s">
        <v>4056</v>
      </c>
      <c r="F463" s="91"/>
    </row>
    <row r="464" spans="2:6" ht="30" x14ac:dyDescent="0.25">
      <c r="B464" s="88">
        <v>16000103</v>
      </c>
      <c r="C464" s="89" t="s">
        <v>960</v>
      </c>
      <c r="D464" s="90">
        <v>16100111</v>
      </c>
      <c r="E464" s="89" t="s">
        <v>4056</v>
      </c>
      <c r="F464" s="91"/>
    </row>
    <row r="465" spans="2:6" ht="30" x14ac:dyDescent="0.25">
      <c r="B465" s="88">
        <v>16000106</v>
      </c>
      <c r="C465" s="89" t="s">
        <v>962</v>
      </c>
      <c r="D465" s="90">
        <v>16100111</v>
      </c>
      <c r="E465" s="89" t="s">
        <v>4056</v>
      </c>
      <c r="F465" s="91"/>
    </row>
    <row r="466" spans="2:6" ht="30" x14ac:dyDescent="0.25">
      <c r="B466" s="88">
        <v>16000108</v>
      </c>
      <c r="C466" s="89" t="s">
        <v>964</v>
      </c>
      <c r="D466" s="90">
        <v>16100111</v>
      </c>
      <c r="E466" s="89" t="s">
        <v>4056</v>
      </c>
      <c r="F466" s="91"/>
    </row>
    <row r="467" spans="2:6" ht="30" x14ac:dyDescent="0.25">
      <c r="B467" s="88">
        <v>16000109</v>
      </c>
      <c r="C467" s="89" t="s">
        <v>966</v>
      </c>
      <c r="D467" s="90">
        <v>16100111</v>
      </c>
      <c r="E467" s="89" t="s">
        <v>4056</v>
      </c>
      <c r="F467" s="91"/>
    </row>
    <row r="468" spans="2:6" x14ac:dyDescent="0.25">
      <c r="B468" s="88">
        <v>16000110</v>
      </c>
      <c r="C468" s="89" t="s">
        <v>968</v>
      </c>
      <c r="D468" s="90">
        <v>16100111</v>
      </c>
      <c r="E468" s="89" t="s">
        <v>4056</v>
      </c>
      <c r="F468" s="91"/>
    </row>
    <row r="469" spans="2:6" x14ac:dyDescent="0.25">
      <c r="B469" s="88">
        <v>16000199</v>
      </c>
      <c r="C469" s="89" t="s">
        <v>970</v>
      </c>
      <c r="D469" s="90">
        <v>16100111</v>
      </c>
      <c r="E469" s="89" t="s">
        <v>4056</v>
      </c>
      <c r="F469" s="91"/>
    </row>
    <row r="470" spans="2:6" x14ac:dyDescent="0.25">
      <c r="B470" s="88">
        <v>16000200</v>
      </c>
      <c r="C470" s="89" t="s">
        <v>972</v>
      </c>
      <c r="D470" s="90">
        <v>16400110</v>
      </c>
      <c r="E470" s="89" t="s">
        <v>4166</v>
      </c>
      <c r="F470" s="91"/>
    </row>
    <row r="471" spans="2:6" ht="30" x14ac:dyDescent="0.25">
      <c r="B471" s="88">
        <v>16000201</v>
      </c>
      <c r="C471" s="89" t="s">
        <v>974</v>
      </c>
      <c r="D471" s="90">
        <v>16400111</v>
      </c>
      <c r="E471" s="89" t="s">
        <v>4168</v>
      </c>
      <c r="F471" s="91"/>
    </row>
    <row r="472" spans="2:6" ht="30" x14ac:dyDescent="0.25">
      <c r="B472" s="88">
        <v>16000203</v>
      </c>
      <c r="C472" s="89" t="s">
        <v>976</v>
      </c>
      <c r="D472" s="90">
        <v>16400111</v>
      </c>
      <c r="E472" s="89" t="s">
        <v>4168</v>
      </c>
      <c r="F472" s="91"/>
    </row>
    <row r="473" spans="2:6" ht="30" x14ac:dyDescent="0.25">
      <c r="B473" s="88">
        <v>16000205</v>
      </c>
      <c r="C473" s="89" t="s">
        <v>978</v>
      </c>
      <c r="D473" s="90">
        <v>16400111</v>
      </c>
      <c r="E473" s="89" t="s">
        <v>4168</v>
      </c>
      <c r="F473" s="91"/>
    </row>
    <row r="474" spans="2:6" ht="30" x14ac:dyDescent="0.25">
      <c r="B474" s="88">
        <v>16000206</v>
      </c>
      <c r="C474" s="89" t="s">
        <v>980</v>
      </c>
      <c r="D474" s="90">
        <v>16400311</v>
      </c>
      <c r="E474" s="89" t="s">
        <v>4184</v>
      </c>
      <c r="F474" s="91"/>
    </row>
    <row r="475" spans="2:6" ht="30" x14ac:dyDescent="0.25">
      <c r="B475" s="88">
        <v>16000211</v>
      </c>
      <c r="C475" s="89" t="s">
        <v>982</v>
      </c>
      <c r="D475" s="90">
        <v>16400111</v>
      </c>
      <c r="E475" s="89" t="s">
        <v>4168</v>
      </c>
      <c r="F475" s="91"/>
    </row>
    <row r="476" spans="2:6" ht="30" x14ac:dyDescent="0.25">
      <c r="B476" s="88">
        <v>16000212</v>
      </c>
      <c r="C476" s="89" t="s">
        <v>984</v>
      </c>
      <c r="D476" s="90">
        <v>16400111</v>
      </c>
      <c r="E476" s="89" t="s">
        <v>4168</v>
      </c>
      <c r="F476" s="91"/>
    </row>
    <row r="477" spans="2:6" ht="30" x14ac:dyDescent="0.25">
      <c r="B477" s="88">
        <v>16000299</v>
      </c>
      <c r="C477" s="89" t="s">
        <v>986</v>
      </c>
      <c r="D477" s="90">
        <v>16400111</v>
      </c>
      <c r="E477" s="89" t="s">
        <v>4168</v>
      </c>
      <c r="F477" s="91"/>
    </row>
    <row r="478" spans="2:6" x14ac:dyDescent="0.25">
      <c r="B478" s="88">
        <v>16000300</v>
      </c>
      <c r="C478" s="89" t="s">
        <v>988</v>
      </c>
      <c r="D478" s="90">
        <v>16200210</v>
      </c>
      <c r="E478" s="89" t="s">
        <v>4957</v>
      </c>
      <c r="F478" s="91"/>
    </row>
    <row r="479" spans="2:6" x14ac:dyDescent="0.25">
      <c r="B479" s="88">
        <v>16000301</v>
      </c>
      <c r="C479" s="89" t="s">
        <v>990</v>
      </c>
      <c r="D479" s="90">
        <v>16200211</v>
      </c>
      <c r="E479" s="89" t="s">
        <v>4094</v>
      </c>
      <c r="F479" s="91"/>
    </row>
    <row r="480" spans="2:6" x14ac:dyDescent="0.25">
      <c r="B480" s="88">
        <v>16000302</v>
      </c>
      <c r="C480" s="89" t="s">
        <v>992</v>
      </c>
      <c r="D480" s="90">
        <v>16200211</v>
      </c>
      <c r="E480" s="89" t="s">
        <v>4094</v>
      </c>
      <c r="F480" s="91"/>
    </row>
    <row r="481" spans="2:6" x14ac:dyDescent="0.25">
      <c r="B481" s="88">
        <v>16000303</v>
      </c>
      <c r="C481" s="89" t="s">
        <v>994</v>
      </c>
      <c r="D481" s="90">
        <v>16200211</v>
      </c>
      <c r="E481" s="89" t="s">
        <v>4094</v>
      </c>
      <c r="F481" s="91"/>
    </row>
    <row r="482" spans="2:6" x14ac:dyDescent="0.25">
      <c r="B482" s="88">
        <v>16000304</v>
      </c>
      <c r="C482" s="89" t="s">
        <v>996</v>
      </c>
      <c r="D482" s="90">
        <v>16200211</v>
      </c>
      <c r="E482" s="89" t="s">
        <v>4094</v>
      </c>
      <c r="F482" s="91"/>
    </row>
    <row r="483" spans="2:6" x14ac:dyDescent="0.25">
      <c r="B483" s="88">
        <v>16000305</v>
      </c>
      <c r="C483" s="89" t="s">
        <v>998</v>
      </c>
      <c r="D483" s="90">
        <v>16200211</v>
      </c>
      <c r="E483" s="89" t="s">
        <v>4094</v>
      </c>
      <c r="F483" s="91"/>
    </row>
    <row r="484" spans="2:6" x14ac:dyDescent="0.25">
      <c r="B484" s="88">
        <v>16000306</v>
      </c>
      <c r="C484" s="89" t="s">
        <v>1000</v>
      </c>
      <c r="D484" s="90">
        <v>16200211</v>
      </c>
      <c r="E484" s="89" t="s">
        <v>4094</v>
      </c>
      <c r="F484" s="91"/>
    </row>
    <row r="485" spans="2:6" x14ac:dyDescent="0.25">
      <c r="B485" s="88">
        <v>16000399</v>
      </c>
      <c r="C485" s="89" t="s">
        <v>1002</v>
      </c>
      <c r="D485" s="90">
        <v>16200211</v>
      </c>
      <c r="E485" s="89" t="s">
        <v>4094</v>
      </c>
      <c r="F485" s="91"/>
    </row>
    <row r="486" spans="2:6" x14ac:dyDescent="0.25">
      <c r="B486" s="88">
        <v>16000400</v>
      </c>
      <c r="C486" s="89" t="s">
        <v>1004</v>
      </c>
      <c r="D486" s="90">
        <v>16100111</v>
      </c>
      <c r="E486" s="89" t="s">
        <v>4056</v>
      </c>
      <c r="F486" s="91"/>
    </row>
    <row r="487" spans="2:6" x14ac:dyDescent="0.25">
      <c r="B487" s="88">
        <v>16000401</v>
      </c>
      <c r="C487" s="89" t="s">
        <v>1006</v>
      </c>
      <c r="D487" s="90">
        <v>16100111</v>
      </c>
      <c r="E487" s="89" t="s">
        <v>4056</v>
      </c>
      <c r="F487" s="91"/>
    </row>
    <row r="488" spans="2:6" x14ac:dyDescent="0.25">
      <c r="B488" s="88">
        <v>16000402</v>
      </c>
      <c r="C488" s="89" t="s">
        <v>1008</v>
      </c>
      <c r="D488" s="90">
        <v>16100111</v>
      </c>
      <c r="E488" s="89" t="s">
        <v>4056</v>
      </c>
      <c r="F488" s="91"/>
    </row>
    <row r="489" spans="2:6" x14ac:dyDescent="0.25">
      <c r="B489" s="88">
        <v>16000403</v>
      </c>
      <c r="C489" s="89" t="s">
        <v>1010</v>
      </c>
      <c r="D489" s="90">
        <v>16100111</v>
      </c>
      <c r="E489" s="89" t="s">
        <v>4056</v>
      </c>
      <c r="F489" s="91"/>
    </row>
    <row r="490" spans="2:6" x14ac:dyDescent="0.25">
      <c r="B490" s="88">
        <v>16000500</v>
      </c>
      <c r="C490" s="89" t="s">
        <v>1012</v>
      </c>
      <c r="D490" s="90">
        <v>16300110</v>
      </c>
      <c r="E490" s="89" t="s">
        <v>4136</v>
      </c>
      <c r="F490" s="91"/>
    </row>
    <row r="491" spans="2:6" x14ac:dyDescent="0.25">
      <c r="B491" s="88">
        <v>16000501</v>
      </c>
      <c r="C491" s="89" t="s">
        <v>1014</v>
      </c>
      <c r="D491" s="90">
        <v>16300111</v>
      </c>
      <c r="E491" s="89" t="s">
        <v>4140</v>
      </c>
      <c r="F491" s="91"/>
    </row>
    <row r="492" spans="2:6" ht="30" x14ac:dyDescent="0.25">
      <c r="B492" s="88">
        <v>16000502</v>
      </c>
      <c r="C492" s="89" t="s">
        <v>1016</v>
      </c>
      <c r="D492" s="90">
        <v>16100311</v>
      </c>
      <c r="E492" s="89" t="s">
        <v>4065</v>
      </c>
      <c r="F492" s="91"/>
    </row>
    <row r="493" spans="2:6" x14ac:dyDescent="0.25">
      <c r="B493" s="88">
        <v>16000503</v>
      </c>
      <c r="C493" s="89" t="s">
        <v>1018</v>
      </c>
      <c r="D493" s="90">
        <v>16300111</v>
      </c>
      <c r="E493" s="89" t="s">
        <v>4140</v>
      </c>
      <c r="F493" s="91"/>
    </row>
    <row r="494" spans="2:6" ht="30" x14ac:dyDescent="0.25">
      <c r="B494" s="88">
        <v>16000505</v>
      </c>
      <c r="C494" s="89" t="s">
        <v>1020</v>
      </c>
      <c r="D494" s="90">
        <v>16300211</v>
      </c>
      <c r="E494" s="89" t="s">
        <v>4148</v>
      </c>
      <c r="F494" s="91"/>
    </row>
    <row r="495" spans="2:6" x14ac:dyDescent="0.25">
      <c r="B495" s="88">
        <v>16000510</v>
      </c>
      <c r="C495" s="89" t="s">
        <v>1022</v>
      </c>
      <c r="D495" s="90">
        <v>16300111</v>
      </c>
      <c r="E495" s="89" t="s">
        <v>4140</v>
      </c>
      <c r="F495" s="91"/>
    </row>
    <row r="496" spans="2:6" x14ac:dyDescent="0.25">
      <c r="B496" s="88">
        <v>16000599</v>
      </c>
      <c r="C496" s="89" t="s">
        <v>1024</v>
      </c>
      <c r="D496" s="90">
        <v>16300111</v>
      </c>
      <c r="E496" s="89" t="s">
        <v>4140</v>
      </c>
      <c r="F496" s="91"/>
    </row>
    <row r="497" spans="2:6" x14ac:dyDescent="0.25">
      <c r="B497" s="88">
        <v>16000600</v>
      </c>
      <c r="C497" s="89" t="s">
        <v>1026</v>
      </c>
      <c r="D497" s="90">
        <v>16200311</v>
      </c>
      <c r="E497" s="89" t="s">
        <v>4101</v>
      </c>
      <c r="F497" s="91"/>
    </row>
    <row r="498" spans="2:6" x14ac:dyDescent="0.25">
      <c r="B498" s="88">
        <v>16000700</v>
      </c>
      <c r="C498" s="89" t="s">
        <v>1028</v>
      </c>
      <c r="D498" s="90">
        <v>16100111</v>
      </c>
      <c r="E498" s="89" t="s">
        <v>4056</v>
      </c>
      <c r="F498" s="91"/>
    </row>
    <row r="499" spans="2:6" x14ac:dyDescent="0.25">
      <c r="B499" s="88">
        <v>16000800</v>
      </c>
      <c r="C499" s="89" t="s">
        <v>1030</v>
      </c>
      <c r="D499" s="90">
        <v>16100411</v>
      </c>
      <c r="E499" s="89" t="s">
        <v>4075</v>
      </c>
      <c r="F499" s="91"/>
    </row>
    <row r="500" spans="2:6" x14ac:dyDescent="0.25">
      <c r="B500" s="88">
        <v>16000900</v>
      </c>
      <c r="C500" s="89" t="s">
        <v>1032</v>
      </c>
      <c r="D500" s="90">
        <v>16200111</v>
      </c>
      <c r="E500" s="89" t="s">
        <v>4086</v>
      </c>
      <c r="F500" s="91"/>
    </row>
    <row r="501" spans="2:6" x14ac:dyDescent="0.25">
      <c r="B501" s="88">
        <v>16001000</v>
      </c>
      <c r="C501" s="89" t="s">
        <v>1034</v>
      </c>
      <c r="D501" s="90">
        <v>16100111</v>
      </c>
      <c r="E501" s="89" t="s">
        <v>4056</v>
      </c>
      <c r="F501" s="91"/>
    </row>
    <row r="502" spans="2:6" x14ac:dyDescent="0.25">
      <c r="B502" s="88">
        <v>16001100</v>
      </c>
      <c r="C502" s="89" t="s">
        <v>1036</v>
      </c>
      <c r="D502" s="90">
        <v>16100311</v>
      </c>
      <c r="E502" s="89" t="s">
        <v>4065</v>
      </c>
      <c r="F502" s="91"/>
    </row>
    <row r="503" spans="2:6" x14ac:dyDescent="0.25">
      <c r="B503" s="88">
        <v>16001101</v>
      </c>
      <c r="C503" s="89" t="s">
        <v>1038</v>
      </c>
      <c r="D503" s="90">
        <v>16100311</v>
      </c>
      <c r="E503" s="89" t="s">
        <v>4065</v>
      </c>
      <c r="F503" s="91"/>
    </row>
    <row r="504" spans="2:6" x14ac:dyDescent="0.25">
      <c r="B504" s="88">
        <v>16001102</v>
      </c>
      <c r="C504" s="89" t="s">
        <v>1040</v>
      </c>
      <c r="D504" s="90">
        <v>16100311</v>
      </c>
      <c r="E504" s="89" t="s">
        <v>4065</v>
      </c>
      <c r="F504" s="91"/>
    </row>
    <row r="505" spans="2:6" x14ac:dyDescent="0.25">
      <c r="B505" s="88">
        <v>16001103</v>
      </c>
      <c r="C505" s="89" t="s">
        <v>1042</v>
      </c>
      <c r="D505" s="90">
        <v>16100311</v>
      </c>
      <c r="E505" s="89" t="s">
        <v>4065</v>
      </c>
      <c r="F505" s="91"/>
    </row>
    <row r="506" spans="2:6" x14ac:dyDescent="0.25">
      <c r="B506" s="88">
        <v>16001104</v>
      </c>
      <c r="C506" s="89" t="s">
        <v>1044</v>
      </c>
      <c r="D506" s="90">
        <v>16100311</v>
      </c>
      <c r="E506" s="89" t="s">
        <v>4065</v>
      </c>
      <c r="F506" s="91"/>
    </row>
    <row r="507" spans="2:6" x14ac:dyDescent="0.25">
      <c r="B507" s="88">
        <v>16001105</v>
      </c>
      <c r="C507" s="89" t="s">
        <v>1046</v>
      </c>
      <c r="D507" s="90">
        <v>16100411</v>
      </c>
      <c r="E507" s="89" t="s">
        <v>4075</v>
      </c>
      <c r="F507" s="91"/>
    </row>
    <row r="508" spans="2:6" x14ac:dyDescent="0.25">
      <c r="B508" s="88">
        <v>16001199</v>
      </c>
      <c r="C508" s="89" t="s">
        <v>1048</v>
      </c>
      <c r="D508" s="90">
        <v>16100311</v>
      </c>
      <c r="E508" s="89" t="s">
        <v>4065</v>
      </c>
      <c r="F508" s="91"/>
    </row>
    <row r="509" spans="2:6" x14ac:dyDescent="0.25">
      <c r="B509" s="88">
        <v>16001200</v>
      </c>
      <c r="C509" s="89" t="s">
        <v>1050</v>
      </c>
      <c r="D509" s="90">
        <v>16100411</v>
      </c>
      <c r="E509" s="89" t="s">
        <v>4075</v>
      </c>
      <c r="F509" s="91"/>
    </row>
    <row r="510" spans="2:6" x14ac:dyDescent="0.25">
      <c r="B510" s="88">
        <v>16001300</v>
      </c>
      <c r="C510" s="89" t="s">
        <v>1052</v>
      </c>
      <c r="D510" s="90">
        <v>16100111</v>
      </c>
      <c r="E510" s="89" t="s">
        <v>4056</v>
      </c>
      <c r="F510" s="91"/>
    </row>
    <row r="511" spans="2:6" x14ac:dyDescent="0.25">
      <c r="B511" s="88">
        <v>16001301</v>
      </c>
      <c r="C511" s="92" t="s">
        <v>1054</v>
      </c>
      <c r="D511" s="90">
        <v>16100211</v>
      </c>
      <c r="E511" s="89" t="s">
        <v>4061</v>
      </c>
      <c r="F511" s="91" t="s">
        <v>5052</v>
      </c>
    </row>
    <row r="512" spans="2:6" x14ac:dyDescent="0.25">
      <c r="B512" s="88">
        <v>16001302</v>
      </c>
      <c r="C512" s="89" t="s">
        <v>1056</v>
      </c>
      <c r="D512" s="90">
        <v>16100111</v>
      </c>
      <c r="E512" s="89" t="s">
        <v>4056</v>
      </c>
      <c r="F512" s="91"/>
    </row>
    <row r="513" spans="2:6" x14ac:dyDescent="0.25">
      <c r="B513" s="88">
        <v>16001303</v>
      </c>
      <c r="C513" s="89" t="s">
        <v>1058</v>
      </c>
      <c r="D513" s="90">
        <v>16100111</v>
      </c>
      <c r="E513" s="89" t="s">
        <v>4056</v>
      </c>
      <c r="F513" s="91"/>
    </row>
    <row r="514" spans="2:6" x14ac:dyDescent="0.25">
      <c r="B514" s="88">
        <v>16001304</v>
      </c>
      <c r="C514" s="89" t="s">
        <v>1060</v>
      </c>
      <c r="D514" s="90">
        <v>16100311</v>
      </c>
      <c r="E514" s="89" t="s">
        <v>4065</v>
      </c>
      <c r="F514" s="91"/>
    </row>
    <row r="515" spans="2:6" x14ac:dyDescent="0.25">
      <c r="B515" s="88">
        <v>16001305</v>
      </c>
      <c r="C515" s="89" t="s">
        <v>1062</v>
      </c>
      <c r="D515" s="90">
        <v>16100311</v>
      </c>
      <c r="E515" s="89" t="s">
        <v>4065</v>
      </c>
      <c r="F515" s="91"/>
    </row>
    <row r="516" spans="2:6" x14ac:dyDescent="0.25">
      <c r="B516" s="88">
        <v>16001306</v>
      </c>
      <c r="C516" s="89" t="s">
        <v>1064</v>
      </c>
      <c r="D516" s="90">
        <v>16100111</v>
      </c>
      <c r="E516" s="89" t="s">
        <v>4056</v>
      </c>
      <c r="F516" s="91"/>
    </row>
    <row r="517" spans="2:6" x14ac:dyDescent="0.25">
      <c r="B517" s="88">
        <v>16001307</v>
      </c>
      <c r="C517" s="89" t="s">
        <v>1066</v>
      </c>
      <c r="D517" s="90">
        <v>16100111</v>
      </c>
      <c r="E517" s="89" t="s">
        <v>4056</v>
      </c>
      <c r="F517" s="91"/>
    </row>
    <row r="518" spans="2:6" x14ac:dyDescent="0.25">
      <c r="B518" s="88">
        <v>16001399</v>
      </c>
      <c r="C518" s="89" t="s">
        <v>1068</v>
      </c>
      <c r="D518" s="90">
        <v>16100111</v>
      </c>
      <c r="E518" s="89" t="s">
        <v>4056</v>
      </c>
      <c r="F518" s="91"/>
    </row>
    <row r="519" spans="2:6" x14ac:dyDescent="0.25">
      <c r="B519" s="88">
        <v>16001400</v>
      </c>
      <c r="C519" s="89" t="s">
        <v>1070</v>
      </c>
      <c r="D519" s="90">
        <v>16100311</v>
      </c>
      <c r="E519" s="89" t="s">
        <v>4065</v>
      </c>
      <c r="F519" s="91"/>
    </row>
    <row r="520" spans="2:6" x14ac:dyDescent="0.25">
      <c r="B520" s="88">
        <v>16001500</v>
      </c>
      <c r="C520" s="89" t="s">
        <v>1072</v>
      </c>
      <c r="D520" s="90">
        <v>16100111</v>
      </c>
      <c r="E520" s="89" t="s">
        <v>4056</v>
      </c>
      <c r="F520" s="91"/>
    </row>
    <row r="521" spans="2:6" x14ac:dyDescent="0.25">
      <c r="B521" s="88">
        <v>16001600</v>
      </c>
      <c r="C521" s="89" t="s">
        <v>1074</v>
      </c>
      <c r="D521" s="90">
        <v>16100111</v>
      </c>
      <c r="E521" s="89" t="s">
        <v>4056</v>
      </c>
      <c r="F521" s="91"/>
    </row>
    <row r="522" spans="2:6" x14ac:dyDescent="0.25">
      <c r="B522" s="88">
        <v>16001700</v>
      </c>
      <c r="C522" s="89" t="s">
        <v>1076</v>
      </c>
      <c r="D522" s="90">
        <v>16100111</v>
      </c>
      <c r="E522" s="89" t="s">
        <v>4056</v>
      </c>
      <c r="F522" s="91"/>
    </row>
    <row r="523" spans="2:6" x14ac:dyDescent="0.25">
      <c r="B523" s="88">
        <v>16001800</v>
      </c>
      <c r="C523" s="89" t="s">
        <v>1078</v>
      </c>
      <c r="D523" s="90">
        <v>16100111</v>
      </c>
      <c r="E523" s="89" t="s">
        <v>4056</v>
      </c>
      <c r="F523" s="91"/>
    </row>
    <row r="524" spans="2:6" x14ac:dyDescent="0.25">
      <c r="B524" s="88">
        <v>16001900</v>
      </c>
      <c r="C524" s="89" t="s">
        <v>1080</v>
      </c>
      <c r="D524" s="90">
        <v>16100111</v>
      </c>
      <c r="E524" s="89" t="s">
        <v>4056</v>
      </c>
      <c r="F524" s="91"/>
    </row>
    <row r="525" spans="2:6" ht="30" x14ac:dyDescent="0.25">
      <c r="B525" s="88">
        <v>16002000</v>
      </c>
      <c r="C525" s="89" t="s">
        <v>1082</v>
      </c>
      <c r="D525" s="90" t="s">
        <v>4736</v>
      </c>
      <c r="E525" s="89"/>
      <c r="F525" s="91" t="s">
        <v>4885</v>
      </c>
    </row>
    <row r="526" spans="2:6" ht="30" x14ac:dyDescent="0.25">
      <c r="B526" s="88">
        <v>16002001</v>
      </c>
      <c r="C526" s="89" t="s">
        <v>1084</v>
      </c>
      <c r="D526" s="90">
        <v>16100111</v>
      </c>
      <c r="E526" s="89" t="s">
        <v>4056</v>
      </c>
      <c r="F526" s="91"/>
    </row>
    <row r="527" spans="2:6" ht="45" x14ac:dyDescent="0.25">
      <c r="B527" s="88">
        <v>16002002</v>
      </c>
      <c r="C527" s="89" t="s">
        <v>1087</v>
      </c>
      <c r="D527" s="90">
        <v>16100111</v>
      </c>
      <c r="E527" s="89" t="s">
        <v>4056</v>
      </c>
      <c r="F527" s="91" t="s">
        <v>5052</v>
      </c>
    </row>
    <row r="528" spans="2:6" x14ac:dyDescent="0.25">
      <c r="B528" s="88">
        <v>16002100</v>
      </c>
      <c r="C528" s="89" t="s">
        <v>1089</v>
      </c>
      <c r="D528" s="90">
        <v>16100111</v>
      </c>
      <c r="E528" s="89" t="s">
        <v>4056</v>
      </c>
      <c r="F528" s="91"/>
    </row>
    <row r="529" spans="2:6" x14ac:dyDescent="0.25">
      <c r="B529" s="88">
        <v>16002200</v>
      </c>
      <c r="C529" s="89" t="s">
        <v>1091</v>
      </c>
      <c r="D529" s="90">
        <v>16100111</v>
      </c>
      <c r="E529" s="89" t="s">
        <v>4056</v>
      </c>
      <c r="F529" s="91"/>
    </row>
    <row r="530" spans="2:6" ht="30" x14ac:dyDescent="0.25">
      <c r="B530" s="88">
        <v>16002300</v>
      </c>
      <c r="C530" s="89" t="s">
        <v>1093</v>
      </c>
      <c r="D530" s="90">
        <v>16100311</v>
      </c>
      <c r="E530" s="89" t="s">
        <v>4065</v>
      </c>
      <c r="F530" s="91"/>
    </row>
    <row r="531" spans="2:6" x14ac:dyDescent="0.25">
      <c r="B531" s="88">
        <v>16002301</v>
      </c>
      <c r="C531" s="89" t="s">
        <v>1095</v>
      </c>
      <c r="D531" s="90">
        <v>16100311</v>
      </c>
      <c r="E531" s="89" t="s">
        <v>4065</v>
      </c>
      <c r="F531" s="91"/>
    </row>
    <row r="532" spans="2:6" x14ac:dyDescent="0.25">
      <c r="B532" s="88">
        <v>16002302</v>
      </c>
      <c r="C532" s="89" t="s">
        <v>1097</v>
      </c>
      <c r="D532" s="90">
        <v>16100311</v>
      </c>
      <c r="E532" s="89" t="s">
        <v>4065</v>
      </c>
      <c r="F532" s="91"/>
    </row>
    <row r="533" spans="2:6" x14ac:dyDescent="0.25">
      <c r="B533" s="88">
        <v>16002303</v>
      </c>
      <c r="C533" s="89" t="s">
        <v>1099</v>
      </c>
      <c r="D533" s="90">
        <v>16100311</v>
      </c>
      <c r="E533" s="89" t="s">
        <v>4065</v>
      </c>
      <c r="F533" s="91"/>
    </row>
    <row r="534" spans="2:6" x14ac:dyDescent="0.25">
      <c r="B534" s="88">
        <v>16002304</v>
      </c>
      <c r="C534" s="89" t="s">
        <v>1101</v>
      </c>
      <c r="D534" s="90">
        <v>16100311</v>
      </c>
      <c r="E534" s="89" t="s">
        <v>4065</v>
      </c>
      <c r="F534" s="91"/>
    </row>
    <row r="535" spans="2:6" x14ac:dyDescent="0.25">
      <c r="B535" s="88">
        <v>16002305</v>
      </c>
      <c r="C535" s="89" t="s">
        <v>1103</v>
      </c>
      <c r="D535" s="90">
        <v>16100311</v>
      </c>
      <c r="E535" s="89" t="s">
        <v>4065</v>
      </c>
      <c r="F535" s="91"/>
    </row>
    <row r="536" spans="2:6" x14ac:dyDescent="0.25">
      <c r="B536" s="88">
        <v>16002306</v>
      </c>
      <c r="C536" s="89" t="s">
        <v>1105</v>
      </c>
      <c r="D536" s="90">
        <v>16100311</v>
      </c>
      <c r="E536" s="89" t="s">
        <v>4065</v>
      </c>
      <c r="F536" s="91"/>
    </row>
    <row r="537" spans="2:6" ht="30" x14ac:dyDescent="0.25">
      <c r="B537" s="88">
        <v>16002307</v>
      </c>
      <c r="C537" s="89" t="s">
        <v>1107</v>
      </c>
      <c r="D537" s="90">
        <v>16100311</v>
      </c>
      <c r="E537" s="89" t="s">
        <v>4065</v>
      </c>
      <c r="F537" s="91"/>
    </row>
    <row r="538" spans="2:6" x14ac:dyDescent="0.25">
      <c r="B538" s="88">
        <v>16002308</v>
      </c>
      <c r="C538" s="89" t="s">
        <v>1109</v>
      </c>
      <c r="D538" s="90">
        <v>16100311</v>
      </c>
      <c r="E538" s="89" t="s">
        <v>4065</v>
      </c>
      <c r="F538" s="91"/>
    </row>
    <row r="539" spans="2:6" ht="30" x14ac:dyDescent="0.25">
      <c r="B539" s="88">
        <v>16002399</v>
      </c>
      <c r="C539" s="89" t="s">
        <v>1111</v>
      </c>
      <c r="D539" s="90">
        <v>16100311</v>
      </c>
      <c r="E539" s="89" t="s">
        <v>4065</v>
      </c>
      <c r="F539" s="91"/>
    </row>
    <row r="540" spans="2:6" x14ac:dyDescent="0.25">
      <c r="B540" s="88">
        <v>16002400</v>
      </c>
      <c r="C540" s="89" t="s">
        <v>1113</v>
      </c>
      <c r="D540" s="90">
        <v>16100311</v>
      </c>
      <c r="E540" s="89" t="s">
        <v>4065</v>
      </c>
      <c r="F540" s="91"/>
    </row>
    <row r="541" spans="2:6" x14ac:dyDescent="0.25">
      <c r="B541" s="88">
        <v>16002500</v>
      </c>
      <c r="C541" s="89" t="s">
        <v>1115</v>
      </c>
      <c r="D541" s="90">
        <v>16100411</v>
      </c>
      <c r="E541" s="89" t="s">
        <v>4075</v>
      </c>
      <c r="F541" s="91"/>
    </row>
    <row r="542" spans="2:6" x14ac:dyDescent="0.25">
      <c r="B542" s="88">
        <v>16002600</v>
      </c>
      <c r="C542" s="89" t="s">
        <v>1117</v>
      </c>
      <c r="D542" s="90">
        <v>16100111</v>
      </c>
      <c r="E542" s="89" t="s">
        <v>4056</v>
      </c>
      <c r="F542" s="91"/>
    </row>
    <row r="543" spans="2:6" x14ac:dyDescent="0.25">
      <c r="B543" s="88">
        <v>16002700</v>
      </c>
      <c r="C543" s="89" t="s">
        <v>1119</v>
      </c>
      <c r="D543" s="90">
        <v>16100111</v>
      </c>
      <c r="E543" s="89" t="s">
        <v>4056</v>
      </c>
      <c r="F543" s="91"/>
    </row>
    <row r="544" spans="2:6" x14ac:dyDescent="0.25">
      <c r="B544" s="88">
        <v>16002800</v>
      </c>
      <c r="C544" s="89" t="s">
        <v>1121</v>
      </c>
      <c r="D544" s="90">
        <v>16100111</v>
      </c>
      <c r="E544" s="89" t="s">
        <v>4056</v>
      </c>
      <c r="F544" s="91"/>
    </row>
    <row r="545" spans="2:6" x14ac:dyDescent="0.25">
      <c r="B545" s="88">
        <v>16002900</v>
      </c>
      <c r="C545" s="89" t="s">
        <v>1123</v>
      </c>
      <c r="D545" s="90">
        <v>16100311</v>
      </c>
      <c r="E545" s="89" t="s">
        <v>4065</v>
      </c>
      <c r="F545" s="91"/>
    </row>
    <row r="546" spans="2:6" x14ac:dyDescent="0.25">
      <c r="B546" s="88">
        <v>16003000</v>
      </c>
      <c r="C546" s="89" t="s">
        <v>1125</v>
      </c>
      <c r="D546" s="90">
        <v>16200111</v>
      </c>
      <c r="E546" s="89" t="s">
        <v>4086</v>
      </c>
      <c r="F546" s="91"/>
    </row>
    <row r="547" spans="2:6" x14ac:dyDescent="0.25">
      <c r="B547" s="88">
        <v>16003100</v>
      </c>
      <c r="C547" s="89" t="s">
        <v>1127</v>
      </c>
      <c r="D547" s="90" t="s">
        <v>4736</v>
      </c>
      <c r="E547" s="89"/>
      <c r="F547" s="91" t="s">
        <v>4885</v>
      </c>
    </row>
    <row r="548" spans="2:6" x14ac:dyDescent="0.25">
      <c r="B548" s="88">
        <v>16003101</v>
      </c>
      <c r="C548" s="89" t="s">
        <v>1129</v>
      </c>
      <c r="D548" s="90">
        <v>16200411</v>
      </c>
      <c r="E548" s="89" t="s">
        <v>4110</v>
      </c>
      <c r="F548" s="91"/>
    </row>
    <row r="549" spans="2:6" x14ac:dyDescent="0.25">
      <c r="B549" s="88">
        <v>16003102</v>
      </c>
      <c r="C549" s="89" t="s">
        <v>1131</v>
      </c>
      <c r="D549" s="90">
        <v>16200421</v>
      </c>
      <c r="E549" s="89" t="s">
        <v>4118</v>
      </c>
      <c r="F549" s="91"/>
    </row>
    <row r="550" spans="2:6" x14ac:dyDescent="0.25">
      <c r="B550" s="88">
        <v>16003103</v>
      </c>
      <c r="C550" s="89" t="s">
        <v>1134</v>
      </c>
      <c r="D550" s="90">
        <v>16200431</v>
      </c>
      <c r="E550" s="89" t="s">
        <v>4127</v>
      </c>
      <c r="F550" s="91"/>
    </row>
    <row r="551" spans="2:6" x14ac:dyDescent="0.25">
      <c r="B551" s="88">
        <v>16003200</v>
      </c>
      <c r="C551" s="89" t="s">
        <v>1136</v>
      </c>
      <c r="D551" s="90">
        <v>16100311</v>
      </c>
      <c r="E551" s="89" t="s">
        <v>4065</v>
      </c>
      <c r="F551" s="91"/>
    </row>
    <row r="552" spans="2:6" ht="30" x14ac:dyDescent="0.25">
      <c r="B552" s="88">
        <v>16003300</v>
      </c>
      <c r="C552" s="89" t="s">
        <v>1138</v>
      </c>
      <c r="D552" s="90" t="s">
        <v>4736</v>
      </c>
      <c r="E552" s="89"/>
      <c r="F552" s="91" t="s">
        <v>4885</v>
      </c>
    </row>
    <row r="553" spans="2:6" ht="30" x14ac:dyDescent="0.25">
      <c r="B553" s="88">
        <v>16003301</v>
      </c>
      <c r="C553" s="89" t="s">
        <v>1140</v>
      </c>
      <c r="D553" s="90" t="s">
        <v>4736</v>
      </c>
      <c r="E553" s="89"/>
      <c r="F553" s="91" t="s">
        <v>4885</v>
      </c>
    </row>
    <row r="554" spans="2:6" ht="30" x14ac:dyDescent="0.25">
      <c r="B554" s="88">
        <v>16003302</v>
      </c>
      <c r="C554" s="89" t="s">
        <v>1142</v>
      </c>
      <c r="D554" s="90" t="s">
        <v>4736</v>
      </c>
      <c r="E554" s="89"/>
      <c r="F554" s="91" t="s">
        <v>4885</v>
      </c>
    </row>
    <row r="555" spans="2:6" ht="30" x14ac:dyDescent="0.25">
      <c r="B555" s="88">
        <v>16003400</v>
      </c>
      <c r="C555" s="89" t="s">
        <v>1144</v>
      </c>
      <c r="D555" s="90">
        <v>16100311</v>
      </c>
      <c r="E555" s="89" t="s">
        <v>4065</v>
      </c>
      <c r="F555" s="91"/>
    </row>
    <row r="556" spans="2:6" ht="30" x14ac:dyDescent="0.25">
      <c r="B556" s="88">
        <v>16003500</v>
      </c>
      <c r="C556" s="89" t="s">
        <v>1146</v>
      </c>
      <c r="D556" s="90">
        <v>16400111</v>
      </c>
      <c r="E556" s="89" t="s">
        <v>4168</v>
      </c>
      <c r="F556" s="91"/>
    </row>
    <row r="557" spans="2:6" x14ac:dyDescent="0.25">
      <c r="B557" s="88">
        <v>16003600</v>
      </c>
      <c r="C557" s="89" t="s">
        <v>1148</v>
      </c>
      <c r="D557" s="90" t="s">
        <v>4736</v>
      </c>
      <c r="E557" s="89"/>
      <c r="F557" s="91" t="s">
        <v>4885</v>
      </c>
    </row>
    <row r="558" spans="2:6" x14ac:dyDescent="0.25">
      <c r="B558" s="88">
        <v>16003601</v>
      </c>
      <c r="C558" s="89" t="s">
        <v>1150</v>
      </c>
      <c r="D558" s="90">
        <v>16100411</v>
      </c>
      <c r="E558" s="89" t="s">
        <v>4075</v>
      </c>
      <c r="F558" s="91"/>
    </row>
    <row r="559" spans="2:6" ht="30" x14ac:dyDescent="0.25">
      <c r="B559" s="88">
        <v>16003602</v>
      </c>
      <c r="C559" s="89" t="s">
        <v>1152</v>
      </c>
      <c r="D559" s="90">
        <v>16100411</v>
      </c>
      <c r="E559" s="89" t="s">
        <v>4075</v>
      </c>
      <c r="F559" s="91"/>
    </row>
    <row r="560" spans="2:6" x14ac:dyDescent="0.25">
      <c r="B560" s="88">
        <v>16003700</v>
      </c>
      <c r="C560" s="89" t="s">
        <v>1154</v>
      </c>
      <c r="D560" s="90">
        <v>16400210</v>
      </c>
      <c r="E560" s="89" t="s">
        <v>4174</v>
      </c>
      <c r="F560" s="91"/>
    </row>
    <row r="561" spans="2:6" x14ac:dyDescent="0.25">
      <c r="B561" s="88">
        <v>16003701</v>
      </c>
      <c r="C561" s="89" t="s">
        <v>1156</v>
      </c>
      <c r="D561" s="90">
        <v>16400211</v>
      </c>
      <c r="E561" s="89" t="s">
        <v>4176</v>
      </c>
      <c r="F561" s="91"/>
    </row>
    <row r="562" spans="2:6" x14ac:dyDescent="0.25">
      <c r="B562" s="88">
        <v>16003702</v>
      </c>
      <c r="C562" s="89" t="s">
        <v>1158</v>
      </c>
      <c r="D562" s="90">
        <v>16400211</v>
      </c>
      <c r="E562" s="89" t="s">
        <v>4176</v>
      </c>
      <c r="F562" s="91"/>
    </row>
    <row r="563" spans="2:6" x14ac:dyDescent="0.25">
      <c r="B563" s="88">
        <v>16003703</v>
      </c>
      <c r="C563" s="89" t="s">
        <v>1160</v>
      </c>
      <c r="D563" s="90">
        <v>16400211</v>
      </c>
      <c r="E563" s="89" t="s">
        <v>4176</v>
      </c>
      <c r="F563" s="91"/>
    </row>
    <row r="564" spans="2:6" ht="30" x14ac:dyDescent="0.25">
      <c r="B564" s="88">
        <v>16003704</v>
      </c>
      <c r="C564" s="89" t="s">
        <v>1162</v>
      </c>
      <c r="D564" s="90" t="s">
        <v>4736</v>
      </c>
      <c r="E564" s="89"/>
      <c r="F564" s="91" t="s">
        <v>4737</v>
      </c>
    </row>
    <row r="565" spans="2:6" x14ac:dyDescent="0.25">
      <c r="B565" s="88">
        <v>16003705</v>
      </c>
      <c r="C565" s="89" t="s">
        <v>1165</v>
      </c>
      <c r="D565" s="90">
        <v>16400211</v>
      </c>
      <c r="E565" s="89" t="s">
        <v>4176</v>
      </c>
      <c r="F565" s="91"/>
    </row>
    <row r="566" spans="2:6" ht="30" x14ac:dyDescent="0.25">
      <c r="B566" s="88">
        <v>16003800</v>
      </c>
      <c r="C566" s="89" t="s">
        <v>1167</v>
      </c>
      <c r="D566" s="90">
        <v>16100311</v>
      </c>
      <c r="E566" s="89" t="s">
        <v>4065</v>
      </c>
      <c r="F566" s="91"/>
    </row>
    <row r="567" spans="2:6" x14ac:dyDescent="0.25">
      <c r="B567" s="88">
        <v>16003900</v>
      </c>
      <c r="C567" s="89" t="s">
        <v>1169</v>
      </c>
      <c r="D567" s="90">
        <v>16100111</v>
      </c>
      <c r="E567" s="89" t="s">
        <v>4056</v>
      </c>
      <c r="F567" s="91"/>
    </row>
    <row r="568" spans="2:6" ht="30" x14ac:dyDescent="0.25">
      <c r="B568" s="88">
        <v>16004000</v>
      </c>
      <c r="C568" s="89" t="s">
        <v>1171</v>
      </c>
      <c r="D568" s="90">
        <v>16100311</v>
      </c>
      <c r="E568" s="89" t="s">
        <v>4065</v>
      </c>
      <c r="F568" s="91"/>
    </row>
    <row r="569" spans="2:6" ht="30" x14ac:dyDescent="0.25">
      <c r="B569" s="88">
        <v>16004100</v>
      </c>
      <c r="C569" s="89" t="s">
        <v>1173</v>
      </c>
      <c r="D569" s="90">
        <v>16100111</v>
      </c>
      <c r="E569" s="89" t="s">
        <v>4056</v>
      </c>
      <c r="F569" s="91"/>
    </row>
    <row r="570" spans="2:6" ht="30" x14ac:dyDescent="0.25">
      <c r="B570" s="88">
        <v>16004200</v>
      </c>
      <c r="C570" s="89" t="s">
        <v>1175</v>
      </c>
      <c r="D570" s="90">
        <v>16100111</v>
      </c>
      <c r="E570" s="89" t="s">
        <v>4056</v>
      </c>
      <c r="F570" s="91"/>
    </row>
    <row r="571" spans="2:6" ht="30" x14ac:dyDescent="0.25">
      <c r="B571" s="88">
        <v>16004300</v>
      </c>
      <c r="C571" s="89" t="s">
        <v>1177</v>
      </c>
      <c r="D571" s="90">
        <v>16100111</v>
      </c>
      <c r="E571" s="89" t="s">
        <v>4056</v>
      </c>
      <c r="F571" s="91"/>
    </row>
    <row r="572" spans="2:6" x14ac:dyDescent="0.25">
      <c r="B572" s="88">
        <v>16004400</v>
      </c>
      <c r="C572" s="89" t="s">
        <v>1179</v>
      </c>
      <c r="D572" s="90">
        <v>16100111</v>
      </c>
      <c r="E572" s="89" t="s">
        <v>4189</v>
      </c>
      <c r="F572" s="91"/>
    </row>
    <row r="573" spans="2:6" ht="30" x14ac:dyDescent="0.25">
      <c r="B573" s="88">
        <v>16004500</v>
      </c>
      <c r="C573" s="89" t="s">
        <v>1181</v>
      </c>
      <c r="D573" s="90">
        <v>16100111</v>
      </c>
      <c r="E573" s="89" t="s">
        <v>4189</v>
      </c>
      <c r="F573" s="91"/>
    </row>
    <row r="574" spans="2:6" x14ac:dyDescent="0.25">
      <c r="B574" s="88">
        <v>16004600</v>
      </c>
      <c r="C574" s="89" t="s">
        <v>1183</v>
      </c>
      <c r="D574" s="90">
        <v>16909911</v>
      </c>
      <c r="E574" s="89" t="s">
        <v>4189</v>
      </c>
      <c r="F574" s="91"/>
    </row>
    <row r="575" spans="2:6" x14ac:dyDescent="0.25">
      <c r="B575" s="88">
        <v>16004700</v>
      </c>
      <c r="C575" s="89" t="s">
        <v>1185</v>
      </c>
      <c r="D575" s="90">
        <v>16100111</v>
      </c>
      <c r="E575" s="89" t="s">
        <v>4056</v>
      </c>
      <c r="F575" s="91"/>
    </row>
    <row r="576" spans="2:6" x14ac:dyDescent="0.25">
      <c r="B576" s="88">
        <v>16004800</v>
      </c>
      <c r="C576" s="89" t="s">
        <v>1187</v>
      </c>
      <c r="D576" s="90">
        <v>16100111</v>
      </c>
      <c r="E576" s="89" t="s">
        <v>4056</v>
      </c>
      <c r="F576" s="91"/>
    </row>
    <row r="577" spans="2:6" x14ac:dyDescent="0.25">
      <c r="B577" s="88">
        <v>16005000</v>
      </c>
      <c r="C577" s="89" t="s">
        <v>1189</v>
      </c>
      <c r="D577" s="90">
        <v>16100211</v>
      </c>
      <c r="E577" s="89" t="s">
        <v>4061</v>
      </c>
      <c r="F577" s="91"/>
    </row>
    <row r="578" spans="2:6" ht="30" x14ac:dyDescent="0.25">
      <c r="B578" s="88">
        <v>16005100</v>
      </c>
      <c r="C578" s="89" t="s">
        <v>1191</v>
      </c>
      <c r="D578" s="90" t="s">
        <v>4736</v>
      </c>
      <c r="E578" s="89"/>
      <c r="F578" s="91" t="s">
        <v>4885</v>
      </c>
    </row>
    <row r="579" spans="2:6" x14ac:dyDescent="0.25">
      <c r="B579" s="88">
        <v>16005101</v>
      </c>
      <c r="C579" s="89" t="s">
        <v>1193</v>
      </c>
      <c r="D579" s="90" t="s">
        <v>4736</v>
      </c>
      <c r="E579" s="89"/>
      <c r="F579" s="91" t="s">
        <v>4885</v>
      </c>
    </row>
    <row r="580" spans="2:6" x14ac:dyDescent="0.25">
      <c r="B580" s="88">
        <v>16005102</v>
      </c>
      <c r="C580" s="89" t="s">
        <v>1195</v>
      </c>
      <c r="D580" s="90" t="s">
        <v>4736</v>
      </c>
      <c r="E580" s="89"/>
      <c r="F580" s="91" t="s">
        <v>4885</v>
      </c>
    </row>
    <row r="581" spans="2:6" x14ac:dyDescent="0.25">
      <c r="B581" s="88">
        <v>16005600</v>
      </c>
      <c r="C581" s="89" t="s">
        <v>1197</v>
      </c>
      <c r="D581" s="90">
        <v>16100311</v>
      </c>
      <c r="E581" s="89" t="s">
        <v>4065</v>
      </c>
      <c r="F581" s="91"/>
    </row>
    <row r="582" spans="2:6" ht="30" x14ac:dyDescent="0.25">
      <c r="B582" s="88">
        <v>16006000</v>
      </c>
      <c r="C582" s="89" t="s">
        <v>1199</v>
      </c>
      <c r="D582" s="90" t="s">
        <v>4736</v>
      </c>
      <c r="E582" s="89"/>
      <c r="F582" s="91" t="s">
        <v>4885</v>
      </c>
    </row>
    <row r="583" spans="2:6" ht="30" x14ac:dyDescent="0.25">
      <c r="B583" s="88">
        <v>16006001</v>
      </c>
      <c r="C583" s="89" t="s">
        <v>1201</v>
      </c>
      <c r="D583" s="90" t="s">
        <v>4736</v>
      </c>
      <c r="E583" s="89"/>
      <c r="F583" s="91" t="s">
        <v>4885</v>
      </c>
    </row>
    <row r="584" spans="2:6" ht="30" x14ac:dyDescent="0.25">
      <c r="B584" s="88">
        <v>16006002</v>
      </c>
      <c r="C584" s="89" t="s">
        <v>1203</v>
      </c>
      <c r="D584" s="90" t="s">
        <v>4736</v>
      </c>
      <c r="E584" s="89"/>
      <c r="F584" s="91" t="s">
        <v>4885</v>
      </c>
    </row>
    <row r="585" spans="2:6" ht="30" x14ac:dyDescent="0.25">
      <c r="B585" s="88">
        <v>16007000</v>
      </c>
      <c r="C585" s="89" t="s">
        <v>1205</v>
      </c>
      <c r="D585" s="90" t="s">
        <v>4736</v>
      </c>
      <c r="E585" s="89"/>
      <c r="F585" s="91" t="s">
        <v>4885</v>
      </c>
    </row>
    <row r="586" spans="2:6" ht="45" x14ac:dyDescent="0.25">
      <c r="B586" s="88">
        <v>16007001</v>
      </c>
      <c r="C586" s="89" t="s">
        <v>1207</v>
      </c>
      <c r="D586" s="90" t="s">
        <v>4736</v>
      </c>
      <c r="E586" s="89"/>
      <c r="F586" s="91" t="s">
        <v>4885</v>
      </c>
    </row>
    <row r="587" spans="2:6" ht="45" x14ac:dyDescent="0.25">
      <c r="B587" s="88">
        <v>16007002</v>
      </c>
      <c r="C587" s="89" t="s">
        <v>1209</v>
      </c>
      <c r="D587" s="90" t="s">
        <v>4736</v>
      </c>
      <c r="E587" s="89"/>
      <c r="F587" s="91" t="s">
        <v>4885</v>
      </c>
    </row>
    <row r="588" spans="2:6" x14ac:dyDescent="0.25">
      <c r="B588" s="88">
        <v>16009900</v>
      </c>
      <c r="C588" s="89" t="s">
        <v>1211</v>
      </c>
      <c r="D588" s="90">
        <v>16909911</v>
      </c>
      <c r="E588" s="89" t="s">
        <v>4189</v>
      </c>
      <c r="F588" s="91"/>
    </row>
    <row r="589" spans="2:6" x14ac:dyDescent="0.25">
      <c r="B589" s="88">
        <v>17000000</v>
      </c>
      <c r="C589" s="89" t="s">
        <v>1213</v>
      </c>
      <c r="D589" s="90">
        <v>17000000</v>
      </c>
      <c r="E589" s="89" t="s">
        <v>1213</v>
      </c>
      <c r="F589" s="91"/>
    </row>
    <row r="590" spans="2:6" x14ac:dyDescent="0.25">
      <c r="B590" s="88">
        <v>17200000</v>
      </c>
      <c r="C590" s="89" t="s">
        <v>1215</v>
      </c>
      <c r="D590" s="90" t="s">
        <v>4736</v>
      </c>
      <c r="E590" s="89"/>
      <c r="F590" s="91" t="s">
        <v>4885</v>
      </c>
    </row>
    <row r="591" spans="2:6" x14ac:dyDescent="0.25">
      <c r="B591" s="88">
        <v>17210000</v>
      </c>
      <c r="C591" s="89" t="s">
        <v>1217</v>
      </c>
      <c r="D591" s="90">
        <v>17100000</v>
      </c>
      <c r="E591" s="89" t="s">
        <v>4195</v>
      </c>
      <c r="F591" s="91"/>
    </row>
    <row r="592" spans="2:6" x14ac:dyDescent="0.25">
      <c r="B592" s="88">
        <v>17210100</v>
      </c>
      <c r="C592" s="89" t="s">
        <v>1219</v>
      </c>
      <c r="D592" s="90">
        <v>17180100</v>
      </c>
      <c r="E592" s="89" t="s">
        <v>1219</v>
      </c>
      <c r="F592" s="91"/>
    </row>
    <row r="593" spans="2:6" ht="30" x14ac:dyDescent="0.25">
      <c r="B593" s="88">
        <v>17210101</v>
      </c>
      <c r="C593" s="89" t="s">
        <v>1221</v>
      </c>
      <c r="D593" s="90">
        <v>17180111</v>
      </c>
      <c r="E593" s="89" t="s">
        <v>4793</v>
      </c>
      <c r="F593" s="91"/>
    </row>
    <row r="594" spans="2:6" ht="30" x14ac:dyDescent="0.25">
      <c r="B594" s="88">
        <v>17210102</v>
      </c>
      <c r="C594" s="89" t="s">
        <v>1223</v>
      </c>
      <c r="D594" s="90">
        <v>17180121</v>
      </c>
      <c r="E594" s="89" t="s">
        <v>4794</v>
      </c>
      <c r="F594" s="91"/>
    </row>
    <row r="595" spans="2:6" ht="30" x14ac:dyDescent="0.25">
      <c r="B595" s="88">
        <v>17210103</v>
      </c>
      <c r="C595" s="89" t="s">
        <v>1226</v>
      </c>
      <c r="D595" s="90">
        <v>17180131</v>
      </c>
      <c r="E595" s="89" t="s">
        <v>4795</v>
      </c>
      <c r="F595" s="91"/>
    </row>
    <row r="596" spans="2:6" ht="30" x14ac:dyDescent="0.25">
      <c r="B596" s="88">
        <v>17210104</v>
      </c>
      <c r="C596" s="89" t="s">
        <v>1229</v>
      </c>
      <c r="D596" s="90">
        <v>17180141</v>
      </c>
      <c r="E596" s="89" t="s">
        <v>4796</v>
      </c>
      <c r="F596" s="91"/>
    </row>
    <row r="597" spans="2:6" ht="30" x14ac:dyDescent="0.25">
      <c r="B597" s="88">
        <v>17210105</v>
      </c>
      <c r="C597" s="89" t="s">
        <v>1232</v>
      </c>
      <c r="D597" s="90">
        <v>17180151</v>
      </c>
      <c r="E597" s="89" t="s">
        <v>4797</v>
      </c>
      <c r="F597" s="91"/>
    </row>
    <row r="598" spans="2:6" ht="45" x14ac:dyDescent="0.25">
      <c r="B598" s="88">
        <v>17210112</v>
      </c>
      <c r="C598" s="89" t="s">
        <v>1234</v>
      </c>
      <c r="D598" s="90">
        <v>17180161</v>
      </c>
      <c r="E598" s="89" t="s">
        <v>4798</v>
      </c>
      <c r="F598" s="91"/>
    </row>
    <row r="599" spans="2:6" ht="30" x14ac:dyDescent="0.25">
      <c r="B599" s="88">
        <v>17210113</v>
      </c>
      <c r="C599" s="89" t="s">
        <v>1236</v>
      </c>
      <c r="D599" s="90">
        <v>17180171</v>
      </c>
      <c r="E599" s="89" t="s">
        <v>4799</v>
      </c>
      <c r="F599" s="91"/>
    </row>
    <row r="600" spans="2:6" ht="45" x14ac:dyDescent="0.25">
      <c r="B600" s="88">
        <v>17210132</v>
      </c>
      <c r="C600" s="89" t="s">
        <v>1238</v>
      </c>
      <c r="D600" s="90">
        <v>17180181</v>
      </c>
      <c r="E600" s="89" t="s">
        <v>4800</v>
      </c>
      <c r="F600" s="91"/>
    </row>
    <row r="601" spans="2:6" ht="30" x14ac:dyDescent="0.25">
      <c r="B601" s="88">
        <v>17212200</v>
      </c>
      <c r="C601" s="89" t="s">
        <v>1240</v>
      </c>
      <c r="D601" s="90">
        <v>17180200</v>
      </c>
      <c r="E601" s="89" t="s">
        <v>1240</v>
      </c>
      <c r="F601" s="91"/>
    </row>
    <row r="602" spans="2:6" ht="30" x14ac:dyDescent="0.25">
      <c r="B602" s="88">
        <v>17212211</v>
      </c>
      <c r="C602" s="89" t="s">
        <v>1242</v>
      </c>
      <c r="D602" s="90">
        <v>17180211</v>
      </c>
      <c r="E602" s="89" t="s">
        <v>4801</v>
      </c>
      <c r="F602" s="91"/>
    </row>
    <row r="603" spans="2:6" ht="30" x14ac:dyDescent="0.25">
      <c r="B603" s="88">
        <v>17212220</v>
      </c>
      <c r="C603" s="89" t="s">
        <v>1244</v>
      </c>
      <c r="D603" s="90">
        <v>17180221</v>
      </c>
      <c r="E603" s="89" t="s">
        <v>4802</v>
      </c>
      <c r="F603" s="91"/>
    </row>
    <row r="604" spans="2:6" ht="30" x14ac:dyDescent="0.25">
      <c r="B604" s="88">
        <v>17212230</v>
      </c>
      <c r="C604" s="89" t="s">
        <v>1246</v>
      </c>
      <c r="D604" s="90">
        <v>17180231</v>
      </c>
      <c r="E604" s="89" t="s">
        <v>4803</v>
      </c>
      <c r="F604" s="91"/>
    </row>
    <row r="605" spans="2:6" ht="30" x14ac:dyDescent="0.25">
      <c r="B605" s="88">
        <v>17212240</v>
      </c>
      <c r="C605" s="89" t="s">
        <v>1248</v>
      </c>
      <c r="D605" s="90">
        <v>17180241</v>
      </c>
      <c r="E605" s="89" t="s">
        <v>4804</v>
      </c>
      <c r="F605" s="91"/>
    </row>
    <row r="606" spans="2:6" ht="30" x14ac:dyDescent="0.25">
      <c r="B606" s="88">
        <v>17212250</v>
      </c>
      <c r="C606" s="89" t="s">
        <v>1250</v>
      </c>
      <c r="D606" s="90">
        <v>17180251</v>
      </c>
      <c r="E606" s="89" t="s">
        <v>4805</v>
      </c>
      <c r="F606" s="91"/>
    </row>
    <row r="607" spans="2:6" x14ac:dyDescent="0.25">
      <c r="B607" s="88">
        <v>17212270</v>
      </c>
      <c r="C607" s="89" t="s">
        <v>1252</v>
      </c>
      <c r="D607" s="90">
        <v>17180261</v>
      </c>
      <c r="E607" s="89" t="s">
        <v>4806</v>
      </c>
      <c r="F607" s="91"/>
    </row>
    <row r="608" spans="2:6" ht="45" x14ac:dyDescent="0.25">
      <c r="B608" s="88">
        <v>17212290</v>
      </c>
      <c r="C608" s="89" t="s">
        <v>1254</v>
      </c>
      <c r="D608" s="90">
        <v>17180291</v>
      </c>
      <c r="E608" s="89" t="s">
        <v>4807</v>
      </c>
      <c r="F608" s="91"/>
    </row>
    <row r="609" spans="2:6" ht="30" x14ac:dyDescent="0.25">
      <c r="B609" s="88">
        <v>17213300</v>
      </c>
      <c r="C609" s="89" t="s">
        <v>1256</v>
      </c>
      <c r="D609" s="90">
        <v>17180311</v>
      </c>
      <c r="E609" s="89" t="s">
        <v>4808</v>
      </c>
      <c r="F609" s="91"/>
    </row>
    <row r="610" spans="2:6" ht="30" x14ac:dyDescent="0.25">
      <c r="B610" s="88">
        <v>17213400</v>
      </c>
      <c r="C610" s="89" t="s">
        <v>1258</v>
      </c>
      <c r="D610" s="90">
        <v>17180411</v>
      </c>
      <c r="E610" s="89" t="s">
        <v>4809</v>
      </c>
      <c r="F610" s="91"/>
    </row>
    <row r="611" spans="2:6" ht="30" x14ac:dyDescent="0.25">
      <c r="B611" s="88">
        <v>17213500</v>
      </c>
      <c r="C611" s="89" t="s">
        <v>1260</v>
      </c>
      <c r="D611" s="90">
        <v>17180500</v>
      </c>
      <c r="E611" s="89" t="s">
        <v>1260</v>
      </c>
      <c r="F611" s="91"/>
    </row>
    <row r="612" spans="2:6" x14ac:dyDescent="0.25">
      <c r="B612" s="88">
        <v>17213501</v>
      </c>
      <c r="C612" s="89" t="s">
        <v>1262</v>
      </c>
      <c r="D612" s="90">
        <v>17180511</v>
      </c>
      <c r="E612" s="89" t="s">
        <v>4810</v>
      </c>
      <c r="F612" s="91"/>
    </row>
    <row r="613" spans="2:6" ht="30" x14ac:dyDescent="0.25">
      <c r="B613" s="88">
        <v>17213502</v>
      </c>
      <c r="C613" s="89" t="s">
        <v>1264</v>
      </c>
      <c r="D613" s="90">
        <v>17180521</v>
      </c>
      <c r="E613" s="89" t="s">
        <v>4811</v>
      </c>
      <c r="F613" s="91"/>
    </row>
    <row r="614" spans="2:6" ht="30" x14ac:dyDescent="0.25">
      <c r="B614" s="88">
        <v>17213503</v>
      </c>
      <c r="C614" s="89" t="s">
        <v>1266</v>
      </c>
      <c r="D614" s="90">
        <v>17180531</v>
      </c>
      <c r="E614" s="89" t="s">
        <v>4812</v>
      </c>
      <c r="F614" s="91"/>
    </row>
    <row r="615" spans="2:6" ht="45" x14ac:dyDescent="0.25">
      <c r="B615" s="88">
        <v>17213504</v>
      </c>
      <c r="C615" s="89" t="s">
        <v>1268</v>
      </c>
      <c r="D615" s="90">
        <v>17180541</v>
      </c>
      <c r="E615" s="89" t="s">
        <v>4813</v>
      </c>
      <c r="F615" s="91"/>
    </row>
    <row r="616" spans="2:6" ht="30" x14ac:dyDescent="0.25">
      <c r="B616" s="88">
        <v>17213599</v>
      </c>
      <c r="C616" s="89" t="s">
        <v>1270</v>
      </c>
      <c r="D616" s="90">
        <v>17180591</v>
      </c>
      <c r="E616" s="89" t="s">
        <v>4814</v>
      </c>
      <c r="F616" s="91"/>
    </row>
    <row r="617" spans="2:6" ht="30" x14ac:dyDescent="0.25">
      <c r="B617" s="88">
        <v>17213600</v>
      </c>
      <c r="C617" s="89" t="s">
        <v>1272</v>
      </c>
      <c r="D617" s="90">
        <v>17180611</v>
      </c>
      <c r="E617" s="89" t="s">
        <v>4815</v>
      </c>
      <c r="F617" s="91"/>
    </row>
    <row r="618" spans="2:6" x14ac:dyDescent="0.25">
      <c r="B618" s="88">
        <v>17213700</v>
      </c>
      <c r="C618" s="89" t="s">
        <v>1276</v>
      </c>
      <c r="D618" s="90">
        <v>17180711</v>
      </c>
      <c r="E618" s="89" t="s">
        <v>4816</v>
      </c>
      <c r="F618" s="91"/>
    </row>
    <row r="619" spans="2:6" x14ac:dyDescent="0.25">
      <c r="B619" s="88">
        <v>17213700</v>
      </c>
      <c r="C619" s="89" t="s">
        <v>1274</v>
      </c>
      <c r="D619" s="90" t="s">
        <v>4736</v>
      </c>
      <c r="E619" s="89"/>
      <c r="F619" s="91" t="s">
        <v>4737</v>
      </c>
    </row>
    <row r="620" spans="2:6" x14ac:dyDescent="0.25">
      <c r="B620" s="88">
        <v>17219900</v>
      </c>
      <c r="C620" s="89" t="s">
        <v>1277</v>
      </c>
      <c r="D620" s="90">
        <v>17189911</v>
      </c>
      <c r="E620" s="89" t="s">
        <v>4823</v>
      </c>
      <c r="F620" s="91"/>
    </row>
    <row r="621" spans="2:6" ht="30" x14ac:dyDescent="0.25">
      <c r="B621" s="88">
        <v>17220000</v>
      </c>
      <c r="C621" s="89" t="s">
        <v>1279</v>
      </c>
      <c r="D621" s="90">
        <v>17200000</v>
      </c>
      <c r="E621" s="89" t="s">
        <v>4198</v>
      </c>
      <c r="F621" s="91"/>
    </row>
    <row r="622" spans="2:6" x14ac:dyDescent="0.25">
      <c r="B622" s="88">
        <v>17220100</v>
      </c>
      <c r="C622" s="89" t="s">
        <v>1281</v>
      </c>
      <c r="D622" s="90">
        <v>17280100</v>
      </c>
      <c r="E622" s="89" t="s">
        <v>1281</v>
      </c>
      <c r="F622" s="91"/>
    </row>
    <row r="623" spans="2:6" x14ac:dyDescent="0.25">
      <c r="B623" s="88">
        <v>17220101</v>
      </c>
      <c r="C623" s="89" t="s">
        <v>1283</v>
      </c>
      <c r="D623" s="90">
        <v>17280111</v>
      </c>
      <c r="E623" s="89" t="s">
        <v>4824</v>
      </c>
      <c r="F623" s="91"/>
    </row>
    <row r="624" spans="2:6" x14ac:dyDescent="0.25">
      <c r="B624" s="88">
        <v>17220102</v>
      </c>
      <c r="C624" s="89" t="s">
        <v>1285</v>
      </c>
      <c r="D624" s="90">
        <v>17280121</v>
      </c>
      <c r="E624" s="89" t="s">
        <v>4825</v>
      </c>
      <c r="F624" s="91"/>
    </row>
    <row r="625" spans="2:6" x14ac:dyDescent="0.25">
      <c r="B625" s="88">
        <v>17220104</v>
      </c>
      <c r="C625" s="89" t="s">
        <v>1289</v>
      </c>
      <c r="D625" s="90">
        <v>17280131</v>
      </c>
      <c r="E625" s="89" t="s">
        <v>4826</v>
      </c>
      <c r="F625" s="91"/>
    </row>
    <row r="626" spans="2:6" x14ac:dyDescent="0.25">
      <c r="B626" s="88">
        <v>17220104</v>
      </c>
      <c r="C626" s="89" t="s">
        <v>1287</v>
      </c>
      <c r="D626" s="90" t="s">
        <v>4736</v>
      </c>
      <c r="E626" s="89"/>
      <c r="F626" s="91" t="s">
        <v>4737</v>
      </c>
    </row>
    <row r="627" spans="2:6" ht="30" x14ac:dyDescent="0.25">
      <c r="B627" s="88">
        <v>17220113</v>
      </c>
      <c r="C627" s="89" t="s">
        <v>1236</v>
      </c>
      <c r="D627" s="90">
        <v>17280141</v>
      </c>
      <c r="E627" s="89" t="s">
        <v>4799</v>
      </c>
      <c r="F627" s="91"/>
    </row>
    <row r="628" spans="2:6" x14ac:dyDescent="0.25">
      <c r="B628" s="88">
        <v>17220199</v>
      </c>
      <c r="C628" s="89" t="s">
        <v>1292</v>
      </c>
      <c r="D628" s="90">
        <v>17280151</v>
      </c>
      <c r="E628" s="89" t="s">
        <v>4827</v>
      </c>
      <c r="F628" s="91"/>
    </row>
    <row r="629" spans="2:6" x14ac:dyDescent="0.25">
      <c r="B629" s="88">
        <v>17220900</v>
      </c>
      <c r="C629" s="89" t="s">
        <v>1294</v>
      </c>
      <c r="D629" s="90">
        <v>17280191</v>
      </c>
      <c r="E629" s="89" t="s">
        <v>4828</v>
      </c>
      <c r="F629" s="91"/>
    </row>
    <row r="630" spans="2:6" ht="30" x14ac:dyDescent="0.25">
      <c r="B630" s="88">
        <v>17222200</v>
      </c>
      <c r="C630" s="89" t="s">
        <v>1296</v>
      </c>
      <c r="D630" s="90">
        <v>17280200</v>
      </c>
      <c r="E630" s="89" t="s">
        <v>1296</v>
      </c>
      <c r="F630" s="91"/>
    </row>
    <row r="631" spans="2:6" ht="30" x14ac:dyDescent="0.25">
      <c r="B631" s="88">
        <v>17222211</v>
      </c>
      <c r="C631" s="89" t="s">
        <v>1242</v>
      </c>
      <c r="D631" s="90">
        <v>17280211</v>
      </c>
      <c r="E631" s="89" t="s">
        <v>4801</v>
      </c>
      <c r="F631" s="91"/>
    </row>
    <row r="632" spans="2:6" ht="30" x14ac:dyDescent="0.25">
      <c r="B632" s="88">
        <v>17222220</v>
      </c>
      <c r="C632" s="89" t="s">
        <v>1244</v>
      </c>
      <c r="D632" s="90">
        <v>17280221</v>
      </c>
      <c r="E632" s="89" t="s">
        <v>4802</v>
      </c>
      <c r="F632" s="91"/>
    </row>
    <row r="633" spans="2:6" ht="45" x14ac:dyDescent="0.25">
      <c r="B633" s="88">
        <v>17222230</v>
      </c>
      <c r="C633" s="89" t="s">
        <v>1300</v>
      </c>
      <c r="D633" s="90">
        <v>17280231</v>
      </c>
      <c r="E633" s="89" t="s">
        <v>4829</v>
      </c>
      <c r="F633" s="91"/>
    </row>
    <row r="634" spans="2:6" ht="30" x14ac:dyDescent="0.25">
      <c r="B634" s="88">
        <v>17222290</v>
      </c>
      <c r="C634" s="89" t="s">
        <v>1302</v>
      </c>
      <c r="D634" s="90">
        <v>17280291</v>
      </c>
      <c r="E634" s="89" t="s">
        <v>4830</v>
      </c>
      <c r="F634" s="91"/>
    </row>
    <row r="635" spans="2:6" ht="30" x14ac:dyDescent="0.25">
      <c r="B635" s="88">
        <v>17223300</v>
      </c>
      <c r="C635" s="89" t="s">
        <v>1304</v>
      </c>
      <c r="D635" s="90">
        <v>17280311</v>
      </c>
      <c r="E635" s="89" t="s">
        <v>4831</v>
      </c>
      <c r="F635" s="91"/>
    </row>
    <row r="636" spans="2:6" ht="30" x14ac:dyDescent="0.25">
      <c r="B636" s="88">
        <v>17223700</v>
      </c>
      <c r="C636" s="89" t="s">
        <v>1307</v>
      </c>
      <c r="D636" s="90">
        <v>17280411</v>
      </c>
      <c r="E636" s="89" t="s">
        <v>4832</v>
      </c>
      <c r="F636" s="91"/>
    </row>
    <row r="637" spans="2:6" x14ac:dyDescent="0.25">
      <c r="B637" s="88">
        <v>17223700</v>
      </c>
      <c r="C637" s="89" t="s">
        <v>1274</v>
      </c>
      <c r="D637" s="90" t="s">
        <v>4736</v>
      </c>
      <c r="E637" s="89"/>
      <c r="F637" s="91" t="s">
        <v>4737</v>
      </c>
    </row>
    <row r="638" spans="2:6" x14ac:dyDescent="0.25">
      <c r="B638" s="88">
        <v>17229900</v>
      </c>
      <c r="C638" s="89" t="s">
        <v>1294</v>
      </c>
      <c r="D638" s="90">
        <v>17289911</v>
      </c>
      <c r="E638" s="89" t="s">
        <v>4828</v>
      </c>
      <c r="F638" s="91"/>
    </row>
    <row r="639" spans="2:6" x14ac:dyDescent="0.25">
      <c r="B639" s="88">
        <v>17230000</v>
      </c>
      <c r="C639" s="89" t="s">
        <v>1309</v>
      </c>
      <c r="D639" s="90">
        <v>17300000</v>
      </c>
      <c r="E639" s="89" t="s">
        <v>4200</v>
      </c>
      <c r="F639" s="91"/>
    </row>
    <row r="640" spans="2:6" ht="30" x14ac:dyDescent="0.25">
      <c r="B640" s="88">
        <v>17230100</v>
      </c>
      <c r="C640" s="89" t="s">
        <v>1311</v>
      </c>
      <c r="D640" s="90">
        <v>17380111</v>
      </c>
      <c r="E640" s="89" t="s">
        <v>4836</v>
      </c>
      <c r="F640" s="91"/>
    </row>
    <row r="641" spans="2:6" ht="30" x14ac:dyDescent="0.25">
      <c r="B641" s="88">
        <v>17233700</v>
      </c>
      <c r="C641" s="89" t="s">
        <v>1314</v>
      </c>
      <c r="D641" s="90">
        <v>17380211</v>
      </c>
      <c r="E641" s="89" t="s">
        <v>4837</v>
      </c>
      <c r="F641" s="91"/>
    </row>
    <row r="642" spans="2:6" x14ac:dyDescent="0.25">
      <c r="B642" s="88">
        <v>17233700</v>
      </c>
      <c r="C642" s="89" t="s">
        <v>1274</v>
      </c>
      <c r="D642" s="90" t="s">
        <v>4736</v>
      </c>
      <c r="E642" s="89"/>
      <c r="F642" s="91" t="s">
        <v>4737</v>
      </c>
    </row>
    <row r="643" spans="2:6" x14ac:dyDescent="0.25">
      <c r="B643" s="88">
        <v>17239900</v>
      </c>
      <c r="C643" s="89" t="s">
        <v>1315</v>
      </c>
      <c r="D643" s="90">
        <v>17389911</v>
      </c>
      <c r="E643" s="89" t="s">
        <v>4841</v>
      </c>
      <c r="F643" s="91"/>
    </row>
    <row r="644" spans="2:6" x14ac:dyDescent="0.25">
      <c r="B644" s="88">
        <v>17240000</v>
      </c>
      <c r="C644" s="89" t="s">
        <v>1318</v>
      </c>
      <c r="D644" s="90" t="s">
        <v>4736</v>
      </c>
      <c r="E644" s="89"/>
      <c r="F644" s="91" t="s">
        <v>4885</v>
      </c>
    </row>
    <row r="645" spans="2:6" ht="45" x14ac:dyDescent="0.25">
      <c r="B645" s="88">
        <v>17240100</v>
      </c>
      <c r="C645" s="89" t="s">
        <v>1320</v>
      </c>
      <c r="D645" s="90">
        <v>17580111</v>
      </c>
      <c r="E645" s="89" t="s">
        <v>4844</v>
      </c>
      <c r="F645" s="91"/>
    </row>
    <row r="646" spans="2:6" ht="60" x14ac:dyDescent="0.25">
      <c r="B646" s="88">
        <v>17240200</v>
      </c>
      <c r="C646" s="89" t="s">
        <v>1322</v>
      </c>
      <c r="D646" s="90">
        <v>17580121</v>
      </c>
      <c r="E646" s="89" t="s">
        <v>4845</v>
      </c>
      <c r="F646" s="91"/>
    </row>
    <row r="647" spans="2:6" x14ac:dyDescent="0.25">
      <c r="B647" s="88">
        <v>17249900</v>
      </c>
      <c r="C647" s="89" t="s">
        <v>1324</v>
      </c>
      <c r="D647" s="90">
        <v>17589911</v>
      </c>
      <c r="E647" s="89" t="s">
        <v>4846</v>
      </c>
      <c r="F647" s="91"/>
    </row>
    <row r="648" spans="2:6" x14ac:dyDescent="0.25">
      <c r="B648" s="88">
        <v>17300000</v>
      </c>
      <c r="C648" s="89" t="s">
        <v>1326</v>
      </c>
      <c r="D648" s="90">
        <v>17400000</v>
      </c>
      <c r="E648" s="89" t="s">
        <v>4203</v>
      </c>
      <c r="F648" s="136" t="s">
        <v>5049</v>
      </c>
    </row>
    <row r="649" spans="2:6" x14ac:dyDescent="0.25">
      <c r="B649" s="88">
        <v>17400000</v>
      </c>
      <c r="C649" s="89" t="s">
        <v>1328</v>
      </c>
      <c r="D649" s="90">
        <v>17600000</v>
      </c>
      <c r="E649" s="89" t="s">
        <v>4208</v>
      </c>
      <c r="F649" s="136" t="s">
        <v>5049</v>
      </c>
    </row>
    <row r="650" spans="2:6" x14ac:dyDescent="0.25">
      <c r="B650" s="88">
        <v>17500000</v>
      </c>
      <c r="C650" s="89" t="s">
        <v>1330</v>
      </c>
      <c r="D650" s="90">
        <v>17700000</v>
      </c>
      <c r="E650" s="89" t="s">
        <v>4211</v>
      </c>
      <c r="F650" s="136" t="s">
        <v>5049</v>
      </c>
    </row>
    <row r="651" spans="2:6" x14ac:dyDescent="0.25">
      <c r="B651" s="88">
        <v>17600000</v>
      </c>
      <c r="C651" s="89" t="s">
        <v>1332</v>
      </c>
      <c r="D651" s="90" t="s">
        <v>4736</v>
      </c>
      <c r="E651" s="89"/>
      <c r="F651" s="91" t="s">
        <v>4885</v>
      </c>
    </row>
    <row r="652" spans="2:6" ht="30" x14ac:dyDescent="0.25">
      <c r="B652" s="88">
        <v>17610000</v>
      </c>
      <c r="C652" s="89" t="s">
        <v>1334</v>
      </c>
      <c r="D652" s="90">
        <v>17181000</v>
      </c>
      <c r="E652" s="89" t="s">
        <v>1334</v>
      </c>
      <c r="F652" s="91"/>
    </row>
    <row r="653" spans="2:6" ht="30" x14ac:dyDescent="0.25">
      <c r="B653" s="88">
        <v>17610100</v>
      </c>
      <c r="C653" s="89" t="s">
        <v>1336</v>
      </c>
      <c r="D653" s="90">
        <v>17181011</v>
      </c>
      <c r="E653" s="89" t="s">
        <v>4817</v>
      </c>
      <c r="F653" s="91"/>
    </row>
    <row r="654" spans="2:6" ht="30" x14ac:dyDescent="0.25">
      <c r="B654" s="88">
        <v>17610200</v>
      </c>
      <c r="C654" s="89" t="s">
        <v>1338</v>
      </c>
      <c r="D654" s="90">
        <v>17181021</v>
      </c>
      <c r="E654" s="89" t="s">
        <v>4818</v>
      </c>
      <c r="F654" s="91"/>
    </row>
    <row r="655" spans="2:6" ht="30" x14ac:dyDescent="0.25">
      <c r="B655" s="88">
        <v>17610300</v>
      </c>
      <c r="C655" s="89" t="s">
        <v>1340</v>
      </c>
      <c r="D655" s="90">
        <v>17181031</v>
      </c>
      <c r="E655" s="89" t="s">
        <v>4819</v>
      </c>
      <c r="F655" s="91"/>
    </row>
    <row r="656" spans="2:6" ht="30" x14ac:dyDescent="0.25">
      <c r="B656" s="88">
        <v>17610400</v>
      </c>
      <c r="C656" s="92" t="s">
        <v>1342</v>
      </c>
      <c r="D656" s="90">
        <v>17181041</v>
      </c>
      <c r="E656" s="89" t="s">
        <v>4820</v>
      </c>
      <c r="F656" s="91"/>
    </row>
    <row r="657" spans="2:6" ht="30" x14ac:dyDescent="0.25">
      <c r="B657" s="88">
        <v>17610500</v>
      </c>
      <c r="C657" s="89" t="s">
        <v>1344</v>
      </c>
      <c r="D657" s="90">
        <v>17181051</v>
      </c>
      <c r="E657" s="89" t="s">
        <v>4821</v>
      </c>
      <c r="F657" s="91"/>
    </row>
    <row r="658" spans="2:6" x14ac:dyDescent="0.25">
      <c r="B658" s="88">
        <v>17619900</v>
      </c>
      <c r="C658" s="89" t="s">
        <v>1346</v>
      </c>
      <c r="D658" s="90">
        <v>17181091</v>
      </c>
      <c r="E658" s="89" t="s">
        <v>4822</v>
      </c>
      <c r="F658" s="91"/>
    </row>
    <row r="659" spans="2:6" ht="30" x14ac:dyDescent="0.25">
      <c r="B659" s="88">
        <v>17620000</v>
      </c>
      <c r="C659" s="89" t="s">
        <v>1348</v>
      </c>
      <c r="D659" s="90">
        <v>17281000</v>
      </c>
      <c r="E659" s="89" t="s">
        <v>1348</v>
      </c>
      <c r="F659" s="91"/>
    </row>
    <row r="660" spans="2:6" ht="30" x14ac:dyDescent="0.25">
      <c r="B660" s="88">
        <v>17620100</v>
      </c>
      <c r="C660" s="89" t="s">
        <v>1350</v>
      </c>
      <c r="D660" s="90">
        <v>17281011</v>
      </c>
      <c r="E660" s="89" t="s">
        <v>4833</v>
      </c>
      <c r="F660" s="91"/>
    </row>
    <row r="661" spans="2:6" ht="30" x14ac:dyDescent="0.25">
      <c r="B661" s="88">
        <v>17620200</v>
      </c>
      <c r="C661" s="89" t="s">
        <v>1352</v>
      </c>
      <c r="D661" s="90">
        <v>17281021</v>
      </c>
      <c r="E661" s="89" t="s">
        <v>4834</v>
      </c>
      <c r="F661" s="91"/>
    </row>
    <row r="662" spans="2:6" x14ac:dyDescent="0.25">
      <c r="B662" s="88">
        <v>17629900</v>
      </c>
      <c r="C662" s="89" t="s">
        <v>1354</v>
      </c>
      <c r="D662" s="90">
        <v>17281091</v>
      </c>
      <c r="E662" s="89" t="s">
        <v>4835</v>
      </c>
      <c r="F662" s="91"/>
    </row>
    <row r="663" spans="2:6" ht="30" x14ac:dyDescent="0.25">
      <c r="B663" s="88">
        <v>17630000</v>
      </c>
      <c r="C663" s="89" t="s">
        <v>1356</v>
      </c>
      <c r="D663" s="90">
        <v>17381000</v>
      </c>
      <c r="E663" s="89" t="s">
        <v>1356</v>
      </c>
      <c r="F663" s="91"/>
    </row>
    <row r="664" spans="2:6" ht="30" x14ac:dyDescent="0.25">
      <c r="B664" s="88">
        <v>17630100</v>
      </c>
      <c r="C664" s="89" t="s">
        <v>1358</v>
      </c>
      <c r="D664" s="90">
        <v>17381011</v>
      </c>
      <c r="E664" s="89" t="s">
        <v>4838</v>
      </c>
      <c r="F664" s="91"/>
    </row>
    <row r="665" spans="2:6" ht="30" x14ac:dyDescent="0.25">
      <c r="B665" s="88">
        <v>17630200</v>
      </c>
      <c r="C665" s="89" t="s">
        <v>1360</v>
      </c>
      <c r="D665" s="90">
        <v>17381021</v>
      </c>
      <c r="E665" s="89" t="s">
        <v>4839</v>
      </c>
      <c r="F665" s="91"/>
    </row>
    <row r="666" spans="2:6" ht="30" x14ac:dyDescent="0.25">
      <c r="B666" s="88">
        <v>17639900</v>
      </c>
      <c r="C666" s="89" t="s">
        <v>1362</v>
      </c>
      <c r="D666" s="90">
        <v>17381091</v>
      </c>
      <c r="E666" s="89" t="s">
        <v>4840</v>
      </c>
      <c r="F666" s="91"/>
    </row>
    <row r="667" spans="2:6" ht="30" x14ac:dyDescent="0.25">
      <c r="B667" s="88">
        <v>17640000</v>
      </c>
      <c r="C667" s="89" t="s">
        <v>1364</v>
      </c>
      <c r="D667" s="90">
        <v>17481011</v>
      </c>
      <c r="E667" s="89" t="s">
        <v>4842</v>
      </c>
      <c r="F667" s="91"/>
    </row>
    <row r="668" spans="2:6" x14ac:dyDescent="0.25">
      <c r="B668" s="88">
        <v>17650000</v>
      </c>
      <c r="C668" s="89" t="s">
        <v>1366</v>
      </c>
      <c r="D668" s="90">
        <v>17681011</v>
      </c>
      <c r="E668" s="89" t="s">
        <v>4847</v>
      </c>
      <c r="F668" s="91"/>
    </row>
    <row r="669" spans="2:6" x14ac:dyDescent="0.25">
      <c r="B669" s="137">
        <v>17700000</v>
      </c>
      <c r="C669" s="138" t="s">
        <v>1368</v>
      </c>
      <c r="D669" s="90" t="s">
        <v>4736</v>
      </c>
      <c r="E669" s="89"/>
      <c r="F669" s="91" t="s">
        <v>4885</v>
      </c>
    </row>
    <row r="670" spans="2:6" x14ac:dyDescent="0.25">
      <c r="B670" s="88">
        <v>17710000</v>
      </c>
      <c r="C670" s="89" t="s">
        <v>1370</v>
      </c>
      <c r="D670" s="90">
        <v>17600011</v>
      </c>
      <c r="E670" s="89" t="s">
        <v>4848</v>
      </c>
      <c r="F670" s="91" t="s">
        <v>5052</v>
      </c>
    </row>
    <row r="671" spans="2:6" x14ac:dyDescent="0.25">
      <c r="B671" s="88">
        <v>17720000</v>
      </c>
      <c r="C671" s="89" t="s">
        <v>1372</v>
      </c>
      <c r="D671" s="90">
        <v>17400011</v>
      </c>
      <c r="E671" s="89" t="s">
        <v>4843</v>
      </c>
      <c r="F671" s="91" t="s">
        <v>5052</v>
      </c>
    </row>
    <row r="672" spans="2:6" x14ac:dyDescent="0.25">
      <c r="B672" s="88">
        <v>17730000</v>
      </c>
      <c r="C672" s="89" t="s">
        <v>1374</v>
      </c>
      <c r="D672" s="90">
        <v>17700000</v>
      </c>
      <c r="E672" s="89" t="s">
        <v>4211</v>
      </c>
      <c r="F672" s="136" t="s">
        <v>5049</v>
      </c>
    </row>
    <row r="673" spans="2:6" ht="30" x14ac:dyDescent="0.25">
      <c r="B673" s="88">
        <v>17740000</v>
      </c>
      <c r="C673" s="89" t="s">
        <v>1376</v>
      </c>
      <c r="D673" s="90">
        <v>17000000</v>
      </c>
      <c r="E673" s="92" t="s">
        <v>4975</v>
      </c>
      <c r="F673" s="136" t="s">
        <v>5049</v>
      </c>
    </row>
    <row r="674" spans="2:6" x14ac:dyDescent="0.25">
      <c r="B674" s="88">
        <v>19000000</v>
      </c>
      <c r="C674" s="89" t="s">
        <v>1378</v>
      </c>
      <c r="D674" s="90">
        <v>19000000</v>
      </c>
      <c r="E674" s="89" t="s">
        <v>1378</v>
      </c>
      <c r="F674" s="91"/>
    </row>
    <row r="675" spans="2:6" x14ac:dyDescent="0.25">
      <c r="B675" s="88">
        <v>19100000</v>
      </c>
      <c r="C675" s="89" t="s">
        <v>1380</v>
      </c>
      <c r="D675" s="90" t="s">
        <v>4736</v>
      </c>
      <c r="E675" s="89"/>
      <c r="F675" s="91" t="s">
        <v>4885</v>
      </c>
    </row>
    <row r="676" spans="2:6" x14ac:dyDescent="0.25">
      <c r="B676" s="88">
        <v>19110000</v>
      </c>
      <c r="C676" s="89" t="s">
        <v>1382</v>
      </c>
      <c r="D676" s="90" t="s">
        <v>4736</v>
      </c>
      <c r="E676" s="89"/>
      <c r="F676" s="91" t="s">
        <v>4885</v>
      </c>
    </row>
    <row r="677" spans="2:6" x14ac:dyDescent="0.25">
      <c r="B677" s="88">
        <v>19110100</v>
      </c>
      <c r="C677" s="89" t="s">
        <v>1384</v>
      </c>
      <c r="D677" s="90">
        <v>11110112</v>
      </c>
      <c r="E677" s="89" t="s">
        <v>2891</v>
      </c>
      <c r="F677" s="91"/>
    </row>
    <row r="678" spans="2:6" ht="30" x14ac:dyDescent="0.25">
      <c r="B678" s="88">
        <v>19110101</v>
      </c>
      <c r="C678" s="89" t="s">
        <v>1386</v>
      </c>
      <c r="D678" s="90">
        <v>11110112</v>
      </c>
      <c r="E678" s="89" t="s">
        <v>2891</v>
      </c>
      <c r="F678" s="91"/>
    </row>
    <row r="679" spans="2:6" ht="30" x14ac:dyDescent="0.25">
      <c r="B679" s="88">
        <v>19110102</v>
      </c>
      <c r="C679" s="89" t="s">
        <v>1388</v>
      </c>
      <c r="D679" s="90">
        <v>11110112</v>
      </c>
      <c r="E679" s="89" t="s">
        <v>2891</v>
      </c>
      <c r="F679" s="91"/>
    </row>
    <row r="680" spans="2:6" ht="30" x14ac:dyDescent="0.25">
      <c r="B680" s="88">
        <v>19110200</v>
      </c>
      <c r="C680" s="89" t="s">
        <v>1390</v>
      </c>
      <c r="D680" s="90" t="s">
        <v>4736</v>
      </c>
      <c r="E680" s="89"/>
      <c r="F680" s="91" t="s">
        <v>4885</v>
      </c>
    </row>
    <row r="681" spans="2:6" ht="30" x14ac:dyDescent="0.25">
      <c r="B681" s="88">
        <v>19110201</v>
      </c>
      <c r="C681" s="89" t="s">
        <v>1392</v>
      </c>
      <c r="D681" s="90">
        <v>11130112</v>
      </c>
      <c r="E681" s="89" t="s">
        <v>2927</v>
      </c>
      <c r="F681" s="91"/>
    </row>
    <row r="682" spans="2:6" ht="30" x14ac:dyDescent="0.25">
      <c r="B682" s="88">
        <v>19110202</v>
      </c>
      <c r="C682" s="89" t="s">
        <v>1394</v>
      </c>
      <c r="D682" s="90">
        <v>11130212</v>
      </c>
      <c r="E682" s="89" t="s">
        <v>2935</v>
      </c>
      <c r="F682" s="91"/>
    </row>
    <row r="683" spans="2:6" ht="30" x14ac:dyDescent="0.25">
      <c r="B683" s="88">
        <v>19110203</v>
      </c>
      <c r="C683" s="89" t="s">
        <v>1396</v>
      </c>
      <c r="D683" s="90">
        <v>11130312</v>
      </c>
      <c r="E683" s="89" t="s">
        <v>2945</v>
      </c>
      <c r="F683" s="91"/>
    </row>
    <row r="684" spans="2:6" ht="30" x14ac:dyDescent="0.25">
      <c r="B684" s="88">
        <v>19110204</v>
      </c>
      <c r="C684" s="89" t="s">
        <v>1398</v>
      </c>
      <c r="D684" s="90">
        <v>11130212</v>
      </c>
      <c r="E684" s="89" t="s">
        <v>2935</v>
      </c>
      <c r="F684" s="91"/>
    </row>
    <row r="685" spans="2:6" ht="30" x14ac:dyDescent="0.25">
      <c r="B685" s="88">
        <v>19110205</v>
      </c>
      <c r="C685" s="89" t="s">
        <v>1400</v>
      </c>
      <c r="D685" s="90">
        <v>11130312</v>
      </c>
      <c r="E685" s="89" t="s">
        <v>2945</v>
      </c>
      <c r="F685" s="91"/>
    </row>
    <row r="686" spans="2:6" ht="30" x14ac:dyDescent="0.25">
      <c r="B686" s="88">
        <v>19110206</v>
      </c>
      <c r="C686" s="89" t="s">
        <v>1402</v>
      </c>
      <c r="D686" s="90">
        <v>11130112</v>
      </c>
      <c r="E686" s="89" t="s">
        <v>2927</v>
      </c>
      <c r="F686" s="91"/>
    </row>
    <row r="687" spans="2:6" ht="30" x14ac:dyDescent="0.25">
      <c r="B687" s="88">
        <v>19110207</v>
      </c>
      <c r="C687" s="89" t="s">
        <v>1404</v>
      </c>
      <c r="D687" s="90">
        <v>11130212</v>
      </c>
      <c r="E687" s="89" t="s">
        <v>2935</v>
      </c>
      <c r="F687" s="91"/>
    </row>
    <row r="688" spans="2:6" ht="30" x14ac:dyDescent="0.25">
      <c r="B688" s="88">
        <v>19110300</v>
      </c>
      <c r="C688" s="89" t="s">
        <v>1406</v>
      </c>
      <c r="D688" s="90">
        <v>11140152</v>
      </c>
      <c r="E688" s="89" t="s">
        <v>3005</v>
      </c>
      <c r="F688" s="91"/>
    </row>
    <row r="689" spans="2:6" ht="30" x14ac:dyDescent="0.25">
      <c r="B689" s="88">
        <v>19110301</v>
      </c>
      <c r="C689" s="89" t="s">
        <v>1408</v>
      </c>
      <c r="D689" s="90">
        <v>11140152</v>
      </c>
      <c r="E689" s="89" t="s">
        <v>3005</v>
      </c>
      <c r="F689" s="91"/>
    </row>
    <row r="690" spans="2:6" ht="30" x14ac:dyDescent="0.25">
      <c r="B690" s="88">
        <v>19110302</v>
      </c>
      <c r="C690" s="89" t="s">
        <v>1410</v>
      </c>
      <c r="D690" s="90">
        <v>11140152</v>
      </c>
      <c r="E690" s="89" t="s">
        <v>3005</v>
      </c>
      <c r="F690" s="91"/>
    </row>
    <row r="691" spans="2:6" ht="30" x14ac:dyDescent="0.25">
      <c r="B691" s="88">
        <v>19110303</v>
      </c>
      <c r="C691" s="89" t="s">
        <v>1412</v>
      </c>
      <c r="D691" s="90">
        <v>11140152</v>
      </c>
      <c r="E691" s="89" t="s">
        <v>3005</v>
      </c>
      <c r="F691" s="91"/>
    </row>
    <row r="692" spans="2:6" ht="45" x14ac:dyDescent="0.25">
      <c r="B692" s="88">
        <v>19110400</v>
      </c>
      <c r="C692" s="89" t="s">
        <v>1414</v>
      </c>
      <c r="D692" s="90">
        <v>11150122</v>
      </c>
      <c r="E692" s="89" t="s">
        <v>3026</v>
      </c>
      <c r="F692" s="91"/>
    </row>
    <row r="693" spans="2:6" ht="45" x14ac:dyDescent="0.25">
      <c r="B693" s="88">
        <v>19110401</v>
      </c>
      <c r="C693" s="89" t="s">
        <v>1416</v>
      </c>
      <c r="D693" s="90">
        <v>11150122</v>
      </c>
      <c r="E693" s="89" t="s">
        <v>3026</v>
      </c>
      <c r="F693" s="91"/>
    </row>
    <row r="694" spans="2:6" ht="45" x14ac:dyDescent="0.25">
      <c r="B694" s="88">
        <v>19110402</v>
      </c>
      <c r="C694" s="89" t="s">
        <v>1418</v>
      </c>
      <c r="D694" s="90">
        <v>11150122</v>
      </c>
      <c r="E694" s="89" t="s">
        <v>3026</v>
      </c>
      <c r="F694" s="91"/>
    </row>
    <row r="695" spans="2:6" x14ac:dyDescent="0.25">
      <c r="B695" s="88">
        <v>19110700</v>
      </c>
      <c r="C695" s="89" t="s">
        <v>1420</v>
      </c>
      <c r="D695" s="90">
        <v>11110212</v>
      </c>
      <c r="E695" s="89" t="s">
        <v>2899</v>
      </c>
      <c r="F695" s="91"/>
    </row>
    <row r="696" spans="2:6" ht="30" x14ac:dyDescent="0.25">
      <c r="B696" s="88">
        <v>19110701</v>
      </c>
      <c r="C696" s="89" t="s">
        <v>1422</v>
      </c>
      <c r="D696" s="90">
        <v>11110212</v>
      </c>
      <c r="E696" s="89" t="s">
        <v>2899</v>
      </c>
      <c r="F696" s="91"/>
    </row>
    <row r="697" spans="2:6" ht="30" x14ac:dyDescent="0.25">
      <c r="B697" s="88">
        <v>19110702</v>
      </c>
      <c r="C697" s="89" t="s">
        <v>1424</v>
      </c>
      <c r="D697" s="90">
        <v>11110212</v>
      </c>
      <c r="E697" s="89" t="s">
        <v>2899</v>
      </c>
      <c r="F697" s="91"/>
    </row>
    <row r="698" spans="2:6" ht="30" x14ac:dyDescent="0.25">
      <c r="B698" s="88">
        <v>19110800</v>
      </c>
      <c r="C698" s="89" t="s">
        <v>1426</v>
      </c>
      <c r="D698" s="90" t="s">
        <v>4736</v>
      </c>
      <c r="E698" s="89"/>
      <c r="F698" s="91" t="s">
        <v>4885</v>
      </c>
    </row>
    <row r="699" spans="2:6" ht="30" x14ac:dyDescent="0.25">
      <c r="B699" s="88">
        <v>19110801</v>
      </c>
      <c r="C699" s="89" t="s">
        <v>1428</v>
      </c>
      <c r="D699" s="90">
        <v>11120112</v>
      </c>
      <c r="E699" s="89" t="s">
        <v>2909</v>
      </c>
      <c r="F699" s="91"/>
    </row>
    <row r="700" spans="2:6" ht="30" x14ac:dyDescent="0.25">
      <c r="B700" s="88">
        <v>19110802</v>
      </c>
      <c r="C700" s="89" t="s">
        <v>1430</v>
      </c>
      <c r="D700" s="90">
        <v>11120122</v>
      </c>
      <c r="E700" s="89" t="s">
        <v>2916</v>
      </c>
      <c r="F700" s="91"/>
    </row>
    <row r="701" spans="2:6" ht="30" x14ac:dyDescent="0.25">
      <c r="B701" s="88">
        <v>19112000</v>
      </c>
      <c r="C701" s="89" t="s">
        <v>1432</v>
      </c>
      <c r="D701" s="90">
        <v>11180132</v>
      </c>
      <c r="E701" s="89" t="s">
        <v>4748</v>
      </c>
      <c r="F701" s="91"/>
    </row>
    <row r="702" spans="2:6" ht="30" x14ac:dyDescent="0.25">
      <c r="B702" s="88">
        <v>19113100</v>
      </c>
      <c r="C702" s="89" t="s">
        <v>1434</v>
      </c>
      <c r="D702" s="90" t="s">
        <v>4736</v>
      </c>
      <c r="E702" s="89"/>
      <c r="F702" s="91" t="s">
        <v>4885</v>
      </c>
    </row>
    <row r="703" spans="2:6" ht="30" x14ac:dyDescent="0.25">
      <c r="B703" s="88">
        <v>19113101</v>
      </c>
      <c r="C703" s="89" t="s">
        <v>1437</v>
      </c>
      <c r="D703" s="90">
        <v>11210212</v>
      </c>
      <c r="E703" s="89" t="s">
        <v>3057</v>
      </c>
      <c r="F703" s="91"/>
    </row>
    <row r="704" spans="2:6" ht="30" x14ac:dyDescent="0.25">
      <c r="B704" s="88">
        <v>19113102</v>
      </c>
      <c r="C704" s="89" t="s">
        <v>1440</v>
      </c>
      <c r="D704" s="90">
        <v>11210222</v>
      </c>
      <c r="E704" s="89" t="s">
        <v>3064</v>
      </c>
      <c r="F704" s="91"/>
    </row>
    <row r="705" spans="2:6" ht="30" x14ac:dyDescent="0.25">
      <c r="B705" s="88">
        <v>19113200</v>
      </c>
      <c r="C705" s="89" t="s">
        <v>1442</v>
      </c>
      <c r="D705" s="90">
        <v>11210112</v>
      </c>
      <c r="E705" s="89" t="s">
        <v>3046</v>
      </c>
      <c r="F705" s="91"/>
    </row>
    <row r="706" spans="2:6" ht="30" x14ac:dyDescent="0.25">
      <c r="B706" s="88">
        <v>19113300</v>
      </c>
      <c r="C706" s="89" t="s">
        <v>1444</v>
      </c>
      <c r="D706" s="90">
        <v>11210112</v>
      </c>
      <c r="E706" s="89" t="s">
        <v>3046</v>
      </c>
      <c r="F706" s="91"/>
    </row>
    <row r="707" spans="2:6" ht="45" x14ac:dyDescent="0.25">
      <c r="B707" s="88">
        <v>19113400</v>
      </c>
      <c r="C707" s="89" t="s">
        <v>1446</v>
      </c>
      <c r="D707" s="90">
        <v>11210112</v>
      </c>
      <c r="E707" s="89" t="s">
        <v>3046</v>
      </c>
      <c r="F707" s="91"/>
    </row>
    <row r="708" spans="2:6" ht="30" x14ac:dyDescent="0.25">
      <c r="B708" s="88">
        <v>19113500</v>
      </c>
      <c r="C708" s="89" t="s">
        <v>1448</v>
      </c>
      <c r="D708" s="90">
        <v>11210112</v>
      </c>
      <c r="E708" s="89" t="s">
        <v>3046</v>
      </c>
      <c r="F708" s="91"/>
    </row>
    <row r="709" spans="2:6" x14ac:dyDescent="0.25">
      <c r="B709" s="88">
        <v>19113600</v>
      </c>
      <c r="C709" s="89" t="s">
        <v>1450</v>
      </c>
      <c r="D709" s="90">
        <v>11210112</v>
      </c>
      <c r="E709" s="89" t="s">
        <v>3046</v>
      </c>
      <c r="F709" s="91"/>
    </row>
    <row r="710" spans="2:6" ht="30" x14ac:dyDescent="0.25">
      <c r="B710" s="88">
        <v>19113700</v>
      </c>
      <c r="C710" s="89" t="s">
        <v>1452</v>
      </c>
      <c r="D710" s="90">
        <v>11210112</v>
      </c>
      <c r="E710" s="89" t="s">
        <v>3046</v>
      </c>
      <c r="F710" s="91"/>
    </row>
    <row r="711" spans="2:6" ht="30" x14ac:dyDescent="0.25">
      <c r="B711" s="88">
        <v>19113800</v>
      </c>
      <c r="C711" s="89" t="s">
        <v>1454</v>
      </c>
      <c r="D711" s="90">
        <v>11180112</v>
      </c>
      <c r="E711" s="89" t="s">
        <v>4740</v>
      </c>
      <c r="F711" s="91"/>
    </row>
    <row r="712" spans="2:6" ht="30" x14ac:dyDescent="0.25">
      <c r="B712" s="88">
        <v>19113900</v>
      </c>
      <c r="C712" s="89" t="s">
        <v>1456</v>
      </c>
      <c r="D712" s="90">
        <v>11180142</v>
      </c>
      <c r="E712" s="89" t="s">
        <v>4752</v>
      </c>
      <c r="F712" s="91"/>
    </row>
    <row r="713" spans="2:6" ht="30" x14ac:dyDescent="0.25">
      <c r="B713" s="88">
        <v>19114000</v>
      </c>
      <c r="C713" s="89" t="s">
        <v>1458</v>
      </c>
      <c r="D713" s="90">
        <v>11180232</v>
      </c>
      <c r="E713" s="89" t="s">
        <v>4765</v>
      </c>
      <c r="F713" s="91"/>
    </row>
    <row r="714" spans="2:6" ht="30" x14ac:dyDescent="0.25">
      <c r="B714" s="88">
        <v>19114100</v>
      </c>
      <c r="C714" s="89" t="s">
        <v>1460</v>
      </c>
      <c r="D714" s="90">
        <v>11180122</v>
      </c>
      <c r="E714" s="89" t="s">
        <v>4744</v>
      </c>
      <c r="F714" s="91"/>
    </row>
    <row r="715" spans="2:6" ht="60" x14ac:dyDescent="0.25">
      <c r="B715" s="88">
        <v>19114200</v>
      </c>
      <c r="C715" s="89" t="s">
        <v>1462</v>
      </c>
      <c r="D715" s="90">
        <v>11180212</v>
      </c>
      <c r="E715" s="89" t="s">
        <v>4760</v>
      </c>
      <c r="F715" s="91"/>
    </row>
    <row r="716" spans="2:6" x14ac:dyDescent="0.25">
      <c r="B716" s="88">
        <v>19119800</v>
      </c>
      <c r="C716" s="89" t="s">
        <v>1464</v>
      </c>
      <c r="D716" s="90">
        <v>11300012</v>
      </c>
      <c r="E716" s="89" t="s">
        <v>4770</v>
      </c>
      <c r="F716" s="91"/>
    </row>
    <row r="717" spans="2:6" x14ac:dyDescent="0.25">
      <c r="B717" s="88">
        <v>19119900</v>
      </c>
      <c r="C717" s="89" t="s">
        <v>1466</v>
      </c>
      <c r="D717" s="90" t="s">
        <v>4736</v>
      </c>
      <c r="E717" s="89"/>
      <c r="F717" s="91" t="s">
        <v>4885</v>
      </c>
    </row>
    <row r="718" spans="2:6" x14ac:dyDescent="0.25">
      <c r="B718" s="88">
        <v>19119901</v>
      </c>
      <c r="C718" s="89" t="s">
        <v>1466</v>
      </c>
      <c r="D718" s="90" t="s">
        <v>4736</v>
      </c>
      <c r="E718" s="89"/>
      <c r="F718" s="91" t="s">
        <v>4885</v>
      </c>
    </row>
    <row r="719" spans="2:6" ht="30" x14ac:dyDescent="0.25">
      <c r="B719" s="88">
        <v>19119902</v>
      </c>
      <c r="C719" s="89" t="s">
        <v>1469</v>
      </c>
      <c r="D719" s="90" t="s">
        <v>4736</v>
      </c>
      <c r="E719" s="89"/>
      <c r="F719" s="91" t="s">
        <v>4885</v>
      </c>
    </row>
    <row r="720" spans="2:6" x14ac:dyDescent="0.25">
      <c r="B720" s="88">
        <v>19120000</v>
      </c>
      <c r="C720" s="89" t="s">
        <v>1471</v>
      </c>
      <c r="D720" s="90" t="s">
        <v>4736</v>
      </c>
      <c r="E720" s="89"/>
      <c r="F720" s="91" t="s">
        <v>4885</v>
      </c>
    </row>
    <row r="721" spans="2:6" ht="30" x14ac:dyDescent="0.25">
      <c r="B721" s="88">
        <v>19120100</v>
      </c>
      <c r="C721" s="89" t="s">
        <v>1473</v>
      </c>
      <c r="D721" s="90" t="s">
        <v>4736</v>
      </c>
      <c r="E721" s="89"/>
      <c r="F721" s="91" t="s">
        <v>4885</v>
      </c>
    </row>
    <row r="722" spans="2:6" ht="30" x14ac:dyDescent="0.25">
      <c r="B722" s="88">
        <v>19120101</v>
      </c>
      <c r="C722" s="89" t="s">
        <v>1475</v>
      </c>
      <c r="D722" s="90">
        <v>12100112</v>
      </c>
      <c r="E722" s="89" t="s">
        <v>3113</v>
      </c>
      <c r="F722" s="91"/>
    </row>
    <row r="723" spans="2:6" ht="30" x14ac:dyDescent="0.25">
      <c r="B723" s="88">
        <v>19120102</v>
      </c>
      <c r="C723" s="89" t="s">
        <v>1477</v>
      </c>
      <c r="D723" s="90">
        <v>12100112</v>
      </c>
      <c r="E723" s="89" t="s">
        <v>3113</v>
      </c>
      <c r="F723" s="91"/>
    </row>
    <row r="724" spans="2:6" ht="30" x14ac:dyDescent="0.25">
      <c r="B724" s="88">
        <v>19120200</v>
      </c>
      <c r="C724" s="89" t="s">
        <v>1479</v>
      </c>
      <c r="D724" s="90">
        <v>12101212</v>
      </c>
      <c r="E724" s="89" t="s">
        <v>3279</v>
      </c>
      <c r="F724" s="91"/>
    </row>
    <row r="725" spans="2:6" ht="45" x14ac:dyDescent="0.25">
      <c r="B725" s="88">
        <v>19120300</v>
      </c>
      <c r="C725" s="89" t="s">
        <v>1481</v>
      </c>
      <c r="D725" s="90" t="s">
        <v>4736</v>
      </c>
      <c r="E725" s="89"/>
      <c r="F725" s="91" t="s">
        <v>4885</v>
      </c>
    </row>
    <row r="726" spans="2:6" ht="45" x14ac:dyDescent="0.25">
      <c r="B726" s="88">
        <v>19120301</v>
      </c>
      <c r="C726" s="89" t="s">
        <v>1483</v>
      </c>
      <c r="D726" s="90">
        <v>12200822</v>
      </c>
      <c r="E726" s="89" t="s">
        <v>3414</v>
      </c>
      <c r="F726" s="91"/>
    </row>
    <row r="727" spans="2:6" ht="60" x14ac:dyDescent="0.25">
      <c r="B727" s="88">
        <v>19120302</v>
      </c>
      <c r="C727" s="89" t="s">
        <v>1485</v>
      </c>
      <c r="D727" s="90">
        <v>12200822</v>
      </c>
      <c r="E727" s="89" t="s">
        <v>3414</v>
      </c>
      <c r="F727" s="91"/>
    </row>
    <row r="728" spans="2:6" ht="30" x14ac:dyDescent="0.25">
      <c r="B728" s="88">
        <v>19120700</v>
      </c>
      <c r="C728" s="89" t="s">
        <v>1487</v>
      </c>
      <c r="D728" s="90" t="s">
        <v>4736</v>
      </c>
      <c r="E728" s="89"/>
      <c r="F728" s="91" t="s">
        <v>4885</v>
      </c>
    </row>
    <row r="729" spans="2:6" ht="45" x14ac:dyDescent="0.25">
      <c r="B729" s="88">
        <v>19120701</v>
      </c>
      <c r="C729" s="89" t="s">
        <v>1489</v>
      </c>
      <c r="D729" s="90">
        <v>12101812</v>
      </c>
      <c r="E729" s="89" t="s">
        <v>3323</v>
      </c>
      <c r="F729" s="91"/>
    </row>
    <row r="730" spans="2:6" ht="45" x14ac:dyDescent="0.25">
      <c r="B730" s="88">
        <v>19120702</v>
      </c>
      <c r="C730" s="89" t="s">
        <v>1491</v>
      </c>
      <c r="D730" s="90">
        <v>12101812</v>
      </c>
      <c r="E730" s="89" t="s">
        <v>3323</v>
      </c>
      <c r="F730" s="91"/>
    </row>
    <row r="731" spans="2:6" ht="30" x14ac:dyDescent="0.25">
      <c r="B731" s="88">
        <v>19121000</v>
      </c>
      <c r="C731" s="89" t="s">
        <v>1493</v>
      </c>
      <c r="D731" s="90" t="s">
        <v>4736</v>
      </c>
      <c r="E731" s="89"/>
      <c r="F731" s="91" t="s">
        <v>4885</v>
      </c>
    </row>
    <row r="732" spans="2:6" ht="45" x14ac:dyDescent="0.25">
      <c r="B732" s="88">
        <v>19121001</v>
      </c>
      <c r="C732" s="89" t="s">
        <v>1495</v>
      </c>
      <c r="D732" s="90">
        <v>12200912</v>
      </c>
      <c r="E732" s="89" t="s">
        <v>3424</v>
      </c>
      <c r="F732" s="91"/>
    </row>
    <row r="733" spans="2:6" ht="30" x14ac:dyDescent="0.25">
      <c r="B733" s="88">
        <v>19121002</v>
      </c>
      <c r="C733" s="89" t="s">
        <v>1497</v>
      </c>
      <c r="D733" s="90">
        <v>12201012</v>
      </c>
      <c r="E733" s="89" t="s">
        <v>3440</v>
      </c>
      <c r="F733" s="91"/>
    </row>
    <row r="734" spans="2:6" ht="30" x14ac:dyDescent="0.25">
      <c r="B734" s="88">
        <v>19122900</v>
      </c>
      <c r="C734" s="89" t="s">
        <v>1499</v>
      </c>
      <c r="D734" s="90" t="s">
        <v>4736</v>
      </c>
      <c r="E734" s="89"/>
      <c r="F734" s="91" t="s">
        <v>4885</v>
      </c>
    </row>
    <row r="735" spans="2:6" ht="30" x14ac:dyDescent="0.25">
      <c r="B735" s="88">
        <v>19122901</v>
      </c>
      <c r="C735" s="89" t="s">
        <v>1501</v>
      </c>
      <c r="D735" s="90">
        <v>12100412</v>
      </c>
      <c r="E735" s="89" t="s">
        <v>3142</v>
      </c>
      <c r="F735" s="91"/>
    </row>
    <row r="736" spans="2:6" ht="30" x14ac:dyDescent="0.25">
      <c r="B736" s="88">
        <v>19122902</v>
      </c>
      <c r="C736" s="89" t="s">
        <v>1503</v>
      </c>
      <c r="D736" s="90">
        <v>12100422</v>
      </c>
      <c r="E736" s="89" t="s">
        <v>3151</v>
      </c>
      <c r="F736" s="91"/>
    </row>
    <row r="737" spans="2:6" ht="30" x14ac:dyDescent="0.25">
      <c r="B737" s="88">
        <v>19123000</v>
      </c>
      <c r="C737" s="89" t="s">
        <v>1505</v>
      </c>
      <c r="D737" s="90" t="s">
        <v>4736</v>
      </c>
      <c r="E737" s="89"/>
      <c r="F737" s="91" t="s">
        <v>4885</v>
      </c>
    </row>
    <row r="738" spans="2:6" ht="30" x14ac:dyDescent="0.25">
      <c r="B738" s="88">
        <v>19123001</v>
      </c>
      <c r="C738" s="89" t="s">
        <v>1507</v>
      </c>
      <c r="D738" s="90">
        <v>12100312</v>
      </c>
      <c r="E738" s="89" t="s">
        <v>3132</v>
      </c>
      <c r="F738" s="91"/>
    </row>
    <row r="739" spans="2:6" ht="30" x14ac:dyDescent="0.25">
      <c r="B739" s="88">
        <v>19123002</v>
      </c>
      <c r="C739" s="89" t="s">
        <v>1509</v>
      </c>
      <c r="D739" s="90">
        <v>12100312</v>
      </c>
      <c r="E739" s="89" t="s">
        <v>3132</v>
      </c>
      <c r="F739" s="91"/>
    </row>
    <row r="740" spans="2:6" ht="30" x14ac:dyDescent="0.25">
      <c r="B740" s="88">
        <v>19123003</v>
      </c>
      <c r="C740" s="89" t="s">
        <v>1511</v>
      </c>
      <c r="D740" s="90">
        <v>12100312</v>
      </c>
      <c r="E740" s="89" t="s">
        <v>3132</v>
      </c>
      <c r="F740" s="91"/>
    </row>
    <row r="741" spans="2:6" ht="30" x14ac:dyDescent="0.25">
      <c r="B741" s="88">
        <v>19123004</v>
      </c>
      <c r="C741" s="89" t="s">
        <v>1513</v>
      </c>
      <c r="D741" s="90">
        <v>12100312</v>
      </c>
      <c r="E741" s="89" t="s">
        <v>3132</v>
      </c>
      <c r="F741" s="91"/>
    </row>
    <row r="742" spans="2:6" ht="30" x14ac:dyDescent="0.25">
      <c r="B742" s="88">
        <v>19123005</v>
      </c>
      <c r="C742" s="89" t="s">
        <v>1515</v>
      </c>
      <c r="D742" s="90">
        <v>12100312</v>
      </c>
      <c r="E742" s="89" t="s">
        <v>3132</v>
      </c>
      <c r="F742" s="91"/>
    </row>
    <row r="743" spans="2:6" ht="30" x14ac:dyDescent="0.25">
      <c r="B743" s="88">
        <v>19123006</v>
      </c>
      <c r="C743" s="89" t="s">
        <v>1517</v>
      </c>
      <c r="D743" s="90">
        <v>12100312</v>
      </c>
      <c r="E743" s="89" t="s">
        <v>3132</v>
      </c>
      <c r="F743" s="91"/>
    </row>
    <row r="744" spans="2:6" ht="30" x14ac:dyDescent="0.25">
      <c r="B744" s="88">
        <v>19123007</v>
      </c>
      <c r="C744" s="89" t="s">
        <v>1519</v>
      </c>
      <c r="D744" s="90" t="s">
        <v>4736</v>
      </c>
      <c r="E744" s="89"/>
      <c r="F744" s="91"/>
    </row>
    <row r="745" spans="2:6" ht="30" x14ac:dyDescent="0.25">
      <c r="B745" s="88">
        <v>19123008</v>
      </c>
      <c r="C745" s="89" t="s">
        <v>1521</v>
      </c>
      <c r="D745" s="90">
        <v>12100312</v>
      </c>
      <c r="E745" s="89" t="s">
        <v>3132</v>
      </c>
      <c r="F745" s="91"/>
    </row>
    <row r="746" spans="2:6" ht="30" x14ac:dyDescent="0.25">
      <c r="B746" s="88">
        <v>19123009</v>
      </c>
      <c r="C746" s="89" t="s">
        <v>1523</v>
      </c>
      <c r="D746" s="90">
        <v>12100312</v>
      </c>
      <c r="E746" s="89" t="s">
        <v>3132</v>
      </c>
      <c r="F746" s="91"/>
    </row>
    <row r="747" spans="2:6" ht="45" x14ac:dyDescent="0.25">
      <c r="B747" s="88">
        <v>19123010</v>
      </c>
      <c r="C747" s="89" t="s">
        <v>1525</v>
      </c>
      <c r="D747" s="90">
        <v>12100312</v>
      </c>
      <c r="E747" s="89" t="s">
        <v>3132</v>
      </c>
      <c r="F747" s="91"/>
    </row>
    <row r="748" spans="2:6" ht="30" x14ac:dyDescent="0.25">
      <c r="B748" s="88">
        <v>19123011</v>
      </c>
      <c r="C748" s="89" t="s">
        <v>1527</v>
      </c>
      <c r="D748" s="90">
        <v>12100312</v>
      </c>
      <c r="E748" s="89" t="s">
        <v>3132</v>
      </c>
      <c r="F748" s="91"/>
    </row>
    <row r="749" spans="2:6" ht="30" x14ac:dyDescent="0.25">
      <c r="B749" s="88">
        <v>19123012</v>
      </c>
      <c r="C749" s="89" t="s">
        <v>1529</v>
      </c>
      <c r="D749" s="90">
        <v>12100312</v>
      </c>
      <c r="E749" s="89" t="s">
        <v>3132</v>
      </c>
      <c r="F749" s="91"/>
    </row>
    <row r="750" spans="2:6" ht="30" x14ac:dyDescent="0.25">
      <c r="B750" s="88">
        <v>19123013</v>
      </c>
      <c r="C750" s="89" t="s">
        <v>1531</v>
      </c>
      <c r="D750" s="90">
        <v>12100312</v>
      </c>
      <c r="E750" s="89" t="s">
        <v>3132</v>
      </c>
      <c r="F750" s="91"/>
    </row>
    <row r="751" spans="2:6" ht="30" x14ac:dyDescent="0.25">
      <c r="B751" s="88">
        <v>19123014</v>
      </c>
      <c r="C751" s="89" t="s">
        <v>1533</v>
      </c>
      <c r="D751" s="90">
        <v>12100312</v>
      </c>
      <c r="E751" s="89" t="s">
        <v>3132</v>
      </c>
      <c r="F751" s="91"/>
    </row>
    <row r="752" spans="2:6" ht="30" x14ac:dyDescent="0.25">
      <c r="B752" s="88">
        <v>19123015</v>
      </c>
      <c r="C752" s="89" t="s">
        <v>1535</v>
      </c>
      <c r="D752" s="90">
        <v>12100312</v>
      </c>
      <c r="E752" s="89" t="s">
        <v>3132</v>
      </c>
      <c r="F752" s="91"/>
    </row>
    <row r="753" spans="2:6" ht="30" x14ac:dyDescent="0.25">
      <c r="B753" s="88">
        <v>19123016</v>
      </c>
      <c r="C753" s="89" t="s">
        <v>1537</v>
      </c>
      <c r="D753" s="90">
        <v>12100312</v>
      </c>
      <c r="E753" s="89" t="s">
        <v>3132</v>
      </c>
      <c r="F753" s="91"/>
    </row>
    <row r="754" spans="2:6" ht="30" x14ac:dyDescent="0.25">
      <c r="B754" s="88">
        <v>19123017</v>
      </c>
      <c r="C754" s="89" t="s">
        <v>1539</v>
      </c>
      <c r="D754" s="90">
        <v>12100312</v>
      </c>
      <c r="E754" s="89" t="s">
        <v>3132</v>
      </c>
      <c r="F754" s="91"/>
    </row>
    <row r="755" spans="2:6" ht="30" x14ac:dyDescent="0.25">
      <c r="B755" s="88">
        <v>19123018</v>
      </c>
      <c r="C755" s="89" t="s">
        <v>1541</v>
      </c>
      <c r="D755" s="90">
        <v>12100312</v>
      </c>
      <c r="E755" s="89" t="s">
        <v>3132</v>
      </c>
      <c r="F755" s="91"/>
    </row>
    <row r="756" spans="2:6" ht="30" x14ac:dyDescent="0.25">
      <c r="B756" s="88">
        <v>19123019</v>
      </c>
      <c r="C756" s="89" t="s">
        <v>1543</v>
      </c>
      <c r="D756" s="90" t="s">
        <v>4736</v>
      </c>
      <c r="E756" s="89"/>
      <c r="F756" s="91" t="s">
        <v>4885</v>
      </c>
    </row>
    <row r="757" spans="2:6" ht="30" x14ac:dyDescent="0.25">
      <c r="B757" s="88">
        <v>19123020</v>
      </c>
      <c r="C757" s="89" t="s">
        <v>1545</v>
      </c>
      <c r="D757" s="90" t="s">
        <v>4736</v>
      </c>
      <c r="E757" s="89"/>
      <c r="F757" s="91" t="s">
        <v>4885</v>
      </c>
    </row>
    <row r="758" spans="2:6" ht="30" x14ac:dyDescent="0.25">
      <c r="B758" s="88">
        <v>19123021</v>
      </c>
      <c r="C758" s="89" t="s">
        <v>1547</v>
      </c>
      <c r="D758" s="90">
        <v>12100312</v>
      </c>
      <c r="E758" s="89" t="s">
        <v>3132</v>
      </c>
      <c r="F758" s="91"/>
    </row>
    <row r="759" spans="2:6" ht="45" x14ac:dyDescent="0.25">
      <c r="B759" s="88">
        <v>19123024</v>
      </c>
      <c r="C759" s="89" t="s">
        <v>1549</v>
      </c>
      <c r="D759" s="90">
        <v>12100312</v>
      </c>
      <c r="E759" s="89" t="s">
        <v>3132</v>
      </c>
      <c r="F759" s="91"/>
    </row>
    <row r="760" spans="2:6" ht="30" x14ac:dyDescent="0.25">
      <c r="B760" s="88">
        <v>19123099</v>
      </c>
      <c r="C760" s="89" t="s">
        <v>1551</v>
      </c>
      <c r="D760" s="90" t="s">
        <v>4736</v>
      </c>
      <c r="E760" s="89"/>
      <c r="F760" s="91" t="s">
        <v>4885</v>
      </c>
    </row>
    <row r="761" spans="2:6" ht="45" x14ac:dyDescent="0.25">
      <c r="B761" s="88">
        <v>19123100</v>
      </c>
      <c r="C761" s="89" t="s">
        <v>1553</v>
      </c>
      <c r="D761" s="90" t="s">
        <v>4736</v>
      </c>
      <c r="E761" s="89"/>
      <c r="F761" s="91" t="s">
        <v>4885</v>
      </c>
    </row>
    <row r="762" spans="2:6" ht="45" x14ac:dyDescent="0.25">
      <c r="B762" s="88">
        <v>19123101</v>
      </c>
      <c r="C762" s="89" t="s">
        <v>1555</v>
      </c>
      <c r="D762" s="90">
        <v>12100912</v>
      </c>
      <c r="E762" s="89" t="s">
        <v>3248</v>
      </c>
      <c r="F762" s="91"/>
    </row>
    <row r="763" spans="2:6" ht="45" x14ac:dyDescent="0.25">
      <c r="B763" s="88">
        <v>19123102</v>
      </c>
      <c r="C763" s="89" t="s">
        <v>1557</v>
      </c>
      <c r="D763" s="90">
        <v>12100912</v>
      </c>
      <c r="E763" s="89" t="s">
        <v>3248</v>
      </c>
      <c r="F763" s="91"/>
    </row>
    <row r="764" spans="2:6" ht="30" x14ac:dyDescent="0.25">
      <c r="B764" s="88">
        <v>19123200</v>
      </c>
      <c r="C764" s="89" t="s">
        <v>1559</v>
      </c>
      <c r="D764" s="90" t="s">
        <v>4736</v>
      </c>
      <c r="E764" s="89"/>
      <c r="F764" s="91" t="s">
        <v>4885</v>
      </c>
    </row>
    <row r="765" spans="2:6" ht="30" x14ac:dyDescent="0.25">
      <c r="B765" s="88">
        <v>19123201</v>
      </c>
      <c r="C765" s="89" t="s">
        <v>1561</v>
      </c>
      <c r="D765" s="90">
        <v>12100212</v>
      </c>
      <c r="E765" s="89" t="s">
        <v>3122</v>
      </c>
      <c r="F765" s="91"/>
    </row>
    <row r="766" spans="2:6" ht="30" x14ac:dyDescent="0.25">
      <c r="B766" s="88">
        <v>19123202</v>
      </c>
      <c r="C766" s="89" t="s">
        <v>1563</v>
      </c>
      <c r="D766" s="90">
        <v>12100212</v>
      </c>
      <c r="E766" s="89" t="s">
        <v>3122</v>
      </c>
      <c r="F766" s="91"/>
    </row>
    <row r="767" spans="2:6" ht="30" x14ac:dyDescent="0.25">
      <c r="B767" s="88">
        <v>19123300</v>
      </c>
      <c r="C767" s="89" t="s">
        <v>1565</v>
      </c>
      <c r="D767" s="90" t="s">
        <v>4736</v>
      </c>
      <c r="E767" s="89"/>
      <c r="F767" s="91" t="s">
        <v>4885</v>
      </c>
    </row>
    <row r="768" spans="2:6" ht="30" x14ac:dyDescent="0.25">
      <c r="B768" s="88">
        <v>19123301</v>
      </c>
      <c r="C768" s="89" t="s">
        <v>1567</v>
      </c>
      <c r="D768" s="90">
        <v>12100712</v>
      </c>
      <c r="E768" s="89" t="s">
        <v>3187</v>
      </c>
      <c r="F768" s="91"/>
    </row>
    <row r="769" spans="2:6" ht="30" x14ac:dyDescent="0.25">
      <c r="B769" s="88">
        <v>19123302</v>
      </c>
      <c r="C769" s="89" t="s">
        <v>1569</v>
      </c>
      <c r="D769" s="90">
        <v>12100722</v>
      </c>
      <c r="E769" s="89" t="s">
        <v>3196</v>
      </c>
      <c r="F769" s="91"/>
    </row>
    <row r="770" spans="2:6" ht="30" x14ac:dyDescent="0.25">
      <c r="B770" s="88">
        <v>19123303</v>
      </c>
      <c r="C770" s="89" t="s">
        <v>1571</v>
      </c>
      <c r="D770" s="90">
        <v>12100732</v>
      </c>
      <c r="E770" s="89" t="s">
        <v>3204</v>
      </c>
      <c r="F770" s="91"/>
    </row>
    <row r="771" spans="2:6" ht="30" x14ac:dyDescent="0.25">
      <c r="B771" s="88">
        <v>19123304</v>
      </c>
      <c r="C771" s="89" t="s">
        <v>1573</v>
      </c>
      <c r="D771" s="90">
        <v>12100742</v>
      </c>
      <c r="E771" s="89" t="s">
        <v>3212</v>
      </c>
      <c r="F771" s="91"/>
    </row>
    <row r="772" spans="2:6" ht="30" x14ac:dyDescent="0.25">
      <c r="B772" s="88">
        <v>19123305</v>
      </c>
      <c r="C772" s="89" t="s">
        <v>1575</v>
      </c>
      <c r="D772" s="90">
        <v>12100752</v>
      </c>
      <c r="E772" s="89" t="s">
        <v>3221</v>
      </c>
      <c r="F772" s="91"/>
    </row>
    <row r="773" spans="2:6" ht="30" x14ac:dyDescent="0.25">
      <c r="B773" s="88">
        <v>19123306</v>
      </c>
      <c r="C773" s="89" t="s">
        <v>1577</v>
      </c>
      <c r="D773" s="90">
        <v>19300412</v>
      </c>
      <c r="E773" s="89" t="s">
        <v>4456</v>
      </c>
      <c r="F773" s="91"/>
    </row>
    <row r="774" spans="2:6" ht="30" x14ac:dyDescent="0.25">
      <c r="B774" s="88">
        <v>19123307</v>
      </c>
      <c r="C774" s="89" t="s">
        <v>1579</v>
      </c>
      <c r="D774" s="90" t="s">
        <v>4736</v>
      </c>
      <c r="E774" s="89"/>
      <c r="F774" s="91" t="s">
        <v>4885</v>
      </c>
    </row>
    <row r="775" spans="2:6" ht="30" x14ac:dyDescent="0.25">
      <c r="B775" s="88">
        <v>19123400</v>
      </c>
      <c r="C775" s="89" t="s">
        <v>1581</v>
      </c>
      <c r="D775" s="90">
        <v>12200612</v>
      </c>
      <c r="E775" s="89" t="s">
        <v>4781</v>
      </c>
      <c r="F775" s="91"/>
    </row>
    <row r="776" spans="2:6" ht="30" x14ac:dyDescent="0.25">
      <c r="B776" s="88">
        <v>19123500</v>
      </c>
      <c r="C776" s="89" t="s">
        <v>1583</v>
      </c>
      <c r="D776" s="90">
        <v>12101012</v>
      </c>
      <c r="E776" s="89" t="s">
        <v>3256</v>
      </c>
      <c r="F776" s="91"/>
    </row>
    <row r="777" spans="2:6" ht="30" x14ac:dyDescent="0.25">
      <c r="B777" s="88">
        <v>19123600</v>
      </c>
      <c r="C777" s="89" t="s">
        <v>1585</v>
      </c>
      <c r="D777" s="90">
        <v>12100812</v>
      </c>
      <c r="E777" s="89" t="s">
        <v>3239</v>
      </c>
      <c r="F777" s="91"/>
    </row>
    <row r="778" spans="2:6" ht="30" x14ac:dyDescent="0.25">
      <c r="B778" s="88">
        <v>19125100</v>
      </c>
      <c r="C778" s="89" t="s">
        <v>1587</v>
      </c>
      <c r="D778" s="90">
        <v>12200312</v>
      </c>
      <c r="E778" s="89" t="s">
        <v>3367</v>
      </c>
      <c r="F778" s="91"/>
    </row>
    <row r="779" spans="2:6" ht="30" x14ac:dyDescent="0.25">
      <c r="B779" s="88">
        <v>19125200</v>
      </c>
      <c r="C779" s="89" t="s">
        <v>1590</v>
      </c>
      <c r="D779" s="90">
        <v>12200512</v>
      </c>
      <c r="E779" s="89" t="s">
        <v>3385</v>
      </c>
      <c r="F779" s="91"/>
    </row>
    <row r="780" spans="2:6" ht="30" x14ac:dyDescent="0.25">
      <c r="B780" s="88">
        <v>19125300</v>
      </c>
      <c r="C780" s="89" t="s">
        <v>1592</v>
      </c>
      <c r="D780" s="90">
        <v>12101112</v>
      </c>
      <c r="E780" s="89" t="s">
        <v>3264</v>
      </c>
      <c r="F780" s="91"/>
    </row>
    <row r="781" spans="2:6" ht="30" x14ac:dyDescent="0.25">
      <c r="B781" s="88">
        <v>19125400</v>
      </c>
      <c r="C781" s="89" t="s">
        <v>1594</v>
      </c>
      <c r="D781" s="90">
        <v>12101122</v>
      </c>
      <c r="E781" s="89" t="s">
        <v>3271</v>
      </c>
      <c r="F781" s="91"/>
    </row>
    <row r="782" spans="2:6" x14ac:dyDescent="0.25">
      <c r="B782" s="88">
        <v>19125500</v>
      </c>
      <c r="C782" s="89" t="s">
        <v>1596</v>
      </c>
      <c r="D782" s="90" t="s">
        <v>4736</v>
      </c>
      <c r="E782" s="89"/>
      <c r="F782" s="91" t="s">
        <v>4885</v>
      </c>
    </row>
    <row r="783" spans="2:6" ht="30" x14ac:dyDescent="0.25">
      <c r="B783" s="88">
        <v>19125501</v>
      </c>
      <c r="C783" s="89" t="s">
        <v>1598</v>
      </c>
      <c r="D783" s="90">
        <v>12100112</v>
      </c>
      <c r="E783" s="89" t="s">
        <v>3113</v>
      </c>
      <c r="F783" s="91"/>
    </row>
    <row r="784" spans="2:6" ht="30" x14ac:dyDescent="0.25">
      <c r="B784" s="88">
        <v>19125502</v>
      </c>
      <c r="C784" s="89" t="s">
        <v>1600</v>
      </c>
      <c r="D784" s="90">
        <v>12100112</v>
      </c>
      <c r="E784" s="89" t="s">
        <v>3113</v>
      </c>
      <c r="F784" s="91"/>
    </row>
    <row r="785" spans="2:6" ht="45" x14ac:dyDescent="0.25">
      <c r="B785" s="88">
        <v>19125503</v>
      </c>
      <c r="C785" s="89" t="s">
        <v>1602</v>
      </c>
      <c r="D785" s="90">
        <v>12101812</v>
      </c>
      <c r="E785" s="89" t="s">
        <v>3323</v>
      </c>
      <c r="F785" s="91"/>
    </row>
    <row r="786" spans="2:6" ht="45" x14ac:dyDescent="0.25">
      <c r="B786" s="88">
        <v>19125504</v>
      </c>
      <c r="C786" s="89" t="s">
        <v>1604</v>
      </c>
      <c r="D786" s="90">
        <v>12101812</v>
      </c>
      <c r="E786" s="89" t="s">
        <v>3323</v>
      </c>
      <c r="F786" s="91"/>
    </row>
    <row r="787" spans="2:6" ht="45" x14ac:dyDescent="0.25">
      <c r="B787" s="88">
        <v>19125505</v>
      </c>
      <c r="C787" s="89" t="s">
        <v>1606</v>
      </c>
      <c r="D787" s="90">
        <v>12100912</v>
      </c>
      <c r="E787" s="89" t="s">
        <v>3248</v>
      </c>
      <c r="F787" s="91"/>
    </row>
    <row r="788" spans="2:6" ht="45" x14ac:dyDescent="0.25">
      <c r="B788" s="88">
        <v>19125506</v>
      </c>
      <c r="C788" s="89" t="s">
        <v>1608</v>
      </c>
      <c r="D788" s="90">
        <v>12100912</v>
      </c>
      <c r="E788" s="89" t="s">
        <v>3248</v>
      </c>
      <c r="F788" s="91"/>
    </row>
    <row r="789" spans="2:6" ht="30" x14ac:dyDescent="0.25">
      <c r="B789" s="88">
        <v>19125507</v>
      </c>
      <c r="C789" s="89" t="s">
        <v>1610</v>
      </c>
      <c r="D789" s="90">
        <v>12100212</v>
      </c>
      <c r="E789" s="89" t="s">
        <v>3122</v>
      </c>
      <c r="F789" s="91"/>
    </row>
    <row r="790" spans="2:6" ht="30" x14ac:dyDescent="0.25">
      <c r="B790" s="88">
        <v>19125508</v>
      </c>
      <c r="C790" s="89" t="s">
        <v>1612</v>
      </c>
      <c r="D790" s="90">
        <v>12100212</v>
      </c>
      <c r="E790" s="89" t="s">
        <v>3122</v>
      </c>
      <c r="F790" s="91"/>
    </row>
    <row r="791" spans="2:6" ht="30" x14ac:dyDescent="0.25">
      <c r="B791" s="88">
        <v>19125509</v>
      </c>
      <c r="C791" s="89" t="s">
        <v>1614</v>
      </c>
      <c r="D791" s="90">
        <v>12100712</v>
      </c>
      <c r="E791" s="89" t="s">
        <v>3187</v>
      </c>
      <c r="F791" s="91"/>
    </row>
    <row r="792" spans="2:6" ht="30" x14ac:dyDescent="0.25">
      <c r="B792" s="88">
        <v>19125510</v>
      </c>
      <c r="C792" s="89" t="s">
        <v>1616</v>
      </c>
      <c r="D792" s="90">
        <v>12100722</v>
      </c>
      <c r="E792" s="89" t="s">
        <v>3196</v>
      </c>
      <c r="F792" s="91"/>
    </row>
    <row r="793" spans="2:6" ht="30" x14ac:dyDescent="0.25">
      <c r="B793" s="88">
        <v>19125511</v>
      </c>
      <c r="C793" s="89" t="s">
        <v>1618</v>
      </c>
      <c r="D793" s="90">
        <v>12100732</v>
      </c>
      <c r="E793" s="89" t="s">
        <v>3204</v>
      </c>
      <c r="F793" s="91"/>
    </row>
    <row r="794" spans="2:6" ht="30" x14ac:dyDescent="0.25">
      <c r="B794" s="88">
        <v>19125512</v>
      </c>
      <c r="C794" s="89" t="s">
        <v>1620</v>
      </c>
      <c r="D794" s="90">
        <v>12100742</v>
      </c>
      <c r="E794" s="89" t="s">
        <v>3212</v>
      </c>
      <c r="F794" s="91"/>
    </row>
    <row r="795" spans="2:6" ht="30" x14ac:dyDescent="0.25">
      <c r="B795" s="88">
        <v>19125513</v>
      </c>
      <c r="C795" s="89" t="s">
        <v>1622</v>
      </c>
      <c r="D795" s="90">
        <v>12100752</v>
      </c>
      <c r="E795" s="89" t="s">
        <v>3221</v>
      </c>
      <c r="F795" s="91"/>
    </row>
    <row r="796" spans="2:6" ht="30" x14ac:dyDescent="0.25">
      <c r="B796" s="88">
        <v>19125514</v>
      </c>
      <c r="C796" s="89" t="s">
        <v>1624</v>
      </c>
      <c r="D796" s="90">
        <v>19300412</v>
      </c>
      <c r="E796" s="89" t="s">
        <v>4456</v>
      </c>
      <c r="F796" s="91"/>
    </row>
    <row r="797" spans="2:6" ht="45" x14ac:dyDescent="0.25">
      <c r="B797" s="88">
        <v>19125600</v>
      </c>
      <c r="C797" s="89" t="s">
        <v>1626</v>
      </c>
      <c r="D797" s="90">
        <v>19900312</v>
      </c>
      <c r="E797" s="89" t="s">
        <v>4475</v>
      </c>
      <c r="F797" s="91"/>
    </row>
    <row r="798" spans="2:6" x14ac:dyDescent="0.25">
      <c r="B798" s="88">
        <v>19129900</v>
      </c>
      <c r="C798" s="89" t="s">
        <v>1628</v>
      </c>
      <c r="D798" s="90" t="s">
        <v>4736</v>
      </c>
      <c r="E798" s="89"/>
      <c r="F798" s="91" t="s">
        <v>4885</v>
      </c>
    </row>
    <row r="799" spans="2:6" ht="30" x14ac:dyDescent="0.25">
      <c r="B799" s="88">
        <v>19129901</v>
      </c>
      <c r="C799" s="89" t="s">
        <v>1630</v>
      </c>
      <c r="D799" s="90" t="s">
        <v>4736</v>
      </c>
      <c r="E799" s="89"/>
      <c r="F799" s="91" t="s">
        <v>4885</v>
      </c>
    </row>
    <row r="800" spans="2:6" ht="30" x14ac:dyDescent="0.25">
      <c r="B800" s="88">
        <v>19129902</v>
      </c>
      <c r="C800" s="89" t="s">
        <v>1632</v>
      </c>
      <c r="D800" s="90" t="s">
        <v>4736</v>
      </c>
      <c r="E800" s="89"/>
      <c r="F800" s="91" t="s">
        <v>4885</v>
      </c>
    </row>
    <row r="801" spans="2:6" x14ac:dyDescent="0.25">
      <c r="B801" s="88">
        <v>19130000</v>
      </c>
      <c r="C801" s="89" t="s">
        <v>1634</v>
      </c>
      <c r="D801" s="90" t="s">
        <v>4736</v>
      </c>
      <c r="E801" s="89"/>
      <c r="F801" s="91" t="s">
        <v>4885</v>
      </c>
    </row>
    <row r="802" spans="2:6" ht="30" x14ac:dyDescent="0.25">
      <c r="B802" s="88">
        <v>19130100</v>
      </c>
      <c r="C802" s="89" t="s">
        <v>1636</v>
      </c>
      <c r="D802" s="90">
        <v>11110114</v>
      </c>
      <c r="E802" s="89" t="s">
        <v>2894</v>
      </c>
      <c r="F802" s="91"/>
    </row>
    <row r="803" spans="2:6" ht="30" x14ac:dyDescent="0.25">
      <c r="B803" s="88">
        <v>19130101</v>
      </c>
      <c r="C803" s="89" t="s">
        <v>1638</v>
      </c>
      <c r="D803" s="90">
        <v>11110114</v>
      </c>
      <c r="E803" s="89" t="s">
        <v>2894</v>
      </c>
      <c r="F803" s="91"/>
    </row>
    <row r="804" spans="2:6" ht="30" x14ac:dyDescent="0.25">
      <c r="B804" s="88">
        <v>19130102</v>
      </c>
      <c r="C804" s="89" t="s">
        <v>1640</v>
      </c>
      <c r="D804" s="90">
        <v>11110114</v>
      </c>
      <c r="E804" s="89" t="s">
        <v>2894</v>
      </c>
      <c r="F804" s="91"/>
    </row>
    <row r="805" spans="2:6" ht="30" x14ac:dyDescent="0.25">
      <c r="B805" s="88">
        <v>19130200</v>
      </c>
      <c r="C805" s="89" t="s">
        <v>1642</v>
      </c>
      <c r="D805" s="90" t="s">
        <v>4736</v>
      </c>
      <c r="E805" s="89"/>
      <c r="F805" s="91" t="s">
        <v>4885</v>
      </c>
    </row>
    <row r="806" spans="2:6" ht="30" x14ac:dyDescent="0.25">
      <c r="B806" s="88">
        <v>19130201</v>
      </c>
      <c r="C806" s="89" t="s">
        <v>1644</v>
      </c>
      <c r="D806" s="90">
        <v>11130114</v>
      </c>
      <c r="E806" s="89" t="s">
        <v>2929</v>
      </c>
      <c r="F806" s="91"/>
    </row>
    <row r="807" spans="2:6" ht="30" x14ac:dyDescent="0.25">
      <c r="B807" s="88">
        <v>19130202</v>
      </c>
      <c r="C807" s="89" t="s">
        <v>1647</v>
      </c>
      <c r="D807" s="90">
        <v>11130214</v>
      </c>
      <c r="E807" s="89" t="s">
        <v>2937</v>
      </c>
      <c r="F807" s="91"/>
    </row>
    <row r="808" spans="2:6" ht="30" x14ac:dyDescent="0.25">
      <c r="B808" s="88">
        <v>19130203</v>
      </c>
      <c r="C808" s="89" t="s">
        <v>1649</v>
      </c>
      <c r="D808" s="90">
        <v>11130314</v>
      </c>
      <c r="E808" s="89" t="s">
        <v>2947</v>
      </c>
      <c r="F808" s="91"/>
    </row>
    <row r="809" spans="2:6" ht="30" x14ac:dyDescent="0.25">
      <c r="B809" s="88">
        <v>19130204</v>
      </c>
      <c r="C809" s="89" t="s">
        <v>1651</v>
      </c>
      <c r="D809" s="90">
        <v>11130214</v>
      </c>
      <c r="E809" s="89" t="s">
        <v>2937</v>
      </c>
      <c r="F809" s="91"/>
    </row>
    <row r="810" spans="2:6" ht="30" x14ac:dyDescent="0.25">
      <c r="B810" s="88">
        <v>19130205</v>
      </c>
      <c r="C810" s="89" t="s">
        <v>1653</v>
      </c>
      <c r="D810" s="90">
        <v>11130314</v>
      </c>
      <c r="E810" s="89" t="s">
        <v>2947</v>
      </c>
      <c r="F810" s="91"/>
    </row>
    <row r="811" spans="2:6" ht="30" x14ac:dyDescent="0.25">
      <c r="B811" s="88">
        <v>19130206</v>
      </c>
      <c r="C811" s="89" t="s">
        <v>1655</v>
      </c>
      <c r="D811" s="90">
        <v>11130114</v>
      </c>
      <c r="E811" s="89" t="s">
        <v>2929</v>
      </c>
      <c r="F811" s="91"/>
    </row>
    <row r="812" spans="2:6" ht="30" x14ac:dyDescent="0.25">
      <c r="B812" s="88">
        <v>19130207</v>
      </c>
      <c r="C812" s="89" t="s">
        <v>1657</v>
      </c>
      <c r="D812" s="90">
        <v>11130214</v>
      </c>
      <c r="E812" s="89" t="s">
        <v>2937</v>
      </c>
      <c r="F812" s="91"/>
    </row>
    <row r="813" spans="2:6" ht="30" x14ac:dyDescent="0.25">
      <c r="B813" s="88">
        <v>19130208</v>
      </c>
      <c r="C813" s="89" t="s">
        <v>1659</v>
      </c>
      <c r="D813" s="90">
        <v>11130214</v>
      </c>
      <c r="E813" s="89" t="s">
        <v>2937</v>
      </c>
      <c r="F813" s="91"/>
    </row>
    <row r="814" spans="2:6" ht="30" x14ac:dyDescent="0.25">
      <c r="B814" s="88">
        <v>19130300</v>
      </c>
      <c r="C814" s="89" t="s">
        <v>1661</v>
      </c>
      <c r="D814" s="90">
        <v>11140154</v>
      </c>
      <c r="E814" s="89" t="s">
        <v>3007</v>
      </c>
      <c r="F814" s="91"/>
    </row>
    <row r="815" spans="2:6" ht="30" x14ac:dyDescent="0.25">
      <c r="B815" s="88">
        <v>19130301</v>
      </c>
      <c r="C815" s="89" t="s">
        <v>1663</v>
      </c>
      <c r="D815" s="90">
        <v>11140154</v>
      </c>
      <c r="E815" s="89" t="s">
        <v>3007</v>
      </c>
      <c r="F815" s="91"/>
    </row>
    <row r="816" spans="2:6" ht="30" x14ac:dyDescent="0.25">
      <c r="B816" s="88">
        <v>19130302</v>
      </c>
      <c r="C816" s="89" t="s">
        <v>1665</v>
      </c>
      <c r="D816" s="90">
        <v>11140154</v>
      </c>
      <c r="E816" s="89" t="s">
        <v>3007</v>
      </c>
      <c r="F816" s="91"/>
    </row>
    <row r="817" spans="2:6" ht="30" x14ac:dyDescent="0.25">
      <c r="B817" s="88">
        <v>19130303</v>
      </c>
      <c r="C817" s="89" t="s">
        <v>1667</v>
      </c>
      <c r="D817" s="90">
        <v>11140154</v>
      </c>
      <c r="E817" s="89" t="s">
        <v>3007</v>
      </c>
      <c r="F817" s="91"/>
    </row>
    <row r="818" spans="2:6" ht="30" x14ac:dyDescent="0.25">
      <c r="B818" s="88">
        <v>19130304</v>
      </c>
      <c r="C818" s="89" t="s">
        <v>1669</v>
      </c>
      <c r="D818" s="90">
        <v>11140154</v>
      </c>
      <c r="E818" s="89" t="s">
        <v>3007</v>
      </c>
      <c r="F818" s="91"/>
    </row>
    <row r="819" spans="2:6" ht="45" x14ac:dyDescent="0.25">
      <c r="B819" s="88">
        <v>19130400</v>
      </c>
      <c r="C819" s="89" t="s">
        <v>1671</v>
      </c>
      <c r="D819" s="90">
        <v>11150124</v>
      </c>
      <c r="E819" s="89" t="s">
        <v>3028</v>
      </c>
      <c r="F819" s="91"/>
    </row>
    <row r="820" spans="2:6" ht="45" x14ac:dyDescent="0.25">
      <c r="B820" s="88">
        <v>19130401</v>
      </c>
      <c r="C820" s="89" t="s">
        <v>1673</v>
      </c>
      <c r="D820" s="90">
        <v>11150124</v>
      </c>
      <c r="E820" s="89" t="s">
        <v>3028</v>
      </c>
      <c r="F820" s="91"/>
    </row>
    <row r="821" spans="2:6" ht="60" x14ac:dyDescent="0.25">
      <c r="B821" s="88">
        <v>19130402</v>
      </c>
      <c r="C821" s="89" t="s">
        <v>1675</v>
      </c>
      <c r="D821" s="90">
        <v>11150124</v>
      </c>
      <c r="E821" s="89" t="s">
        <v>3028</v>
      </c>
      <c r="F821" s="91"/>
    </row>
    <row r="822" spans="2:6" ht="30" x14ac:dyDescent="0.25">
      <c r="B822" s="88">
        <v>19130700</v>
      </c>
      <c r="C822" s="89" t="s">
        <v>1677</v>
      </c>
      <c r="D822" s="90">
        <v>11110214</v>
      </c>
      <c r="E822" s="89" t="s">
        <v>2901</v>
      </c>
      <c r="F822" s="91"/>
    </row>
    <row r="823" spans="2:6" ht="30" x14ac:dyDescent="0.25">
      <c r="B823" s="88">
        <v>19130701</v>
      </c>
      <c r="C823" s="89" t="s">
        <v>1679</v>
      </c>
      <c r="D823" s="90">
        <v>11110214</v>
      </c>
      <c r="E823" s="89" t="s">
        <v>2901</v>
      </c>
      <c r="F823" s="91"/>
    </row>
    <row r="824" spans="2:6" ht="30" x14ac:dyDescent="0.25">
      <c r="B824" s="88">
        <v>19130702</v>
      </c>
      <c r="C824" s="89" t="s">
        <v>1681</v>
      </c>
      <c r="D824" s="90">
        <v>11110214</v>
      </c>
      <c r="E824" s="89" t="s">
        <v>2901</v>
      </c>
      <c r="F824" s="91"/>
    </row>
    <row r="825" spans="2:6" ht="30" x14ac:dyDescent="0.25">
      <c r="B825" s="88">
        <v>19130800</v>
      </c>
      <c r="C825" s="89" t="s">
        <v>1683</v>
      </c>
      <c r="D825" s="90" t="s">
        <v>4736</v>
      </c>
      <c r="E825" s="89"/>
      <c r="F825" s="91" t="s">
        <v>4885</v>
      </c>
    </row>
    <row r="826" spans="2:6" ht="30" x14ac:dyDescent="0.25">
      <c r="B826" s="88">
        <v>19130801</v>
      </c>
      <c r="C826" s="89" t="s">
        <v>1685</v>
      </c>
      <c r="D826" s="90">
        <v>11120114</v>
      </c>
      <c r="E826" s="89" t="s">
        <v>2911</v>
      </c>
      <c r="F826" s="91"/>
    </row>
    <row r="827" spans="2:6" ht="45" x14ac:dyDescent="0.25">
      <c r="B827" s="88">
        <v>19130802</v>
      </c>
      <c r="C827" s="89" t="s">
        <v>1687</v>
      </c>
      <c r="D827" s="90">
        <v>11120124</v>
      </c>
      <c r="E827" s="89" t="s">
        <v>2918</v>
      </c>
      <c r="F827" s="91"/>
    </row>
    <row r="828" spans="2:6" ht="30" x14ac:dyDescent="0.25">
      <c r="B828" s="88">
        <v>19130900</v>
      </c>
      <c r="C828" s="89" t="s">
        <v>1689</v>
      </c>
      <c r="D828" s="90" t="s">
        <v>4736</v>
      </c>
      <c r="E828" s="89"/>
      <c r="F828" s="91" t="s">
        <v>4885</v>
      </c>
    </row>
    <row r="829" spans="2:6" ht="30" x14ac:dyDescent="0.25">
      <c r="B829" s="88">
        <v>19130901</v>
      </c>
      <c r="C829" s="89" t="s">
        <v>1691</v>
      </c>
      <c r="D829" s="90">
        <v>11210214</v>
      </c>
      <c r="E829" s="89" t="s">
        <v>3059</v>
      </c>
      <c r="F829" s="91"/>
    </row>
    <row r="830" spans="2:6" ht="30" x14ac:dyDescent="0.25">
      <c r="B830" s="88">
        <v>19130902</v>
      </c>
      <c r="C830" s="89" t="s">
        <v>1693</v>
      </c>
      <c r="D830" s="90">
        <v>11210224</v>
      </c>
      <c r="E830" s="89" t="s">
        <v>3066</v>
      </c>
      <c r="F830" s="91"/>
    </row>
    <row r="831" spans="2:6" ht="45" x14ac:dyDescent="0.25">
      <c r="B831" s="88">
        <v>19131000</v>
      </c>
      <c r="C831" s="89" t="s">
        <v>1695</v>
      </c>
      <c r="D831" s="90">
        <v>11210114</v>
      </c>
      <c r="E831" s="89" t="s">
        <v>3048</v>
      </c>
      <c r="F831" s="91"/>
    </row>
    <row r="832" spans="2:6" ht="30" x14ac:dyDescent="0.25">
      <c r="B832" s="88">
        <v>19131100</v>
      </c>
      <c r="C832" s="89" t="s">
        <v>1697</v>
      </c>
      <c r="D832" s="90">
        <v>11180114</v>
      </c>
      <c r="E832" s="89" t="s">
        <v>4742</v>
      </c>
      <c r="F832" s="91"/>
    </row>
    <row r="833" spans="2:6" ht="45" x14ac:dyDescent="0.25">
      <c r="B833" s="88">
        <v>19131200</v>
      </c>
      <c r="C833" s="89" t="s">
        <v>1699</v>
      </c>
      <c r="D833" s="90">
        <v>11180144</v>
      </c>
      <c r="E833" s="89" t="s">
        <v>4754</v>
      </c>
      <c r="F833" s="91"/>
    </row>
    <row r="834" spans="2:6" ht="30" x14ac:dyDescent="0.25">
      <c r="B834" s="88">
        <v>19131300</v>
      </c>
      <c r="C834" s="89" t="s">
        <v>1701</v>
      </c>
      <c r="D834" s="90">
        <v>11180234</v>
      </c>
      <c r="E834" s="89" t="s">
        <v>4767</v>
      </c>
      <c r="F834" s="91"/>
    </row>
    <row r="835" spans="2:6" ht="30" x14ac:dyDescent="0.25">
      <c r="B835" s="88">
        <v>19131400</v>
      </c>
      <c r="C835" s="89" t="s">
        <v>1703</v>
      </c>
      <c r="D835" s="90">
        <v>11180124</v>
      </c>
      <c r="E835" s="89" t="s">
        <v>4746</v>
      </c>
      <c r="F835" s="91"/>
    </row>
    <row r="836" spans="2:6" ht="60" x14ac:dyDescent="0.25">
      <c r="B836" s="88">
        <v>19131500</v>
      </c>
      <c r="C836" s="89" t="s">
        <v>1705</v>
      </c>
      <c r="D836" s="90">
        <v>11180214</v>
      </c>
      <c r="E836" s="89" t="s">
        <v>4762</v>
      </c>
      <c r="F836" s="91"/>
    </row>
    <row r="837" spans="2:6" ht="30" x14ac:dyDescent="0.25">
      <c r="B837" s="88">
        <v>19131600</v>
      </c>
      <c r="C837" s="89" t="s">
        <v>1707</v>
      </c>
      <c r="D837" s="90">
        <v>11220114</v>
      </c>
      <c r="E837" s="89" t="s">
        <v>3098</v>
      </c>
      <c r="F837" s="91"/>
    </row>
    <row r="838" spans="2:6" ht="30" x14ac:dyDescent="0.25">
      <c r="B838" s="88">
        <v>19132000</v>
      </c>
      <c r="C838" s="89" t="s">
        <v>1709</v>
      </c>
      <c r="D838" s="90">
        <v>11180134</v>
      </c>
      <c r="E838" s="89" t="s">
        <v>4750</v>
      </c>
      <c r="F838" s="91"/>
    </row>
    <row r="839" spans="2:6" ht="30" x14ac:dyDescent="0.25">
      <c r="B839" s="88">
        <v>19133500</v>
      </c>
      <c r="C839" s="89" t="s">
        <v>1711</v>
      </c>
      <c r="D839" s="90">
        <v>11210114</v>
      </c>
      <c r="E839" s="89" t="s">
        <v>3048</v>
      </c>
      <c r="F839" s="91"/>
    </row>
    <row r="840" spans="2:6" ht="30" x14ac:dyDescent="0.25">
      <c r="B840" s="88">
        <v>19139800</v>
      </c>
      <c r="C840" s="89" t="s">
        <v>1713</v>
      </c>
      <c r="D840" s="90">
        <v>11300014</v>
      </c>
      <c r="E840" s="89" t="s">
        <v>4772</v>
      </c>
      <c r="F840" s="91"/>
    </row>
    <row r="841" spans="2:6" x14ac:dyDescent="0.25">
      <c r="B841" s="88">
        <v>19139900</v>
      </c>
      <c r="C841" s="89" t="s">
        <v>1715</v>
      </c>
      <c r="D841" s="90" t="s">
        <v>4736</v>
      </c>
      <c r="E841" s="89"/>
      <c r="F841" s="91" t="s">
        <v>4885</v>
      </c>
    </row>
    <row r="842" spans="2:6" x14ac:dyDescent="0.25">
      <c r="B842" s="88">
        <v>19140000</v>
      </c>
      <c r="C842" s="89" t="s">
        <v>1717</v>
      </c>
      <c r="D842" s="90" t="s">
        <v>4736</v>
      </c>
      <c r="E842" s="89"/>
      <c r="F842" s="91" t="s">
        <v>4885</v>
      </c>
    </row>
    <row r="843" spans="2:6" ht="30" x14ac:dyDescent="0.25">
      <c r="B843" s="88">
        <v>19140100</v>
      </c>
      <c r="C843" s="89" t="s">
        <v>1719</v>
      </c>
      <c r="D843" s="90" t="s">
        <v>4736</v>
      </c>
      <c r="E843" s="89"/>
      <c r="F843" s="91" t="s">
        <v>4885</v>
      </c>
    </row>
    <row r="844" spans="2:6" ht="30" x14ac:dyDescent="0.25">
      <c r="B844" s="88">
        <v>19140101</v>
      </c>
      <c r="C844" s="89" t="s">
        <v>1721</v>
      </c>
      <c r="D844" s="90">
        <v>12100114</v>
      </c>
      <c r="E844" s="89" t="s">
        <v>3115</v>
      </c>
      <c r="F844" s="91"/>
    </row>
    <row r="845" spans="2:6" ht="45" x14ac:dyDescent="0.25">
      <c r="B845" s="88">
        <v>19140102</v>
      </c>
      <c r="C845" s="89" t="s">
        <v>1723</v>
      </c>
      <c r="D845" s="90">
        <v>12100114</v>
      </c>
      <c r="E845" s="89" t="s">
        <v>3115</v>
      </c>
      <c r="F845" s="91"/>
    </row>
    <row r="846" spans="2:6" ht="30" x14ac:dyDescent="0.25">
      <c r="B846" s="88">
        <v>19140200</v>
      </c>
      <c r="C846" s="89" t="s">
        <v>1725</v>
      </c>
      <c r="D846" s="90">
        <v>12101214</v>
      </c>
      <c r="E846" s="89" t="s">
        <v>3281</v>
      </c>
      <c r="F846" s="91"/>
    </row>
    <row r="847" spans="2:6" ht="45" x14ac:dyDescent="0.25">
      <c r="B847" s="88">
        <v>19140300</v>
      </c>
      <c r="C847" s="89" t="s">
        <v>1727</v>
      </c>
      <c r="D847" s="90" t="s">
        <v>4736</v>
      </c>
      <c r="E847" s="89"/>
      <c r="F847" s="91" t="s">
        <v>4885</v>
      </c>
    </row>
    <row r="848" spans="2:6" ht="45" x14ac:dyDescent="0.25">
      <c r="B848" s="88">
        <v>19140301</v>
      </c>
      <c r="C848" s="89" t="s">
        <v>1729</v>
      </c>
      <c r="D848" s="90">
        <v>12101814</v>
      </c>
      <c r="E848" s="89" t="s">
        <v>3325</v>
      </c>
      <c r="F848" s="91"/>
    </row>
    <row r="849" spans="2:6" ht="45" x14ac:dyDescent="0.25">
      <c r="B849" s="88">
        <v>19140302</v>
      </c>
      <c r="C849" s="89" t="s">
        <v>1731</v>
      </c>
      <c r="D849" s="90">
        <v>12101814</v>
      </c>
      <c r="E849" s="89" t="s">
        <v>3325</v>
      </c>
      <c r="F849" s="91"/>
    </row>
    <row r="850" spans="2:6" ht="45" x14ac:dyDescent="0.25">
      <c r="B850" s="88">
        <v>19140400</v>
      </c>
      <c r="C850" s="89" t="s">
        <v>1733</v>
      </c>
      <c r="D850" s="90" t="s">
        <v>4736</v>
      </c>
      <c r="E850" s="89"/>
      <c r="F850" s="91" t="s">
        <v>4885</v>
      </c>
    </row>
    <row r="851" spans="2:6" ht="45" x14ac:dyDescent="0.25">
      <c r="B851" s="88">
        <v>19140401</v>
      </c>
      <c r="C851" s="89" t="s">
        <v>1735</v>
      </c>
      <c r="D851" s="90">
        <v>12100314</v>
      </c>
      <c r="E851" s="89" t="s">
        <v>3134</v>
      </c>
      <c r="F851" s="91"/>
    </row>
    <row r="852" spans="2:6" ht="30" x14ac:dyDescent="0.25">
      <c r="B852" s="88">
        <v>19140402</v>
      </c>
      <c r="C852" s="89" t="s">
        <v>1737</v>
      </c>
      <c r="D852" s="90">
        <v>12100314</v>
      </c>
      <c r="E852" s="89" t="s">
        <v>3134</v>
      </c>
      <c r="F852" s="91"/>
    </row>
    <row r="853" spans="2:6" ht="30" x14ac:dyDescent="0.25">
      <c r="B853" s="88">
        <v>19140403</v>
      </c>
      <c r="C853" s="89" t="s">
        <v>1739</v>
      </c>
      <c r="D853" s="90">
        <v>12100314</v>
      </c>
      <c r="E853" s="89" t="s">
        <v>3134</v>
      </c>
      <c r="F853" s="91"/>
    </row>
    <row r="854" spans="2:6" ht="30" x14ac:dyDescent="0.25">
      <c r="B854" s="88">
        <v>19140404</v>
      </c>
      <c r="C854" s="89" t="s">
        <v>1741</v>
      </c>
      <c r="D854" s="90">
        <v>12100314</v>
      </c>
      <c r="E854" s="89" t="s">
        <v>3134</v>
      </c>
      <c r="F854" s="91"/>
    </row>
    <row r="855" spans="2:6" ht="30" x14ac:dyDescent="0.25">
      <c r="B855" s="88">
        <v>19140405</v>
      </c>
      <c r="C855" s="89" t="s">
        <v>1743</v>
      </c>
      <c r="D855" s="90">
        <v>12100314</v>
      </c>
      <c r="E855" s="89" t="s">
        <v>3134</v>
      </c>
      <c r="F855" s="91"/>
    </row>
    <row r="856" spans="2:6" ht="30" x14ac:dyDescent="0.25">
      <c r="B856" s="88">
        <v>19140406</v>
      </c>
      <c r="C856" s="89" t="s">
        <v>1745</v>
      </c>
      <c r="D856" s="90">
        <v>12100314</v>
      </c>
      <c r="E856" s="89" t="s">
        <v>3134</v>
      </c>
      <c r="F856" s="91"/>
    </row>
    <row r="857" spans="2:6" ht="30" x14ac:dyDescent="0.25">
      <c r="B857" s="88">
        <v>19140407</v>
      </c>
      <c r="C857" s="89" t="s">
        <v>1747</v>
      </c>
      <c r="D857" s="90">
        <v>12100314</v>
      </c>
      <c r="E857" s="89" t="s">
        <v>4892</v>
      </c>
      <c r="F857" s="91"/>
    </row>
    <row r="858" spans="2:6" ht="30" x14ac:dyDescent="0.25">
      <c r="B858" s="88">
        <v>19140408</v>
      </c>
      <c r="C858" s="89" t="s">
        <v>1749</v>
      </c>
      <c r="D858" s="90">
        <v>12100314</v>
      </c>
      <c r="E858" s="89" t="s">
        <v>3134</v>
      </c>
      <c r="F858" s="91"/>
    </row>
    <row r="859" spans="2:6" ht="30" x14ac:dyDescent="0.25">
      <c r="B859" s="88">
        <v>19140409</v>
      </c>
      <c r="C859" s="89" t="s">
        <v>1751</v>
      </c>
      <c r="D859" s="90">
        <v>12100314</v>
      </c>
      <c r="E859" s="89" t="s">
        <v>3134</v>
      </c>
      <c r="F859" s="91"/>
    </row>
    <row r="860" spans="2:6" ht="45" x14ac:dyDescent="0.25">
      <c r="B860" s="88">
        <v>19140410</v>
      </c>
      <c r="C860" s="89" t="s">
        <v>1753</v>
      </c>
      <c r="D860" s="90">
        <v>12100314</v>
      </c>
      <c r="E860" s="89" t="s">
        <v>3134</v>
      </c>
      <c r="F860" s="91"/>
    </row>
    <row r="861" spans="2:6" ht="30" x14ac:dyDescent="0.25">
      <c r="B861" s="88">
        <v>19140411</v>
      </c>
      <c r="C861" s="89" t="s">
        <v>1755</v>
      </c>
      <c r="D861" s="90">
        <v>12100314</v>
      </c>
      <c r="E861" s="89" t="s">
        <v>3134</v>
      </c>
      <c r="F861" s="91"/>
    </row>
    <row r="862" spans="2:6" ht="30" x14ac:dyDescent="0.25">
      <c r="B862" s="88">
        <v>19140412</v>
      </c>
      <c r="C862" s="89" t="s">
        <v>1757</v>
      </c>
      <c r="D862" s="90">
        <v>12100314</v>
      </c>
      <c r="E862" s="89" t="s">
        <v>3134</v>
      </c>
      <c r="F862" s="91"/>
    </row>
    <row r="863" spans="2:6" ht="30" x14ac:dyDescent="0.25">
      <c r="B863" s="88">
        <v>19140413</v>
      </c>
      <c r="C863" s="89" t="s">
        <v>1759</v>
      </c>
      <c r="D863" s="90">
        <v>12100314</v>
      </c>
      <c r="E863" s="89" t="s">
        <v>3134</v>
      </c>
      <c r="F863" s="91"/>
    </row>
    <row r="864" spans="2:6" ht="45" x14ac:dyDescent="0.25">
      <c r="B864" s="88">
        <v>19140414</v>
      </c>
      <c r="C864" s="89" t="s">
        <v>1761</v>
      </c>
      <c r="D864" s="90">
        <v>12100314</v>
      </c>
      <c r="E864" s="89" t="s">
        <v>3134</v>
      </c>
      <c r="F864" s="91"/>
    </row>
    <row r="865" spans="2:6" ht="30" x14ac:dyDescent="0.25">
      <c r="B865" s="88">
        <v>19140415</v>
      </c>
      <c r="C865" s="89" t="s">
        <v>1763</v>
      </c>
      <c r="D865" s="90">
        <v>12100314</v>
      </c>
      <c r="E865" s="89" t="s">
        <v>3134</v>
      </c>
      <c r="F865" s="91"/>
    </row>
    <row r="866" spans="2:6" ht="30" x14ac:dyDescent="0.25">
      <c r="B866" s="88">
        <v>19140416</v>
      </c>
      <c r="C866" s="89" t="s">
        <v>1765</v>
      </c>
      <c r="D866" s="90">
        <v>12100314</v>
      </c>
      <c r="E866" s="89" t="s">
        <v>3134</v>
      </c>
      <c r="F866" s="91"/>
    </row>
    <row r="867" spans="2:6" ht="30" x14ac:dyDescent="0.25">
      <c r="B867" s="88">
        <v>19140417</v>
      </c>
      <c r="C867" s="89" t="s">
        <v>1767</v>
      </c>
      <c r="D867" s="90">
        <v>12100314</v>
      </c>
      <c r="E867" s="89" t="s">
        <v>3134</v>
      </c>
      <c r="F867" s="91"/>
    </row>
    <row r="868" spans="2:6" ht="30" x14ac:dyDescent="0.25">
      <c r="B868" s="88">
        <v>19140418</v>
      </c>
      <c r="C868" s="89" t="s">
        <v>1769</v>
      </c>
      <c r="D868" s="90">
        <v>12100314</v>
      </c>
      <c r="E868" s="89" t="s">
        <v>3134</v>
      </c>
      <c r="F868" s="91"/>
    </row>
    <row r="869" spans="2:6" ht="30" x14ac:dyDescent="0.25">
      <c r="B869" s="88">
        <v>19140419</v>
      </c>
      <c r="C869" s="89" t="s">
        <v>1771</v>
      </c>
      <c r="D869" s="90" t="s">
        <v>4736</v>
      </c>
      <c r="E869" s="89"/>
      <c r="F869" s="91" t="s">
        <v>4885</v>
      </c>
    </row>
    <row r="870" spans="2:6" ht="30" x14ac:dyDescent="0.25">
      <c r="B870" s="88">
        <v>19140420</v>
      </c>
      <c r="C870" s="89" t="s">
        <v>1773</v>
      </c>
      <c r="D870" s="90" t="s">
        <v>4736</v>
      </c>
      <c r="E870" s="89"/>
      <c r="F870" s="91" t="s">
        <v>4885</v>
      </c>
    </row>
    <row r="871" spans="2:6" ht="45" x14ac:dyDescent="0.25">
      <c r="B871" s="88">
        <v>19140421</v>
      </c>
      <c r="C871" s="89" t="s">
        <v>1775</v>
      </c>
      <c r="D871" s="90">
        <v>12100314</v>
      </c>
      <c r="E871" s="89" t="s">
        <v>3134</v>
      </c>
      <c r="F871" s="91"/>
    </row>
    <row r="872" spans="2:6" ht="30" x14ac:dyDescent="0.25">
      <c r="B872" s="88">
        <v>19140422</v>
      </c>
      <c r="C872" s="89" t="s">
        <v>1777</v>
      </c>
      <c r="D872" s="90">
        <v>12100314</v>
      </c>
      <c r="E872" s="89" t="s">
        <v>3134</v>
      </c>
      <c r="F872" s="91"/>
    </row>
    <row r="873" spans="2:6" ht="30" x14ac:dyDescent="0.25">
      <c r="B873" s="88">
        <v>19140424</v>
      </c>
      <c r="C873" s="89" t="s">
        <v>1779</v>
      </c>
      <c r="D873" s="90">
        <v>12100314</v>
      </c>
      <c r="E873" s="89" t="s">
        <v>3134</v>
      </c>
      <c r="F873" s="91"/>
    </row>
    <row r="874" spans="2:6" ht="30" x14ac:dyDescent="0.25">
      <c r="B874" s="88">
        <v>19140499</v>
      </c>
      <c r="C874" s="89" t="s">
        <v>1781</v>
      </c>
      <c r="D874" s="90" t="s">
        <v>4736</v>
      </c>
      <c r="E874" s="89"/>
      <c r="F874" s="91" t="s">
        <v>4885</v>
      </c>
    </row>
    <row r="875" spans="2:6" ht="30" x14ac:dyDescent="0.25">
      <c r="B875" s="88">
        <v>19140500</v>
      </c>
      <c r="C875" s="89" t="s">
        <v>1783</v>
      </c>
      <c r="D875" s="90" t="s">
        <v>4736</v>
      </c>
      <c r="E875" s="89"/>
      <c r="F875" s="91" t="s">
        <v>4885</v>
      </c>
    </row>
    <row r="876" spans="2:6" ht="45" x14ac:dyDescent="0.25">
      <c r="B876" s="88">
        <v>19140501</v>
      </c>
      <c r="C876" s="89" t="s">
        <v>1785</v>
      </c>
      <c r="D876" s="90">
        <v>12100914</v>
      </c>
      <c r="E876" s="89" t="s">
        <v>3250</v>
      </c>
      <c r="F876" s="91"/>
    </row>
    <row r="877" spans="2:6" ht="45" x14ac:dyDescent="0.25">
      <c r="B877" s="88">
        <v>19140502</v>
      </c>
      <c r="C877" s="89" t="s">
        <v>1787</v>
      </c>
      <c r="D877" s="90">
        <v>12100914</v>
      </c>
      <c r="E877" s="89" t="s">
        <v>3250</v>
      </c>
      <c r="F877" s="91"/>
    </row>
    <row r="878" spans="2:6" ht="30" x14ac:dyDescent="0.25">
      <c r="B878" s="88">
        <v>19140600</v>
      </c>
      <c r="C878" s="89" t="s">
        <v>1789</v>
      </c>
      <c r="D878" s="90" t="s">
        <v>4736</v>
      </c>
      <c r="E878" s="89"/>
      <c r="F878" s="91" t="s">
        <v>4885</v>
      </c>
    </row>
    <row r="879" spans="2:6" ht="30" x14ac:dyDescent="0.25">
      <c r="B879" s="88">
        <v>19140601</v>
      </c>
      <c r="C879" s="89" t="s">
        <v>1791</v>
      </c>
      <c r="D879" s="90">
        <v>12100214</v>
      </c>
      <c r="E879" s="89" t="s">
        <v>3124</v>
      </c>
      <c r="F879" s="91"/>
    </row>
    <row r="880" spans="2:6" ht="45" x14ac:dyDescent="0.25">
      <c r="B880" s="88">
        <v>19140602</v>
      </c>
      <c r="C880" s="89" t="s">
        <v>1793</v>
      </c>
      <c r="D880" s="90">
        <v>12100214</v>
      </c>
      <c r="E880" s="89" t="s">
        <v>3124</v>
      </c>
      <c r="F880" s="91"/>
    </row>
    <row r="881" spans="2:6" ht="30" x14ac:dyDescent="0.25">
      <c r="B881" s="88">
        <v>19140700</v>
      </c>
      <c r="C881" s="89" t="s">
        <v>1795</v>
      </c>
      <c r="D881" s="90" t="s">
        <v>4736</v>
      </c>
      <c r="E881" s="89"/>
      <c r="F881" s="91" t="s">
        <v>4885</v>
      </c>
    </row>
    <row r="882" spans="2:6" ht="30" x14ac:dyDescent="0.25">
      <c r="B882" s="88">
        <v>19140701</v>
      </c>
      <c r="C882" s="89" t="s">
        <v>1797</v>
      </c>
      <c r="D882" s="90">
        <v>12100714</v>
      </c>
      <c r="E882" s="89" t="s">
        <v>3189</v>
      </c>
      <c r="F882" s="91"/>
    </row>
    <row r="883" spans="2:6" ht="30" x14ac:dyDescent="0.25">
      <c r="B883" s="88">
        <v>19140702</v>
      </c>
      <c r="C883" s="89" t="s">
        <v>1799</v>
      </c>
      <c r="D883" s="90">
        <v>12100724</v>
      </c>
      <c r="E883" s="89" t="s">
        <v>3198</v>
      </c>
      <c r="F883" s="91"/>
    </row>
    <row r="884" spans="2:6" ht="45" x14ac:dyDescent="0.25">
      <c r="B884" s="88">
        <v>19140703</v>
      </c>
      <c r="C884" s="89" t="s">
        <v>1801</v>
      </c>
      <c r="D884" s="90">
        <v>12100734</v>
      </c>
      <c r="E884" s="89" t="s">
        <v>3206</v>
      </c>
      <c r="F884" s="91"/>
    </row>
    <row r="885" spans="2:6" ht="30" x14ac:dyDescent="0.25">
      <c r="B885" s="88">
        <v>19140704</v>
      </c>
      <c r="C885" s="89" t="s">
        <v>1803</v>
      </c>
      <c r="D885" s="90">
        <v>12100744</v>
      </c>
      <c r="E885" s="89" t="s">
        <v>3214</v>
      </c>
      <c r="F885" s="91"/>
    </row>
    <row r="886" spans="2:6" ht="30" x14ac:dyDescent="0.25">
      <c r="B886" s="88">
        <v>19140705</v>
      </c>
      <c r="C886" s="89" t="s">
        <v>1805</v>
      </c>
      <c r="D886" s="90">
        <v>12100754</v>
      </c>
      <c r="E886" s="89" t="s">
        <v>3223</v>
      </c>
      <c r="F886" s="91"/>
    </row>
    <row r="887" spans="2:6" ht="30" x14ac:dyDescent="0.25">
      <c r="B887" s="88">
        <v>19140706</v>
      </c>
      <c r="C887" s="89" t="s">
        <v>1807</v>
      </c>
      <c r="D887" s="90">
        <v>19300414</v>
      </c>
      <c r="E887" s="89" t="s">
        <v>4458</v>
      </c>
      <c r="F887" s="91"/>
    </row>
    <row r="888" spans="2:6" ht="45" x14ac:dyDescent="0.25">
      <c r="B888" s="88">
        <v>19140800</v>
      </c>
      <c r="C888" s="89" t="s">
        <v>1809</v>
      </c>
      <c r="D888" s="90">
        <v>12101114</v>
      </c>
      <c r="E888" s="89" t="s">
        <v>3266</v>
      </c>
      <c r="F888" s="91"/>
    </row>
    <row r="889" spans="2:6" ht="30" x14ac:dyDescent="0.25">
      <c r="B889" s="88">
        <v>19140900</v>
      </c>
      <c r="C889" s="89" t="s">
        <v>1811</v>
      </c>
      <c r="D889" s="90">
        <v>12101124</v>
      </c>
      <c r="E889" s="89" t="s">
        <v>3273</v>
      </c>
      <c r="F889" s="91"/>
    </row>
    <row r="890" spans="2:6" ht="30" x14ac:dyDescent="0.25">
      <c r="B890" s="88">
        <v>19141000</v>
      </c>
      <c r="C890" s="89" t="s">
        <v>1813</v>
      </c>
      <c r="D890" s="90">
        <v>12200514</v>
      </c>
      <c r="E890" s="89" t="s">
        <v>3387</v>
      </c>
      <c r="F890" s="91"/>
    </row>
    <row r="891" spans="2:6" ht="45" x14ac:dyDescent="0.25">
      <c r="B891" s="88">
        <v>19141100</v>
      </c>
      <c r="C891" s="89" t="s">
        <v>1815</v>
      </c>
      <c r="D891" s="90" t="s">
        <v>4736</v>
      </c>
      <c r="E891" s="89"/>
      <c r="F891" s="91" t="s">
        <v>4885</v>
      </c>
    </row>
    <row r="892" spans="2:6" ht="60" x14ac:dyDescent="0.25">
      <c r="B892" s="88">
        <v>19141101</v>
      </c>
      <c r="C892" s="89" t="s">
        <v>1817</v>
      </c>
      <c r="D892" s="90">
        <v>12200824</v>
      </c>
      <c r="E892" s="89" t="s">
        <v>3416</v>
      </c>
      <c r="F892" s="91"/>
    </row>
    <row r="893" spans="2:6" ht="60" x14ac:dyDescent="0.25">
      <c r="B893" s="88">
        <v>19141102</v>
      </c>
      <c r="C893" s="89" t="s">
        <v>1819</v>
      </c>
      <c r="D893" s="90">
        <v>12200824</v>
      </c>
      <c r="E893" s="89" t="s">
        <v>3416</v>
      </c>
      <c r="F893" s="91"/>
    </row>
    <row r="894" spans="2:6" x14ac:dyDescent="0.25">
      <c r="B894" s="88">
        <v>19141200</v>
      </c>
      <c r="C894" s="89" t="s">
        <v>1821</v>
      </c>
      <c r="D894" s="90" t="s">
        <v>4736</v>
      </c>
      <c r="E894" s="89"/>
      <c r="F894" s="91" t="s">
        <v>4885</v>
      </c>
    </row>
    <row r="895" spans="2:6" ht="30" x14ac:dyDescent="0.25">
      <c r="B895" s="88">
        <v>19141201</v>
      </c>
      <c r="C895" s="89" t="s">
        <v>1823</v>
      </c>
      <c r="D895" s="90">
        <v>12100114</v>
      </c>
      <c r="E895" s="89" t="s">
        <v>3115</v>
      </c>
      <c r="F895" s="91"/>
    </row>
    <row r="896" spans="2:6" ht="45" x14ac:dyDescent="0.25">
      <c r="B896" s="88">
        <v>19141202</v>
      </c>
      <c r="C896" s="89" t="s">
        <v>1825</v>
      </c>
      <c r="D896" s="90">
        <v>12100114</v>
      </c>
      <c r="E896" s="89" t="s">
        <v>3115</v>
      </c>
      <c r="F896" s="91"/>
    </row>
    <row r="897" spans="2:6" ht="45" x14ac:dyDescent="0.25">
      <c r="B897" s="88">
        <v>19141203</v>
      </c>
      <c r="C897" s="89" t="s">
        <v>1827</v>
      </c>
      <c r="D897" s="90">
        <v>12101814</v>
      </c>
      <c r="E897" s="89" t="s">
        <v>3325</v>
      </c>
      <c r="F897" s="91"/>
    </row>
    <row r="898" spans="2:6" ht="45" x14ac:dyDescent="0.25">
      <c r="B898" s="88">
        <v>19141204</v>
      </c>
      <c r="C898" s="89" t="s">
        <v>1829</v>
      </c>
      <c r="D898" s="90">
        <v>12101814</v>
      </c>
      <c r="E898" s="89" t="s">
        <v>3325</v>
      </c>
      <c r="F898" s="91"/>
    </row>
    <row r="899" spans="2:6" ht="45" x14ac:dyDescent="0.25">
      <c r="B899" s="88">
        <v>19141205</v>
      </c>
      <c r="C899" s="89" t="s">
        <v>1831</v>
      </c>
      <c r="D899" s="90">
        <v>12100914</v>
      </c>
      <c r="E899" s="89" t="s">
        <v>3250</v>
      </c>
      <c r="F899" s="91"/>
    </row>
    <row r="900" spans="2:6" ht="60" x14ac:dyDescent="0.25">
      <c r="B900" s="88">
        <v>19141206</v>
      </c>
      <c r="C900" s="89" t="s">
        <v>1833</v>
      </c>
      <c r="D900" s="90">
        <v>12100914</v>
      </c>
      <c r="E900" s="89" t="s">
        <v>3250</v>
      </c>
      <c r="F900" s="91"/>
    </row>
    <row r="901" spans="2:6" ht="30" x14ac:dyDescent="0.25">
      <c r="B901" s="88">
        <v>19141207</v>
      </c>
      <c r="C901" s="89" t="s">
        <v>1835</v>
      </c>
      <c r="D901" s="90">
        <v>12100214</v>
      </c>
      <c r="E901" s="89" t="s">
        <v>3124</v>
      </c>
      <c r="F901" s="91"/>
    </row>
    <row r="902" spans="2:6" ht="45" x14ac:dyDescent="0.25">
      <c r="B902" s="88">
        <v>19141208</v>
      </c>
      <c r="C902" s="89" t="s">
        <v>1837</v>
      </c>
      <c r="D902" s="90">
        <v>12100214</v>
      </c>
      <c r="E902" s="89" t="s">
        <v>3124</v>
      </c>
      <c r="F902" s="91"/>
    </row>
    <row r="903" spans="2:6" ht="30" x14ac:dyDescent="0.25">
      <c r="B903" s="88">
        <v>19141209</v>
      </c>
      <c r="C903" s="89" t="s">
        <v>1839</v>
      </c>
      <c r="D903" s="90">
        <v>12100714</v>
      </c>
      <c r="E903" s="89" t="s">
        <v>3189</v>
      </c>
      <c r="F903" s="91"/>
    </row>
    <row r="904" spans="2:6" ht="30" x14ac:dyDescent="0.25">
      <c r="B904" s="88">
        <v>19141210</v>
      </c>
      <c r="C904" s="89" t="s">
        <v>1841</v>
      </c>
      <c r="D904" s="90">
        <v>12100724</v>
      </c>
      <c r="E904" s="89" t="s">
        <v>3198</v>
      </c>
      <c r="F904" s="91"/>
    </row>
    <row r="905" spans="2:6" ht="45" x14ac:dyDescent="0.25">
      <c r="B905" s="88">
        <v>19141211</v>
      </c>
      <c r="C905" s="89" t="s">
        <v>1843</v>
      </c>
      <c r="D905" s="90">
        <v>12100734</v>
      </c>
      <c r="E905" s="89" t="s">
        <v>3206</v>
      </c>
      <c r="F905" s="91"/>
    </row>
    <row r="906" spans="2:6" ht="30" x14ac:dyDescent="0.25">
      <c r="B906" s="88">
        <v>19141212</v>
      </c>
      <c r="C906" s="89" t="s">
        <v>1845</v>
      </c>
      <c r="D906" s="90">
        <v>12100744</v>
      </c>
      <c r="E906" s="89" t="s">
        <v>3214</v>
      </c>
      <c r="F906" s="91"/>
    </row>
    <row r="907" spans="2:6" ht="30" x14ac:dyDescent="0.25">
      <c r="B907" s="88">
        <v>19141213</v>
      </c>
      <c r="C907" s="89" t="s">
        <v>1847</v>
      </c>
      <c r="D907" s="90">
        <v>12100754</v>
      </c>
      <c r="E907" s="89" t="s">
        <v>3223</v>
      </c>
      <c r="F907" s="91"/>
    </row>
    <row r="908" spans="2:6" ht="30" x14ac:dyDescent="0.25">
      <c r="B908" s="88">
        <v>19141214</v>
      </c>
      <c r="C908" s="89" t="s">
        <v>1849</v>
      </c>
      <c r="D908" s="90">
        <v>19300414</v>
      </c>
      <c r="E908" s="89" t="s">
        <v>4458</v>
      </c>
      <c r="F908" s="91"/>
    </row>
    <row r="909" spans="2:6" ht="30" x14ac:dyDescent="0.25">
      <c r="B909" s="88">
        <v>19141300</v>
      </c>
      <c r="C909" s="89" t="s">
        <v>1851</v>
      </c>
      <c r="D909" s="90" t="s">
        <v>4736</v>
      </c>
      <c r="E909" s="89"/>
      <c r="F909" s="91" t="s">
        <v>4885</v>
      </c>
    </row>
    <row r="910" spans="2:6" ht="45" x14ac:dyDescent="0.25">
      <c r="B910" s="88">
        <v>19141301</v>
      </c>
      <c r="C910" s="89" t="s">
        <v>1853</v>
      </c>
      <c r="D910" s="90">
        <v>12200914</v>
      </c>
      <c r="E910" s="89" t="s">
        <v>3426</v>
      </c>
      <c r="F910" s="91"/>
    </row>
    <row r="911" spans="2:6" ht="30" x14ac:dyDescent="0.25">
      <c r="B911" s="88">
        <v>19141302</v>
      </c>
      <c r="C911" s="89" t="s">
        <v>1855</v>
      </c>
      <c r="D911" s="90">
        <v>12201014</v>
      </c>
      <c r="E911" s="89" t="s">
        <v>3442</v>
      </c>
      <c r="F911" s="91"/>
    </row>
    <row r="912" spans="2:6" ht="30" x14ac:dyDescent="0.25">
      <c r="B912" s="88">
        <v>19149900</v>
      </c>
      <c r="C912" s="89" t="s">
        <v>1857</v>
      </c>
      <c r="D912" s="90" t="s">
        <v>4736</v>
      </c>
      <c r="E912" s="89"/>
      <c r="F912" s="91" t="s">
        <v>4885</v>
      </c>
    </row>
    <row r="913" spans="2:6" ht="30" x14ac:dyDescent="0.25">
      <c r="B913" s="88">
        <v>19149901</v>
      </c>
      <c r="C913" s="89" t="s">
        <v>1859</v>
      </c>
      <c r="D913" s="90" t="s">
        <v>4736</v>
      </c>
      <c r="E913" s="89"/>
      <c r="F913" s="91" t="s">
        <v>4885</v>
      </c>
    </row>
    <row r="914" spans="2:6" ht="30" x14ac:dyDescent="0.25">
      <c r="B914" s="88">
        <v>19149902</v>
      </c>
      <c r="C914" s="89" t="s">
        <v>1861</v>
      </c>
      <c r="D914" s="90" t="s">
        <v>4736</v>
      </c>
      <c r="E914" s="89"/>
      <c r="F914" s="91" t="s">
        <v>4885</v>
      </c>
    </row>
    <row r="915" spans="2:6" x14ac:dyDescent="0.25">
      <c r="B915" s="88">
        <v>19150000</v>
      </c>
      <c r="C915" s="89" t="s">
        <v>1863</v>
      </c>
      <c r="D915" s="90" t="s">
        <v>4736</v>
      </c>
      <c r="E915" s="89"/>
      <c r="F915" s="91" t="s">
        <v>4885</v>
      </c>
    </row>
    <row r="916" spans="2:6" ht="30" x14ac:dyDescent="0.25">
      <c r="B916" s="88">
        <v>19150100</v>
      </c>
      <c r="C916" s="89" t="s">
        <v>1865</v>
      </c>
      <c r="D916" s="90">
        <v>19100114</v>
      </c>
      <c r="E916" s="89" t="s">
        <v>4226</v>
      </c>
      <c r="F916" s="91"/>
    </row>
    <row r="917" spans="2:6" ht="30" x14ac:dyDescent="0.25">
      <c r="B917" s="88">
        <v>19150200</v>
      </c>
      <c r="C917" s="89" t="s">
        <v>1867</v>
      </c>
      <c r="D917" s="90">
        <v>13440214</v>
      </c>
      <c r="E917" s="89" t="s">
        <v>3867</v>
      </c>
      <c r="F917" s="91"/>
    </row>
    <row r="918" spans="2:6" ht="30" x14ac:dyDescent="0.25">
      <c r="B918" s="88">
        <v>19150300</v>
      </c>
      <c r="C918" s="89" t="s">
        <v>1869</v>
      </c>
      <c r="D918" s="90">
        <v>13440114</v>
      </c>
      <c r="E918" s="89" t="s">
        <v>3858</v>
      </c>
      <c r="F918" s="91"/>
    </row>
    <row r="919" spans="2:6" ht="30" x14ac:dyDescent="0.25">
      <c r="B919" s="88">
        <v>19150400</v>
      </c>
      <c r="C919" s="89" t="s">
        <v>1871</v>
      </c>
      <c r="D919" s="90">
        <v>19100114</v>
      </c>
      <c r="E919" s="89" t="s">
        <v>4226</v>
      </c>
      <c r="F919" s="91"/>
    </row>
    <row r="920" spans="2:6" ht="30" x14ac:dyDescent="0.25">
      <c r="B920" s="88">
        <v>19150500</v>
      </c>
      <c r="C920" s="89" t="s">
        <v>1873</v>
      </c>
      <c r="D920" s="90">
        <v>16100314</v>
      </c>
      <c r="E920" s="89" t="s">
        <v>4071</v>
      </c>
      <c r="F920" s="91"/>
    </row>
    <row r="921" spans="2:6" ht="30" x14ac:dyDescent="0.25">
      <c r="B921" s="88">
        <v>19150600</v>
      </c>
      <c r="C921" s="89" t="s">
        <v>1875</v>
      </c>
      <c r="D921" s="90">
        <v>19100114</v>
      </c>
      <c r="E921" s="89" t="s">
        <v>4226</v>
      </c>
      <c r="F921" s="91"/>
    </row>
    <row r="922" spans="2:6" ht="30" x14ac:dyDescent="0.25">
      <c r="B922" s="88">
        <v>19150700</v>
      </c>
      <c r="C922" s="89" t="s">
        <v>1877</v>
      </c>
      <c r="D922" s="90">
        <v>13450114</v>
      </c>
      <c r="E922" s="89" t="s">
        <v>3878</v>
      </c>
      <c r="F922" s="91"/>
    </row>
    <row r="923" spans="2:6" ht="30" x14ac:dyDescent="0.25">
      <c r="B923" s="88">
        <v>19150800</v>
      </c>
      <c r="C923" s="89" t="s">
        <v>1879</v>
      </c>
      <c r="D923" s="90">
        <v>19100114</v>
      </c>
      <c r="E923" s="89" t="s">
        <v>4226</v>
      </c>
      <c r="F923" s="91"/>
    </row>
    <row r="924" spans="2:6" ht="30" x14ac:dyDescent="0.25">
      <c r="B924" s="88">
        <v>19150900</v>
      </c>
      <c r="C924" s="89" t="s">
        <v>1881</v>
      </c>
      <c r="D924" s="90">
        <v>16100314</v>
      </c>
      <c r="E924" s="89" t="s">
        <v>4071</v>
      </c>
      <c r="F924" s="91"/>
    </row>
    <row r="925" spans="2:6" ht="30" x14ac:dyDescent="0.25">
      <c r="B925" s="88">
        <v>19151000</v>
      </c>
      <c r="C925" s="89" t="s">
        <v>1883</v>
      </c>
      <c r="D925" s="90">
        <v>19100214</v>
      </c>
      <c r="E925" s="89" t="s">
        <v>4234</v>
      </c>
      <c r="F925" s="91"/>
    </row>
    <row r="926" spans="2:6" ht="30" x14ac:dyDescent="0.25">
      <c r="B926" s="88">
        <v>19151100</v>
      </c>
      <c r="C926" s="89" t="s">
        <v>1885</v>
      </c>
      <c r="D926" s="90" t="s">
        <v>4736</v>
      </c>
      <c r="E926" s="89"/>
      <c r="F926" s="91" t="s">
        <v>4885</v>
      </c>
    </row>
    <row r="927" spans="2:6" ht="45" x14ac:dyDescent="0.25">
      <c r="B927" s="88">
        <v>19151101</v>
      </c>
      <c r="C927" s="89" t="s">
        <v>1887</v>
      </c>
      <c r="D927" s="90">
        <v>13330014</v>
      </c>
      <c r="E927" s="89" t="s">
        <v>3644</v>
      </c>
      <c r="F927" s="91"/>
    </row>
    <row r="928" spans="2:6" ht="30" x14ac:dyDescent="0.25">
      <c r="B928" s="88">
        <v>19151102</v>
      </c>
      <c r="C928" s="89" t="s">
        <v>1889</v>
      </c>
      <c r="D928" s="90">
        <v>13330034</v>
      </c>
      <c r="E928" s="89" t="s">
        <v>3660</v>
      </c>
      <c r="F928" s="91"/>
    </row>
    <row r="929" spans="2:6" ht="30" x14ac:dyDescent="0.25">
      <c r="B929" s="88">
        <v>19151103</v>
      </c>
      <c r="C929" s="89" t="s">
        <v>1891</v>
      </c>
      <c r="D929" s="90">
        <v>13330044</v>
      </c>
      <c r="E929" s="89" t="s">
        <v>3669</v>
      </c>
      <c r="F929" s="91"/>
    </row>
    <row r="930" spans="2:6" ht="45" x14ac:dyDescent="0.25">
      <c r="B930" s="88">
        <v>19151104</v>
      </c>
      <c r="C930" s="89" t="s">
        <v>1893</v>
      </c>
      <c r="D930" s="90">
        <v>13330064</v>
      </c>
      <c r="E930" s="89" t="s">
        <v>3687</v>
      </c>
      <c r="F930" s="91"/>
    </row>
    <row r="931" spans="2:6" ht="30" x14ac:dyDescent="0.25">
      <c r="B931" s="88">
        <v>19151106</v>
      </c>
      <c r="C931" s="89" t="s">
        <v>1895</v>
      </c>
      <c r="D931" s="90">
        <v>13330054</v>
      </c>
      <c r="E931" s="89" t="s">
        <v>3678</v>
      </c>
      <c r="F931" s="91"/>
    </row>
    <row r="932" spans="2:6" ht="30" x14ac:dyDescent="0.25">
      <c r="B932" s="88">
        <v>19151107</v>
      </c>
      <c r="C932" s="89" t="s">
        <v>1897</v>
      </c>
      <c r="D932" s="90">
        <v>13330094</v>
      </c>
      <c r="E932" s="89" t="s">
        <v>3704</v>
      </c>
      <c r="F932" s="91"/>
    </row>
    <row r="933" spans="2:6" ht="45" x14ac:dyDescent="0.25">
      <c r="B933" s="88">
        <v>19151200</v>
      </c>
      <c r="C933" s="89" t="s">
        <v>1899</v>
      </c>
      <c r="D933" s="90">
        <v>12200414</v>
      </c>
      <c r="E933" s="89" t="s">
        <v>3378</v>
      </c>
      <c r="F933" s="91"/>
    </row>
    <row r="934" spans="2:6" ht="45" x14ac:dyDescent="0.25">
      <c r="B934" s="88">
        <v>19151300</v>
      </c>
      <c r="C934" s="89" t="s">
        <v>1901</v>
      </c>
      <c r="D934" s="90">
        <v>19221024</v>
      </c>
      <c r="E934" s="89" t="s">
        <v>4376</v>
      </c>
      <c r="F934" s="91"/>
    </row>
    <row r="935" spans="2:6" ht="30" x14ac:dyDescent="0.25">
      <c r="B935" s="88">
        <v>19151400</v>
      </c>
      <c r="C935" s="89" t="s">
        <v>1903</v>
      </c>
      <c r="D935" s="90">
        <v>19100114</v>
      </c>
      <c r="E935" s="89" t="s">
        <v>4226</v>
      </c>
      <c r="F935" s="91"/>
    </row>
    <row r="936" spans="2:6" ht="30" x14ac:dyDescent="0.25">
      <c r="B936" s="88">
        <v>19151500</v>
      </c>
      <c r="C936" s="89" t="s">
        <v>1905</v>
      </c>
      <c r="D936" s="90">
        <v>13450324</v>
      </c>
      <c r="E936" s="89" t="s">
        <v>3907</v>
      </c>
      <c r="F936" s="91"/>
    </row>
    <row r="937" spans="2:6" ht="45" x14ac:dyDescent="0.25">
      <c r="B937" s="88">
        <v>19151600</v>
      </c>
      <c r="C937" s="89" t="s">
        <v>1907</v>
      </c>
      <c r="D937" s="90">
        <v>19100514</v>
      </c>
      <c r="E937" s="89" t="s">
        <v>4852</v>
      </c>
      <c r="F937" s="91"/>
    </row>
    <row r="938" spans="2:6" ht="30" x14ac:dyDescent="0.25">
      <c r="B938" s="88">
        <v>19151700</v>
      </c>
      <c r="C938" s="89" t="s">
        <v>1909</v>
      </c>
      <c r="D938" s="90">
        <v>11210114</v>
      </c>
      <c r="E938" s="89" t="s">
        <v>3048</v>
      </c>
      <c r="F938" s="91"/>
    </row>
    <row r="939" spans="2:6" ht="45" x14ac:dyDescent="0.25">
      <c r="B939" s="88">
        <v>19151800</v>
      </c>
      <c r="C939" s="89" t="s">
        <v>1911</v>
      </c>
      <c r="D939" s="90">
        <v>19100114</v>
      </c>
      <c r="E939" s="89" t="s">
        <v>4226</v>
      </c>
      <c r="F939" s="91"/>
    </row>
    <row r="940" spans="2:6" ht="45" x14ac:dyDescent="0.25">
      <c r="B940" s="88">
        <v>19151900</v>
      </c>
      <c r="C940" s="89" t="s">
        <v>1913</v>
      </c>
      <c r="D940" s="90">
        <v>19900314</v>
      </c>
      <c r="E940" s="89" t="s">
        <v>4477</v>
      </c>
      <c r="F940" s="91"/>
    </row>
    <row r="941" spans="2:6" ht="45" x14ac:dyDescent="0.25">
      <c r="B941" s="88">
        <v>19152000</v>
      </c>
      <c r="C941" s="89" t="s">
        <v>1915</v>
      </c>
      <c r="D941" s="90" t="s">
        <v>4736</v>
      </c>
      <c r="E941" s="89"/>
      <c r="F941" s="91" t="s">
        <v>4885</v>
      </c>
    </row>
    <row r="942" spans="2:6" ht="30" x14ac:dyDescent="0.25">
      <c r="B942" s="88">
        <v>19152001</v>
      </c>
      <c r="C942" s="89" t="s">
        <v>1917</v>
      </c>
      <c r="D942" s="90">
        <v>11210114</v>
      </c>
      <c r="E942" s="89" t="s">
        <v>3048</v>
      </c>
      <c r="F942" s="91"/>
    </row>
    <row r="943" spans="2:6" ht="45" x14ac:dyDescent="0.25">
      <c r="B943" s="88">
        <v>19152002</v>
      </c>
      <c r="C943" s="89" t="s">
        <v>1919</v>
      </c>
      <c r="D943" s="90">
        <v>19101014</v>
      </c>
      <c r="E943" s="89" t="s">
        <v>4282</v>
      </c>
      <c r="F943" s="91"/>
    </row>
    <row r="944" spans="2:6" ht="30" x14ac:dyDescent="0.25">
      <c r="B944" s="88">
        <v>19159900</v>
      </c>
      <c r="C944" s="89" t="s">
        <v>1921</v>
      </c>
      <c r="D944" s="90" t="s">
        <v>4736</v>
      </c>
      <c r="E944" s="89"/>
      <c r="F944" s="91" t="s">
        <v>4885</v>
      </c>
    </row>
    <row r="945" spans="2:6" ht="30" x14ac:dyDescent="0.25">
      <c r="B945" s="88">
        <v>19159901</v>
      </c>
      <c r="C945" s="89" t="s">
        <v>1923</v>
      </c>
      <c r="D945" s="90">
        <v>19909914</v>
      </c>
      <c r="E945" s="89" t="s">
        <v>4540</v>
      </c>
      <c r="F945" s="91"/>
    </row>
    <row r="946" spans="2:6" ht="30" x14ac:dyDescent="0.25">
      <c r="B946" s="88">
        <v>19159902</v>
      </c>
      <c r="C946" s="89" t="s">
        <v>1925</v>
      </c>
      <c r="D946" s="90">
        <v>19909914</v>
      </c>
      <c r="E946" s="89" t="s">
        <v>4540</v>
      </c>
      <c r="F946" s="91"/>
    </row>
    <row r="947" spans="2:6" x14ac:dyDescent="0.25">
      <c r="B947" s="88">
        <v>19180000</v>
      </c>
      <c r="C947" s="89" t="s">
        <v>1927</v>
      </c>
      <c r="D947" s="90" t="s">
        <v>4736</v>
      </c>
      <c r="E947" s="89"/>
      <c r="F947" s="91" t="s">
        <v>4885</v>
      </c>
    </row>
    <row r="948" spans="2:6" x14ac:dyDescent="0.25">
      <c r="B948" s="88">
        <v>19180100</v>
      </c>
      <c r="C948" s="89" t="s">
        <v>1929</v>
      </c>
      <c r="D948" s="90">
        <v>13100112</v>
      </c>
      <c r="E948" s="89" t="s">
        <v>3467</v>
      </c>
      <c r="F948" s="91"/>
    </row>
    <row r="949" spans="2:6" x14ac:dyDescent="0.25">
      <c r="B949" s="88">
        <v>19180200</v>
      </c>
      <c r="C949" s="89" t="s">
        <v>1931</v>
      </c>
      <c r="D949" s="90">
        <v>13100112</v>
      </c>
      <c r="E949" s="89" t="s">
        <v>3467</v>
      </c>
      <c r="F949" s="91"/>
    </row>
    <row r="950" spans="2:6" x14ac:dyDescent="0.25">
      <c r="B950" s="88">
        <v>19180300</v>
      </c>
      <c r="C950" s="89" t="s">
        <v>1933</v>
      </c>
      <c r="D950" s="90">
        <v>13100122</v>
      </c>
      <c r="E950" s="89" t="s">
        <v>3476</v>
      </c>
      <c r="F950" s="91"/>
    </row>
    <row r="951" spans="2:6" ht="30" x14ac:dyDescent="0.25">
      <c r="B951" s="88">
        <v>19180400</v>
      </c>
      <c r="C951" s="89" t="s">
        <v>1935</v>
      </c>
      <c r="D951" s="90" t="s">
        <v>4736</v>
      </c>
      <c r="E951" s="89"/>
      <c r="F951" s="91" t="s">
        <v>4885</v>
      </c>
    </row>
    <row r="952" spans="2:6" ht="30" x14ac:dyDescent="0.25">
      <c r="B952" s="88">
        <v>19180401</v>
      </c>
      <c r="C952" s="89" t="s">
        <v>1937</v>
      </c>
      <c r="D952" s="90">
        <v>22200012</v>
      </c>
      <c r="E952" s="89" t="s">
        <v>4643</v>
      </c>
      <c r="F952" s="91"/>
    </row>
    <row r="953" spans="2:6" ht="30" x14ac:dyDescent="0.25">
      <c r="B953" s="88">
        <v>19180402</v>
      </c>
      <c r="C953" s="89" t="s">
        <v>1939</v>
      </c>
      <c r="D953" s="90">
        <v>22200012</v>
      </c>
      <c r="E953" s="89" t="s">
        <v>4643</v>
      </c>
      <c r="F953" s="91"/>
    </row>
    <row r="954" spans="2:6" ht="30" x14ac:dyDescent="0.25">
      <c r="B954" s="88">
        <v>19180500</v>
      </c>
      <c r="C954" s="89" t="s">
        <v>1941</v>
      </c>
      <c r="D954" s="90">
        <v>22200012</v>
      </c>
      <c r="E954" s="89" t="s">
        <v>4643</v>
      </c>
      <c r="F954" s="91"/>
    </row>
    <row r="955" spans="2:6" x14ac:dyDescent="0.25">
      <c r="B955" s="88">
        <v>19180600</v>
      </c>
      <c r="C955" s="89" t="s">
        <v>1943</v>
      </c>
      <c r="D955" s="90" t="s">
        <v>4736</v>
      </c>
      <c r="E955" s="89"/>
      <c r="F955" s="91" t="s">
        <v>4885</v>
      </c>
    </row>
    <row r="956" spans="2:6" x14ac:dyDescent="0.25">
      <c r="B956" s="88">
        <v>19180700</v>
      </c>
      <c r="C956" s="89" t="s">
        <v>1945</v>
      </c>
      <c r="D956" s="90">
        <v>13100122</v>
      </c>
      <c r="E956" s="89" t="s">
        <v>3476</v>
      </c>
      <c r="F956" s="91"/>
    </row>
    <row r="957" spans="2:6" x14ac:dyDescent="0.25">
      <c r="B957" s="88">
        <v>19180800</v>
      </c>
      <c r="C957" s="89" t="s">
        <v>1947</v>
      </c>
      <c r="D957" s="90">
        <v>13100122</v>
      </c>
      <c r="E957" s="89" t="s">
        <v>3476</v>
      </c>
      <c r="F957" s="91"/>
    </row>
    <row r="958" spans="2:6" x14ac:dyDescent="0.25">
      <c r="B958" s="88">
        <v>19180900</v>
      </c>
      <c r="C958" s="89" t="s">
        <v>1949</v>
      </c>
      <c r="D958" s="90">
        <v>13220012</v>
      </c>
      <c r="E958" s="89" t="s">
        <v>3527</v>
      </c>
      <c r="F958" s="91"/>
    </row>
    <row r="959" spans="2:6" x14ac:dyDescent="0.25">
      <c r="B959" s="88">
        <v>19181000</v>
      </c>
      <c r="C959" s="89" t="s">
        <v>1951</v>
      </c>
      <c r="D959" s="90">
        <v>13230012</v>
      </c>
      <c r="E959" s="89" t="s">
        <v>3534</v>
      </c>
      <c r="F959" s="91"/>
    </row>
    <row r="960" spans="2:6" ht="30" x14ac:dyDescent="0.25">
      <c r="B960" s="88">
        <v>19181100</v>
      </c>
      <c r="C960" s="89" t="s">
        <v>1953</v>
      </c>
      <c r="D960" s="90">
        <v>19900512</v>
      </c>
      <c r="E960" s="89" t="s">
        <v>4490</v>
      </c>
      <c r="F960" s="91"/>
    </row>
    <row r="961" spans="2:6" ht="30" x14ac:dyDescent="0.25">
      <c r="B961" s="88">
        <v>19181200</v>
      </c>
      <c r="C961" s="89" t="s">
        <v>1955</v>
      </c>
      <c r="D961" s="90">
        <v>19300212</v>
      </c>
      <c r="E961" s="89" t="s">
        <v>4437</v>
      </c>
      <c r="F961" s="91"/>
    </row>
    <row r="962" spans="2:6" ht="30" x14ac:dyDescent="0.25">
      <c r="B962" s="88">
        <v>19181300</v>
      </c>
      <c r="C962" s="89" t="s">
        <v>1957</v>
      </c>
      <c r="D962" s="90" t="s">
        <v>4736</v>
      </c>
      <c r="E962" s="89"/>
      <c r="F962" s="91" t="s">
        <v>4737</v>
      </c>
    </row>
    <row r="963" spans="2:6" ht="30" x14ac:dyDescent="0.25">
      <c r="B963" s="88">
        <v>19181400</v>
      </c>
      <c r="C963" s="89" t="s">
        <v>1959</v>
      </c>
      <c r="D963" s="90">
        <v>13440212</v>
      </c>
      <c r="E963" s="89" t="s">
        <v>3865</v>
      </c>
      <c r="F963" s="91"/>
    </row>
    <row r="964" spans="2:6" ht="30" x14ac:dyDescent="0.25">
      <c r="B964" s="88">
        <v>19181500</v>
      </c>
      <c r="C964" s="89" t="s">
        <v>1961</v>
      </c>
      <c r="D964" s="90">
        <v>13440112</v>
      </c>
      <c r="E964" s="89" t="s">
        <v>3856</v>
      </c>
      <c r="F964" s="91"/>
    </row>
    <row r="965" spans="2:6" ht="30" x14ac:dyDescent="0.25">
      <c r="B965" s="88">
        <v>19181600</v>
      </c>
      <c r="C965" s="89" t="s">
        <v>1963</v>
      </c>
      <c r="D965" s="90">
        <v>13460112</v>
      </c>
      <c r="E965" s="89" t="s">
        <v>3918</v>
      </c>
      <c r="F965" s="91"/>
    </row>
    <row r="966" spans="2:6" ht="30" x14ac:dyDescent="0.25">
      <c r="B966" s="88">
        <v>19181700</v>
      </c>
      <c r="C966" s="89" t="s">
        <v>1965</v>
      </c>
      <c r="D966" s="90" t="s">
        <v>4736</v>
      </c>
      <c r="E966" s="89"/>
      <c r="F966" s="91" t="s">
        <v>4885</v>
      </c>
    </row>
    <row r="967" spans="2:6" ht="30" x14ac:dyDescent="0.25">
      <c r="B967" s="88">
        <v>19181701</v>
      </c>
      <c r="C967" s="89" t="s">
        <v>1967</v>
      </c>
      <c r="D967" s="90">
        <v>13100212</v>
      </c>
      <c r="E967" s="89" t="s">
        <v>3485</v>
      </c>
      <c r="F967" s="91"/>
    </row>
    <row r="968" spans="2:6" ht="30" x14ac:dyDescent="0.25">
      <c r="B968" s="88">
        <v>19181702</v>
      </c>
      <c r="C968" s="89" t="s">
        <v>1969</v>
      </c>
      <c r="D968" s="90">
        <v>13100212</v>
      </c>
      <c r="E968" s="89" t="s">
        <v>3485</v>
      </c>
      <c r="F968" s="91"/>
    </row>
    <row r="969" spans="2:6" ht="30" x14ac:dyDescent="0.25">
      <c r="B969" s="88">
        <v>19181800</v>
      </c>
      <c r="C969" s="89" t="s">
        <v>1971</v>
      </c>
      <c r="D969" s="90" t="s">
        <v>4736</v>
      </c>
      <c r="E969" s="89"/>
      <c r="F969" s="91" t="s">
        <v>4885</v>
      </c>
    </row>
    <row r="970" spans="2:6" ht="30" x14ac:dyDescent="0.25">
      <c r="B970" s="88">
        <v>19181801</v>
      </c>
      <c r="C970" s="89" t="s">
        <v>1973</v>
      </c>
      <c r="D970" s="90">
        <v>19210212</v>
      </c>
      <c r="E970" s="89" t="s">
        <v>4300</v>
      </c>
      <c r="F970" s="91"/>
    </row>
    <row r="971" spans="2:6" ht="30" x14ac:dyDescent="0.25">
      <c r="B971" s="88">
        <v>19181802</v>
      </c>
      <c r="C971" s="89" t="s">
        <v>1975</v>
      </c>
      <c r="D971" s="90">
        <v>19210212</v>
      </c>
      <c r="E971" s="89" t="s">
        <v>4300</v>
      </c>
      <c r="F971" s="91"/>
    </row>
    <row r="972" spans="2:6" ht="30" x14ac:dyDescent="0.25">
      <c r="B972" s="88">
        <v>19181900</v>
      </c>
      <c r="C972" s="89" t="s">
        <v>1977</v>
      </c>
      <c r="D972" s="90">
        <v>19101012</v>
      </c>
      <c r="E972" s="89" t="s">
        <v>4280</v>
      </c>
      <c r="F972" s="91"/>
    </row>
    <row r="973" spans="2:6" ht="45" x14ac:dyDescent="0.25">
      <c r="B973" s="88">
        <v>19182000</v>
      </c>
      <c r="C973" s="89" t="s">
        <v>1979</v>
      </c>
      <c r="D973" s="90">
        <v>19909912</v>
      </c>
      <c r="E973" s="89" t="s">
        <v>4538</v>
      </c>
      <c r="F973" s="91"/>
    </row>
    <row r="974" spans="2:6" ht="30" x14ac:dyDescent="0.25">
      <c r="B974" s="88">
        <v>19182100</v>
      </c>
      <c r="C974" s="89" t="s">
        <v>1981</v>
      </c>
      <c r="D974" s="90">
        <v>19230412</v>
      </c>
      <c r="E974" s="89" t="s">
        <v>4413</v>
      </c>
      <c r="F974" s="91"/>
    </row>
    <row r="975" spans="2:6" ht="30" x14ac:dyDescent="0.25">
      <c r="B975" s="88">
        <v>19182300</v>
      </c>
      <c r="C975" s="89" t="s">
        <v>1983</v>
      </c>
      <c r="D975" s="90">
        <v>19220912</v>
      </c>
      <c r="E975" s="89" t="s">
        <v>4361</v>
      </c>
      <c r="F975" s="91"/>
    </row>
    <row r="976" spans="2:6" ht="30" x14ac:dyDescent="0.25">
      <c r="B976" s="88">
        <v>19182400</v>
      </c>
      <c r="C976" s="89" t="s">
        <v>1985</v>
      </c>
      <c r="D976" s="90" t="s">
        <v>4736</v>
      </c>
      <c r="E976" s="89"/>
      <c r="F976" s="91" t="s">
        <v>4885</v>
      </c>
    </row>
    <row r="977" spans="2:6" ht="30" x14ac:dyDescent="0.25">
      <c r="B977" s="88">
        <v>19182401</v>
      </c>
      <c r="C977" s="89" t="s">
        <v>1987</v>
      </c>
      <c r="D977" s="90">
        <v>13330012</v>
      </c>
      <c r="E977" s="89" t="s">
        <v>3642</v>
      </c>
      <c r="F977" s="91"/>
    </row>
    <row r="978" spans="2:6" ht="30" x14ac:dyDescent="0.25">
      <c r="B978" s="88">
        <v>19182402</v>
      </c>
      <c r="C978" s="89" t="s">
        <v>1989</v>
      </c>
      <c r="D978" s="90">
        <v>13330032</v>
      </c>
      <c r="E978" s="89" t="s">
        <v>3658</v>
      </c>
      <c r="F978" s="91"/>
    </row>
    <row r="979" spans="2:6" ht="30" x14ac:dyDescent="0.25">
      <c r="B979" s="88">
        <v>19182403</v>
      </c>
      <c r="C979" s="89" t="s">
        <v>1991</v>
      </c>
      <c r="D979" s="90">
        <v>13330042</v>
      </c>
      <c r="E979" s="89" t="s">
        <v>3667</v>
      </c>
      <c r="F979" s="91"/>
    </row>
    <row r="980" spans="2:6" ht="45" x14ac:dyDescent="0.25">
      <c r="B980" s="88">
        <v>19182404</v>
      </c>
      <c r="C980" s="89" t="s">
        <v>1993</v>
      </c>
      <c r="D980" s="90">
        <v>13330062</v>
      </c>
      <c r="E980" s="89" t="s">
        <v>3685</v>
      </c>
      <c r="F980" s="91"/>
    </row>
    <row r="981" spans="2:6" ht="30" x14ac:dyDescent="0.25">
      <c r="B981" s="88">
        <v>19182406</v>
      </c>
      <c r="C981" s="89" t="s">
        <v>1995</v>
      </c>
      <c r="D981" s="90">
        <v>13330052</v>
      </c>
      <c r="E981" s="89" t="s">
        <v>3676</v>
      </c>
      <c r="F981" s="91"/>
    </row>
    <row r="982" spans="2:6" ht="30" x14ac:dyDescent="0.25">
      <c r="B982" s="88">
        <v>19182407</v>
      </c>
      <c r="C982" s="89" t="s">
        <v>1997</v>
      </c>
      <c r="D982" s="90">
        <v>13330092</v>
      </c>
      <c r="E982" s="89" t="s">
        <v>3702</v>
      </c>
      <c r="F982" s="91"/>
    </row>
    <row r="983" spans="2:6" ht="30" x14ac:dyDescent="0.25">
      <c r="B983" s="88">
        <v>19182500</v>
      </c>
      <c r="C983" s="89" t="s">
        <v>1999</v>
      </c>
      <c r="D983" s="90">
        <v>19100212</v>
      </c>
      <c r="E983" s="89" t="s">
        <v>4232</v>
      </c>
      <c r="F983" s="91"/>
    </row>
    <row r="984" spans="2:6" ht="30" x14ac:dyDescent="0.25">
      <c r="B984" s="88">
        <v>19182600</v>
      </c>
      <c r="C984" s="89" t="s">
        <v>2001</v>
      </c>
      <c r="D984" s="90">
        <v>19100112</v>
      </c>
      <c r="E984" s="89" t="s">
        <v>4224</v>
      </c>
      <c r="F984" s="91"/>
    </row>
    <row r="985" spans="2:6" ht="30" x14ac:dyDescent="0.25">
      <c r="B985" s="88">
        <v>19182700</v>
      </c>
      <c r="C985" s="89" t="s">
        <v>2004</v>
      </c>
      <c r="D985" s="90">
        <v>16100312</v>
      </c>
      <c r="E985" s="89" t="s">
        <v>4069</v>
      </c>
      <c r="F985" s="91"/>
    </row>
    <row r="986" spans="2:6" x14ac:dyDescent="0.25">
      <c r="B986" s="88">
        <v>19189900</v>
      </c>
      <c r="C986" s="89" t="s">
        <v>2006</v>
      </c>
      <c r="D986" s="90" t="s">
        <v>4736</v>
      </c>
      <c r="E986" s="89"/>
      <c r="F986" s="91" t="s">
        <v>4885</v>
      </c>
    </row>
    <row r="987" spans="2:6" x14ac:dyDescent="0.25">
      <c r="B987" s="88">
        <v>19189901</v>
      </c>
      <c r="C987" s="89" t="s">
        <v>2009</v>
      </c>
      <c r="D987" s="90">
        <v>19909912</v>
      </c>
      <c r="E987" s="89" t="s">
        <v>4538</v>
      </c>
      <c r="F987" s="91"/>
    </row>
    <row r="988" spans="2:6" x14ac:dyDescent="0.25">
      <c r="B988" s="88">
        <v>19189902</v>
      </c>
      <c r="C988" s="89" t="s">
        <v>2012</v>
      </c>
      <c r="D988" s="90">
        <v>19909922</v>
      </c>
      <c r="E988" s="89" t="s">
        <v>4544</v>
      </c>
      <c r="F988" s="91"/>
    </row>
    <row r="989" spans="2:6" x14ac:dyDescent="0.25">
      <c r="B989" s="88">
        <v>19190000</v>
      </c>
      <c r="C989" s="89" t="s">
        <v>2014</v>
      </c>
      <c r="D989" s="90" t="s">
        <v>4736</v>
      </c>
      <c r="E989" s="89"/>
      <c r="F989" s="91" t="s">
        <v>4885</v>
      </c>
    </row>
    <row r="990" spans="2:6" x14ac:dyDescent="0.25">
      <c r="B990" s="88">
        <v>19190100</v>
      </c>
      <c r="C990" s="89" t="s">
        <v>2016</v>
      </c>
      <c r="D990" s="90">
        <v>19100111</v>
      </c>
      <c r="E990" s="89" t="s">
        <v>4221</v>
      </c>
      <c r="F990" s="91"/>
    </row>
    <row r="991" spans="2:6" x14ac:dyDescent="0.25">
      <c r="B991" s="88">
        <v>19190200</v>
      </c>
      <c r="C991" s="89" t="s">
        <v>2018</v>
      </c>
      <c r="D991" s="90">
        <v>19100111</v>
      </c>
      <c r="E991" s="89" t="s">
        <v>4221</v>
      </c>
      <c r="F991" s="91"/>
    </row>
    <row r="992" spans="2:6" x14ac:dyDescent="0.25">
      <c r="B992" s="88">
        <v>19190300</v>
      </c>
      <c r="C992" s="89" t="s">
        <v>2020</v>
      </c>
      <c r="D992" s="90">
        <v>19100111</v>
      </c>
      <c r="E992" s="89" t="s">
        <v>4221</v>
      </c>
      <c r="F992" s="91"/>
    </row>
    <row r="993" spans="2:6" x14ac:dyDescent="0.25">
      <c r="B993" s="88">
        <v>19190400</v>
      </c>
      <c r="C993" s="89" t="s">
        <v>2022</v>
      </c>
      <c r="D993" s="90">
        <v>19100111</v>
      </c>
      <c r="E993" s="89" t="s">
        <v>4221</v>
      </c>
      <c r="F993" s="91"/>
    </row>
    <row r="994" spans="2:6" ht="30" x14ac:dyDescent="0.25">
      <c r="B994" s="88">
        <v>19190424</v>
      </c>
      <c r="C994" s="89" t="s">
        <v>1779</v>
      </c>
      <c r="D994" s="90">
        <v>12100314</v>
      </c>
      <c r="E994" s="89" t="s">
        <v>3134</v>
      </c>
      <c r="F994" s="91"/>
    </row>
    <row r="995" spans="2:6" ht="30" x14ac:dyDescent="0.25">
      <c r="B995" s="88">
        <v>19190500</v>
      </c>
      <c r="C995" s="89" t="s">
        <v>2024</v>
      </c>
      <c r="D995" s="90">
        <v>19100111</v>
      </c>
      <c r="E995" s="89" t="s">
        <v>4221</v>
      </c>
      <c r="F995" s="91"/>
    </row>
    <row r="996" spans="2:6" x14ac:dyDescent="0.25">
      <c r="B996" s="88">
        <v>19190600</v>
      </c>
      <c r="C996" s="89" t="s">
        <v>2026</v>
      </c>
      <c r="D996" s="90">
        <v>19100111</v>
      </c>
      <c r="E996" s="89" t="s">
        <v>4221</v>
      </c>
      <c r="F996" s="91"/>
    </row>
    <row r="997" spans="2:6" x14ac:dyDescent="0.25">
      <c r="B997" s="88">
        <v>19190700</v>
      </c>
      <c r="C997" s="89" t="s">
        <v>2028</v>
      </c>
      <c r="D997" s="90">
        <v>19100111</v>
      </c>
      <c r="E997" s="89" t="s">
        <v>4221</v>
      </c>
      <c r="F997" s="91"/>
    </row>
    <row r="998" spans="2:6" x14ac:dyDescent="0.25">
      <c r="B998" s="88">
        <v>19190800</v>
      </c>
      <c r="C998" s="89" t="s">
        <v>2030</v>
      </c>
      <c r="D998" s="90">
        <v>19100111</v>
      </c>
      <c r="E998" s="89" t="s">
        <v>4221</v>
      </c>
      <c r="F998" s="91"/>
    </row>
    <row r="999" spans="2:6" ht="30" x14ac:dyDescent="0.25">
      <c r="B999" s="88">
        <v>19190900</v>
      </c>
      <c r="C999" s="89" t="s">
        <v>2032</v>
      </c>
      <c r="D999" s="90">
        <v>19100211</v>
      </c>
      <c r="E999" s="89" t="s">
        <v>4228</v>
      </c>
      <c r="F999" s="91"/>
    </row>
    <row r="1000" spans="2:6" x14ac:dyDescent="0.25">
      <c r="B1000" s="88">
        <v>19191000</v>
      </c>
      <c r="C1000" s="89" t="s">
        <v>2034</v>
      </c>
      <c r="D1000" s="90">
        <v>19100111</v>
      </c>
      <c r="E1000" s="89" t="s">
        <v>4221</v>
      </c>
      <c r="F1000" s="91"/>
    </row>
    <row r="1001" spans="2:6" x14ac:dyDescent="0.25">
      <c r="B1001" s="88">
        <v>19191200</v>
      </c>
      <c r="C1001" s="89" t="s">
        <v>2036</v>
      </c>
      <c r="D1001" s="90">
        <v>19100111</v>
      </c>
      <c r="E1001" s="89" t="s">
        <v>4221</v>
      </c>
      <c r="F1001" s="91"/>
    </row>
    <row r="1002" spans="2:6" ht="30" x14ac:dyDescent="0.25">
      <c r="B1002" s="88">
        <v>19191300</v>
      </c>
      <c r="C1002" s="89" t="s">
        <v>2038</v>
      </c>
      <c r="D1002" s="90">
        <v>19100111</v>
      </c>
      <c r="E1002" s="89" t="s">
        <v>4221</v>
      </c>
      <c r="F1002" s="91"/>
    </row>
    <row r="1003" spans="2:6" x14ac:dyDescent="0.25">
      <c r="B1003" s="88">
        <v>19191400</v>
      </c>
      <c r="C1003" s="89" t="s">
        <v>2040</v>
      </c>
      <c r="D1003" s="90">
        <v>19100111</v>
      </c>
      <c r="E1003" s="89" t="s">
        <v>4221</v>
      </c>
      <c r="F1003" s="91"/>
    </row>
    <row r="1004" spans="2:6" x14ac:dyDescent="0.25">
      <c r="B1004" s="88">
        <v>19191500</v>
      </c>
      <c r="C1004" s="89" t="s">
        <v>2042</v>
      </c>
      <c r="D1004" s="90">
        <v>19100111</v>
      </c>
      <c r="E1004" s="89" t="s">
        <v>4221</v>
      </c>
      <c r="F1004" s="91"/>
    </row>
    <row r="1005" spans="2:6" ht="30" x14ac:dyDescent="0.25">
      <c r="B1005" s="88">
        <v>19191600</v>
      </c>
      <c r="C1005" s="89" t="s">
        <v>2044</v>
      </c>
      <c r="D1005" s="90">
        <v>19100311</v>
      </c>
      <c r="E1005" s="89" t="s">
        <v>4236</v>
      </c>
      <c r="F1005" s="91"/>
    </row>
    <row r="1006" spans="2:6" x14ac:dyDescent="0.25">
      <c r="B1006" s="88">
        <v>19191700</v>
      </c>
      <c r="C1006" s="89" t="s">
        <v>2046</v>
      </c>
      <c r="D1006" s="90">
        <v>19100111</v>
      </c>
      <c r="E1006" s="89" t="s">
        <v>4221</v>
      </c>
      <c r="F1006" s="91"/>
    </row>
    <row r="1007" spans="2:6" x14ac:dyDescent="0.25">
      <c r="B1007" s="88">
        <v>19191800</v>
      </c>
      <c r="C1007" s="89" t="s">
        <v>2048</v>
      </c>
      <c r="D1007" s="90">
        <v>19100111</v>
      </c>
      <c r="E1007" s="89" t="s">
        <v>4221</v>
      </c>
      <c r="F1007" s="91"/>
    </row>
    <row r="1008" spans="2:6" x14ac:dyDescent="0.25">
      <c r="B1008" s="88">
        <v>19192000</v>
      </c>
      <c r="C1008" s="89" t="s">
        <v>2050</v>
      </c>
      <c r="D1008" s="90">
        <v>19100111</v>
      </c>
      <c r="E1008" s="89" t="s">
        <v>4221</v>
      </c>
      <c r="F1008" s="91"/>
    </row>
    <row r="1009" spans="2:6" ht="30" x14ac:dyDescent="0.25">
      <c r="B1009" s="88">
        <v>19192600</v>
      </c>
      <c r="C1009" s="89" t="s">
        <v>2052</v>
      </c>
      <c r="D1009" s="90">
        <v>19100411</v>
      </c>
      <c r="E1009" s="89" t="s">
        <v>4240</v>
      </c>
      <c r="F1009" s="91"/>
    </row>
    <row r="1010" spans="2:6" ht="30" x14ac:dyDescent="0.25">
      <c r="B1010" s="88">
        <v>19192601</v>
      </c>
      <c r="C1010" s="89" t="s">
        <v>2054</v>
      </c>
      <c r="D1010" s="90">
        <v>19100411</v>
      </c>
      <c r="E1010" s="89" t="s">
        <v>4240</v>
      </c>
      <c r="F1010" s="91"/>
    </row>
    <row r="1011" spans="2:6" ht="30" x14ac:dyDescent="0.25">
      <c r="B1011" s="88">
        <v>19192602</v>
      </c>
      <c r="C1011" s="89" t="s">
        <v>2056</v>
      </c>
      <c r="D1011" s="90">
        <v>19100411</v>
      </c>
      <c r="E1011" s="89" t="s">
        <v>4240</v>
      </c>
      <c r="F1011" s="91"/>
    </row>
    <row r="1012" spans="2:6" x14ac:dyDescent="0.25">
      <c r="B1012" s="88">
        <v>19192700</v>
      </c>
      <c r="C1012" s="89" t="s">
        <v>2058</v>
      </c>
      <c r="D1012" s="90">
        <v>19100911</v>
      </c>
      <c r="E1012" s="89" t="s">
        <v>4272</v>
      </c>
      <c r="F1012" s="91"/>
    </row>
    <row r="1013" spans="2:6" ht="30" x14ac:dyDescent="0.25">
      <c r="B1013" s="88">
        <v>19192800</v>
      </c>
      <c r="C1013" s="89" t="s">
        <v>2061</v>
      </c>
      <c r="D1013" s="90">
        <v>19100111</v>
      </c>
      <c r="E1013" s="89" t="s">
        <v>4221</v>
      </c>
      <c r="F1013" s="91"/>
    </row>
    <row r="1014" spans="2:6" ht="30" x14ac:dyDescent="0.25">
      <c r="B1014" s="88">
        <v>19192900</v>
      </c>
      <c r="C1014" s="89" t="s">
        <v>2063</v>
      </c>
      <c r="D1014" s="90">
        <v>19100111</v>
      </c>
      <c r="E1014" s="89" t="s">
        <v>4221</v>
      </c>
      <c r="F1014" s="91"/>
    </row>
    <row r="1015" spans="2:6" x14ac:dyDescent="0.25">
      <c r="B1015" s="88">
        <v>19193000</v>
      </c>
      <c r="C1015" s="89" t="s">
        <v>2065</v>
      </c>
      <c r="D1015" s="90">
        <v>19100111</v>
      </c>
      <c r="E1015" s="89" t="s">
        <v>4221</v>
      </c>
      <c r="F1015" s="91"/>
    </row>
    <row r="1016" spans="2:6" x14ac:dyDescent="0.25">
      <c r="B1016" s="88">
        <v>19193100</v>
      </c>
      <c r="C1016" s="89" t="s">
        <v>2067</v>
      </c>
      <c r="D1016" s="90">
        <v>19100111</v>
      </c>
      <c r="E1016" s="89" t="s">
        <v>4221</v>
      </c>
      <c r="F1016" s="91"/>
    </row>
    <row r="1017" spans="2:6" x14ac:dyDescent="0.25">
      <c r="B1017" s="88">
        <v>19193200</v>
      </c>
      <c r="C1017" s="89" t="s">
        <v>2069</v>
      </c>
      <c r="D1017" s="90">
        <v>19100811</v>
      </c>
      <c r="E1017" s="89" t="s">
        <v>4266</v>
      </c>
      <c r="F1017" s="91"/>
    </row>
    <row r="1018" spans="2:6" x14ac:dyDescent="0.25">
      <c r="B1018" s="88">
        <v>19193210</v>
      </c>
      <c r="C1018" s="89" t="s">
        <v>2071</v>
      </c>
      <c r="D1018" s="90">
        <v>19100811</v>
      </c>
      <c r="E1018" s="89" t="s">
        <v>4266</v>
      </c>
      <c r="F1018" s="91"/>
    </row>
    <row r="1019" spans="2:6" x14ac:dyDescent="0.25">
      <c r="B1019" s="88">
        <v>19193220</v>
      </c>
      <c r="C1019" s="89" t="s">
        <v>2073</v>
      </c>
      <c r="D1019" s="90">
        <v>19100811</v>
      </c>
      <c r="E1019" s="89" t="s">
        <v>4266</v>
      </c>
      <c r="F1019" s="91"/>
    </row>
    <row r="1020" spans="2:6" x14ac:dyDescent="0.25">
      <c r="B1020" s="88">
        <v>19193300</v>
      </c>
      <c r="C1020" s="89" t="s">
        <v>2075</v>
      </c>
      <c r="D1020" s="90">
        <v>19100111</v>
      </c>
      <c r="E1020" s="89" t="s">
        <v>4221</v>
      </c>
      <c r="F1020" s="91"/>
    </row>
    <row r="1021" spans="2:6" ht="30" x14ac:dyDescent="0.25">
      <c r="B1021" s="88">
        <v>19193400</v>
      </c>
      <c r="C1021" s="89" t="s">
        <v>2077</v>
      </c>
      <c r="D1021" s="90">
        <v>19100511</v>
      </c>
      <c r="E1021" s="89" t="s">
        <v>4850</v>
      </c>
      <c r="F1021" s="91"/>
    </row>
    <row r="1022" spans="2:6" x14ac:dyDescent="0.25">
      <c r="B1022" s="88">
        <v>19193500</v>
      </c>
      <c r="C1022" s="89" t="s">
        <v>2079</v>
      </c>
      <c r="D1022" s="90">
        <v>19100600</v>
      </c>
      <c r="E1022" s="89" t="s">
        <v>2079</v>
      </c>
      <c r="F1022" s="91"/>
    </row>
    <row r="1023" spans="2:6" x14ac:dyDescent="0.25">
      <c r="B1023" s="88">
        <v>19193510</v>
      </c>
      <c r="C1023" s="89" t="s">
        <v>2081</v>
      </c>
      <c r="D1023" s="90">
        <v>19100611</v>
      </c>
      <c r="E1023" s="89" t="s">
        <v>4251</v>
      </c>
      <c r="F1023" s="91"/>
    </row>
    <row r="1024" spans="2:6" x14ac:dyDescent="0.25">
      <c r="B1024" s="88">
        <v>19193520</v>
      </c>
      <c r="C1024" s="89" t="s">
        <v>2083</v>
      </c>
      <c r="D1024" s="90">
        <v>19100621</v>
      </c>
      <c r="E1024" s="89" t="s">
        <v>4257</v>
      </c>
      <c r="F1024" s="91"/>
    </row>
    <row r="1025" spans="2:6" x14ac:dyDescent="0.25">
      <c r="B1025" s="88">
        <v>19193600</v>
      </c>
      <c r="C1025" s="89" t="s">
        <v>2085</v>
      </c>
      <c r="D1025" s="90">
        <v>19100111</v>
      </c>
      <c r="E1025" s="89" t="s">
        <v>4221</v>
      </c>
      <c r="F1025" s="91"/>
    </row>
    <row r="1026" spans="2:6" x14ac:dyDescent="0.25">
      <c r="B1026" s="88">
        <v>19193700</v>
      </c>
      <c r="C1026" s="89" t="s">
        <v>2087</v>
      </c>
      <c r="D1026" s="90">
        <v>19100111</v>
      </c>
      <c r="E1026" s="89" t="s">
        <v>4221</v>
      </c>
      <c r="F1026" s="91"/>
    </row>
    <row r="1027" spans="2:6" x14ac:dyDescent="0.25">
      <c r="B1027" s="88">
        <v>19193800</v>
      </c>
      <c r="C1027" s="89" t="s">
        <v>2089</v>
      </c>
      <c r="D1027" s="90" t="s">
        <v>4736</v>
      </c>
      <c r="E1027" s="89"/>
      <c r="F1027" s="91" t="s">
        <v>4885</v>
      </c>
    </row>
    <row r="1028" spans="2:6" x14ac:dyDescent="0.25">
      <c r="B1028" s="88">
        <v>19194100</v>
      </c>
      <c r="C1028" s="89" t="s">
        <v>2091</v>
      </c>
      <c r="D1028" s="90">
        <v>19100111</v>
      </c>
      <c r="E1028" s="89" t="s">
        <v>4221</v>
      </c>
      <c r="F1028" s="91"/>
    </row>
    <row r="1029" spans="2:6" x14ac:dyDescent="0.25">
      <c r="B1029" s="88">
        <v>19194800</v>
      </c>
      <c r="C1029" s="89" t="s">
        <v>2093</v>
      </c>
      <c r="D1029" s="90">
        <v>19100711</v>
      </c>
      <c r="E1029" s="89" t="s">
        <v>4262</v>
      </c>
      <c r="F1029" s="91"/>
    </row>
    <row r="1030" spans="2:6" ht="30" x14ac:dyDescent="0.25">
      <c r="B1030" s="88">
        <v>19194900</v>
      </c>
      <c r="C1030" s="89" t="s">
        <v>2095</v>
      </c>
      <c r="D1030" s="90">
        <v>19101011</v>
      </c>
      <c r="E1030" s="89" t="s">
        <v>4276</v>
      </c>
      <c r="F1030" s="91"/>
    </row>
    <row r="1031" spans="2:6" x14ac:dyDescent="0.25">
      <c r="B1031" s="88">
        <v>19195000</v>
      </c>
      <c r="C1031" s="89" t="s">
        <v>2097</v>
      </c>
      <c r="D1031" s="90">
        <v>19100111</v>
      </c>
      <c r="E1031" s="89" t="s">
        <v>4221</v>
      </c>
      <c r="F1031" s="91"/>
    </row>
    <row r="1032" spans="2:6" ht="30" x14ac:dyDescent="0.25">
      <c r="B1032" s="88">
        <v>19195100</v>
      </c>
      <c r="C1032" s="89" t="s">
        <v>2099</v>
      </c>
      <c r="D1032" s="90">
        <v>19101111</v>
      </c>
      <c r="E1032" s="89" t="s">
        <v>4285</v>
      </c>
      <c r="F1032" s="91"/>
    </row>
    <row r="1033" spans="2:6" ht="30" x14ac:dyDescent="0.25">
      <c r="B1033" s="88">
        <v>19195110</v>
      </c>
      <c r="C1033" s="89" t="s">
        <v>2101</v>
      </c>
      <c r="D1033" s="90">
        <v>19101111</v>
      </c>
      <c r="E1033" s="89" t="s">
        <v>4285</v>
      </c>
      <c r="F1033" s="91"/>
    </row>
    <row r="1034" spans="2:6" ht="30" x14ac:dyDescent="0.25">
      <c r="B1034" s="88">
        <v>19195120</v>
      </c>
      <c r="C1034" s="89" t="s">
        <v>2104</v>
      </c>
      <c r="D1034" s="90">
        <v>19101111</v>
      </c>
      <c r="E1034" s="89" t="s">
        <v>4285</v>
      </c>
      <c r="F1034" s="91"/>
    </row>
    <row r="1035" spans="2:6" ht="30" x14ac:dyDescent="0.25">
      <c r="B1035" s="88">
        <v>19195130</v>
      </c>
      <c r="C1035" s="89" t="s">
        <v>2106</v>
      </c>
      <c r="D1035" s="90">
        <v>19101111</v>
      </c>
      <c r="E1035" s="89" t="s">
        <v>4285</v>
      </c>
      <c r="F1035" s="91"/>
    </row>
    <row r="1036" spans="2:6" ht="45" x14ac:dyDescent="0.25">
      <c r="B1036" s="88">
        <v>19195140</v>
      </c>
      <c r="C1036" s="89" t="s">
        <v>2108</v>
      </c>
      <c r="D1036" s="90">
        <v>19101111</v>
      </c>
      <c r="E1036" s="89" t="s">
        <v>4285</v>
      </c>
      <c r="F1036" s="91"/>
    </row>
    <row r="1037" spans="2:6" ht="30" x14ac:dyDescent="0.25">
      <c r="B1037" s="88">
        <v>19195150</v>
      </c>
      <c r="C1037" s="89" t="s">
        <v>2110</v>
      </c>
      <c r="D1037" s="90">
        <v>19101111</v>
      </c>
      <c r="E1037" s="89" t="s">
        <v>4285</v>
      </c>
      <c r="F1037" s="91"/>
    </row>
    <row r="1038" spans="2:6" x14ac:dyDescent="0.25">
      <c r="B1038" s="88">
        <v>19195200</v>
      </c>
      <c r="C1038" s="89" t="s">
        <v>2112</v>
      </c>
      <c r="D1038" s="90">
        <v>19100111</v>
      </c>
      <c r="E1038" s="89" t="s">
        <v>4221</v>
      </c>
      <c r="F1038" s="91"/>
    </row>
    <row r="1039" spans="2:6" x14ac:dyDescent="0.25">
      <c r="B1039" s="88">
        <v>19195300</v>
      </c>
      <c r="C1039" s="89" t="s">
        <v>2114</v>
      </c>
      <c r="D1039" s="90">
        <v>19100111</v>
      </c>
      <c r="E1039" s="89" t="s">
        <v>4221</v>
      </c>
      <c r="F1039" s="91"/>
    </row>
    <row r="1040" spans="2:6" x14ac:dyDescent="0.25">
      <c r="B1040" s="88">
        <v>19196000</v>
      </c>
      <c r="C1040" s="89" t="s">
        <v>2116</v>
      </c>
      <c r="D1040" s="90">
        <v>19100111</v>
      </c>
      <c r="E1040" s="89" t="s">
        <v>4221</v>
      </c>
      <c r="F1040" s="91"/>
    </row>
    <row r="1041" spans="2:6" ht="30" x14ac:dyDescent="0.25">
      <c r="B1041" s="88">
        <v>19197000</v>
      </c>
      <c r="C1041" s="89" t="s">
        <v>2118</v>
      </c>
      <c r="D1041" s="90" t="s">
        <v>4736</v>
      </c>
      <c r="E1041" s="89"/>
      <c r="F1041" s="91" t="s">
        <v>4885</v>
      </c>
    </row>
    <row r="1042" spans="2:6" ht="30" x14ac:dyDescent="0.25">
      <c r="B1042" s="88">
        <v>19197001</v>
      </c>
      <c r="C1042" s="89" t="s">
        <v>2120</v>
      </c>
      <c r="D1042" s="90">
        <v>19100111</v>
      </c>
      <c r="E1042" s="89" t="s">
        <v>4221</v>
      </c>
      <c r="F1042" s="91"/>
    </row>
    <row r="1043" spans="2:6" ht="45" x14ac:dyDescent="0.25">
      <c r="B1043" s="88">
        <v>19197002</v>
      </c>
      <c r="C1043" s="89" t="s">
        <v>2122</v>
      </c>
      <c r="D1043" s="90">
        <v>19100111</v>
      </c>
      <c r="E1043" s="89" t="s">
        <v>4221</v>
      </c>
      <c r="F1043" s="91"/>
    </row>
    <row r="1044" spans="2:6" x14ac:dyDescent="0.25">
      <c r="B1044" s="88">
        <v>19199900</v>
      </c>
      <c r="C1044" s="89" t="s">
        <v>2124</v>
      </c>
      <c r="D1044" s="90">
        <v>19909912</v>
      </c>
      <c r="E1044" s="89" t="s">
        <v>4538</v>
      </c>
      <c r="F1044" s="91"/>
    </row>
    <row r="1045" spans="2:6" x14ac:dyDescent="0.25">
      <c r="B1045" s="88">
        <v>19200000</v>
      </c>
      <c r="C1045" s="89" t="s">
        <v>2127</v>
      </c>
      <c r="D1045" s="90">
        <v>19200000</v>
      </c>
      <c r="E1045" s="89" t="s">
        <v>4288</v>
      </c>
      <c r="F1045" s="91"/>
    </row>
    <row r="1046" spans="2:6" x14ac:dyDescent="0.25">
      <c r="B1046" s="88">
        <v>19210000</v>
      </c>
      <c r="C1046" s="89" t="s">
        <v>2129</v>
      </c>
      <c r="D1046" s="90">
        <v>19210000</v>
      </c>
      <c r="E1046" s="89" t="s">
        <v>2129</v>
      </c>
      <c r="F1046" s="91"/>
    </row>
    <row r="1047" spans="2:6" ht="30" x14ac:dyDescent="0.25">
      <c r="B1047" s="88">
        <v>19210500</v>
      </c>
      <c r="C1047" s="89" t="s">
        <v>2131</v>
      </c>
      <c r="D1047" s="90" t="s">
        <v>4736</v>
      </c>
      <c r="E1047" s="89"/>
      <c r="F1047" s="91" t="s">
        <v>4885</v>
      </c>
    </row>
    <row r="1048" spans="2:6" ht="30" x14ac:dyDescent="0.25">
      <c r="B1048" s="88">
        <v>19210600</v>
      </c>
      <c r="C1048" s="89" t="s">
        <v>2134</v>
      </c>
      <c r="D1048" s="90">
        <v>19210111</v>
      </c>
      <c r="E1048" s="89" t="s">
        <v>4292</v>
      </c>
      <c r="F1048" s="91"/>
    </row>
    <row r="1049" spans="2:6" ht="30" x14ac:dyDescent="0.25">
      <c r="B1049" s="88">
        <v>19210700</v>
      </c>
      <c r="C1049" s="89" t="s">
        <v>2136</v>
      </c>
      <c r="D1049" s="90">
        <v>19210211</v>
      </c>
      <c r="E1049" s="89" t="s">
        <v>4298</v>
      </c>
      <c r="F1049" s="91"/>
    </row>
    <row r="1050" spans="2:6" x14ac:dyDescent="0.25">
      <c r="B1050" s="88">
        <v>19219900</v>
      </c>
      <c r="C1050" s="89" t="s">
        <v>2138</v>
      </c>
      <c r="D1050" s="90">
        <v>19219911</v>
      </c>
      <c r="E1050" s="89" t="s">
        <v>4307</v>
      </c>
      <c r="F1050" s="91"/>
    </row>
    <row r="1051" spans="2:6" x14ac:dyDescent="0.25">
      <c r="B1051" s="88">
        <v>19220000</v>
      </c>
      <c r="C1051" s="89" t="s">
        <v>2140</v>
      </c>
      <c r="D1051" s="90">
        <v>19220000</v>
      </c>
      <c r="E1051" s="89" t="s">
        <v>2140</v>
      </c>
      <c r="F1051" s="91"/>
    </row>
    <row r="1052" spans="2:6" x14ac:dyDescent="0.25">
      <c r="B1052" s="88">
        <v>19220100</v>
      </c>
      <c r="C1052" s="89" t="s">
        <v>2142</v>
      </c>
      <c r="D1052" s="90">
        <v>19220100</v>
      </c>
      <c r="E1052" s="89" t="s">
        <v>4311</v>
      </c>
      <c r="F1052" s="91"/>
    </row>
    <row r="1053" spans="2:6" x14ac:dyDescent="0.25">
      <c r="B1053" s="88">
        <v>19220110</v>
      </c>
      <c r="C1053" s="89" t="s">
        <v>2145</v>
      </c>
      <c r="D1053" s="90">
        <v>19220111</v>
      </c>
      <c r="E1053" s="89" t="s">
        <v>4315</v>
      </c>
      <c r="F1053" s="91"/>
    </row>
    <row r="1054" spans="2:6" x14ac:dyDescent="0.25">
      <c r="B1054" s="88">
        <v>19220120</v>
      </c>
      <c r="C1054" s="89" t="s">
        <v>2148</v>
      </c>
      <c r="D1054" s="90">
        <v>19220121</v>
      </c>
      <c r="E1054" s="89" t="s">
        <v>4319</v>
      </c>
      <c r="F1054" s="91"/>
    </row>
    <row r="1055" spans="2:6" x14ac:dyDescent="0.25">
      <c r="B1055" s="88">
        <v>19220200</v>
      </c>
      <c r="C1055" s="89" t="s">
        <v>2150</v>
      </c>
      <c r="D1055" s="90">
        <v>19220210</v>
      </c>
      <c r="E1055" s="89" t="s">
        <v>4321</v>
      </c>
      <c r="F1055" s="91"/>
    </row>
    <row r="1056" spans="2:6" ht="30" x14ac:dyDescent="0.25">
      <c r="B1056" s="88">
        <v>19220210</v>
      </c>
      <c r="C1056" s="89" t="s">
        <v>2153</v>
      </c>
      <c r="D1056" s="90">
        <v>19220211</v>
      </c>
      <c r="E1056" s="89" t="s">
        <v>4323</v>
      </c>
      <c r="F1056" s="91"/>
    </row>
    <row r="1057" spans="2:6" ht="30" x14ac:dyDescent="0.25">
      <c r="B1057" s="88">
        <v>19220220</v>
      </c>
      <c r="C1057" s="89" t="s">
        <v>2155</v>
      </c>
      <c r="D1057" s="90">
        <v>19220211</v>
      </c>
      <c r="E1057" s="89" t="s">
        <v>4323</v>
      </c>
      <c r="F1057" s="91"/>
    </row>
    <row r="1058" spans="2:6" ht="30" x14ac:dyDescent="0.25">
      <c r="B1058" s="88">
        <v>19220230</v>
      </c>
      <c r="C1058" s="89" t="s">
        <v>2157</v>
      </c>
      <c r="D1058" s="90">
        <v>19220311</v>
      </c>
      <c r="E1058" s="89" t="s">
        <v>4329</v>
      </c>
      <c r="F1058" s="91"/>
    </row>
    <row r="1059" spans="2:6" ht="30" x14ac:dyDescent="0.25">
      <c r="B1059" s="88">
        <v>19220240</v>
      </c>
      <c r="C1059" s="89" t="s">
        <v>2159</v>
      </c>
      <c r="D1059" s="90">
        <v>19220311</v>
      </c>
      <c r="E1059" s="89" t="s">
        <v>4329</v>
      </c>
      <c r="F1059" s="91"/>
    </row>
    <row r="1060" spans="2:6" ht="30" x14ac:dyDescent="0.25">
      <c r="B1060" s="88">
        <v>19220250</v>
      </c>
      <c r="C1060" s="89" t="s">
        <v>2161</v>
      </c>
      <c r="D1060" s="90">
        <v>19220311</v>
      </c>
      <c r="E1060" s="89" t="s">
        <v>4329</v>
      </c>
      <c r="F1060" s="91"/>
    </row>
    <row r="1061" spans="2:6" ht="30" x14ac:dyDescent="0.25">
      <c r="B1061" s="88">
        <v>19220260</v>
      </c>
      <c r="C1061" s="89" t="s">
        <v>2163</v>
      </c>
      <c r="D1061" s="90">
        <v>19220311</v>
      </c>
      <c r="E1061" s="89" t="s">
        <v>4329</v>
      </c>
      <c r="F1061" s="91"/>
    </row>
    <row r="1062" spans="2:6" ht="30" x14ac:dyDescent="0.25">
      <c r="B1062" s="88">
        <v>19220270</v>
      </c>
      <c r="C1062" s="89" t="s">
        <v>2165</v>
      </c>
      <c r="D1062" s="90">
        <v>19220311</v>
      </c>
      <c r="E1062" s="89" t="s">
        <v>4329</v>
      </c>
      <c r="F1062" s="91"/>
    </row>
    <row r="1063" spans="2:6" ht="30" x14ac:dyDescent="0.25">
      <c r="B1063" s="88">
        <v>19220280</v>
      </c>
      <c r="C1063" s="89" t="s">
        <v>2167</v>
      </c>
      <c r="D1063" s="90">
        <v>19229911</v>
      </c>
      <c r="E1063" s="89" t="s">
        <v>4386</v>
      </c>
      <c r="F1063" s="91"/>
    </row>
    <row r="1064" spans="2:6" x14ac:dyDescent="0.25">
      <c r="B1064" s="88">
        <v>19220290</v>
      </c>
      <c r="C1064" s="89" t="s">
        <v>2169</v>
      </c>
      <c r="D1064" s="90">
        <v>19229911</v>
      </c>
      <c r="E1064" s="89" t="s">
        <v>4386</v>
      </c>
      <c r="F1064" s="91"/>
    </row>
    <row r="1065" spans="2:6" ht="30" x14ac:dyDescent="0.25">
      <c r="B1065" s="88">
        <v>19220291</v>
      </c>
      <c r="C1065" s="89" t="s">
        <v>2171</v>
      </c>
      <c r="D1065" s="90">
        <v>19220311</v>
      </c>
      <c r="E1065" s="89" t="s">
        <v>4329</v>
      </c>
      <c r="F1065" s="91"/>
    </row>
    <row r="1066" spans="2:6" ht="30" x14ac:dyDescent="0.25">
      <c r="B1066" s="88">
        <v>19220292</v>
      </c>
      <c r="C1066" s="89" t="s">
        <v>2173</v>
      </c>
      <c r="D1066" s="90">
        <v>19220411</v>
      </c>
      <c r="E1066" s="89" t="s">
        <v>4334</v>
      </c>
      <c r="F1066" s="91"/>
    </row>
    <row r="1067" spans="2:6" x14ac:dyDescent="0.25">
      <c r="B1067" s="88">
        <v>19220293</v>
      </c>
      <c r="C1067" s="89" t="s">
        <v>2175</v>
      </c>
      <c r="D1067" s="90">
        <v>19220311</v>
      </c>
      <c r="E1067" s="89" t="s">
        <v>4329</v>
      </c>
      <c r="F1067" s="91"/>
    </row>
    <row r="1068" spans="2:6" ht="30" x14ac:dyDescent="0.25">
      <c r="B1068" s="88">
        <v>19220300</v>
      </c>
      <c r="C1068" s="89" t="s">
        <v>2177</v>
      </c>
      <c r="D1068" s="90">
        <v>19220511</v>
      </c>
      <c r="E1068" s="89" t="s">
        <v>4338</v>
      </c>
      <c r="F1068" s="91"/>
    </row>
    <row r="1069" spans="2:6" x14ac:dyDescent="0.25">
      <c r="B1069" s="88">
        <v>19220400</v>
      </c>
      <c r="C1069" s="89" t="s">
        <v>2179</v>
      </c>
      <c r="D1069" s="90">
        <v>19229911</v>
      </c>
      <c r="E1069" s="89" t="s">
        <v>4386</v>
      </c>
      <c r="F1069" s="91"/>
    </row>
    <row r="1070" spans="2:6" ht="30" x14ac:dyDescent="0.25">
      <c r="B1070" s="88">
        <v>19220500</v>
      </c>
      <c r="C1070" s="89" t="s">
        <v>2181</v>
      </c>
      <c r="D1070" s="90">
        <v>19230111</v>
      </c>
      <c r="E1070" s="89" t="s">
        <v>4394</v>
      </c>
      <c r="F1070" s="91"/>
    </row>
    <row r="1071" spans="2:6" ht="30" x14ac:dyDescent="0.25">
      <c r="B1071" s="88">
        <v>19220600</v>
      </c>
      <c r="C1071" s="89" t="s">
        <v>2183</v>
      </c>
      <c r="D1071" s="90">
        <v>19230211</v>
      </c>
      <c r="E1071" s="89" t="s">
        <v>4401</v>
      </c>
      <c r="F1071" s="91"/>
    </row>
    <row r="1072" spans="2:6" ht="30" x14ac:dyDescent="0.25">
      <c r="B1072" s="88">
        <v>19220700</v>
      </c>
      <c r="C1072" s="89" t="s">
        <v>2185</v>
      </c>
      <c r="D1072" s="90">
        <v>19220611</v>
      </c>
      <c r="E1072" s="89" t="s">
        <v>4344</v>
      </c>
      <c r="F1072" s="91"/>
    </row>
    <row r="1073" spans="2:6" ht="30" x14ac:dyDescent="0.25">
      <c r="B1073" s="88">
        <v>19220800</v>
      </c>
      <c r="C1073" s="89" t="s">
        <v>2187</v>
      </c>
      <c r="D1073" s="90">
        <v>19230211</v>
      </c>
      <c r="E1073" s="89" t="s">
        <v>4401</v>
      </c>
      <c r="F1073" s="91"/>
    </row>
    <row r="1074" spans="2:6" ht="30" x14ac:dyDescent="0.25">
      <c r="B1074" s="88">
        <v>19220900</v>
      </c>
      <c r="C1074" s="89" t="s">
        <v>2189</v>
      </c>
      <c r="D1074" s="90">
        <v>19230211</v>
      </c>
      <c r="E1074" s="89" t="s">
        <v>4401</v>
      </c>
      <c r="F1074" s="91"/>
    </row>
    <row r="1075" spans="2:6" ht="45" x14ac:dyDescent="0.25">
      <c r="B1075" s="88">
        <v>19221000</v>
      </c>
      <c r="C1075" s="89" t="s">
        <v>2191</v>
      </c>
      <c r="D1075" s="90">
        <v>19900311</v>
      </c>
      <c r="E1075" s="89" t="s">
        <v>4471</v>
      </c>
      <c r="F1075" s="91"/>
    </row>
    <row r="1076" spans="2:6" ht="45" x14ac:dyDescent="0.25">
      <c r="B1076" s="88">
        <v>19221001</v>
      </c>
      <c r="C1076" s="89" t="s">
        <v>2193</v>
      </c>
      <c r="D1076" s="90">
        <v>19900311</v>
      </c>
      <c r="E1076" s="89" t="s">
        <v>4471</v>
      </c>
      <c r="F1076" s="91"/>
    </row>
    <row r="1077" spans="2:6" ht="45" x14ac:dyDescent="0.25">
      <c r="B1077" s="88">
        <v>19221002</v>
      </c>
      <c r="C1077" s="89" t="s">
        <v>2195</v>
      </c>
      <c r="D1077" s="90">
        <v>19900311</v>
      </c>
      <c r="E1077" s="89" t="s">
        <v>4471</v>
      </c>
      <c r="F1077" s="91"/>
    </row>
    <row r="1078" spans="2:6" ht="30" x14ac:dyDescent="0.25">
      <c r="B1078" s="88">
        <v>19221100</v>
      </c>
      <c r="C1078" s="89" t="s">
        <v>2197</v>
      </c>
      <c r="D1078" s="90">
        <v>19220711</v>
      </c>
      <c r="E1078" s="89" t="s">
        <v>4349</v>
      </c>
      <c r="F1078" s="91"/>
    </row>
    <row r="1079" spans="2:6" x14ac:dyDescent="0.25">
      <c r="B1079" s="88">
        <v>19222000</v>
      </c>
      <c r="C1079" s="89" t="s">
        <v>2199</v>
      </c>
      <c r="D1079" s="90">
        <v>19220811</v>
      </c>
      <c r="E1079" s="89" t="s">
        <v>4353</v>
      </c>
      <c r="F1079" s="91"/>
    </row>
    <row r="1080" spans="2:6" ht="30" x14ac:dyDescent="0.25">
      <c r="B1080" s="88">
        <v>19222100</v>
      </c>
      <c r="C1080" s="89" t="s">
        <v>2201</v>
      </c>
      <c r="D1080" s="90">
        <v>19239911</v>
      </c>
      <c r="E1080" s="89" t="s">
        <v>4416</v>
      </c>
      <c r="F1080" s="91"/>
    </row>
    <row r="1081" spans="2:6" ht="30" x14ac:dyDescent="0.25">
      <c r="B1081" s="88">
        <v>19222200</v>
      </c>
      <c r="C1081" s="89" t="s">
        <v>2203</v>
      </c>
      <c r="D1081" s="90">
        <v>19230411</v>
      </c>
      <c r="E1081" s="89" t="s">
        <v>4411</v>
      </c>
      <c r="F1081" s="91"/>
    </row>
    <row r="1082" spans="2:6" x14ac:dyDescent="0.25">
      <c r="B1082" s="88">
        <v>19222300</v>
      </c>
      <c r="C1082" s="89" t="s">
        <v>2205</v>
      </c>
      <c r="D1082" s="90">
        <v>19220911</v>
      </c>
      <c r="E1082" s="89" t="s">
        <v>4357</v>
      </c>
      <c r="F1082" s="91"/>
    </row>
    <row r="1083" spans="2:6" x14ac:dyDescent="0.25">
      <c r="B1083" s="88">
        <v>19222400</v>
      </c>
      <c r="C1083" s="89" t="s">
        <v>2207</v>
      </c>
      <c r="D1083" s="90">
        <v>19229911</v>
      </c>
      <c r="E1083" s="89" t="s">
        <v>4386</v>
      </c>
      <c r="F1083" s="91"/>
    </row>
    <row r="1084" spans="2:6" ht="30" x14ac:dyDescent="0.25">
      <c r="B1084" s="88">
        <v>19223000</v>
      </c>
      <c r="C1084" s="89" t="s">
        <v>2210</v>
      </c>
      <c r="D1084" s="90">
        <v>19229911</v>
      </c>
      <c r="E1084" s="89" t="s">
        <v>4386</v>
      </c>
      <c r="F1084" s="91"/>
    </row>
    <row r="1085" spans="2:6" x14ac:dyDescent="0.25">
      <c r="B1085" s="88">
        <v>19229900</v>
      </c>
      <c r="C1085" s="89" t="s">
        <v>2212</v>
      </c>
      <c r="D1085" s="90">
        <v>19229911</v>
      </c>
      <c r="E1085" s="89" t="s">
        <v>4386</v>
      </c>
      <c r="F1085" s="91"/>
    </row>
    <row r="1086" spans="2:6" ht="30" x14ac:dyDescent="0.25">
      <c r="B1086" s="88">
        <v>19230100</v>
      </c>
      <c r="C1086" s="89" t="s">
        <v>2214</v>
      </c>
      <c r="D1086" s="90">
        <v>19909911</v>
      </c>
      <c r="E1086" s="89" t="s">
        <v>4535</v>
      </c>
      <c r="F1086" s="91"/>
    </row>
    <row r="1087" spans="2:6" x14ac:dyDescent="0.25">
      <c r="B1087" s="88">
        <v>19300000</v>
      </c>
      <c r="C1087" s="89" t="s">
        <v>2216</v>
      </c>
      <c r="D1087" s="90" t="s">
        <v>4736</v>
      </c>
      <c r="E1087" s="89"/>
      <c r="F1087" s="91" t="s">
        <v>4885</v>
      </c>
    </row>
    <row r="1088" spans="2:6" x14ac:dyDescent="0.25">
      <c r="B1088" s="88">
        <v>19310000</v>
      </c>
      <c r="C1088" s="89" t="s">
        <v>2218</v>
      </c>
      <c r="D1088" s="90" t="s">
        <v>4736</v>
      </c>
      <c r="E1088" s="89"/>
      <c r="F1088" s="91" t="s">
        <v>4885</v>
      </c>
    </row>
    <row r="1089" spans="2:6" ht="30" x14ac:dyDescent="0.25">
      <c r="B1089" s="88">
        <v>19310100</v>
      </c>
      <c r="C1089" s="89" t="s">
        <v>2220</v>
      </c>
      <c r="D1089" s="90" t="s">
        <v>4736</v>
      </c>
      <c r="E1089" s="89"/>
      <c r="F1089" s="91" t="s">
        <v>4885</v>
      </c>
    </row>
    <row r="1090" spans="2:6" ht="30" x14ac:dyDescent="0.25">
      <c r="B1090" s="88">
        <v>19310101</v>
      </c>
      <c r="C1090" s="89" t="s">
        <v>2222</v>
      </c>
      <c r="D1090" s="90">
        <v>11130113</v>
      </c>
      <c r="E1090" s="89" t="s">
        <v>2928</v>
      </c>
      <c r="F1090" s="91"/>
    </row>
    <row r="1091" spans="2:6" ht="30" x14ac:dyDescent="0.25">
      <c r="B1091" s="88">
        <v>19310102</v>
      </c>
      <c r="C1091" s="89" t="s">
        <v>2224</v>
      </c>
      <c r="D1091" s="90">
        <v>11130213</v>
      </c>
      <c r="E1091" s="89" t="s">
        <v>2936</v>
      </c>
      <c r="F1091" s="91"/>
    </row>
    <row r="1092" spans="2:6" ht="30" x14ac:dyDescent="0.25">
      <c r="B1092" s="88">
        <v>19310103</v>
      </c>
      <c r="C1092" s="89" t="s">
        <v>2226</v>
      </c>
      <c r="D1092" s="90">
        <v>11130313</v>
      </c>
      <c r="E1092" s="89" t="s">
        <v>2946</v>
      </c>
      <c r="F1092" s="91"/>
    </row>
    <row r="1093" spans="2:6" ht="30" x14ac:dyDescent="0.25">
      <c r="B1093" s="88">
        <v>19310104</v>
      </c>
      <c r="C1093" s="89" t="s">
        <v>2228</v>
      </c>
      <c r="D1093" s="90">
        <v>11130213</v>
      </c>
      <c r="E1093" s="89" t="s">
        <v>2936</v>
      </c>
      <c r="F1093" s="91"/>
    </row>
    <row r="1094" spans="2:6" ht="30" x14ac:dyDescent="0.25">
      <c r="B1094" s="88">
        <v>19310105</v>
      </c>
      <c r="C1094" s="89" t="s">
        <v>2230</v>
      </c>
      <c r="D1094" s="90">
        <v>11130313</v>
      </c>
      <c r="E1094" s="89" t="s">
        <v>2946</v>
      </c>
      <c r="F1094" s="91"/>
    </row>
    <row r="1095" spans="2:6" ht="30" x14ac:dyDescent="0.25">
      <c r="B1095" s="88">
        <v>19310106</v>
      </c>
      <c r="C1095" s="89" t="s">
        <v>2232</v>
      </c>
      <c r="D1095" s="90">
        <v>11130113</v>
      </c>
      <c r="E1095" s="89" t="s">
        <v>2928</v>
      </c>
      <c r="F1095" s="91"/>
    </row>
    <row r="1096" spans="2:6" ht="30" x14ac:dyDescent="0.25">
      <c r="B1096" s="88">
        <v>19310107</v>
      </c>
      <c r="C1096" s="89" t="s">
        <v>2234</v>
      </c>
      <c r="D1096" s="90">
        <v>11130213</v>
      </c>
      <c r="E1096" s="89" t="s">
        <v>2936</v>
      </c>
      <c r="F1096" s="91"/>
    </row>
    <row r="1097" spans="2:6" ht="30" x14ac:dyDescent="0.25">
      <c r="B1097" s="88">
        <v>19310200</v>
      </c>
      <c r="C1097" s="89" t="s">
        <v>2236</v>
      </c>
      <c r="D1097" s="90">
        <v>11140153</v>
      </c>
      <c r="E1097" s="89" t="s">
        <v>3006</v>
      </c>
      <c r="F1097" s="91"/>
    </row>
    <row r="1098" spans="2:6" ht="30" x14ac:dyDescent="0.25">
      <c r="B1098" s="88">
        <v>19310201</v>
      </c>
      <c r="C1098" s="89" t="s">
        <v>2238</v>
      </c>
      <c r="D1098" s="90">
        <v>11140153</v>
      </c>
      <c r="E1098" s="89" t="s">
        <v>3006</v>
      </c>
      <c r="F1098" s="91"/>
    </row>
    <row r="1099" spans="2:6" ht="30" x14ac:dyDescent="0.25">
      <c r="B1099" s="88">
        <v>19310202</v>
      </c>
      <c r="C1099" s="89" t="s">
        <v>2240</v>
      </c>
      <c r="D1099" s="90">
        <v>11140153</v>
      </c>
      <c r="E1099" s="89" t="s">
        <v>3006</v>
      </c>
      <c r="F1099" s="91"/>
    </row>
    <row r="1100" spans="2:6" ht="30" x14ac:dyDescent="0.25">
      <c r="B1100" s="88">
        <v>19310203</v>
      </c>
      <c r="C1100" s="89" t="s">
        <v>2242</v>
      </c>
      <c r="D1100" s="90">
        <v>11140153</v>
      </c>
      <c r="E1100" s="89" t="s">
        <v>3006</v>
      </c>
      <c r="F1100" s="91"/>
    </row>
    <row r="1101" spans="2:6" ht="45" x14ac:dyDescent="0.25">
      <c r="B1101" s="88">
        <v>19310300</v>
      </c>
      <c r="C1101" s="89" t="s">
        <v>2244</v>
      </c>
      <c r="D1101" s="90">
        <v>11150123</v>
      </c>
      <c r="E1101" s="89" t="s">
        <v>3027</v>
      </c>
      <c r="F1101" s="91"/>
    </row>
    <row r="1102" spans="2:6" ht="45" x14ac:dyDescent="0.25">
      <c r="B1102" s="88">
        <v>19310301</v>
      </c>
      <c r="C1102" s="89" t="s">
        <v>2246</v>
      </c>
      <c r="D1102" s="90">
        <v>11150123</v>
      </c>
      <c r="E1102" s="89" t="s">
        <v>3027</v>
      </c>
      <c r="F1102" s="91"/>
    </row>
    <row r="1103" spans="2:6" ht="45" x14ac:dyDescent="0.25">
      <c r="B1103" s="88">
        <v>19310302</v>
      </c>
      <c r="C1103" s="89" t="s">
        <v>2248</v>
      </c>
      <c r="D1103" s="90">
        <v>11150123</v>
      </c>
      <c r="E1103" s="89" t="s">
        <v>3027</v>
      </c>
      <c r="F1103" s="91"/>
    </row>
    <row r="1104" spans="2:6" ht="30" x14ac:dyDescent="0.25">
      <c r="B1104" s="88">
        <v>19310400</v>
      </c>
      <c r="C1104" s="89" t="s">
        <v>2250</v>
      </c>
      <c r="D1104" s="90" t="s">
        <v>4736</v>
      </c>
      <c r="E1104" s="89"/>
      <c r="F1104" s="91" t="s">
        <v>4885</v>
      </c>
    </row>
    <row r="1105" spans="2:6" ht="30" x14ac:dyDescent="0.25">
      <c r="B1105" s="88">
        <v>19310401</v>
      </c>
      <c r="C1105" s="89" t="s">
        <v>2252</v>
      </c>
      <c r="D1105" s="90">
        <v>11120113</v>
      </c>
      <c r="E1105" s="89" t="s">
        <v>2910</v>
      </c>
      <c r="F1105" s="91"/>
    </row>
    <row r="1106" spans="2:6" ht="30" x14ac:dyDescent="0.25">
      <c r="B1106" s="88">
        <v>19310402</v>
      </c>
      <c r="C1106" s="89" t="s">
        <v>2254</v>
      </c>
      <c r="D1106" s="90">
        <v>11120123</v>
      </c>
      <c r="E1106" s="89" t="s">
        <v>2917</v>
      </c>
      <c r="F1106" s="91"/>
    </row>
    <row r="1107" spans="2:6" x14ac:dyDescent="0.25">
      <c r="B1107" s="88">
        <v>19310500</v>
      </c>
      <c r="C1107" s="89" t="s">
        <v>2256</v>
      </c>
      <c r="D1107" s="90">
        <v>11110113</v>
      </c>
      <c r="E1107" s="89" t="s">
        <v>2893</v>
      </c>
      <c r="F1107" s="91"/>
    </row>
    <row r="1108" spans="2:6" ht="30" x14ac:dyDescent="0.25">
      <c r="B1108" s="88">
        <v>19310501</v>
      </c>
      <c r="C1108" s="89" t="s">
        <v>2258</v>
      </c>
      <c r="D1108" s="90">
        <v>11110113</v>
      </c>
      <c r="E1108" s="89" t="s">
        <v>2893</v>
      </c>
      <c r="F1108" s="91"/>
    </row>
    <row r="1109" spans="2:6" ht="30" x14ac:dyDescent="0.25">
      <c r="B1109" s="88">
        <v>19310502</v>
      </c>
      <c r="C1109" s="89" t="s">
        <v>2260</v>
      </c>
      <c r="D1109" s="90">
        <v>11110113</v>
      </c>
      <c r="E1109" s="89" t="s">
        <v>2893</v>
      </c>
      <c r="F1109" s="91"/>
    </row>
    <row r="1110" spans="2:6" x14ac:dyDescent="0.25">
      <c r="B1110" s="88">
        <v>19310600</v>
      </c>
      <c r="C1110" s="89" t="s">
        <v>2262</v>
      </c>
      <c r="D1110" s="90">
        <v>11110213</v>
      </c>
      <c r="E1110" s="89" t="s">
        <v>2900</v>
      </c>
      <c r="F1110" s="91"/>
    </row>
    <row r="1111" spans="2:6" ht="30" x14ac:dyDescent="0.25">
      <c r="B1111" s="88">
        <v>19310601</v>
      </c>
      <c r="C1111" s="89" t="s">
        <v>2264</v>
      </c>
      <c r="D1111" s="90">
        <v>11110213</v>
      </c>
      <c r="E1111" s="89" t="s">
        <v>2900</v>
      </c>
      <c r="F1111" s="91"/>
    </row>
    <row r="1112" spans="2:6" ht="30" x14ac:dyDescent="0.25">
      <c r="B1112" s="88">
        <v>19310602</v>
      </c>
      <c r="C1112" s="89" t="s">
        <v>2266</v>
      </c>
      <c r="D1112" s="90">
        <v>11110213</v>
      </c>
      <c r="E1112" s="89" t="s">
        <v>2900</v>
      </c>
      <c r="F1112" s="91"/>
    </row>
    <row r="1113" spans="2:6" x14ac:dyDescent="0.25">
      <c r="B1113" s="88">
        <v>19310700</v>
      </c>
      <c r="C1113" s="89" t="s">
        <v>2268</v>
      </c>
      <c r="D1113" s="90">
        <v>11220113</v>
      </c>
      <c r="E1113" s="89" t="s">
        <v>3097</v>
      </c>
      <c r="F1113" s="91"/>
    </row>
    <row r="1114" spans="2:6" ht="30" x14ac:dyDescent="0.25">
      <c r="B1114" s="88">
        <v>19310800</v>
      </c>
      <c r="C1114" s="89" t="s">
        <v>2270</v>
      </c>
      <c r="D1114" s="90" t="s">
        <v>4736</v>
      </c>
      <c r="E1114" s="89"/>
      <c r="F1114" s="91" t="s">
        <v>4885</v>
      </c>
    </row>
    <row r="1115" spans="2:6" ht="30" x14ac:dyDescent="0.25">
      <c r="B1115" s="88">
        <v>19310801</v>
      </c>
      <c r="C1115" s="89" t="s">
        <v>2272</v>
      </c>
      <c r="D1115" s="90">
        <v>11210213</v>
      </c>
      <c r="E1115" s="89" t="s">
        <v>3058</v>
      </c>
      <c r="F1115" s="91"/>
    </row>
    <row r="1116" spans="2:6" ht="30" x14ac:dyDescent="0.25">
      <c r="B1116" s="88">
        <v>19310802</v>
      </c>
      <c r="C1116" s="89" t="s">
        <v>2274</v>
      </c>
      <c r="D1116" s="90">
        <v>11210223</v>
      </c>
      <c r="E1116" s="89" t="s">
        <v>3065</v>
      </c>
      <c r="F1116" s="91"/>
    </row>
    <row r="1117" spans="2:6" ht="30" x14ac:dyDescent="0.25">
      <c r="B1117" s="88">
        <v>19310900</v>
      </c>
      <c r="C1117" s="89" t="s">
        <v>2276</v>
      </c>
      <c r="D1117" s="90">
        <v>11210113</v>
      </c>
      <c r="E1117" s="89" t="s">
        <v>3047</v>
      </c>
      <c r="F1117" s="91"/>
    </row>
    <row r="1118" spans="2:6" ht="30" x14ac:dyDescent="0.25">
      <c r="B1118" s="88">
        <v>19311100</v>
      </c>
      <c r="C1118" s="89" t="s">
        <v>2278</v>
      </c>
      <c r="D1118" s="90">
        <v>11180113</v>
      </c>
      <c r="E1118" s="89" t="s">
        <v>4741</v>
      </c>
      <c r="F1118" s="91"/>
    </row>
    <row r="1119" spans="2:6" ht="30" x14ac:dyDescent="0.25">
      <c r="B1119" s="88">
        <v>19311200</v>
      </c>
      <c r="C1119" s="89" t="s">
        <v>2280</v>
      </c>
      <c r="D1119" s="90">
        <v>11180143</v>
      </c>
      <c r="E1119" s="89" t="s">
        <v>4753</v>
      </c>
      <c r="F1119" s="91"/>
    </row>
    <row r="1120" spans="2:6" ht="30" x14ac:dyDescent="0.25">
      <c r="B1120" s="88">
        <v>19311300</v>
      </c>
      <c r="C1120" s="89" t="s">
        <v>2282</v>
      </c>
      <c r="D1120" s="90">
        <v>11180233</v>
      </c>
      <c r="E1120" s="89" t="s">
        <v>4766</v>
      </c>
      <c r="F1120" s="91"/>
    </row>
    <row r="1121" spans="2:6" ht="30" x14ac:dyDescent="0.25">
      <c r="B1121" s="88">
        <v>19311400</v>
      </c>
      <c r="C1121" s="89" t="s">
        <v>2284</v>
      </c>
      <c r="D1121" s="90">
        <v>11180123</v>
      </c>
      <c r="E1121" s="89" t="s">
        <v>4745</v>
      </c>
      <c r="F1121" s="91"/>
    </row>
    <row r="1122" spans="2:6" ht="60" x14ac:dyDescent="0.25">
      <c r="B1122" s="88">
        <v>19311500</v>
      </c>
      <c r="C1122" s="89" t="s">
        <v>2286</v>
      </c>
      <c r="D1122" s="90">
        <v>11180213</v>
      </c>
      <c r="E1122" s="89" t="s">
        <v>4761</v>
      </c>
      <c r="F1122" s="91"/>
    </row>
    <row r="1123" spans="2:6" ht="30" x14ac:dyDescent="0.25">
      <c r="B1123" s="88">
        <v>19312000</v>
      </c>
      <c r="C1123" s="89" t="s">
        <v>2288</v>
      </c>
      <c r="D1123" s="90">
        <v>11180133</v>
      </c>
      <c r="E1123" s="89" t="s">
        <v>4749</v>
      </c>
      <c r="F1123" s="91"/>
    </row>
    <row r="1124" spans="2:6" ht="30" x14ac:dyDescent="0.25">
      <c r="B1124" s="88">
        <v>19313500</v>
      </c>
      <c r="C1124" s="89" t="s">
        <v>2290</v>
      </c>
      <c r="D1124" s="90">
        <v>11210113</v>
      </c>
      <c r="E1124" s="89" t="s">
        <v>3047</v>
      </c>
      <c r="F1124" s="91"/>
    </row>
    <row r="1125" spans="2:6" x14ac:dyDescent="0.25">
      <c r="B1125" s="88">
        <v>19313600</v>
      </c>
      <c r="C1125" s="89" t="s">
        <v>2292</v>
      </c>
      <c r="D1125" s="90">
        <v>11210113</v>
      </c>
      <c r="E1125" s="89" t="s">
        <v>3047</v>
      </c>
      <c r="F1125" s="91"/>
    </row>
    <row r="1126" spans="2:6" x14ac:dyDescent="0.25">
      <c r="B1126" s="88">
        <v>19319800</v>
      </c>
      <c r="C1126" s="89" t="s">
        <v>2294</v>
      </c>
      <c r="D1126" s="90">
        <v>11300013</v>
      </c>
      <c r="E1126" s="89" t="s">
        <v>4771</v>
      </c>
      <c r="F1126" s="91"/>
    </row>
    <row r="1127" spans="2:6" x14ac:dyDescent="0.25">
      <c r="B1127" s="88">
        <v>19319900</v>
      </c>
      <c r="C1127" s="89" t="s">
        <v>2296</v>
      </c>
      <c r="D1127" s="90" t="s">
        <v>4736</v>
      </c>
      <c r="E1127" s="89"/>
      <c r="F1127" s="91" t="s">
        <v>4885</v>
      </c>
    </row>
    <row r="1128" spans="2:6" x14ac:dyDescent="0.25">
      <c r="B1128" s="88">
        <v>19319901</v>
      </c>
      <c r="C1128" s="89" t="s">
        <v>2298</v>
      </c>
      <c r="D1128" s="90" t="s">
        <v>4736</v>
      </c>
      <c r="E1128" s="89"/>
      <c r="F1128" s="91" t="s">
        <v>4885</v>
      </c>
    </row>
    <row r="1129" spans="2:6" ht="30" x14ac:dyDescent="0.25">
      <c r="B1129" s="88">
        <v>19319902</v>
      </c>
      <c r="C1129" s="89" t="s">
        <v>2300</v>
      </c>
      <c r="D1129" s="90" t="s">
        <v>4736</v>
      </c>
      <c r="E1129" s="89"/>
      <c r="F1129" s="91" t="s">
        <v>4885</v>
      </c>
    </row>
    <row r="1130" spans="2:6" x14ac:dyDescent="0.25">
      <c r="B1130" s="88">
        <v>19320000</v>
      </c>
      <c r="C1130" s="89" t="s">
        <v>2302</v>
      </c>
      <c r="D1130" s="90" t="s">
        <v>4736</v>
      </c>
      <c r="E1130" s="89"/>
      <c r="F1130" s="91" t="s">
        <v>4885</v>
      </c>
    </row>
    <row r="1131" spans="2:6" ht="30" x14ac:dyDescent="0.25">
      <c r="B1131" s="88">
        <v>19320100</v>
      </c>
      <c r="C1131" s="89" t="s">
        <v>2304</v>
      </c>
      <c r="D1131" s="90" t="s">
        <v>4736</v>
      </c>
      <c r="E1131" s="89"/>
      <c r="F1131" s="91" t="s">
        <v>4885</v>
      </c>
    </row>
    <row r="1132" spans="2:6" ht="30" x14ac:dyDescent="0.25">
      <c r="B1132" s="88">
        <v>19320101</v>
      </c>
      <c r="C1132" s="89" t="s">
        <v>2306</v>
      </c>
      <c r="D1132" s="90">
        <v>12100313</v>
      </c>
      <c r="E1132" s="89" t="s">
        <v>3133</v>
      </c>
      <c r="F1132" s="91"/>
    </row>
    <row r="1133" spans="2:6" ht="30" x14ac:dyDescent="0.25">
      <c r="B1133" s="88">
        <v>19320102</v>
      </c>
      <c r="C1133" s="89" t="s">
        <v>2308</v>
      </c>
      <c r="D1133" s="90">
        <v>12100313</v>
      </c>
      <c r="E1133" s="89" t="s">
        <v>3133</v>
      </c>
      <c r="F1133" s="91"/>
    </row>
    <row r="1134" spans="2:6" ht="30" x14ac:dyDescent="0.25">
      <c r="B1134" s="88">
        <v>19320103</v>
      </c>
      <c r="C1134" s="89" t="s">
        <v>2310</v>
      </c>
      <c r="D1134" s="90">
        <v>12100313</v>
      </c>
      <c r="E1134" s="89" t="s">
        <v>3133</v>
      </c>
      <c r="F1134" s="91"/>
    </row>
    <row r="1135" spans="2:6" ht="30" x14ac:dyDescent="0.25">
      <c r="B1135" s="88">
        <v>19320104</v>
      </c>
      <c r="C1135" s="89" t="s">
        <v>2312</v>
      </c>
      <c r="D1135" s="90">
        <v>12100313</v>
      </c>
      <c r="E1135" s="89" t="s">
        <v>3133</v>
      </c>
      <c r="F1135" s="91"/>
    </row>
    <row r="1136" spans="2:6" ht="30" x14ac:dyDescent="0.25">
      <c r="B1136" s="88">
        <v>19320105</v>
      </c>
      <c r="C1136" s="89" t="s">
        <v>2314</v>
      </c>
      <c r="D1136" s="90">
        <v>12100313</v>
      </c>
      <c r="E1136" s="89" t="s">
        <v>3133</v>
      </c>
      <c r="F1136" s="91"/>
    </row>
    <row r="1137" spans="2:6" ht="30" x14ac:dyDescent="0.25">
      <c r="B1137" s="88">
        <v>19320106</v>
      </c>
      <c r="C1137" s="89" t="s">
        <v>2316</v>
      </c>
      <c r="D1137" s="90">
        <v>12100313</v>
      </c>
      <c r="E1137" s="89" t="s">
        <v>3133</v>
      </c>
      <c r="F1137" s="91"/>
    </row>
    <row r="1138" spans="2:6" ht="30" x14ac:dyDescent="0.25">
      <c r="B1138" s="88">
        <v>19320107</v>
      </c>
      <c r="C1138" s="89" t="s">
        <v>2318</v>
      </c>
      <c r="D1138" s="90">
        <v>12100313</v>
      </c>
      <c r="E1138" s="89" t="s">
        <v>3133</v>
      </c>
      <c r="F1138" s="91"/>
    </row>
    <row r="1139" spans="2:6" ht="30" x14ac:dyDescent="0.25">
      <c r="B1139" s="88">
        <v>19320108</v>
      </c>
      <c r="C1139" s="89" t="s">
        <v>2320</v>
      </c>
      <c r="D1139" s="90">
        <v>12100313</v>
      </c>
      <c r="E1139" s="89" t="s">
        <v>3133</v>
      </c>
      <c r="F1139" s="91"/>
    </row>
    <row r="1140" spans="2:6" ht="30" x14ac:dyDescent="0.25">
      <c r="B1140" s="88">
        <v>19320109</v>
      </c>
      <c r="C1140" s="89" t="s">
        <v>2322</v>
      </c>
      <c r="D1140" s="90">
        <v>12100313</v>
      </c>
      <c r="E1140" s="89" t="s">
        <v>3133</v>
      </c>
      <c r="F1140" s="91"/>
    </row>
    <row r="1141" spans="2:6" ht="45" x14ac:dyDescent="0.25">
      <c r="B1141" s="88">
        <v>19320110</v>
      </c>
      <c r="C1141" s="89" t="s">
        <v>2324</v>
      </c>
      <c r="D1141" s="90">
        <v>12100313</v>
      </c>
      <c r="E1141" s="89" t="s">
        <v>3133</v>
      </c>
      <c r="F1141" s="91"/>
    </row>
    <row r="1142" spans="2:6" ht="30" x14ac:dyDescent="0.25">
      <c r="B1142" s="88">
        <v>19320111</v>
      </c>
      <c r="C1142" s="89" t="s">
        <v>2326</v>
      </c>
      <c r="D1142" s="90">
        <v>12100313</v>
      </c>
      <c r="E1142" s="89" t="s">
        <v>3133</v>
      </c>
      <c r="F1142" s="91"/>
    </row>
    <row r="1143" spans="2:6" ht="30" x14ac:dyDescent="0.25">
      <c r="B1143" s="88">
        <v>19320112</v>
      </c>
      <c r="C1143" s="89" t="s">
        <v>2328</v>
      </c>
      <c r="D1143" s="90">
        <v>12100313</v>
      </c>
      <c r="E1143" s="89" t="s">
        <v>3133</v>
      </c>
      <c r="F1143" s="91"/>
    </row>
    <row r="1144" spans="2:6" ht="30" x14ac:dyDescent="0.25">
      <c r="B1144" s="88">
        <v>19320113</v>
      </c>
      <c r="C1144" s="89" t="s">
        <v>2330</v>
      </c>
      <c r="D1144" s="90">
        <v>12100313</v>
      </c>
      <c r="E1144" s="89" t="s">
        <v>3133</v>
      </c>
      <c r="F1144" s="91"/>
    </row>
    <row r="1145" spans="2:6" ht="30" x14ac:dyDescent="0.25">
      <c r="B1145" s="88">
        <v>19320114</v>
      </c>
      <c r="C1145" s="89" t="s">
        <v>2332</v>
      </c>
      <c r="D1145" s="90">
        <v>12100313</v>
      </c>
      <c r="E1145" s="89" t="s">
        <v>3133</v>
      </c>
      <c r="F1145" s="91"/>
    </row>
    <row r="1146" spans="2:6" ht="30" x14ac:dyDescent="0.25">
      <c r="B1146" s="88">
        <v>19320115</v>
      </c>
      <c r="C1146" s="89" t="s">
        <v>2334</v>
      </c>
      <c r="D1146" s="90">
        <v>12100313</v>
      </c>
      <c r="E1146" s="89" t="s">
        <v>3133</v>
      </c>
      <c r="F1146" s="91"/>
    </row>
    <row r="1147" spans="2:6" ht="30" x14ac:dyDescent="0.25">
      <c r="B1147" s="88">
        <v>19320116</v>
      </c>
      <c r="C1147" s="89" t="s">
        <v>2336</v>
      </c>
      <c r="D1147" s="90">
        <v>12100313</v>
      </c>
      <c r="E1147" s="89" t="s">
        <v>3133</v>
      </c>
      <c r="F1147" s="91"/>
    </row>
    <row r="1148" spans="2:6" ht="30" x14ac:dyDescent="0.25">
      <c r="B1148" s="88">
        <v>19320117</v>
      </c>
      <c r="C1148" s="89" t="s">
        <v>2338</v>
      </c>
      <c r="D1148" s="90">
        <v>12100313</v>
      </c>
      <c r="E1148" s="89" t="s">
        <v>3133</v>
      </c>
      <c r="F1148" s="91"/>
    </row>
    <row r="1149" spans="2:6" ht="30" x14ac:dyDescent="0.25">
      <c r="B1149" s="88">
        <v>19320118</v>
      </c>
      <c r="C1149" s="89" t="s">
        <v>2340</v>
      </c>
      <c r="D1149" s="90">
        <v>12100313</v>
      </c>
      <c r="E1149" s="89" t="s">
        <v>3133</v>
      </c>
      <c r="F1149" s="91"/>
    </row>
    <row r="1150" spans="2:6" ht="30" x14ac:dyDescent="0.25">
      <c r="B1150" s="88">
        <v>19320119</v>
      </c>
      <c r="C1150" s="89" t="s">
        <v>2342</v>
      </c>
      <c r="D1150" s="90" t="s">
        <v>4736</v>
      </c>
      <c r="E1150" s="89"/>
      <c r="F1150" s="91" t="s">
        <v>4885</v>
      </c>
    </row>
    <row r="1151" spans="2:6" ht="30" x14ac:dyDescent="0.25">
      <c r="B1151" s="88">
        <v>19320120</v>
      </c>
      <c r="C1151" s="89" t="s">
        <v>2344</v>
      </c>
      <c r="D1151" s="90" t="s">
        <v>4736</v>
      </c>
      <c r="E1151" s="89"/>
      <c r="F1151" s="91" t="s">
        <v>4885</v>
      </c>
    </row>
    <row r="1152" spans="2:6" ht="30" x14ac:dyDescent="0.25">
      <c r="B1152" s="88">
        <v>19320121</v>
      </c>
      <c r="C1152" s="89" t="s">
        <v>2346</v>
      </c>
      <c r="D1152" s="90">
        <v>12100313</v>
      </c>
      <c r="E1152" s="89" t="s">
        <v>3133</v>
      </c>
      <c r="F1152" s="91"/>
    </row>
    <row r="1153" spans="2:6" ht="30" x14ac:dyDescent="0.25">
      <c r="B1153" s="88">
        <v>19320122</v>
      </c>
      <c r="C1153" s="89" t="s">
        <v>2348</v>
      </c>
      <c r="D1153" s="90">
        <v>12100313</v>
      </c>
      <c r="E1153" s="89" t="s">
        <v>3133</v>
      </c>
      <c r="F1153" s="91"/>
    </row>
    <row r="1154" spans="2:6" ht="30" x14ac:dyDescent="0.25">
      <c r="B1154" s="88">
        <v>19320124</v>
      </c>
      <c r="C1154" s="89" t="s">
        <v>2350</v>
      </c>
      <c r="D1154" s="90">
        <v>12100313</v>
      </c>
      <c r="E1154" s="89" t="s">
        <v>3133</v>
      </c>
      <c r="F1154" s="91"/>
    </row>
    <row r="1155" spans="2:6" ht="30" x14ac:dyDescent="0.25">
      <c r="B1155" s="88">
        <v>19320199</v>
      </c>
      <c r="C1155" s="89" t="s">
        <v>2352</v>
      </c>
      <c r="D1155" s="90" t="s">
        <v>4736</v>
      </c>
      <c r="E1155" s="89"/>
      <c r="F1155" s="91" t="s">
        <v>4885</v>
      </c>
    </row>
    <row r="1156" spans="2:6" ht="30" x14ac:dyDescent="0.25">
      <c r="B1156" s="88">
        <v>19320200</v>
      </c>
      <c r="C1156" s="89" t="s">
        <v>2354</v>
      </c>
      <c r="D1156" s="90" t="s">
        <v>4736</v>
      </c>
      <c r="E1156" s="89"/>
      <c r="F1156" s="91" t="s">
        <v>4885</v>
      </c>
    </row>
    <row r="1157" spans="2:6" ht="30" x14ac:dyDescent="0.25">
      <c r="B1157" s="88">
        <v>19320201</v>
      </c>
      <c r="C1157" s="89" t="s">
        <v>2356</v>
      </c>
      <c r="D1157" s="90">
        <v>12100113</v>
      </c>
      <c r="E1157" s="89" t="s">
        <v>3114</v>
      </c>
      <c r="F1157" s="91"/>
    </row>
    <row r="1158" spans="2:6" ht="30" x14ac:dyDescent="0.25">
      <c r="B1158" s="88">
        <v>19320202</v>
      </c>
      <c r="C1158" s="89" t="s">
        <v>2358</v>
      </c>
      <c r="D1158" s="90">
        <v>12100113</v>
      </c>
      <c r="E1158" s="89" t="s">
        <v>3114</v>
      </c>
      <c r="F1158" s="91"/>
    </row>
    <row r="1159" spans="2:6" ht="30" x14ac:dyDescent="0.25">
      <c r="B1159" s="88">
        <v>19320300</v>
      </c>
      <c r="C1159" s="89" t="s">
        <v>2360</v>
      </c>
      <c r="D1159" s="90">
        <v>12101213</v>
      </c>
      <c r="E1159" s="89" t="s">
        <v>3280</v>
      </c>
      <c r="F1159" s="91"/>
    </row>
    <row r="1160" spans="2:6" ht="45" x14ac:dyDescent="0.25">
      <c r="B1160" s="88">
        <v>19320400</v>
      </c>
      <c r="C1160" s="89" t="s">
        <v>2362</v>
      </c>
      <c r="D1160" s="90" t="s">
        <v>4736</v>
      </c>
      <c r="E1160" s="89"/>
      <c r="F1160" s="91" t="s">
        <v>4885</v>
      </c>
    </row>
    <row r="1161" spans="2:6" ht="45" x14ac:dyDescent="0.25">
      <c r="B1161" s="88">
        <v>19320401</v>
      </c>
      <c r="C1161" s="89" t="s">
        <v>2364</v>
      </c>
      <c r="D1161" s="90">
        <v>12101813</v>
      </c>
      <c r="E1161" s="89" t="s">
        <v>3324</v>
      </c>
      <c r="F1161" s="91"/>
    </row>
    <row r="1162" spans="2:6" ht="45" x14ac:dyDescent="0.25">
      <c r="B1162" s="88">
        <v>19320402</v>
      </c>
      <c r="C1162" s="89" t="s">
        <v>2366</v>
      </c>
      <c r="D1162" s="90">
        <v>12101813</v>
      </c>
      <c r="E1162" s="89" t="s">
        <v>3324</v>
      </c>
      <c r="F1162" s="91"/>
    </row>
    <row r="1163" spans="2:6" x14ac:dyDescent="0.25">
      <c r="B1163" s="88">
        <v>19320500</v>
      </c>
      <c r="C1163" s="89" t="s">
        <v>2368</v>
      </c>
      <c r="D1163" s="90" t="s">
        <v>4736</v>
      </c>
      <c r="E1163" s="89"/>
      <c r="F1163" s="91" t="s">
        <v>4885</v>
      </c>
    </row>
    <row r="1164" spans="2:6" ht="45" x14ac:dyDescent="0.25">
      <c r="B1164" s="88">
        <v>19320501</v>
      </c>
      <c r="C1164" s="89" t="s">
        <v>2370</v>
      </c>
      <c r="D1164" s="90">
        <v>12100913</v>
      </c>
      <c r="E1164" s="89" t="s">
        <v>3249</v>
      </c>
      <c r="F1164" s="91"/>
    </row>
    <row r="1165" spans="2:6" ht="45" x14ac:dyDescent="0.25">
      <c r="B1165" s="88">
        <v>19320502</v>
      </c>
      <c r="C1165" s="89" t="s">
        <v>2372</v>
      </c>
      <c r="D1165" s="90">
        <v>12100913</v>
      </c>
      <c r="E1165" s="89" t="s">
        <v>3249</v>
      </c>
      <c r="F1165" s="91"/>
    </row>
    <row r="1166" spans="2:6" ht="30" x14ac:dyDescent="0.25">
      <c r="B1166" s="88">
        <v>19320600</v>
      </c>
      <c r="C1166" s="89" t="s">
        <v>2374</v>
      </c>
      <c r="D1166" s="90" t="s">
        <v>4736</v>
      </c>
      <c r="E1166" s="89"/>
      <c r="F1166" s="91" t="s">
        <v>4885</v>
      </c>
    </row>
    <row r="1167" spans="2:6" ht="30" x14ac:dyDescent="0.25">
      <c r="B1167" s="88">
        <v>19320601</v>
      </c>
      <c r="C1167" s="89" t="s">
        <v>2376</v>
      </c>
      <c r="D1167" s="90">
        <v>12100213</v>
      </c>
      <c r="E1167" s="89" t="s">
        <v>3123</v>
      </c>
      <c r="F1167" s="91"/>
    </row>
    <row r="1168" spans="2:6" ht="30" x14ac:dyDescent="0.25">
      <c r="B1168" s="88">
        <v>19320602</v>
      </c>
      <c r="C1168" s="89" t="s">
        <v>2378</v>
      </c>
      <c r="D1168" s="90">
        <v>12100213</v>
      </c>
      <c r="E1168" s="89" t="s">
        <v>3123</v>
      </c>
      <c r="F1168" s="91"/>
    </row>
    <row r="1169" spans="2:6" ht="30" x14ac:dyDescent="0.25">
      <c r="B1169" s="88">
        <v>19320700</v>
      </c>
      <c r="C1169" s="89" t="s">
        <v>2380</v>
      </c>
      <c r="D1169" s="90" t="s">
        <v>4736</v>
      </c>
      <c r="E1169" s="89"/>
      <c r="F1169" s="91" t="s">
        <v>4885</v>
      </c>
    </row>
    <row r="1170" spans="2:6" ht="30" x14ac:dyDescent="0.25">
      <c r="B1170" s="88">
        <v>19320701</v>
      </c>
      <c r="C1170" s="89" t="s">
        <v>2382</v>
      </c>
      <c r="D1170" s="90">
        <v>12100713</v>
      </c>
      <c r="E1170" s="89" t="s">
        <v>3188</v>
      </c>
      <c r="F1170" s="91"/>
    </row>
    <row r="1171" spans="2:6" ht="30" x14ac:dyDescent="0.25">
      <c r="B1171" s="88">
        <v>19320702</v>
      </c>
      <c r="C1171" s="89" t="s">
        <v>2384</v>
      </c>
      <c r="D1171" s="90">
        <v>12100723</v>
      </c>
      <c r="E1171" s="89" t="s">
        <v>3197</v>
      </c>
      <c r="F1171" s="91"/>
    </row>
    <row r="1172" spans="2:6" ht="30" x14ac:dyDescent="0.25">
      <c r="B1172" s="88">
        <v>19320703</v>
      </c>
      <c r="C1172" s="89" t="s">
        <v>2386</v>
      </c>
      <c r="D1172" s="90">
        <v>12100733</v>
      </c>
      <c r="E1172" s="89" t="s">
        <v>3205</v>
      </c>
      <c r="F1172" s="91"/>
    </row>
    <row r="1173" spans="2:6" ht="30" x14ac:dyDescent="0.25">
      <c r="B1173" s="88">
        <v>19320704</v>
      </c>
      <c r="C1173" s="89" t="s">
        <v>2388</v>
      </c>
      <c r="D1173" s="90">
        <v>12100743</v>
      </c>
      <c r="E1173" s="89" t="s">
        <v>3213</v>
      </c>
      <c r="F1173" s="91"/>
    </row>
    <row r="1174" spans="2:6" ht="30" x14ac:dyDescent="0.25">
      <c r="B1174" s="88">
        <v>19320705</v>
      </c>
      <c r="C1174" s="89" t="s">
        <v>2390</v>
      </c>
      <c r="D1174" s="90">
        <v>12100753</v>
      </c>
      <c r="E1174" s="89" t="s">
        <v>3222</v>
      </c>
      <c r="F1174" s="91"/>
    </row>
    <row r="1175" spans="2:6" ht="30" x14ac:dyDescent="0.25">
      <c r="B1175" s="88">
        <v>19320706</v>
      </c>
      <c r="C1175" s="89" t="s">
        <v>2392</v>
      </c>
      <c r="D1175" s="90">
        <v>19300413</v>
      </c>
      <c r="E1175" s="89" t="s">
        <v>4457</v>
      </c>
      <c r="F1175" s="91"/>
    </row>
    <row r="1176" spans="2:6" ht="30" x14ac:dyDescent="0.25">
      <c r="B1176" s="88">
        <v>19320800</v>
      </c>
      <c r="C1176" s="89" t="s">
        <v>2394</v>
      </c>
      <c r="D1176" s="90">
        <v>19100113</v>
      </c>
      <c r="E1176" s="89" t="s">
        <v>4225</v>
      </c>
      <c r="F1176" s="91"/>
    </row>
    <row r="1177" spans="2:6" ht="30" x14ac:dyDescent="0.25">
      <c r="B1177" s="88">
        <v>19320900</v>
      </c>
      <c r="C1177" s="89" t="s">
        <v>2396</v>
      </c>
      <c r="D1177" s="90">
        <v>12200513</v>
      </c>
      <c r="E1177" s="89" t="s">
        <v>3386</v>
      </c>
      <c r="F1177" s="91"/>
    </row>
    <row r="1178" spans="2:6" ht="30" x14ac:dyDescent="0.25">
      <c r="B1178" s="88">
        <v>19321000</v>
      </c>
      <c r="C1178" s="89" t="s">
        <v>2398</v>
      </c>
      <c r="D1178" s="90">
        <v>12200313</v>
      </c>
      <c r="E1178" s="89" t="s">
        <v>3368</v>
      </c>
      <c r="F1178" s="91"/>
    </row>
    <row r="1179" spans="2:6" x14ac:dyDescent="0.25">
      <c r="B1179" s="88">
        <v>19321100</v>
      </c>
      <c r="C1179" s="89" t="s">
        <v>2400</v>
      </c>
      <c r="D1179" s="90">
        <v>13100113</v>
      </c>
      <c r="E1179" s="89" t="s">
        <v>3468</v>
      </c>
      <c r="F1179" s="91"/>
    </row>
    <row r="1180" spans="2:6" x14ac:dyDescent="0.25">
      <c r="B1180" s="88">
        <v>19321200</v>
      </c>
      <c r="C1180" s="89" t="s">
        <v>2402</v>
      </c>
      <c r="D1180" s="90">
        <v>13100123</v>
      </c>
      <c r="E1180" s="89" t="s">
        <v>3477</v>
      </c>
      <c r="F1180" s="91"/>
    </row>
    <row r="1181" spans="2:6" x14ac:dyDescent="0.25">
      <c r="B1181" s="88">
        <v>19321300</v>
      </c>
      <c r="C1181" s="89" t="s">
        <v>2404</v>
      </c>
      <c r="D1181" s="90">
        <v>13100123</v>
      </c>
      <c r="E1181" s="89" t="s">
        <v>3477</v>
      </c>
      <c r="F1181" s="91"/>
    </row>
    <row r="1182" spans="2:6" x14ac:dyDescent="0.25">
      <c r="B1182" s="88">
        <v>19321400</v>
      </c>
      <c r="C1182" s="89" t="s">
        <v>2406</v>
      </c>
      <c r="D1182" s="90">
        <v>13100113</v>
      </c>
      <c r="E1182" s="89" t="s">
        <v>3468</v>
      </c>
      <c r="F1182" s="91"/>
    </row>
    <row r="1183" spans="2:6" x14ac:dyDescent="0.25">
      <c r="B1183" s="88">
        <v>19321500</v>
      </c>
      <c r="C1183" s="89" t="s">
        <v>2408</v>
      </c>
      <c r="D1183" s="90">
        <v>13100123</v>
      </c>
      <c r="E1183" s="89" t="s">
        <v>3477</v>
      </c>
      <c r="F1183" s="91"/>
    </row>
    <row r="1184" spans="2:6" x14ac:dyDescent="0.25">
      <c r="B1184" s="88">
        <v>19321600</v>
      </c>
      <c r="C1184" s="89" t="s">
        <v>2410</v>
      </c>
      <c r="D1184" s="90" t="s">
        <v>4736</v>
      </c>
      <c r="E1184" s="89"/>
      <c r="F1184" s="91" t="s">
        <v>4885</v>
      </c>
    </row>
    <row r="1185" spans="2:6" x14ac:dyDescent="0.25">
      <c r="B1185" s="88">
        <v>19321601</v>
      </c>
      <c r="C1185" s="89" t="s">
        <v>2412</v>
      </c>
      <c r="D1185" s="90" t="s">
        <v>4736</v>
      </c>
      <c r="E1185" s="89"/>
      <c r="F1185" s="91" t="s">
        <v>4885</v>
      </c>
    </row>
    <row r="1186" spans="2:6" ht="30" x14ac:dyDescent="0.25">
      <c r="B1186" s="88">
        <v>19321602</v>
      </c>
      <c r="C1186" s="89" t="s">
        <v>2414</v>
      </c>
      <c r="D1186" s="90" t="s">
        <v>4736</v>
      </c>
      <c r="E1186" s="89"/>
      <c r="F1186" s="91" t="s">
        <v>4885</v>
      </c>
    </row>
    <row r="1187" spans="2:6" ht="45" x14ac:dyDescent="0.25">
      <c r="B1187" s="88">
        <v>19321603</v>
      </c>
      <c r="C1187" s="89" t="s">
        <v>2416</v>
      </c>
      <c r="D1187" s="90">
        <v>12200913</v>
      </c>
      <c r="E1187" s="89" t="s">
        <v>3425</v>
      </c>
      <c r="F1187" s="91"/>
    </row>
    <row r="1188" spans="2:6" ht="30" x14ac:dyDescent="0.25">
      <c r="B1188" s="88">
        <v>19321604</v>
      </c>
      <c r="C1188" s="89" t="s">
        <v>2418</v>
      </c>
      <c r="D1188" s="90">
        <v>12201013</v>
      </c>
      <c r="E1188" s="89" t="s">
        <v>3441</v>
      </c>
      <c r="F1188" s="91"/>
    </row>
    <row r="1189" spans="2:6" ht="30" x14ac:dyDescent="0.25">
      <c r="B1189" s="88">
        <v>19321700</v>
      </c>
      <c r="C1189" s="89" t="s">
        <v>2420</v>
      </c>
      <c r="D1189" s="90">
        <v>19100113</v>
      </c>
      <c r="E1189" s="89" t="s">
        <v>4225</v>
      </c>
      <c r="F1189" s="91"/>
    </row>
    <row r="1190" spans="2:6" ht="30" x14ac:dyDescent="0.25">
      <c r="B1190" s="88">
        <v>19321800</v>
      </c>
      <c r="C1190" s="89" t="s">
        <v>2422</v>
      </c>
      <c r="D1190" s="90">
        <v>12101113</v>
      </c>
      <c r="E1190" s="89" t="s">
        <v>3265</v>
      </c>
      <c r="F1190" s="91"/>
    </row>
    <row r="1191" spans="2:6" ht="30" x14ac:dyDescent="0.25">
      <c r="B1191" s="88">
        <v>19321900</v>
      </c>
      <c r="C1191" s="89" t="s">
        <v>2424</v>
      </c>
      <c r="D1191" s="90">
        <v>12101123</v>
      </c>
      <c r="E1191" s="89" t="s">
        <v>3272</v>
      </c>
      <c r="F1191" s="91"/>
    </row>
    <row r="1192" spans="2:6" ht="45" x14ac:dyDescent="0.25">
      <c r="B1192" s="88">
        <v>19322000</v>
      </c>
      <c r="C1192" s="89" t="s">
        <v>2426</v>
      </c>
      <c r="D1192" s="90" t="s">
        <v>4736</v>
      </c>
      <c r="E1192" s="89"/>
      <c r="F1192" s="91" t="s">
        <v>4885</v>
      </c>
    </row>
    <row r="1193" spans="2:6" ht="45" x14ac:dyDescent="0.25">
      <c r="B1193" s="88">
        <v>19322001</v>
      </c>
      <c r="C1193" s="89" t="s">
        <v>2428</v>
      </c>
      <c r="D1193" s="90">
        <v>12200823</v>
      </c>
      <c r="E1193" s="89" t="s">
        <v>3415</v>
      </c>
      <c r="F1193" s="91"/>
    </row>
    <row r="1194" spans="2:6" ht="45" x14ac:dyDescent="0.25">
      <c r="B1194" s="88">
        <v>19322002</v>
      </c>
      <c r="C1194" s="89" t="s">
        <v>2430</v>
      </c>
      <c r="D1194" s="90">
        <v>12200823</v>
      </c>
      <c r="E1194" s="89" t="s">
        <v>3415</v>
      </c>
      <c r="F1194" s="91"/>
    </row>
    <row r="1195" spans="2:6" x14ac:dyDescent="0.25">
      <c r="B1195" s="88">
        <v>19322100</v>
      </c>
      <c r="C1195" s="89" t="s">
        <v>2432</v>
      </c>
      <c r="D1195" s="90" t="s">
        <v>4736</v>
      </c>
      <c r="E1195" s="89"/>
      <c r="F1195" s="91" t="s">
        <v>4885</v>
      </c>
    </row>
    <row r="1196" spans="2:6" ht="30" x14ac:dyDescent="0.25">
      <c r="B1196" s="88">
        <v>19322101</v>
      </c>
      <c r="C1196" s="89" t="s">
        <v>2434</v>
      </c>
      <c r="D1196" s="90">
        <v>13440213</v>
      </c>
      <c r="E1196" s="89" t="s">
        <v>3866</v>
      </c>
      <c r="F1196" s="91"/>
    </row>
    <row r="1197" spans="2:6" ht="30" x14ac:dyDescent="0.25">
      <c r="B1197" s="88">
        <v>19322102</v>
      </c>
      <c r="C1197" s="89" t="s">
        <v>2436</v>
      </c>
      <c r="D1197" s="90">
        <v>13440113</v>
      </c>
      <c r="E1197" s="89" t="s">
        <v>3857</v>
      </c>
      <c r="F1197" s="91"/>
    </row>
    <row r="1198" spans="2:6" ht="30" x14ac:dyDescent="0.25">
      <c r="B1198" s="88">
        <v>19322104</v>
      </c>
      <c r="C1198" s="89" t="s">
        <v>2438</v>
      </c>
      <c r="D1198" s="90">
        <v>19100113</v>
      </c>
      <c r="E1198" s="89" t="s">
        <v>4225</v>
      </c>
      <c r="F1198" s="91"/>
    </row>
    <row r="1199" spans="2:6" ht="30" x14ac:dyDescent="0.25">
      <c r="B1199" s="88">
        <v>19322105</v>
      </c>
      <c r="C1199" s="89" t="s">
        <v>2440</v>
      </c>
      <c r="D1199" s="90">
        <v>16100313</v>
      </c>
      <c r="E1199" s="89" t="s">
        <v>4070</v>
      </c>
      <c r="F1199" s="91"/>
    </row>
    <row r="1200" spans="2:6" x14ac:dyDescent="0.25">
      <c r="B1200" s="88">
        <v>19322200</v>
      </c>
      <c r="C1200" s="89" t="s">
        <v>2442</v>
      </c>
      <c r="D1200" s="90">
        <v>19100113</v>
      </c>
      <c r="E1200" s="89" t="s">
        <v>4225</v>
      </c>
      <c r="F1200" s="91"/>
    </row>
    <row r="1201" spans="2:6" ht="30" x14ac:dyDescent="0.25">
      <c r="B1201" s="88">
        <v>19322300</v>
      </c>
      <c r="C1201" s="89" t="s">
        <v>2444</v>
      </c>
      <c r="D1201" s="90">
        <v>13450113</v>
      </c>
      <c r="E1201" s="89" t="s">
        <v>3877</v>
      </c>
      <c r="F1201" s="91"/>
    </row>
    <row r="1202" spans="2:6" ht="30" x14ac:dyDescent="0.25">
      <c r="B1202" s="88">
        <v>19322400</v>
      </c>
      <c r="C1202" s="89" t="s">
        <v>2446</v>
      </c>
      <c r="D1202" s="90">
        <v>19100113</v>
      </c>
      <c r="E1202" s="89" t="s">
        <v>4225</v>
      </c>
      <c r="F1202" s="91"/>
    </row>
    <row r="1203" spans="2:6" ht="30" x14ac:dyDescent="0.25">
      <c r="B1203" s="88">
        <v>19322500</v>
      </c>
      <c r="C1203" s="89" t="s">
        <v>2448</v>
      </c>
      <c r="D1203" s="90">
        <v>16100313</v>
      </c>
      <c r="E1203" s="89" t="s">
        <v>4070</v>
      </c>
      <c r="F1203" s="91"/>
    </row>
    <row r="1204" spans="2:6" ht="30" x14ac:dyDescent="0.25">
      <c r="B1204" s="88">
        <v>19322600</v>
      </c>
      <c r="C1204" s="89" t="s">
        <v>2450</v>
      </c>
      <c r="D1204" s="90">
        <v>19100213</v>
      </c>
      <c r="E1204" s="89" t="s">
        <v>4233</v>
      </c>
      <c r="F1204" s="91"/>
    </row>
    <row r="1205" spans="2:6" ht="30" x14ac:dyDescent="0.25">
      <c r="B1205" s="88">
        <v>19322700</v>
      </c>
      <c r="C1205" s="89" t="s">
        <v>2452</v>
      </c>
      <c r="D1205" s="90" t="s">
        <v>4736</v>
      </c>
      <c r="E1205" s="89"/>
      <c r="F1205" s="91" t="s">
        <v>4885</v>
      </c>
    </row>
    <row r="1206" spans="2:6" ht="30" x14ac:dyDescent="0.25">
      <c r="B1206" s="88">
        <v>19322701</v>
      </c>
      <c r="C1206" s="89" t="s">
        <v>2454</v>
      </c>
      <c r="D1206" s="90">
        <v>13330013</v>
      </c>
      <c r="E1206" s="89" t="s">
        <v>3643</v>
      </c>
      <c r="F1206" s="91"/>
    </row>
    <row r="1207" spans="2:6" ht="30" x14ac:dyDescent="0.25">
      <c r="B1207" s="88">
        <v>19322702</v>
      </c>
      <c r="C1207" s="89" t="s">
        <v>2456</v>
      </c>
      <c r="D1207" s="90">
        <v>13330033</v>
      </c>
      <c r="E1207" s="89" t="s">
        <v>3659</v>
      </c>
      <c r="F1207" s="91"/>
    </row>
    <row r="1208" spans="2:6" ht="30" x14ac:dyDescent="0.25">
      <c r="B1208" s="88">
        <v>19322703</v>
      </c>
      <c r="C1208" s="89" t="s">
        <v>2458</v>
      </c>
      <c r="D1208" s="90">
        <v>13330043</v>
      </c>
      <c r="E1208" s="89" t="s">
        <v>3668</v>
      </c>
      <c r="F1208" s="91"/>
    </row>
    <row r="1209" spans="2:6" ht="45" x14ac:dyDescent="0.25">
      <c r="B1209" s="88">
        <v>19322704</v>
      </c>
      <c r="C1209" s="89" t="s">
        <v>2460</v>
      </c>
      <c r="D1209" s="90">
        <v>13330063</v>
      </c>
      <c r="E1209" s="89" t="s">
        <v>3686</v>
      </c>
      <c r="F1209" s="91"/>
    </row>
    <row r="1210" spans="2:6" ht="30" x14ac:dyDescent="0.25">
      <c r="B1210" s="88">
        <v>19322706</v>
      </c>
      <c r="C1210" s="89" t="s">
        <v>2462</v>
      </c>
      <c r="D1210" s="90">
        <v>13330053</v>
      </c>
      <c r="E1210" s="89" t="s">
        <v>3677</v>
      </c>
      <c r="F1210" s="91"/>
    </row>
    <row r="1211" spans="2:6" ht="30" x14ac:dyDescent="0.25">
      <c r="B1211" s="88">
        <v>19322707</v>
      </c>
      <c r="C1211" s="89" t="s">
        <v>2464</v>
      </c>
      <c r="D1211" s="90">
        <v>13330093</v>
      </c>
      <c r="E1211" s="89" t="s">
        <v>3703</v>
      </c>
      <c r="F1211" s="91"/>
    </row>
    <row r="1212" spans="2:6" ht="30" x14ac:dyDescent="0.25">
      <c r="B1212" s="88">
        <v>19322800</v>
      </c>
      <c r="C1212" s="89" t="s">
        <v>2466</v>
      </c>
      <c r="D1212" s="90">
        <v>12200413</v>
      </c>
      <c r="E1212" s="89" t="s">
        <v>3377</v>
      </c>
      <c r="F1212" s="91"/>
    </row>
    <row r="1213" spans="2:6" ht="45" x14ac:dyDescent="0.25">
      <c r="B1213" s="88">
        <v>19322900</v>
      </c>
      <c r="C1213" s="89" t="s">
        <v>2468</v>
      </c>
      <c r="D1213" s="90">
        <v>19221023</v>
      </c>
      <c r="E1213" s="89" t="s">
        <v>4375</v>
      </c>
      <c r="F1213" s="91"/>
    </row>
    <row r="1214" spans="2:6" ht="30" x14ac:dyDescent="0.25">
      <c r="B1214" s="88">
        <v>19323000</v>
      </c>
      <c r="C1214" s="89" t="s">
        <v>2470</v>
      </c>
      <c r="D1214" s="90">
        <v>19100113</v>
      </c>
      <c r="E1214" s="89" t="s">
        <v>4225</v>
      </c>
      <c r="F1214" s="91"/>
    </row>
    <row r="1215" spans="2:6" ht="30" x14ac:dyDescent="0.25">
      <c r="B1215" s="88">
        <v>19323100</v>
      </c>
      <c r="C1215" s="89" t="s">
        <v>2472</v>
      </c>
      <c r="D1215" s="90">
        <v>13450323</v>
      </c>
      <c r="E1215" s="89" t="s">
        <v>3906</v>
      </c>
      <c r="F1215" s="91"/>
    </row>
    <row r="1216" spans="2:6" ht="30" x14ac:dyDescent="0.25">
      <c r="B1216" s="88">
        <v>19323200</v>
      </c>
      <c r="C1216" s="89" t="s">
        <v>2474</v>
      </c>
      <c r="D1216" s="90">
        <v>19100513</v>
      </c>
      <c r="E1216" s="89" t="s">
        <v>4851</v>
      </c>
      <c r="F1216" s="91"/>
    </row>
    <row r="1217" spans="2:6" ht="30" x14ac:dyDescent="0.25">
      <c r="B1217" s="88">
        <v>19323300</v>
      </c>
      <c r="C1217" s="89" t="s">
        <v>2476</v>
      </c>
      <c r="D1217" s="90">
        <v>11210113</v>
      </c>
      <c r="E1217" s="89" t="s">
        <v>3047</v>
      </c>
      <c r="F1217" s="91"/>
    </row>
    <row r="1218" spans="2:6" ht="30" x14ac:dyDescent="0.25">
      <c r="B1218" s="88">
        <v>19323400</v>
      </c>
      <c r="C1218" s="89" t="s">
        <v>2478</v>
      </c>
      <c r="D1218" s="90">
        <v>19100113</v>
      </c>
      <c r="E1218" s="89" t="s">
        <v>4225</v>
      </c>
      <c r="F1218" s="91"/>
    </row>
    <row r="1219" spans="2:6" ht="45" x14ac:dyDescent="0.25">
      <c r="B1219" s="88">
        <v>19323500</v>
      </c>
      <c r="C1219" s="89" t="s">
        <v>2480</v>
      </c>
      <c r="D1219" s="90">
        <v>19900313</v>
      </c>
      <c r="E1219" s="89" t="s">
        <v>4476</v>
      </c>
      <c r="F1219" s="91"/>
    </row>
    <row r="1220" spans="2:6" ht="30" x14ac:dyDescent="0.25">
      <c r="B1220" s="88">
        <v>19323600</v>
      </c>
      <c r="C1220" s="89" t="s">
        <v>2482</v>
      </c>
      <c r="D1220" s="90">
        <v>19100913</v>
      </c>
      <c r="E1220" s="89" t="s">
        <v>4274</v>
      </c>
      <c r="F1220" s="91"/>
    </row>
    <row r="1221" spans="2:6" ht="30" x14ac:dyDescent="0.25">
      <c r="B1221" s="88">
        <v>19323700</v>
      </c>
      <c r="C1221" s="89" t="s">
        <v>2484</v>
      </c>
      <c r="D1221" s="90">
        <v>19909913</v>
      </c>
      <c r="E1221" s="89" t="s">
        <v>4539</v>
      </c>
      <c r="F1221" s="91"/>
    </row>
    <row r="1222" spans="2:6" x14ac:dyDescent="0.25">
      <c r="B1222" s="88">
        <v>19323800</v>
      </c>
      <c r="C1222" s="89" t="s">
        <v>2486</v>
      </c>
      <c r="D1222" s="90">
        <v>19239913</v>
      </c>
      <c r="E1222" s="89" t="s">
        <v>4419</v>
      </c>
      <c r="F1222" s="91"/>
    </row>
    <row r="1223" spans="2:6" ht="30" x14ac:dyDescent="0.25">
      <c r="B1223" s="88">
        <v>19323900</v>
      </c>
      <c r="C1223" s="89" t="s">
        <v>2488</v>
      </c>
      <c r="D1223" s="90">
        <v>19239913</v>
      </c>
      <c r="E1223" s="89" t="s">
        <v>4419</v>
      </c>
      <c r="F1223" s="91"/>
    </row>
    <row r="1224" spans="2:6" ht="30" x14ac:dyDescent="0.25">
      <c r="B1224" s="88">
        <v>19324000</v>
      </c>
      <c r="C1224" s="89" t="s">
        <v>2490</v>
      </c>
      <c r="D1224" s="90">
        <v>19230113</v>
      </c>
      <c r="E1224" s="89" t="s">
        <v>4398</v>
      </c>
      <c r="F1224" s="91"/>
    </row>
    <row r="1225" spans="2:6" ht="30" x14ac:dyDescent="0.25">
      <c r="B1225" s="88">
        <v>19324100</v>
      </c>
      <c r="C1225" s="89" t="s">
        <v>2492</v>
      </c>
      <c r="D1225" s="90">
        <v>19100113</v>
      </c>
      <c r="E1225" s="89" t="s">
        <v>4225</v>
      </c>
      <c r="F1225" s="91"/>
    </row>
    <row r="1226" spans="2:6" x14ac:dyDescent="0.25">
      <c r="B1226" s="88">
        <v>19324200</v>
      </c>
      <c r="C1226" s="89" t="s">
        <v>2494</v>
      </c>
      <c r="D1226" s="90">
        <v>19100113</v>
      </c>
      <c r="E1226" s="89" t="s">
        <v>4225</v>
      </c>
      <c r="F1226" s="91"/>
    </row>
    <row r="1227" spans="2:6" ht="30" x14ac:dyDescent="0.25">
      <c r="B1227" s="88">
        <v>19324300</v>
      </c>
      <c r="C1227" s="89" t="s">
        <v>2496</v>
      </c>
      <c r="D1227" s="90">
        <v>19101013</v>
      </c>
      <c r="E1227" s="89" t="s">
        <v>4281</v>
      </c>
      <c r="F1227" s="91"/>
    </row>
    <row r="1228" spans="2:6" x14ac:dyDescent="0.25">
      <c r="B1228" s="88">
        <v>19324400</v>
      </c>
      <c r="C1228" s="89" t="s">
        <v>2498</v>
      </c>
      <c r="D1228" s="90">
        <v>19100113</v>
      </c>
      <c r="E1228" s="89" t="s">
        <v>4225</v>
      </c>
      <c r="F1228" s="91"/>
    </row>
    <row r="1229" spans="2:6" x14ac:dyDescent="0.25">
      <c r="B1229" s="88">
        <v>19324500</v>
      </c>
      <c r="C1229" s="89" t="s">
        <v>2500</v>
      </c>
      <c r="D1229" s="90">
        <v>16909913</v>
      </c>
      <c r="E1229" s="89" t="s">
        <v>4192</v>
      </c>
      <c r="F1229" s="91"/>
    </row>
    <row r="1230" spans="2:6" ht="30" x14ac:dyDescent="0.25">
      <c r="B1230" s="88">
        <v>19324600</v>
      </c>
      <c r="C1230" s="89" t="s">
        <v>2502</v>
      </c>
      <c r="D1230" s="90">
        <v>19101013</v>
      </c>
      <c r="E1230" s="89" t="s">
        <v>4281</v>
      </c>
      <c r="F1230" s="91"/>
    </row>
    <row r="1231" spans="2:6" ht="30" x14ac:dyDescent="0.25">
      <c r="B1231" s="88">
        <v>19324700</v>
      </c>
      <c r="C1231" s="89" t="s">
        <v>2504</v>
      </c>
      <c r="D1231" s="90" t="s">
        <v>4736</v>
      </c>
      <c r="E1231" s="89"/>
      <c r="F1231" s="91" t="s">
        <v>4885</v>
      </c>
    </row>
    <row r="1232" spans="2:6" ht="30" x14ac:dyDescent="0.25">
      <c r="B1232" s="88">
        <v>19324710</v>
      </c>
      <c r="C1232" s="89" t="s">
        <v>2506</v>
      </c>
      <c r="D1232" s="90">
        <v>19100813</v>
      </c>
      <c r="E1232" s="89" t="s">
        <v>4270</v>
      </c>
      <c r="F1232" s="91"/>
    </row>
    <row r="1233" spans="2:6" ht="30" x14ac:dyDescent="0.25">
      <c r="B1233" s="88">
        <v>19324720</v>
      </c>
      <c r="C1233" s="89" t="s">
        <v>2508</v>
      </c>
      <c r="D1233" s="90">
        <v>19100813</v>
      </c>
      <c r="E1233" s="89" t="s">
        <v>4270</v>
      </c>
      <c r="F1233" s="91"/>
    </row>
    <row r="1234" spans="2:6" x14ac:dyDescent="0.25">
      <c r="B1234" s="88">
        <v>19329900</v>
      </c>
      <c r="C1234" s="89" t="s">
        <v>2510</v>
      </c>
      <c r="D1234" s="90" t="s">
        <v>4736</v>
      </c>
      <c r="E1234" s="89"/>
      <c r="F1234" s="91" t="s">
        <v>4885</v>
      </c>
    </row>
    <row r="1235" spans="2:6" ht="30" x14ac:dyDescent="0.25">
      <c r="B1235" s="88">
        <v>19329901</v>
      </c>
      <c r="C1235" s="89" t="s">
        <v>2512</v>
      </c>
      <c r="D1235" s="90">
        <v>19909913</v>
      </c>
      <c r="E1235" s="89" t="s">
        <v>4539</v>
      </c>
      <c r="F1235" s="91"/>
    </row>
    <row r="1236" spans="2:6" ht="30" x14ac:dyDescent="0.25">
      <c r="B1236" s="88">
        <v>19329902</v>
      </c>
      <c r="C1236" s="89" t="s">
        <v>2514</v>
      </c>
      <c r="D1236" s="90">
        <v>19909913</v>
      </c>
      <c r="E1236" s="89" t="s">
        <v>4539</v>
      </c>
      <c r="F1236" s="91"/>
    </row>
    <row r="1237" spans="2:6" ht="30" x14ac:dyDescent="0.25">
      <c r="B1237" s="88">
        <v>19400000</v>
      </c>
      <c r="C1237" s="89" t="s">
        <v>2516</v>
      </c>
      <c r="D1237" s="90">
        <v>19900111</v>
      </c>
      <c r="E1237" s="89" t="s">
        <v>4463</v>
      </c>
      <c r="F1237" s="91"/>
    </row>
    <row r="1238" spans="2:6" ht="30" x14ac:dyDescent="0.25">
      <c r="B1238" s="88">
        <v>19500000</v>
      </c>
      <c r="C1238" s="89" t="s">
        <v>2518</v>
      </c>
      <c r="D1238" s="90">
        <v>19900211</v>
      </c>
      <c r="E1238" s="89" t="s">
        <v>4468</v>
      </c>
      <c r="F1238" s="91"/>
    </row>
    <row r="1239" spans="2:6" x14ac:dyDescent="0.25">
      <c r="B1239" s="88">
        <v>19900000</v>
      </c>
      <c r="C1239" s="89" t="s">
        <v>2521</v>
      </c>
      <c r="D1239" s="90">
        <v>19900000</v>
      </c>
      <c r="E1239" s="89" t="s">
        <v>4459</v>
      </c>
      <c r="F1239" s="91"/>
    </row>
    <row r="1240" spans="2:6" x14ac:dyDescent="0.25">
      <c r="B1240" s="88">
        <v>19900100</v>
      </c>
      <c r="C1240" s="89" t="s">
        <v>2523</v>
      </c>
      <c r="D1240" s="90">
        <v>19909911</v>
      </c>
      <c r="E1240" s="89" t="s">
        <v>4535</v>
      </c>
      <c r="F1240" s="91"/>
    </row>
    <row r="1241" spans="2:6" ht="30" x14ac:dyDescent="0.25">
      <c r="B1241" s="88">
        <v>19900200</v>
      </c>
      <c r="C1241" s="89" t="s">
        <v>2525</v>
      </c>
      <c r="D1241" s="90">
        <v>19901200</v>
      </c>
      <c r="E1241" s="89" t="s">
        <v>2525</v>
      </c>
      <c r="F1241" s="91"/>
    </row>
    <row r="1242" spans="2:6" x14ac:dyDescent="0.25">
      <c r="B1242" s="88">
        <v>19900201</v>
      </c>
      <c r="C1242" s="89" t="s">
        <v>2528</v>
      </c>
      <c r="D1242" s="90">
        <v>19901211</v>
      </c>
      <c r="E1242" s="89" t="s">
        <v>4524</v>
      </c>
      <c r="F1242" s="91"/>
    </row>
    <row r="1243" spans="2:6" x14ac:dyDescent="0.25">
      <c r="B1243" s="88">
        <v>19900202</v>
      </c>
      <c r="C1243" s="89" t="s">
        <v>2531</v>
      </c>
      <c r="D1243" s="90">
        <v>19901221</v>
      </c>
      <c r="E1243" s="89" t="s">
        <v>4529</v>
      </c>
      <c r="F1243" s="91"/>
    </row>
    <row r="1244" spans="2:6" x14ac:dyDescent="0.25">
      <c r="B1244" s="88">
        <v>19900300</v>
      </c>
      <c r="C1244" s="89" t="s">
        <v>2533</v>
      </c>
      <c r="D1244" s="90">
        <v>19300200</v>
      </c>
      <c r="E1244" s="89" t="s">
        <v>4429</v>
      </c>
      <c r="F1244" s="91"/>
    </row>
    <row r="1245" spans="2:6" x14ac:dyDescent="0.25">
      <c r="B1245" s="88">
        <v>19900301</v>
      </c>
      <c r="C1245" s="89" t="s">
        <v>2535</v>
      </c>
      <c r="D1245" s="90">
        <v>19300211</v>
      </c>
      <c r="E1245" s="89" t="s">
        <v>4433</v>
      </c>
      <c r="F1245" s="91"/>
    </row>
    <row r="1246" spans="2:6" x14ac:dyDescent="0.25">
      <c r="B1246" s="88">
        <v>19900302</v>
      </c>
      <c r="C1246" s="89" t="s">
        <v>2537</v>
      </c>
      <c r="D1246" s="90">
        <v>19300211</v>
      </c>
      <c r="E1246" s="89" t="s">
        <v>4433</v>
      </c>
      <c r="F1246" s="91"/>
    </row>
    <row r="1247" spans="2:6" x14ac:dyDescent="0.25">
      <c r="B1247" s="88">
        <v>19900303</v>
      </c>
      <c r="C1247" s="89" t="s">
        <v>2539</v>
      </c>
      <c r="D1247" s="90" t="s">
        <v>4736</v>
      </c>
      <c r="E1247" s="89"/>
      <c r="F1247" s="91" t="s">
        <v>4885</v>
      </c>
    </row>
    <row r="1248" spans="2:6" ht="30" x14ac:dyDescent="0.25">
      <c r="B1248" s="88">
        <v>19900304</v>
      </c>
      <c r="C1248" s="89" t="s">
        <v>2541</v>
      </c>
      <c r="D1248" s="90">
        <v>19300221</v>
      </c>
      <c r="E1248" s="89" t="s">
        <v>4440</v>
      </c>
      <c r="F1248" s="91"/>
    </row>
    <row r="1249" spans="2:6" ht="30" x14ac:dyDescent="0.25">
      <c r="B1249" s="88">
        <v>19900305</v>
      </c>
      <c r="C1249" s="89" t="s">
        <v>2543</v>
      </c>
      <c r="D1249" s="90">
        <v>19300221</v>
      </c>
      <c r="E1249" s="89" t="s">
        <v>4440</v>
      </c>
      <c r="F1249" s="91"/>
    </row>
    <row r="1250" spans="2:6" ht="30" x14ac:dyDescent="0.25">
      <c r="B1250" s="88">
        <v>19900400</v>
      </c>
      <c r="C1250" s="89" t="s">
        <v>2545</v>
      </c>
      <c r="D1250" s="90">
        <v>19300311</v>
      </c>
      <c r="E1250" s="89" t="s">
        <v>4446</v>
      </c>
      <c r="F1250" s="91"/>
    </row>
    <row r="1251" spans="2:6" x14ac:dyDescent="0.25">
      <c r="B1251" s="88">
        <v>19900500</v>
      </c>
      <c r="C1251" s="89" t="s">
        <v>2547</v>
      </c>
      <c r="D1251" s="90" t="s">
        <v>4736</v>
      </c>
      <c r="E1251" s="89"/>
      <c r="F1251" s="91" t="s">
        <v>4885</v>
      </c>
    </row>
    <row r="1252" spans="2:6" ht="30" x14ac:dyDescent="0.25">
      <c r="B1252" s="88">
        <v>19900510</v>
      </c>
      <c r="C1252" s="89" t="s">
        <v>2549</v>
      </c>
      <c r="D1252" s="90">
        <v>19300111</v>
      </c>
      <c r="E1252" s="89" t="s">
        <v>4425</v>
      </c>
      <c r="F1252" s="91"/>
    </row>
    <row r="1253" spans="2:6" x14ac:dyDescent="0.25">
      <c r="B1253" s="88">
        <v>19900520</v>
      </c>
      <c r="C1253" s="89" t="s">
        <v>2551</v>
      </c>
      <c r="D1253" s="90">
        <v>19230311</v>
      </c>
      <c r="E1253" s="89" t="s">
        <v>4406</v>
      </c>
      <c r="F1253" s="91"/>
    </row>
    <row r="1254" spans="2:6" ht="30" x14ac:dyDescent="0.25">
      <c r="B1254" s="88">
        <v>19900600</v>
      </c>
      <c r="C1254" s="89" t="s">
        <v>2553</v>
      </c>
      <c r="D1254" s="90">
        <v>19221000</v>
      </c>
      <c r="E1254" s="89" t="s">
        <v>4362</v>
      </c>
      <c r="F1254" s="91"/>
    </row>
    <row r="1255" spans="2:6" ht="30" x14ac:dyDescent="0.25">
      <c r="B1255" s="88">
        <v>19900601</v>
      </c>
      <c r="C1255" s="89" t="s">
        <v>2556</v>
      </c>
      <c r="D1255" s="90">
        <v>19221011</v>
      </c>
      <c r="E1255" s="89" t="s">
        <v>4365</v>
      </c>
      <c r="F1255" s="91"/>
    </row>
    <row r="1256" spans="2:6" ht="30" x14ac:dyDescent="0.25">
      <c r="B1256" s="88">
        <v>19900602</v>
      </c>
      <c r="C1256" s="89" t="s">
        <v>2559</v>
      </c>
      <c r="D1256" s="90">
        <v>19221021</v>
      </c>
      <c r="E1256" s="89" t="s">
        <v>4371</v>
      </c>
      <c r="F1256" s="91"/>
    </row>
    <row r="1257" spans="2:6" ht="30" x14ac:dyDescent="0.25">
      <c r="B1257" s="88">
        <v>19900700</v>
      </c>
      <c r="C1257" s="89" t="s">
        <v>2561</v>
      </c>
      <c r="D1257" s="90">
        <v>19900511</v>
      </c>
      <c r="E1257" s="89" t="s">
        <v>4486</v>
      </c>
      <c r="F1257" s="91"/>
    </row>
    <row r="1258" spans="2:6" x14ac:dyDescent="0.25">
      <c r="B1258" s="88">
        <v>19900800</v>
      </c>
      <c r="C1258" s="89" t="s">
        <v>2563</v>
      </c>
      <c r="D1258" s="90">
        <v>19909911</v>
      </c>
      <c r="E1258" s="89" t="s">
        <v>4535</v>
      </c>
      <c r="F1258" s="91"/>
    </row>
    <row r="1259" spans="2:6" ht="30" x14ac:dyDescent="0.25">
      <c r="B1259" s="88">
        <v>19901000</v>
      </c>
      <c r="C1259" s="89" t="s">
        <v>2565</v>
      </c>
      <c r="D1259" s="90">
        <v>19909911</v>
      </c>
      <c r="E1259" s="89" t="s">
        <v>4535</v>
      </c>
      <c r="F1259" s="91"/>
    </row>
    <row r="1260" spans="2:6" ht="45" x14ac:dyDescent="0.25">
      <c r="B1260" s="88">
        <v>19901600</v>
      </c>
      <c r="C1260" s="89" t="s">
        <v>2567</v>
      </c>
      <c r="D1260" s="90">
        <v>19900811</v>
      </c>
      <c r="E1260" s="89" t="s">
        <v>4502</v>
      </c>
      <c r="F1260" s="91"/>
    </row>
    <row r="1261" spans="2:6" x14ac:dyDescent="0.25">
      <c r="B1261" s="88">
        <v>19901800</v>
      </c>
      <c r="C1261" s="89" t="s">
        <v>2570</v>
      </c>
      <c r="D1261" s="90">
        <v>19901011</v>
      </c>
      <c r="E1261" s="89" t="s">
        <v>4513</v>
      </c>
      <c r="F1261" s="91"/>
    </row>
    <row r="1262" spans="2:6" ht="30" x14ac:dyDescent="0.25">
      <c r="B1262" s="88">
        <v>19901900</v>
      </c>
      <c r="C1262" s="89" t="s">
        <v>2572</v>
      </c>
      <c r="D1262" s="90">
        <v>16300221</v>
      </c>
      <c r="E1262" s="89" t="s">
        <v>4157</v>
      </c>
      <c r="F1262" s="91"/>
    </row>
    <row r="1263" spans="2:6" x14ac:dyDescent="0.25">
      <c r="B1263" s="88">
        <v>19902000</v>
      </c>
      <c r="C1263" s="89" t="s">
        <v>2574</v>
      </c>
      <c r="D1263" s="90">
        <v>19900411</v>
      </c>
      <c r="E1263" s="89" t="s">
        <v>4480</v>
      </c>
      <c r="F1263" s="91"/>
    </row>
    <row r="1264" spans="2:6" x14ac:dyDescent="0.25">
      <c r="B1264" s="88">
        <v>19902100</v>
      </c>
      <c r="C1264" s="89" t="s">
        <v>2576</v>
      </c>
      <c r="D1264" s="90">
        <v>19210311</v>
      </c>
      <c r="E1264" s="89" t="s">
        <v>4303</v>
      </c>
      <c r="F1264" s="91"/>
    </row>
    <row r="1265" spans="2:6" x14ac:dyDescent="0.25">
      <c r="B1265" s="88">
        <v>19902400</v>
      </c>
      <c r="C1265" s="89" t="s">
        <v>2579</v>
      </c>
      <c r="D1265" s="90">
        <v>19900511</v>
      </c>
      <c r="E1265" s="89" t="s">
        <v>4486</v>
      </c>
      <c r="F1265" s="91"/>
    </row>
    <row r="1266" spans="2:6" ht="30" x14ac:dyDescent="0.25">
      <c r="B1266" s="88">
        <v>19902500</v>
      </c>
      <c r="C1266" s="89" t="s">
        <v>2581</v>
      </c>
      <c r="D1266" s="90" t="s">
        <v>4736</v>
      </c>
      <c r="E1266" s="89"/>
      <c r="F1266" s="91" t="s">
        <v>4885</v>
      </c>
    </row>
    <row r="1267" spans="2:6" ht="30" x14ac:dyDescent="0.25">
      <c r="B1267" s="88">
        <v>19902600</v>
      </c>
      <c r="C1267" s="89" t="s">
        <v>2583</v>
      </c>
      <c r="D1267" s="90">
        <v>19900911</v>
      </c>
      <c r="E1267" s="89" t="s">
        <v>4508</v>
      </c>
      <c r="F1267" s="91"/>
    </row>
    <row r="1268" spans="2:6" ht="30" x14ac:dyDescent="0.25">
      <c r="B1268" s="88">
        <v>19902601</v>
      </c>
      <c r="C1268" s="89" t="s">
        <v>2585</v>
      </c>
      <c r="D1268" s="90">
        <v>19900911</v>
      </c>
      <c r="E1268" s="89" t="s">
        <v>4508</v>
      </c>
      <c r="F1268" s="91"/>
    </row>
    <row r="1269" spans="2:6" ht="30" x14ac:dyDescent="0.25">
      <c r="B1269" s="88">
        <v>19902602</v>
      </c>
      <c r="C1269" s="89" t="s">
        <v>2588</v>
      </c>
      <c r="D1269" s="90">
        <v>19900911</v>
      </c>
      <c r="E1269" s="89" t="s">
        <v>4508</v>
      </c>
      <c r="F1269" s="91"/>
    </row>
    <row r="1270" spans="2:6" ht="30" x14ac:dyDescent="0.25">
      <c r="B1270" s="88">
        <v>19902603</v>
      </c>
      <c r="C1270" s="89" t="s">
        <v>2591</v>
      </c>
      <c r="D1270" s="90">
        <v>19900911</v>
      </c>
      <c r="E1270" s="89" t="s">
        <v>4508</v>
      </c>
      <c r="F1270" s="91"/>
    </row>
    <row r="1271" spans="2:6" x14ac:dyDescent="0.25">
      <c r="B1271" s="88">
        <v>19902700</v>
      </c>
      <c r="C1271" s="89" t="s">
        <v>2593</v>
      </c>
      <c r="D1271" s="90">
        <v>19900711</v>
      </c>
      <c r="E1271" s="89" t="s">
        <v>4497</v>
      </c>
      <c r="F1271" s="91"/>
    </row>
    <row r="1272" spans="2:6" x14ac:dyDescent="0.25">
      <c r="B1272" s="88">
        <v>19902800</v>
      </c>
      <c r="C1272" s="89" t="s">
        <v>2595</v>
      </c>
      <c r="D1272" s="90">
        <v>19900611</v>
      </c>
      <c r="E1272" s="89" t="s">
        <v>4493</v>
      </c>
      <c r="F1272" s="91"/>
    </row>
    <row r="1273" spans="2:6" x14ac:dyDescent="0.25">
      <c r="B1273" s="88">
        <v>19909600</v>
      </c>
      <c r="C1273" s="89" t="s">
        <v>2597</v>
      </c>
      <c r="D1273" s="90">
        <v>19901111</v>
      </c>
      <c r="E1273" s="89" t="s">
        <v>4518</v>
      </c>
      <c r="F1273" s="91"/>
    </row>
    <row r="1274" spans="2:6" x14ac:dyDescent="0.25">
      <c r="B1274" s="88">
        <v>19909800</v>
      </c>
      <c r="C1274" s="89" t="s">
        <v>2599</v>
      </c>
      <c r="D1274" s="90">
        <v>19909911</v>
      </c>
      <c r="E1274" s="89" t="s">
        <v>4535</v>
      </c>
      <c r="F1274" s="91"/>
    </row>
    <row r="1275" spans="2:6" x14ac:dyDescent="0.25">
      <c r="B1275" s="88">
        <v>19909900</v>
      </c>
      <c r="C1275" s="89" t="s">
        <v>2601</v>
      </c>
      <c r="D1275" s="90">
        <v>19909900</v>
      </c>
      <c r="E1275" s="89" t="s">
        <v>2601</v>
      </c>
      <c r="F1275" s="91"/>
    </row>
    <row r="1276" spans="2:6" x14ac:dyDescent="0.25">
      <c r="B1276" s="88">
        <v>19909901</v>
      </c>
      <c r="C1276" s="89" t="s">
        <v>2603</v>
      </c>
      <c r="D1276" s="90">
        <v>19909911</v>
      </c>
      <c r="E1276" s="89" t="s">
        <v>4535</v>
      </c>
      <c r="F1276" s="91"/>
    </row>
    <row r="1277" spans="2:6" x14ac:dyDescent="0.25">
      <c r="B1277" s="88">
        <v>19909902</v>
      </c>
      <c r="C1277" s="89" t="s">
        <v>2606</v>
      </c>
      <c r="D1277" s="90">
        <v>19909921</v>
      </c>
      <c r="E1277" s="89" t="s">
        <v>4542</v>
      </c>
      <c r="F1277" s="91"/>
    </row>
    <row r="1278" spans="2:6" x14ac:dyDescent="0.25">
      <c r="B1278" s="88">
        <v>20000000</v>
      </c>
      <c r="C1278" s="89" t="s">
        <v>2608</v>
      </c>
      <c r="D1278" s="90">
        <v>20000000</v>
      </c>
      <c r="E1278" s="89" t="s">
        <v>2608</v>
      </c>
      <c r="F1278" s="91"/>
    </row>
    <row r="1279" spans="2:6" x14ac:dyDescent="0.25">
      <c r="B1279" s="88">
        <v>21000000</v>
      </c>
      <c r="C1279" s="89" t="s">
        <v>2610</v>
      </c>
      <c r="D1279" s="90">
        <v>21000000</v>
      </c>
      <c r="E1279" s="89" t="s">
        <v>2610</v>
      </c>
      <c r="F1279" s="91"/>
    </row>
    <row r="1280" spans="2:6" x14ac:dyDescent="0.25">
      <c r="B1280" s="88">
        <v>21100000</v>
      </c>
      <c r="C1280" s="89" t="s">
        <v>2612</v>
      </c>
      <c r="D1280" s="90">
        <v>21100000</v>
      </c>
      <c r="E1280" s="89" t="s">
        <v>4547</v>
      </c>
      <c r="F1280" s="91"/>
    </row>
    <row r="1281" spans="2:6" ht="30" x14ac:dyDescent="0.25">
      <c r="B1281" s="88">
        <v>21110000</v>
      </c>
      <c r="C1281" s="89" t="s">
        <v>2614</v>
      </c>
      <c r="D1281" s="90">
        <v>21110000</v>
      </c>
      <c r="E1281" s="89" t="s">
        <v>4549</v>
      </c>
      <c r="F1281" s="91"/>
    </row>
    <row r="1282" spans="2:6" ht="45" x14ac:dyDescent="0.25">
      <c r="B1282" s="88">
        <v>21110100</v>
      </c>
      <c r="C1282" s="89" t="s">
        <v>2616</v>
      </c>
      <c r="D1282" s="90">
        <v>21110021</v>
      </c>
      <c r="E1282" s="89" t="s">
        <v>4558</v>
      </c>
      <c r="F1282" s="91"/>
    </row>
    <row r="1283" spans="2:6" x14ac:dyDescent="0.25">
      <c r="B1283" s="88">
        <v>21110200</v>
      </c>
      <c r="C1283" s="89" t="s">
        <v>2618</v>
      </c>
      <c r="D1283" s="90">
        <v>21110031</v>
      </c>
      <c r="E1283" s="89" t="s">
        <v>4563</v>
      </c>
      <c r="F1283" s="91"/>
    </row>
    <row r="1284" spans="2:6" ht="30" x14ac:dyDescent="0.25">
      <c r="B1284" s="88">
        <v>21110300</v>
      </c>
      <c r="C1284" s="89" t="s">
        <v>2620</v>
      </c>
      <c r="D1284" s="90">
        <v>21110011</v>
      </c>
      <c r="E1284" s="89" t="s">
        <v>4552</v>
      </c>
      <c r="F1284" s="91"/>
    </row>
    <row r="1285" spans="2:6" x14ac:dyDescent="0.25">
      <c r="B1285" s="88">
        <v>21120000</v>
      </c>
      <c r="C1285" s="89" t="s">
        <v>2622</v>
      </c>
      <c r="D1285" s="90" t="s">
        <v>4736</v>
      </c>
      <c r="E1285" s="89"/>
      <c r="F1285" s="91" t="s">
        <v>4885</v>
      </c>
    </row>
    <row r="1286" spans="2:6" x14ac:dyDescent="0.25">
      <c r="B1286" s="88">
        <v>21130000</v>
      </c>
      <c r="C1286" s="89" t="s">
        <v>2624</v>
      </c>
      <c r="D1286" s="90">
        <v>21130011</v>
      </c>
      <c r="E1286" s="89" t="s">
        <v>4574</v>
      </c>
      <c r="F1286" s="91"/>
    </row>
    <row r="1287" spans="2:6" x14ac:dyDescent="0.25">
      <c r="B1287" s="88">
        <v>21140000</v>
      </c>
      <c r="C1287" s="89" t="s">
        <v>2626</v>
      </c>
      <c r="D1287" s="90">
        <v>21120000</v>
      </c>
      <c r="E1287" s="89" t="s">
        <v>4567</v>
      </c>
      <c r="F1287" s="91"/>
    </row>
    <row r="1288" spans="2:6" ht="30" x14ac:dyDescent="0.25">
      <c r="B1288" s="88">
        <v>21140100</v>
      </c>
      <c r="C1288" s="89" t="s">
        <v>2628</v>
      </c>
      <c r="D1288" s="90">
        <v>21180111</v>
      </c>
      <c r="E1288" s="89" t="s">
        <v>4853</v>
      </c>
      <c r="F1288" s="91"/>
    </row>
    <row r="1289" spans="2:6" ht="30" x14ac:dyDescent="0.25">
      <c r="B1289" s="88">
        <v>21140200</v>
      </c>
      <c r="C1289" s="89" t="s">
        <v>2630</v>
      </c>
      <c r="D1289" s="90">
        <v>21180121</v>
      </c>
      <c r="E1289" s="89" t="s">
        <v>4854</v>
      </c>
      <c r="F1289" s="91"/>
    </row>
    <row r="1290" spans="2:6" ht="30" x14ac:dyDescent="0.25">
      <c r="B1290" s="88">
        <v>21140300</v>
      </c>
      <c r="C1290" s="89" t="s">
        <v>2632</v>
      </c>
      <c r="D1290" s="90">
        <v>21180131</v>
      </c>
      <c r="E1290" s="89" t="s">
        <v>4855</v>
      </c>
      <c r="F1290" s="91"/>
    </row>
    <row r="1291" spans="2:6" ht="30" x14ac:dyDescent="0.25">
      <c r="B1291" s="88">
        <v>21140400</v>
      </c>
      <c r="C1291" s="89" t="s">
        <v>2634</v>
      </c>
      <c r="D1291" s="90">
        <v>21180141</v>
      </c>
      <c r="E1291" s="89" t="s">
        <v>4856</v>
      </c>
      <c r="F1291" s="91"/>
    </row>
    <row r="1292" spans="2:6" ht="30" x14ac:dyDescent="0.25">
      <c r="B1292" s="88">
        <v>21140500</v>
      </c>
      <c r="C1292" s="89" t="s">
        <v>2636</v>
      </c>
      <c r="D1292" s="90">
        <v>21180151</v>
      </c>
      <c r="E1292" s="89" t="s">
        <v>4857</v>
      </c>
      <c r="F1292" s="91"/>
    </row>
    <row r="1293" spans="2:6" ht="30" x14ac:dyDescent="0.25">
      <c r="B1293" s="88">
        <v>21140600</v>
      </c>
      <c r="C1293" s="89" t="s">
        <v>2638</v>
      </c>
      <c r="D1293" s="90">
        <v>21180161</v>
      </c>
      <c r="E1293" s="89" t="s">
        <v>4883</v>
      </c>
      <c r="F1293" s="91"/>
    </row>
    <row r="1294" spans="2:6" ht="30" x14ac:dyDescent="0.25">
      <c r="B1294" s="88">
        <v>21140700</v>
      </c>
      <c r="C1294" s="89" t="s">
        <v>2640</v>
      </c>
      <c r="D1294" s="90">
        <v>21180171</v>
      </c>
      <c r="E1294" s="89" t="s">
        <v>4859</v>
      </c>
      <c r="F1294" s="91"/>
    </row>
    <row r="1295" spans="2:6" ht="30" x14ac:dyDescent="0.25">
      <c r="B1295" s="88">
        <v>21149900</v>
      </c>
      <c r="C1295" s="89" t="s">
        <v>2642</v>
      </c>
      <c r="D1295" s="90">
        <v>21120011</v>
      </c>
      <c r="E1295" s="89" t="s">
        <v>4569</v>
      </c>
      <c r="F1295" s="91"/>
    </row>
    <row r="1296" spans="2:6" x14ac:dyDescent="0.25">
      <c r="B1296" s="88">
        <v>21190000</v>
      </c>
      <c r="C1296" s="89" t="s">
        <v>2644</v>
      </c>
      <c r="D1296" s="90">
        <v>21190011</v>
      </c>
      <c r="E1296" s="89" t="s">
        <v>4579</v>
      </c>
      <c r="F1296" s="91"/>
    </row>
    <row r="1297" spans="2:6" x14ac:dyDescent="0.25">
      <c r="B1297" s="88">
        <v>21200000</v>
      </c>
      <c r="C1297" s="89" t="s">
        <v>2646</v>
      </c>
      <c r="D1297" s="90">
        <v>21200000</v>
      </c>
      <c r="E1297" s="89" t="s">
        <v>4582</v>
      </c>
      <c r="F1297" s="91"/>
    </row>
    <row r="1298" spans="2:6" ht="30" x14ac:dyDescent="0.25">
      <c r="B1298" s="88">
        <v>21220000</v>
      </c>
      <c r="C1298" s="89" t="s">
        <v>2614</v>
      </c>
      <c r="D1298" s="90">
        <v>21210000</v>
      </c>
      <c r="E1298" s="89" t="s">
        <v>4584</v>
      </c>
      <c r="F1298" s="91"/>
    </row>
    <row r="1299" spans="2:6" ht="45" x14ac:dyDescent="0.25">
      <c r="B1299" s="88">
        <v>21220100</v>
      </c>
      <c r="C1299" s="89" t="s">
        <v>2616</v>
      </c>
      <c r="D1299" s="90">
        <v>21210021</v>
      </c>
      <c r="E1299" s="89" t="s">
        <v>4593</v>
      </c>
      <c r="F1299" s="91"/>
    </row>
    <row r="1300" spans="2:6" ht="30" x14ac:dyDescent="0.25">
      <c r="B1300" s="88">
        <v>21220200</v>
      </c>
      <c r="C1300" s="89" t="s">
        <v>2650</v>
      </c>
      <c r="D1300" s="90">
        <v>21210011</v>
      </c>
      <c r="E1300" s="89" t="s">
        <v>4587</v>
      </c>
      <c r="F1300" s="91"/>
    </row>
    <row r="1301" spans="2:6" x14ac:dyDescent="0.25">
      <c r="B1301" s="88">
        <v>21230000</v>
      </c>
      <c r="C1301" s="89" t="s">
        <v>2652</v>
      </c>
      <c r="D1301" s="90">
        <v>21220000</v>
      </c>
      <c r="E1301" s="89" t="s">
        <v>5051</v>
      </c>
      <c r="F1301" s="91"/>
    </row>
    <row r="1302" spans="2:6" ht="30" x14ac:dyDescent="0.25">
      <c r="B1302" s="88">
        <v>21230100</v>
      </c>
      <c r="C1302" s="89" t="s">
        <v>2654</v>
      </c>
      <c r="D1302" s="90">
        <v>21280111</v>
      </c>
      <c r="E1302" s="89" t="s">
        <v>4860</v>
      </c>
      <c r="F1302" s="91"/>
    </row>
    <row r="1303" spans="2:6" ht="30" x14ac:dyDescent="0.25">
      <c r="B1303" s="88">
        <v>21230200</v>
      </c>
      <c r="C1303" s="89" t="s">
        <v>2656</v>
      </c>
      <c r="D1303" s="90">
        <v>21280121</v>
      </c>
      <c r="E1303" s="89" t="s">
        <v>4861</v>
      </c>
      <c r="F1303" s="91"/>
    </row>
    <row r="1304" spans="2:6" ht="30" x14ac:dyDescent="0.25">
      <c r="B1304" s="88">
        <v>21230300</v>
      </c>
      <c r="C1304" s="89" t="s">
        <v>2658</v>
      </c>
      <c r="D1304" s="90">
        <v>21280131</v>
      </c>
      <c r="E1304" s="89" t="s">
        <v>4862</v>
      </c>
      <c r="F1304" s="91"/>
    </row>
    <row r="1305" spans="2:6" ht="30" x14ac:dyDescent="0.25">
      <c r="B1305" s="88">
        <v>21230400</v>
      </c>
      <c r="C1305" s="89" t="s">
        <v>2660</v>
      </c>
      <c r="D1305" s="90">
        <v>21280141</v>
      </c>
      <c r="E1305" s="89" t="s">
        <v>4863</v>
      </c>
      <c r="F1305" s="91"/>
    </row>
    <row r="1306" spans="2:6" ht="30" x14ac:dyDescent="0.25">
      <c r="B1306" s="88">
        <v>21230500</v>
      </c>
      <c r="C1306" s="89" t="s">
        <v>2662</v>
      </c>
      <c r="D1306" s="90">
        <v>21280151</v>
      </c>
      <c r="E1306" s="89" t="s">
        <v>4864</v>
      </c>
      <c r="F1306" s="91"/>
    </row>
    <row r="1307" spans="2:6" ht="45" x14ac:dyDescent="0.25">
      <c r="B1307" s="88">
        <v>21230700</v>
      </c>
      <c r="C1307" s="89" t="s">
        <v>2664</v>
      </c>
      <c r="D1307" s="90">
        <v>21280161</v>
      </c>
      <c r="E1307" s="89" t="s">
        <v>4884</v>
      </c>
      <c r="F1307" s="91"/>
    </row>
    <row r="1308" spans="2:6" ht="30" x14ac:dyDescent="0.25">
      <c r="B1308" s="88">
        <v>21239900</v>
      </c>
      <c r="C1308" s="89" t="s">
        <v>2666</v>
      </c>
      <c r="D1308" s="90">
        <v>21220011</v>
      </c>
      <c r="E1308" s="89" t="s">
        <v>4598</v>
      </c>
      <c r="F1308" s="91"/>
    </row>
    <row r="1309" spans="2:6" ht="30" x14ac:dyDescent="0.25">
      <c r="B1309" s="88">
        <v>21290000</v>
      </c>
      <c r="C1309" s="89" t="s">
        <v>2668</v>
      </c>
      <c r="D1309" s="90">
        <v>21290011</v>
      </c>
      <c r="E1309" s="89" t="s">
        <v>4603</v>
      </c>
      <c r="F1309" s="91"/>
    </row>
    <row r="1310" spans="2:6" x14ac:dyDescent="0.25">
      <c r="B1310" s="88">
        <v>22000000</v>
      </c>
      <c r="C1310" s="89" t="s">
        <v>2670</v>
      </c>
      <c r="D1310" s="90">
        <v>22000000</v>
      </c>
      <c r="E1310" s="89" t="s">
        <v>2670</v>
      </c>
      <c r="F1310" s="91"/>
    </row>
    <row r="1311" spans="2:6" x14ac:dyDescent="0.25">
      <c r="B1311" s="88">
        <v>22100000</v>
      </c>
      <c r="C1311" s="89" t="s">
        <v>2672</v>
      </c>
      <c r="D1311" s="90">
        <v>22100000</v>
      </c>
      <c r="E1311" s="89" t="s">
        <v>2672</v>
      </c>
      <c r="F1311" s="91"/>
    </row>
    <row r="1312" spans="2:6" x14ac:dyDescent="0.25">
      <c r="B1312" s="88">
        <v>22110000</v>
      </c>
      <c r="C1312" s="89" t="s">
        <v>2674</v>
      </c>
      <c r="D1312" s="90">
        <v>22110011</v>
      </c>
      <c r="E1312" s="89" t="s">
        <v>4608</v>
      </c>
      <c r="F1312" s="91"/>
    </row>
    <row r="1313" spans="2:6" x14ac:dyDescent="0.25">
      <c r="B1313" s="88">
        <v>22120000</v>
      </c>
      <c r="C1313" s="89" t="s">
        <v>2676</v>
      </c>
      <c r="D1313" s="90">
        <v>22120000</v>
      </c>
      <c r="E1313" s="89" t="s">
        <v>2676</v>
      </c>
      <c r="F1313" s="91"/>
    </row>
    <row r="1314" spans="2:6" ht="30" x14ac:dyDescent="0.25">
      <c r="B1314" s="88">
        <v>22120100</v>
      </c>
      <c r="C1314" s="89" t="s">
        <v>2678</v>
      </c>
      <c r="D1314" s="90">
        <v>22120110</v>
      </c>
      <c r="E1314" s="89" t="s">
        <v>4613</v>
      </c>
      <c r="F1314" s="91"/>
    </row>
    <row r="1315" spans="2:6" ht="30" x14ac:dyDescent="0.25">
      <c r="B1315" s="88">
        <v>22120101</v>
      </c>
      <c r="C1315" s="89" t="s">
        <v>2678</v>
      </c>
      <c r="D1315" s="90">
        <v>22120111</v>
      </c>
      <c r="E1315" s="89" t="s">
        <v>4615</v>
      </c>
      <c r="F1315" s="91"/>
    </row>
    <row r="1316" spans="2:6" ht="30" x14ac:dyDescent="0.25">
      <c r="B1316" s="88">
        <v>22120102</v>
      </c>
      <c r="C1316" s="89" t="s">
        <v>2682</v>
      </c>
      <c r="D1316" s="90">
        <v>22120111</v>
      </c>
      <c r="E1316" s="89" t="s">
        <v>4615</v>
      </c>
      <c r="F1316" s="91"/>
    </row>
    <row r="1317" spans="2:6" ht="30" x14ac:dyDescent="0.25">
      <c r="B1317" s="88">
        <v>22120103</v>
      </c>
      <c r="C1317" s="89" t="s">
        <v>2684</v>
      </c>
      <c r="D1317" s="90">
        <v>22120111</v>
      </c>
      <c r="E1317" s="89" t="s">
        <v>4615</v>
      </c>
      <c r="F1317" s="91"/>
    </row>
    <row r="1318" spans="2:6" ht="30" x14ac:dyDescent="0.25">
      <c r="B1318" s="88">
        <v>22120300</v>
      </c>
      <c r="C1318" s="89" t="s">
        <v>2686</v>
      </c>
      <c r="D1318" s="90">
        <v>22120210</v>
      </c>
      <c r="E1318" s="89" t="s">
        <v>4964</v>
      </c>
      <c r="F1318" s="91"/>
    </row>
    <row r="1319" spans="2:6" ht="30" x14ac:dyDescent="0.25">
      <c r="B1319" s="88">
        <v>22120301</v>
      </c>
      <c r="C1319" s="89" t="s">
        <v>2688</v>
      </c>
      <c r="D1319" s="90">
        <v>22120211</v>
      </c>
      <c r="E1319" s="89" t="s">
        <v>4621</v>
      </c>
      <c r="F1319" s="91"/>
    </row>
    <row r="1320" spans="2:6" ht="30" x14ac:dyDescent="0.25">
      <c r="B1320" s="88">
        <v>22120302</v>
      </c>
      <c r="C1320" s="89" t="s">
        <v>2690</v>
      </c>
      <c r="D1320" s="90">
        <v>22120211</v>
      </c>
      <c r="E1320" s="89" t="s">
        <v>4621</v>
      </c>
      <c r="F1320" s="91"/>
    </row>
    <row r="1321" spans="2:6" ht="30" x14ac:dyDescent="0.25">
      <c r="B1321" s="88">
        <v>22120303</v>
      </c>
      <c r="C1321" s="89" t="s">
        <v>2692</v>
      </c>
      <c r="D1321" s="90">
        <v>22120211</v>
      </c>
      <c r="E1321" s="89" t="s">
        <v>4621</v>
      </c>
      <c r="F1321" s="91"/>
    </row>
    <row r="1322" spans="2:6" ht="30" x14ac:dyDescent="0.25">
      <c r="B1322" s="88">
        <v>22120700</v>
      </c>
      <c r="C1322" s="89" t="s">
        <v>2694</v>
      </c>
      <c r="D1322" s="90">
        <v>22120311</v>
      </c>
      <c r="E1322" s="89" t="s">
        <v>4627</v>
      </c>
      <c r="F1322" s="91"/>
    </row>
    <row r="1323" spans="2:6" ht="30" x14ac:dyDescent="0.25">
      <c r="B1323" s="88">
        <v>22120701</v>
      </c>
      <c r="C1323" s="89" t="s">
        <v>2696</v>
      </c>
      <c r="D1323" s="90">
        <v>22120311</v>
      </c>
      <c r="E1323" s="89" t="s">
        <v>4627</v>
      </c>
      <c r="F1323" s="91"/>
    </row>
    <row r="1324" spans="2:6" ht="30" x14ac:dyDescent="0.25">
      <c r="B1324" s="88">
        <v>22120702</v>
      </c>
      <c r="C1324" s="89" t="s">
        <v>2698</v>
      </c>
      <c r="D1324" s="90">
        <v>22120311</v>
      </c>
      <c r="E1324" s="89" t="s">
        <v>4627</v>
      </c>
      <c r="F1324" s="91"/>
    </row>
    <row r="1325" spans="2:6" x14ac:dyDescent="0.25">
      <c r="B1325" s="88">
        <v>22120900</v>
      </c>
      <c r="C1325" s="89" t="s">
        <v>2700</v>
      </c>
      <c r="D1325" s="90">
        <v>22120411</v>
      </c>
      <c r="E1325" s="89" t="s">
        <v>4633</v>
      </c>
      <c r="F1325" s="91"/>
    </row>
    <row r="1326" spans="2:6" x14ac:dyDescent="0.25">
      <c r="B1326" s="88">
        <v>22120901</v>
      </c>
      <c r="C1326" s="89" t="s">
        <v>2702</v>
      </c>
      <c r="D1326" s="90">
        <v>22120411</v>
      </c>
      <c r="E1326" s="89" t="s">
        <v>4633</v>
      </c>
      <c r="F1326" s="91"/>
    </row>
    <row r="1327" spans="2:6" x14ac:dyDescent="0.25">
      <c r="B1327" s="88">
        <v>22120902</v>
      </c>
      <c r="C1327" s="89" t="s">
        <v>2704</v>
      </c>
      <c r="D1327" s="90">
        <v>22120411</v>
      </c>
      <c r="E1327" s="89" t="s">
        <v>4633</v>
      </c>
      <c r="F1327" s="91"/>
    </row>
    <row r="1328" spans="2:6" x14ac:dyDescent="0.25">
      <c r="B1328" s="88">
        <v>22129900</v>
      </c>
      <c r="C1328" s="89" t="s">
        <v>2706</v>
      </c>
      <c r="D1328" s="90" t="s">
        <v>4736</v>
      </c>
      <c r="E1328" s="89"/>
      <c r="F1328" s="91" t="s">
        <v>4885</v>
      </c>
    </row>
    <row r="1329" spans="2:6" x14ac:dyDescent="0.25">
      <c r="B1329" s="88">
        <v>22140000</v>
      </c>
      <c r="C1329" s="89" t="s">
        <v>2708</v>
      </c>
      <c r="D1329" s="90">
        <v>22130011</v>
      </c>
      <c r="E1329" s="89" t="s">
        <v>4639</v>
      </c>
      <c r="F1329" s="91"/>
    </row>
    <row r="1330" spans="2:6" x14ac:dyDescent="0.25">
      <c r="B1330" s="88">
        <v>22150000</v>
      </c>
      <c r="C1330" s="89" t="s">
        <v>2710</v>
      </c>
      <c r="D1330" s="90">
        <v>22130011</v>
      </c>
      <c r="E1330" s="89" t="s">
        <v>4639</v>
      </c>
      <c r="F1330" s="91"/>
    </row>
    <row r="1331" spans="2:6" x14ac:dyDescent="0.25">
      <c r="B1331" s="88">
        <v>22160000</v>
      </c>
      <c r="C1331" s="89" t="s">
        <v>2712</v>
      </c>
      <c r="D1331" s="90">
        <v>22130011</v>
      </c>
      <c r="E1331" s="89" t="s">
        <v>4639</v>
      </c>
      <c r="F1331" s="91"/>
    </row>
    <row r="1332" spans="2:6" x14ac:dyDescent="0.25">
      <c r="B1332" s="88">
        <v>22170000</v>
      </c>
      <c r="C1332" s="89" t="s">
        <v>2714</v>
      </c>
      <c r="D1332" s="90">
        <v>22130011</v>
      </c>
      <c r="E1332" s="89" t="s">
        <v>4639</v>
      </c>
      <c r="F1332" s="91"/>
    </row>
    <row r="1333" spans="2:6" x14ac:dyDescent="0.25">
      <c r="B1333" s="88">
        <v>22180000</v>
      </c>
      <c r="C1333" s="89" t="s">
        <v>4644</v>
      </c>
      <c r="D1333" s="90">
        <v>22300011</v>
      </c>
      <c r="E1333" s="89" t="s">
        <v>4646</v>
      </c>
      <c r="F1333" s="91" t="s">
        <v>4738</v>
      </c>
    </row>
    <row r="1334" spans="2:6" x14ac:dyDescent="0.25">
      <c r="B1334" s="88">
        <v>22190000</v>
      </c>
      <c r="C1334" s="89" t="s">
        <v>2716</v>
      </c>
      <c r="D1334" s="90">
        <v>22130011</v>
      </c>
      <c r="E1334" s="89" t="s">
        <v>4639</v>
      </c>
      <c r="F1334" s="91"/>
    </row>
    <row r="1335" spans="2:6" x14ac:dyDescent="0.25">
      <c r="B1335" s="88">
        <v>22200000</v>
      </c>
      <c r="C1335" s="89" t="s">
        <v>2718</v>
      </c>
      <c r="D1335" s="90">
        <v>22200000</v>
      </c>
      <c r="E1335" s="89" t="s">
        <v>2718</v>
      </c>
      <c r="F1335" s="91"/>
    </row>
    <row r="1336" spans="2:6" ht="30" x14ac:dyDescent="0.25">
      <c r="B1336" s="88">
        <v>22210000</v>
      </c>
      <c r="C1336" s="89" t="s">
        <v>2720</v>
      </c>
      <c r="D1336" s="90">
        <v>22200011</v>
      </c>
      <c r="E1336" s="89" t="s">
        <v>4641</v>
      </c>
      <c r="F1336" s="91"/>
    </row>
    <row r="1337" spans="2:6" x14ac:dyDescent="0.25">
      <c r="B1337" s="88">
        <v>22220000</v>
      </c>
      <c r="C1337" s="89" t="s">
        <v>2722</v>
      </c>
      <c r="D1337" s="90">
        <v>22200011</v>
      </c>
      <c r="E1337" s="89" t="s">
        <v>4641</v>
      </c>
      <c r="F1337" s="91"/>
    </row>
    <row r="1338" spans="2:6" ht="30" x14ac:dyDescent="0.25">
      <c r="B1338" s="88">
        <v>22220100</v>
      </c>
      <c r="C1338" s="89" t="s">
        <v>2724</v>
      </c>
      <c r="D1338" s="90">
        <v>22200011</v>
      </c>
      <c r="E1338" s="89" t="s">
        <v>4641</v>
      </c>
      <c r="F1338" s="91"/>
    </row>
    <row r="1339" spans="2:6" ht="30" x14ac:dyDescent="0.25">
      <c r="B1339" s="88">
        <v>22220200</v>
      </c>
      <c r="C1339" s="89" t="s">
        <v>2726</v>
      </c>
      <c r="D1339" s="90">
        <v>22200011</v>
      </c>
      <c r="E1339" s="89" t="s">
        <v>4641</v>
      </c>
      <c r="F1339" s="91"/>
    </row>
    <row r="1340" spans="2:6" ht="30" x14ac:dyDescent="0.25">
      <c r="B1340" s="88">
        <v>22220300</v>
      </c>
      <c r="C1340" s="89" t="s">
        <v>2728</v>
      </c>
      <c r="D1340" s="90">
        <v>22200011</v>
      </c>
      <c r="E1340" s="89" t="s">
        <v>4641</v>
      </c>
      <c r="F1340" s="91"/>
    </row>
    <row r="1341" spans="2:6" ht="45" x14ac:dyDescent="0.25">
      <c r="B1341" s="88">
        <v>22220400</v>
      </c>
      <c r="C1341" s="89" t="s">
        <v>2730</v>
      </c>
      <c r="D1341" s="90">
        <v>22200011</v>
      </c>
      <c r="E1341" s="89" t="s">
        <v>4641</v>
      </c>
      <c r="F1341" s="91"/>
    </row>
    <row r="1342" spans="2:6" x14ac:dyDescent="0.25">
      <c r="B1342" s="88">
        <v>22230000</v>
      </c>
      <c r="C1342" s="89" t="s">
        <v>2732</v>
      </c>
      <c r="D1342" s="90">
        <v>22200011</v>
      </c>
      <c r="E1342" s="89" t="s">
        <v>4641</v>
      </c>
      <c r="F1342" s="91"/>
    </row>
    <row r="1343" spans="2:6" x14ac:dyDescent="0.25">
      <c r="B1343" s="88">
        <v>22240000</v>
      </c>
      <c r="C1343" s="89" t="s">
        <v>2734</v>
      </c>
      <c r="D1343" s="90">
        <v>22200011</v>
      </c>
      <c r="E1343" s="89" t="s">
        <v>4641</v>
      </c>
      <c r="F1343" s="91"/>
    </row>
    <row r="1344" spans="2:6" x14ac:dyDescent="0.25">
      <c r="B1344" s="88">
        <v>22250000</v>
      </c>
      <c r="C1344" s="89" t="s">
        <v>2736</v>
      </c>
      <c r="D1344" s="90">
        <v>22200011</v>
      </c>
      <c r="E1344" s="89" t="s">
        <v>4641</v>
      </c>
      <c r="F1344" s="91"/>
    </row>
    <row r="1345" spans="2:6" x14ac:dyDescent="0.25">
      <c r="B1345" s="88">
        <v>22290000</v>
      </c>
      <c r="C1345" s="89" t="s">
        <v>2738</v>
      </c>
      <c r="D1345" s="90">
        <v>22200011</v>
      </c>
      <c r="E1345" s="89" t="s">
        <v>4641</v>
      </c>
      <c r="F1345" s="91"/>
    </row>
    <row r="1346" spans="2:6" x14ac:dyDescent="0.25">
      <c r="B1346" s="88">
        <v>23000000</v>
      </c>
      <c r="C1346" s="89" t="s">
        <v>2740</v>
      </c>
      <c r="D1346" s="90">
        <v>23000000</v>
      </c>
      <c r="E1346" s="89" t="s">
        <v>2740</v>
      </c>
      <c r="F1346" s="91"/>
    </row>
    <row r="1347" spans="2:6" x14ac:dyDescent="0.25">
      <c r="B1347" s="88">
        <v>23001000</v>
      </c>
      <c r="C1347" s="89" t="s">
        <v>2742</v>
      </c>
      <c r="D1347" s="90">
        <v>23000111</v>
      </c>
      <c r="E1347" s="89" t="s">
        <v>4653</v>
      </c>
      <c r="F1347" s="91"/>
    </row>
    <row r="1348" spans="2:6" ht="30" x14ac:dyDescent="0.25">
      <c r="B1348" s="88">
        <v>23002000</v>
      </c>
      <c r="C1348" s="89" t="s">
        <v>2744</v>
      </c>
      <c r="D1348" s="90">
        <v>23000211</v>
      </c>
      <c r="E1348" s="89" t="s">
        <v>4658</v>
      </c>
      <c r="F1348" s="91"/>
    </row>
    <row r="1349" spans="2:6" ht="30" x14ac:dyDescent="0.25">
      <c r="B1349" s="88">
        <v>23002001</v>
      </c>
      <c r="C1349" s="89" t="s">
        <v>2746</v>
      </c>
      <c r="D1349" s="90">
        <v>23000211</v>
      </c>
      <c r="E1349" s="89" t="s">
        <v>4658</v>
      </c>
      <c r="F1349" s="91"/>
    </row>
    <row r="1350" spans="2:6" ht="30" x14ac:dyDescent="0.25">
      <c r="B1350" s="88">
        <v>23002002</v>
      </c>
      <c r="C1350" s="89" t="s">
        <v>2748</v>
      </c>
      <c r="D1350" s="90">
        <v>23000211</v>
      </c>
      <c r="E1350" s="89" t="s">
        <v>4658</v>
      </c>
      <c r="F1350" s="91"/>
    </row>
    <row r="1351" spans="2:6" ht="30" x14ac:dyDescent="0.25">
      <c r="B1351" s="88">
        <v>23003000</v>
      </c>
      <c r="C1351" s="89" t="s">
        <v>2750</v>
      </c>
      <c r="D1351" s="90">
        <v>23000311</v>
      </c>
      <c r="E1351" s="89" t="s">
        <v>4663</v>
      </c>
      <c r="F1351" s="91"/>
    </row>
    <row r="1352" spans="2:6" ht="30" x14ac:dyDescent="0.25">
      <c r="B1352" s="88">
        <v>23004000</v>
      </c>
      <c r="C1352" s="89" t="s">
        <v>2752</v>
      </c>
      <c r="D1352" s="90">
        <v>23000411</v>
      </c>
      <c r="E1352" s="89" t="s">
        <v>4668</v>
      </c>
      <c r="F1352" s="91"/>
    </row>
    <row r="1353" spans="2:6" ht="30" x14ac:dyDescent="0.25">
      <c r="B1353" s="88">
        <v>23005000</v>
      </c>
      <c r="C1353" s="89" t="s">
        <v>2754</v>
      </c>
      <c r="D1353" s="90">
        <v>23000511</v>
      </c>
      <c r="E1353" s="89" t="s">
        <v>4673</v>
      </c>
      <c r="F1353" s="91"/>
    </row>
    <row r="1354" spans="2:6" x14ac:dyDescent="0.25">
      <c r="B1354" s="88">
        <v>23007000</v>
      </c>
      <c r="C1354" s="89" t="s">
        <v>2756</v>
      </c>
      <c r="D1354" s="90">
        <v>23000611</v>
      </c>
      <c r="E1354" s="89" t="s">
        <v>4679</v>
      </c>
      <c r="F1354" s="91"/>
    </row>
    <row r="1355" spans="2:6" x14ac:dyDescent="0.25">
      <c r="B1355" s="88">
        <v>23007001</v>
      </c>
      <c r="C1355" s="92" t="s">
        <v>2758</v>
      </c>
      <c r="D1355" s="90" t="s">
        <v>4736</v>
      </c>
      <c r="E1355" s="89"/>
      <c r="F1355" s="91" t="s">
        <v>4885</v>
      </c>
    </row>
    <row r="1356" spans="2:6" x14ac:dyDescent="0.25">
      <c r="B1356" s="88">
        <v>23007002</v>
      </c>
      <c r="C1356" s="89" t="s">
        <v>2760</v>
      </c>
      <c r="D1356" s="90">
        <v>23000611</v>
      </c>
      <c r="E1356" s="89" t="s">
        <v>4679</v>
      </c>
      <c r="F1356" s="91"/>
    </row>
    <row r="1357" spans="2:6" x14ac:dyDescent="0.25">
      <c r="B1357" s="88">
        <v>23008000</v>
      </c>
      <c r="C1357" s="89" t="s">
        <v>2762</v>
      </c>
      <c r="D1357" s="90">
        <v>23000711</v>
      </c>
      <c r="E1357" s="89" t="s">
        <v>4682</v>
      </c>
      <c r="F1357" s="91"/>
    </row>
    <row r="1358" spans="2:6" x14ac:dyDescent="0.25">
      <c r="B1358" s="88">
        <v>23008001</v>
      </c>
      <c r="C1358" s="89" t="s">
        <v>2764</v>
      </c>
      <c r="D1358" s="90">
        <v>23000711</v>
      </c>
      <c r="E1358" s="89" t="s">
        <v>4682</v>
      </c>
      <c r="F1358" s="91"/>
    </row>
    <row r="1359" spans="2:6" x14ac:dyDescent="0.25">
      <c r="B1359" s="88">
        <v>23008002</v>
      </c>
      <c r="C1359" s="89" t="s">
        <v>2766</v>
      </c>
      <c r="D1359" s="90">
        <v>23000711</v>
      </c>
      <c r="E1359" s="89" t="s">
        <v>4682</v>
      </c>
      <c r="F1359" s="91"/>
    </row>
    <row r="1360" spans="2:6" ht="45" x14ac:dyDescent="0.25">
      <c r="B1360" s="88">
        <v>23008003</v>
      </c>
      <c r="C1360" s="89" t="s">
        <v>2768</v>
      </c>
      <c r="D1360" s="90">
        <v>23008011</v>
      </c>
      <c r="E1360" s="89" t="s">
        <v>4686</v>
      </c>
      <c r="F1360" s="91"/>
    </row>
    <row r="1361" spans="2:6" ht="30" x14ac:dyDescent="0.25">
      <c r="B1361" s="88">
        <v>23008004</v>
      </c>
      <c r="C1361" s="89" t="s">
        <v>2770</v>
      </c>
      <c r="D1361" s="90" t="s">
        <v>4736</v>
      </c>
      <c r="E1361" s="89"/>
      <c r="F1361" s="91" t="s">
        <v>4737</v>
      </c>
    </row>
    <row r="1362" spans="2:6" x14ac:dyDescent="0.25">
      <c r="B1362" s="88">
        <v>23009900</v>
      </c>
      <c r="C1362" s="89" t="s">
        <v>2772</v>
      </c>
      <c r="D1362" s="90">
        <v>23000611</v>
      </c>
      <c r="E1362" s="89" t="s">
        <v>4679</v>
      </c>
      <c r="F1362" s="91"/>
    </row>
    <row r="1363" spans="2:6" x14ac:dyDescent="0.25">
      <c r="B1363" s="88">
        <v>24000000</v>
      </c>
      <c r="C1363" s="89" t="s">
        <v>2773</v>
      </c>
      <c r="D1363" s="90">
        <v>24000000</v>
      </c>
      <c r="E1363" s="89" t="s">
        <v>2773</v>
      </c>
      <c r="F1363" s="91"/>
    </row>
    <row r="1364" spans="2:6" ht="30" x14ac:dyDescent="0.25">
      <c r="B1364" s="88">
        <v>24200000</v>
      </c>
      <c r="C1364" s="89" t="s">
        <v>1215</v>
      </c>
      <c r="D1364" s="90">
        <v>24200000</v>
      </c>
      <c r="E1364" s="89" t="s">
        <v>4198</v>
      </c>
      <c r="F1364" s="91"/>
    </row>
    <row r="1365" spans="2:6" x14ac:dyDescent="0.25">
      <c r="B1365" s="88">
        <v>24210000</v>
      </c>
      <c r="C1365" s="89" t="s">
        <v>1217</v>
      </c>
      <c r="D1365" s="90">
        <v>24100000</v>
      </c>
      <c r="E1365" s="89" t="s">
        <v>4195</v>
      </c>
      <c r="F1365" s="91"/>
    </row>
    <row r="1366" spans="2:6" ht="30" x14ac:dyDescent="0.25">
      <c r="B1366" s="88">
        <v>24210100</v>
      </c>
      <c r="C1366" s="89" t="s">
        <v>1311</v>
      </c>
      <c r="D1366" s="90">
        <v>24180311</v>
      </c>
      <c r="E1366" s="89" t="s">
        <v>4836</v>
      </c>
      <c r="F1366" s="91"/>
    </row>
    <row r="1367" spans="2:6" ht="30" x14ac:dyDescent="0.25">
      <c r="B1367" s="88">
        <v>24210200</v>
      </c>
      <c r="C1367" s="89" t="s">
        <v>2777</v>
      </c>
      <c r="D1367" s="90">
        <v>24180510</v>
      </c>
      <c r="E1367" s="89" t="s">
        <v>2777</v>
      </c>
      <c r="F1367" s="91"/>
    </row>
    <row r="1368" spans="2:6" x14ac:dyDescent="0.25">
      <c r="B1368" s="88">
        <v>24213700</v>
      </c>
      <c r="C1368" s="89" t="s">
        <v>1276</v>
      </c>
      <c r="D1368" s="90">
        <v>24180110</v>
      </c>
      <c r="E1368" s="89" t="s">
        <v>1276</v>
      </c>
      <c r="F1368" s="91"/>
    </row>
    <row r="1369" spans="2:6" x14ac:dyDescent="0.25">
      <c r="B1369" s="88">
        <v>24219900</v>
      </c>
      <c r="C1369" s="89" t="s">
        <v>1277</v>
      </c>
      <c r="D1369" s="90">
        <v>24189910</v>
      </c>
      <c r="E1369" s="92" t="s">
        <v>1277</v>
      </c>
      <c r="F1369" s="91"/>
    </row>
    <row r="1370" spans="2:6" ht="30" x14ac:dyDescent="0.25">
      <c r="B1370" s="88">
        <v>24220000</v>
      </c>
      <c r="C1370" s="89" t="s">
        <v>1279</v>
      </c>
      <c r="D1370" s="90">
        <v>24200000</v>
      </c>
      <c r="E1370" s="89" t="s">
        <v>4198</v>
      </c>
      <c r="F1370" s="91"/>
    </row>
    <row r="1371" spans="2:6" ht="30" x14ac:dyDescent="0.25">
      <c r="B1371" s="88">
        <v>24220100</v>
      </c>
      <c r="C1371" s="89" t="s">
        <v>1311</v>
      </c>
      <c r="D1371" s="90">
        <v>24280310</v>
      </c>
      <c r="E1371" s="89" t="s">
        <v>1311</v>
      </c>
      <c r="F1371" s="91"/>
    </row>
    <row r="1372" spans="2:6" ht="30" x14ac:dyDescent="0.25">
      <c r="B1372" s="88">
        <v>24220200</v>
      </c>
      <c r="C1372" s="89" t="s">
        <v>2777</v>
      </c>
      <c r="D1372" s="90">
        <v>24280510</v>
      </c>
      <c r="E1372" s="89" t="s">
        <v>2777</v>
      </c>
      <c r="F1372" s="91"/>
    </row>
    <row r="1373" spans="2:6" ht="30" x14ac:dyDescent="0.25">
      <c r="B1373" s="88">
        <v>24223700</v>
      </c>
      <c r="C1373" s="89" t="s">
        <v>1307</v>
      </c>
      <c r="D1373" s="95">
        <v>24280110</v>
      </c>
      <c r="E1373" s="89" t="s">
        <v>4970</v>
      </c>
      <c r="F1373" s="91"/>
    </row>
    <row r="1374" spans="2:6" x14ac:dyDescent="0.25">
      <c r="B1374" s="88">
        <v>24229900</v>
      </c>
      <c r="C1374" s="89" t="s">
        <v>1294</v>
      </c>
      <c r="D1374" s="90">
        <v>24289910</v>
      </c>
      <c r="E1374" s="89" t="s">
        <v>1294</v>
      </c>
      <c r="F1374" s="91"/>
    </row>
    <row r="1375" spans="2:6" x14ac:dyDescent="0.25">
      <c r="B1375" s="88">
        <v>24230000</v>
      </c>
      <c r="C1375" s="89" t="s">
        <v>1309</v>
      </c>
      <c r="D1375" s="90">
        <v>24300000</v>
      </c>
      <c r="E1375" s="89" t="s">
        <v>4200</v>
      </c>
      <c r="F1375" s="91"/>
    </row>
    <row r="1376" spans="2:6" ht="30" x14ac:dyDescent="0.25">
      <c r="B1376" s="88">
        <v>24230100</v>
      </c>
      <c r="C1376" s="89" t="s">
        <v>2787</v>
      </c>
      <c r="D1376" s="90" t="s">
        <v>4736</v>
      </c>
      <c r="E1376" s="89"/>
      <c r="F1376" s="91" t="s">
        <v>4737</v>
      </c>
    </row>
    <row r="1377" spans="2:6" ht="30" x14ac:dyDescent="0.25">
      <c r="B1377" s="88">
        <v>24230200</v>
      </c>
      <c r="C1377" s="89" t="s">
        <v>2777</v>
      </c>
      <c r="D1377" s="90" t="s">
        <v>4736</v>
      </c>
      <c r="E1377" s="89"/>
      <c r="F1377" s="91" t="s">
        <v>4737</v>
      </c>
    </row>
    <row r="1378" spans="2:6" x14ac:dyDescent="0.25">
      <c r="B1378" s="88">
        <v>24233700</v>
      </c>
      <c r="C1378" s="89" t="s">
        <v>1314</v>
      </c>
      <c r="D1378" s="90">
        <v>24380110</v>
      </c>
      <c r="E1378" s="89" t="s">
        <v>4971</v>
      </c>
      <c r="F1378" s="91"/>
    </row>
    <row r="1379" spans="2:6" x14ac:dyDescent="0.25">
      <c r="B1379" s="88">
        <v>24239900</v>
      </c>
      <c r="C1379" s="89" t="s">
        <v>1315</v>
      </c>
      <c r="D1379" s="90">
        <v>24389910</v>
      </c>
      <c r="E1379" s="89" t="s">
        <v>1315</v>
      </c>
      <c r="F1379" s="91"/>
    </row>
    <row r="1380" spans="2:6" x14ac:dyDescent="0.25">
      <c r="B1380" s="88">
        <v>24300000</v>
      </c>
      <c r="C1380" s="89" t="s">
        <v>1326</v>
      </c>
      <c r="D1380" s="90">
        <v>24400000</v>
      </c>
      <c r="E1380" s="89" t="s">
        <v>1326</v>
      </c>
      <c r="F1380" s="136" t="s">
        <v>5049</v>
      </c>
    </row>
    <row r="1381" spans="2:6" x14ac:dyDescent="0.25">
      <c r="B1381" s="88">
        <v>24400000</v>
      </c>
      <c r="C1381" s="89" t="s">
        <v>1328</v>
      </c>
      <c r="D1381" s="90">
        <v>24600000</v>
      </c>
      <c r="E1381" s="89" t="s">
        <v>4972</v>
      </c>
      <c r="F1381" s="136" t="s">
        <v>5049</v>
      </c>
    </row>
    <row r="1382" spans="2:6" x14ac:dyDescent="0.25">
      <c r="B1382" s="88">
        <v>24500000</v>
      </c>
      <c r="C1382" s="89" t="s">
        <v>1330</v>
      </c>
      <c r="D1382" s="90">
        <v>24700000</v>
      </c>
      <c r="E1382" s="89" t="s">
        <v>4209</v>
      </c>
      <c r="F1382" s="136" t="s">
        <v>5049</v>
      </c>
    </row>
    <row r="1383" spans="2:6" x14ac:dyDescent="0.25">
      <c r="B1383" s="88">
        <v>24600000</v>
      </c>
      <c r="C1383" s="89" t="s">
        <v>2795</v>
      </c>
      <c r="D1383" s="90">
        <v>24500000</v>
      </c>
      <c r="E1383" s="89" t="s">
        <v>4204</v>
      </c>
      <c r="F1383" s="136" t="s">
        <v>5049</v>
      </c>
    </row>
    <row r="1384" spans="2:6" x14ac:dyDescent="0.25">
      <c r="B1384" s="88">
        <v>24700000</v>
      </c>
      <c r="C1384" s="89" t="s">
        <v>1332</v>
      </c>
      <c r="D1384" s="90" t="s">
        <v>4736</v>
      </c>
      <c r="E1384" s="89"/>
      <c r="F1384" s="91" t="s">
        <v>4885</v>
      </c>
    </row>
    <row r="1385" spans="2:6" x14ac:dyDescent="0.25">
      <c r="B1385" s="88">
        <v>24710000</v>
      </c>
      <c r="C1385" s="89" t="s">
        <v>2798</v>
      </c>
      <c r="D1385" s="90">
        <v>24181000</v>
      </c>
      <c r="E1385" s="89" t="s">
        <v>2798</v>
      </c>
      <c r="F1385" s="91"/>
    </row>
    <row r="1386" spans="2:6" ht="30" x14ac:dyDescent="0.25">
      <c r="B1386" s="88">
        <v>24710100</v>
      </c>
      <c r="C1386" s="89" t="s">
        <v>2800</v>
      </c>
      <c r="D1386" s="90">
        <v>24181011</v>
      </c>
      <c r="E1386" s="89" t="s">
        <v>4868</v>
      </c>
      <c r="F1386" s="91"/>
    </row>
    <row r="1387" spans="2:6" ht="30" x14ac:dyDescent="0.25">
      <c r="B1387" s="88">
        <v>24710200</v>
      </c>
      <c r="C1387" s="89" t="s">
        <v>2802</v>
      </c>
      <c r="D1387" s="90">
        <v>24181021</v>
      </c>
      <c r="E1387" s="89" t="s">
        <v>4973</v>
      </c>
      <c r="F1387" s="91"/>
    </row>
    <row r="1388" spans="2:6" ht="30" x14ac:dyDescent="0.25">
      <c r="B1388" s="88">
        <v>24710300</v>
      </c>
      <c r="C1388" s="89" t="s">
        <v>2804</v>
      </c>
      <c r="D1388" s="90">
        <v>24181051</v>
      </c>
      <c r="E1388" s="89" t="s">
        <v>4870</v>
      </c>
      <c r="F1388" s="91"/>
    </row>
    <row r="1389" spans="2:6" ht="30" x14ac:dyDescent="0.25">
      <c r="B1389" s="88">
        <v>24710400</v>
      </c>
      <c r="C1389" s="89" t="s">
        <v>2806</v>
      </c>
      <c r="D1389" s="90">
        <v>24181061</v>
      </c>
      <c r="E1389" s="89" t="s">
        <v>4871</v>
      </c>
      <c r="F1389" s="91"/>
    </row>
    <row r="1390" spans="2:6" ht="30" x14ac:dyDescent="0.25">
      <c r="B1390" s="88">
        <v>24710500</v>
      </c>
      <c r="C1390" s="89" t="s">
        <v>2808</v>
      </c>
      <c r="D1390" s="90">
        <v>24181071</v>
      </c>
      <c r="E1390" s="89" t="s">
        <v>4872</v>
      </c>
      <c r="F1390" s="91"/>
    </row>
    <row r="1391" spans="2:6" x14ac:dyDescent="0.25">
      <c r="B1391" s="88">
        <v>24719900</v>
      </c>
      <c r="C1391" s="89" t="s">
        <v>1346</v>
      </c>
      <c r="D1391" s="90">
        <v>24181091</v>
      </c>
      <c r="E1391" s="89" t="s">
        <v>4822</v>
      </c>
      <c r="F1391" s="91"/>
    </row>
    <row r="1392" spans="2:6" ht="30" x14ac:dyDescent="0.25">
      <c r="B1392" s="88">
        <v>24720000</v>
      </c>
      <c r="C1392" s="89" t="s">
        <v>2811</v>
      </c>
      <c r="D1392" s="90">
        <v>24281000</v>
      </c>
      <c r="E1392" s="89" t="s">
        <v>2811</v>
      </c>
      <c r="F1392" s="91"/>
    </row>
    <row r="1393" spans="2:6" ht="30" x14ac:dyDescent="0.25">
      <c r="B1393" s="88">
        <v>24720100</v>
      </c>
      <c r="C1393" s="89" t="s">
        <v>2813</v>
      </c>
      <c r="D1393" s="90">
        <v>24281011</v>
      </c>
      <c r="E1393" s="89" t="s">
        <v>4873</v>
      </c>
      <c r="F1393" s="91"/>
    </row>
    <row r="1394" spans="2:6" ht="30" x14ac:dyDescent="0.25">
      <c r="B1394" s="88">
        <v>24720200</v>
      </c>
      <c r="C1394" s="89" t="s">
        <v>2815</v>
      </c>
      <c r="D1394" s="90">
        <v>24281021</v>
      </c>
      <c r="E1394" s="89" t="s">
        <v>4874</v>
      </c>
      <c r="F1394" s="91"/>
    </row>
    <row r="1395" spans="2:6" ht="30" x14ac:dyDescent="0.25">
      <c r="B1395" s="88">
        <v>24720300</v>
      </c>
      <c r="C1395" s="89" t="s">
        <v>2817</v>
      </c>
      <c r="D1395" s="90">
        <v>24281051</v>
      </c>
      <c r="E1395" s="89" t="s">
        <v>4875</v>
      </c>
      <c r="F1395" s="91"/>
    </row>
    <row r="1396" spans="2:6" ht="30" x14ac:dyDescent="0.25">
      <c r="B1396" s="88">
        <v>24720400</v>
      </c>
      <c r="C1396" s="89" t="s">
        <v>2819</v>
      </c>
      <c r="D1396" s="90">
        <v>24281061</v>
      </c>
      <c r="E1396" s="89" t="s">
        <v>4876</v>
      </c>
      <c r="F1396" s="91"/>
    </row>
    <row r="1397" spans="2:6" ht="30" x14ac:dyDescent="0.25">
      <c r="B1397" s="88">
        <v>24720500</v>
      </c>
      <c r="C1397" s="89" t="s">
        <v>2821</v>
      </c>
      <c r="D1397" s="90">
        <v>24281071</v>
      </c>
      <c r="E1397" s="89" t="s">
        <v>4877</v>
      </c>
      <c r="F1397" s="91"/>
    </row>
    <row r="1398" spans="2:6" x14ac:dyDescent="0.25">
      <c r="B1398" s="88">
        <v>24729900</v>
      </c>
      <c r="C1398" s="89" t="s">
        <v>1354</v>
      </c>
      <c r="D1398" s="90">
        <v>24281091</v>
      </c>
      <c r="E1398" s="89" t="s">
        <v>4835</v>
      </c>
      <c r="F1398" s="91"/>
    </row>
    <row r="1399" spans="2:6" ht="30" x14ac:dyDescent="0.25">
      <c r="B1399" s="88">
        <v>24730000</v>
      </c>
      <c r="C1399" s="89" t="s">
        <v>2824</v>
      </c>
      <c r="D1399" s="90">
        <v>24381000</v>
      </c>
      <c r="E1399" s="89" t="s">
        <v>2824</v>
      </c>
      <c r="F1399" s="91"/>
    </row>
    <row r="1400" spans="2:6" ht="30" x14ac:dyDescent="0.25">
      <c r="B1400" s="88">
        <v>24730100</v>
      </c>
      <c r="C1400" s="89" t="s">
        <v>2826</v>
      </c>
      <c r="D1400" s="90">
        <v>24381011</v>
      </c>
      <c r="E1400" s="89" t="s">
        <v>4878</v>
      </c>
      <c r="F1400" s="91"/>
    </row>
    <row r="1401" spans="2:6" ht="30" x14ac:dyDescent="0.25">
      <c r="B1401" s="88">
        <v>24730200</v>
      </c>
      <c r="C1401" s="89" t="s">
        <v>2828</v>
      </c>
      <c r="D1401" s="90">
        <v>24381021</v>
      </c>
      <c r="E1401" s="89" t="s">
        <v>4879</v>
      </c>
      <c r="F1401" s="91"/>
    </row>
    <row r="1402" spans="2:6" ht="30" x14ac:dyDescent="0.25">
      <c r="B1402" s="88">
        <v>24739900</v>
      </c>
      <c r="C1402" s="89" t="s">
        <v>1362</v>
      </c>
      <c r="D1402" s="90">
        <v>24381091</v>
      </c>
      <c r="E1402" s="89" t="s">
        <v>4840</v>
      </c>
      <c r="F1402" s="91"/>
    </row>
    <row r="1403" spans="2:6" x14ac:dyDescent="0.25">
      <c r="B1403" s="88">
        <v>24740000</v>
      </c>
      <c r="C1403" s="89" t="s">
        <v>2831</v>
      </c>
      <c r="D1403" s="90">
        <v>24481010</v>
      </c>
      <c r="E1403" s="89" t="s">
        <v>2831</v>
      </c>
      <c r="F1403" s="91"/>
    </row>
    <row r="1404" spans="2:6" x14ac:dyDescent="0.25">
      <c r="B1404" s="88">
        <v>24750000</v>
      </c>
      <c r="C1404" s="89" t="s">
        <v>2833</v>
      </c>
      <c r="D1404" s="90" t="s">
        <v>4736</v>
      </c>
      <c r="E1404" s="89"/>
      <c r="F1404" s="91" t="s">
        <v>4885</v>
      </c>
    </row>
    <row r="1405" spans="2:6" x14ac:dyDescent="0.25">
      <c r="B1405" s="88">
        <v>24800000</v>
      </c>
      <c r="C1405" s="89" t="s">
        <v>1368</v>
      </c>
      <c r="D1405" s="90" t="s">
        <v>4736</v>
      </c>
      <c r="E1405" s="89"/>
      <c r="F1405" s="91" t="s">
        <v>4885</v>
      </c>
    </row>
    <row r="1406" spans="2:6" x14ac:dyDescent="0.25">
      <c r="B1406" s="88">
        <v>24810000</v>
      </c>
      <c r="C1406" s="89" t="s">
        <v>1370</v>
      </c>
      <c r="D1406" s="90" t="s">
        <v>4736</v>
      </c>
      <c r="E1406" s="89"/>
      <c r="F1406" s="91" t="s">
        <v>4885</v>
      </c>
    </row>
    <row r="1407" spans="2:6" x14ac:dyDescent="0.25">
      <c r="B1407" s="88">
        <v>24820000</v>
      </c>
      <c r="C1407" s="89" t="s">
        <v>1372</v>
      </c>
      <c r="D1407" s="90" t="s">
        <v>4736</v>
      </c>
      <c r="E1407" s="89"/>
      <c r="F1407" s="91" t="s">
        <v>4885</v>
      </c>
    </row>
    <row r="1408" spans="2:6" x14ac:dyDescent="0.25">
      <c r="B1408" s="88">
        <v>24830000</v>
      </c>
      <c r="C1408" s="89" t="s">
        <v>1374</v>
      </c>
      <c r="D1408" s="90" t="s">
        <v>4736</v>
      </c>
      <c r="E1408" s="89"/>
      <c r="F1408" s="91" t="s">
        <v>4885</v>
      </c>
    </row>
    <row r="1409" spans="2:6" ht="30" x14ac:dyDescent="0.25">
      <c r="B1409" s="88">
        <v>24840000</v>
      </c>
      <c r="C1409" s="89" t="s">
        <v>1376</v>
      </c>
      <c r="D1409" s="90">
        <v>24800000</v>
      </c>
      <c r="E1409" s="89" t="s">
        <v>4698</v>
      </c>
      <c r="F1409" s="136" t="s">
        <v>5049</v>
      </c>
    </row>
    <row r="1410" spans="2:6" x14ac:dyDescent="0.25">
      <c r="B1410" s="88">
        <v>25000000</v>
      </c>
      <c r="C1410" s="89" t="s">
        <v>2839</v>
      </c>
      <c r="D1410" s="90">
        <v>29000000</v>
      </c>
      <c r="E1410" s="89" t="s">
        <v>2839</v>
      </c>
      <c r="F1410" s="91"/>
    </row>
    <row r="1411" spans="2:6" x14ac:dyDescent="0.25">
      <c r="B1411" s="88">
        <v>25200000</v>
      </c>
      <c r="C1411" s="89" t="s">
        <v>2841</v>
      </c>
      <c r="D1411" s="90">
        <v>29100010</v>
      </c>
      <c r="E1411" s="89" t="s">
        <v>4974</v>
      </c>
      <c r="F1411" s="91"/>
    </row>
    <row r="1412" spans="2:6" x14ac:dyDescent="0.25">
      <c r="B1412" s="88">
        <v>25210000</v>
      </c>
      <c r="C1412" s="89" t="s">
        <v>2843</v>
      </c>
      <c r="D1412" s="90">
        <v>29100011</v>
      </c>
      <c r="E1412" s="89" t="s">
        <v>4881</v>
      </c>
      <c r="F1412" s="91"/>
    </row>
    <row r="1413" spans="2:6" x14ac:dyDescent="0.25">
      <c r="B1413" s="88">
        <v>25220000</v>
      </c>
      <c r="C1413" s="89" t="s">
        <v>2845</v>
      </c>
      <c r="D1413" s="90">
        <v>29100011</v>
      </c>
      <c r="E1413" s="89" t="s">
        <v>4881</v>
      </c>
      <c r="F1413" s="91"/>
    </row>
    <row r="1414" spans="2:6" x14ac:dyDescent="0.25">
      <c r="B1414" s="88">
        <v>25300000</v>
      </c>
      <c r="C1414" s="89" t="s">
        <v>2847</v>
      </c>
      <c r="D1414" s="90">
        <v>29200000</v>
      </c>
      <c r="E1414" s="89" t="s">
        <v>4706</v>
      </c>
      <c r="F1414" s="91"/>
    </row>
    <row r="1415" spans="2:6" ht="30" x14ac:dyDescent="0.25">
      <c r="B1415" s="88">
        <v>25301000</v>
      </c>
      <c r="C1415" s="89" t="s">
        <v>2849</v>
      </c>
      <c r="D1415" s="90">
        <v>29200011</v>
      </c>
      <c r="E1415" s="89" t="s">
        <v>4710</v>
      </c>
      <c r="F1415" s="91"/>
    </row>
    <row r="1416" spans="2:6" ht="30" x14ac:dyDescent="0.25">
      <c r="B1416" s="88">
        <v>25302000</v>
      </c>
      <c r="C1416" s="89" t="s">
        <v>2851</v>
      </c>
      <c r="D1416" s="90">
        <v>29200021</v>
      </c>
      <c r="E1416" s="89" t="s">
        <v>4716</v>
      </c>
      <c r="F1416" s="91"/>
    </row>
    <row r="1417" spans="2:6" x14ac:dyDescent="0.25">
      <c r="B1417" s="88">
        <v>25400000</v>
      </c>
      <c r="C1417" s="89" t="s">
        <v>2853</v>
      </c>
      <c r="D1417" s="90">
        <v>29300011</v>
      </c>
      <c r="E1417" s="89" t="s">
        <v>4720</v>
      </c>
      <c r="F1417" s="91"/>
    </row>
    <row r="1418" spans="2:6" ht="30" x14ac:dyDescent="0.25">
      <c r="B1418" s="88">
        <v>25500000</v>
      </c>
      <c r="C1418" s="89" t="s">
        <v>2855</v>
      </c>
      <c r="D1418" s="90" t="s">
        <v>4736</v>
      </c>
      <c r="E1418" s="89"/>
      <c r="F1418" s="91" t="s">
        <v>4885</v>
      </c>
    </row>
    <row r="1419" spans="2:6" ht="30" x14ac:dyDescent="0.25">
      <c r="B1419" s="88">
        <v>25600000</v>
      </c>
      <c r="C1419" s="89" t="s">
        <v>2857</v>
      </c>
      <c r="D1419" s="90">
        <v>22120413</v>
      </c>
      <c r="E1419" s="89" t="s">
        <v>4866</v>
      </c>
      <c r="F1419" s="91"/>
    </row>
    <row r="1420" spans="2:6" ht="30" x14ac:dyDescent="0.25">
      <c r="B1420" s="88">
        <v>25700000</v>
      </c>
      <c r="C1420" s="89" t="s">
        <v>2859</v>
      </c>
      <c r="D1420" s="90">
        <v>29400011</v>
      </c>
      <c r="E1420" s="89" t="s">
        <v>4725</v>
      </c>
      <c r="F1420" s="91"/>
    </row>
    <row r="1421" spans="2:6" ht="30" x14ac:dyDescent="0.25">
      <c r="B1421" s="88">
        <v>25800000</v>
      </c>
      <c r="C1421" s="89" t="s">
        <v>2861</v>
      </c>
      <c r="D1421" s="90">
        <v>29980111</v>
      </c>
      <c r="E1421" s="89" t="s">
        <v>4882</v>
      </c>
      <c r="F1421" s="91" t="s">
        <v>5052</v>
      </c>
    </row>
    <row r="1422" spans="2:6" x14ac:dyDescent="0.25">
      <c r="B1422" s="88">
        <v>25900000</v>
      </c>
      <c r="C1422" s="89" t="s">
        <v>2601</v>
      </c>
      <c r="D1422" s="90">
        <v>29900011</v>
      </c>
      <c r="E1422" s="89" t="s">
        <v>4730</v>
      </c>
      <c r="F1422" s="91"/>
    </row>
    <row r="1423" spans="2:6" x14ac:dyDescent="0.25">
      <c r="B1423" s="88">
        <v>99900000</v>
      </c>
      <c r="C1423" s="89" t="s">
        <v>2865</v>
      </c>
      <c r="D1423" s="90">
        <v>99900000</v>
      </c>
      <c r="E1423" s="89" t="s">
        <v>2865</v>
      </c>
      <c r="F1423" s="91"/>
    </row>
  </sheetData>
  <autoFilter ref="B2:F1423" xr:uid="{00000000-0009-0000-0000-000004000000}">
    <sortState ref="B3:F1423">
      <sortCondition ref="B2:B1423"/>
    </sortState>
  </autoFilter>
  <pageMargins left="0.511811024" right="0.511811024" top="0.78740157499999996" bottom="0.78740157499999996" header="0.31496062000000002" footer="0.31496062000000002"/>
  <pageSetup paperSize="9" scale="75" orientation="landscape"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23"/>
  <sheetViews>
    <sheetView workbookViewId="0">
      <pane xSplit="7" ySplit="1" topLeftCell="H2" activePane="bottomRight" state="frozen"/>
      <selection pane="topRight" activeCell="H1" sqref="H1"/>
      <selection pane="bottomLeft" activeCell="A2" sqref="A2"/>
      <selection pane="bottomRight" activeCell="H7" sqref="H7"/>
    </sheetView>
  </sheetViews>
  <sheetFormatPr defaultRowHeight="15" x14ac:dyDescent="0.25"/>
  <cols>
    <col min="1" max="4" width="7.85546875" bestFit="1" customWidth="1"/>
    <col min="5" max="5" width="7.85546875" style="45" bestFit="1" customWidth="1"/>
    <col min="6" max="6" width="7.85546875" bestFit="1" customWidth="1"/>
    <col min="7" max="7" width="11.140625" style="69" bestFit="1" customWidth="1"/>
    <col min="8" max="8" width="35.5703125" style="47" customWidth="1"/>
    <col min="9" max="9" width="131" style="48" customWidth="1"/>
    <col min="10" max="10" width="17.7109375" bestFit="1" customWidth="1"/>
    <col min="11" max="11" width="10.42578125" bestFit="1" customWidth="1"/>
    <col min="12" max="12" width="36.85546875" bestFit="1" customWidth="1"/>
    <col min="13" max="13" width="99.5703125" style="49" bestFit="1" customWidth="1"/>
  </cols>
  <sheetData>
    <row r="1" spans="1:13" ht="66" x14ac:dyDescent="0.25">
      <c r="A1" s="1" t="s">
        <v>0</v>
      </c>
      <c r="B1" s="1" t="s">
        <v>1</v>
      </c>
      <c r="C1" s="1" t="s">
        <v>2</v>
      </c>
      <c r="D1" s="1" t="s">
        <v>3</v>
      </c>
      <c r="E1" s="1" t="s">
        <v>4</v>
      </c>
      <c r="F1" s="1" t="s">
        <v>5</v>
      </c>
      <c r="G1" s="50" t="s">
        <v>6</v>
      </c>
      <c r="H1" s="2" t="s">
        <v>7</v>
      </c>
      <c r="I1" s="2" t="s">
        <v>8</v>
      </c>
      <c r="J1" s="2" t="s">
        <v>9</v>
      </c>
      <c r="K1" s="2" t="s">
        <v>10</v>
      </c>
      <c r="L1" s="2" t="s">
        <v>11</v>
      </c>
      <c r="M1" s="2" t="s">
        <v>12</v>
      </c>
    </row>
    <row r="2" spans="1:13" x14ac:dyDescent="0.25">
      <c r="A2" s="3"/>
      <c r="B2" s="3"/>
      <c r="C2" s="3"/>
      <c r="D2" s="3"/>
      <c r="E2" s="3"/>
      <c r="F2" s="3"/>
      <c r="G2" s="51"/>
      <c r="H2" s="4"/>
      <c r="I2" s="5"/>
      <c r="J2" s="3" t="s">
        <v>13</v>
      </c>
      <c r="K2" s="3" t="s">
        <v>14</v>
      </c>
      <c r="L2" s="3"/>
      <c r="M2" s="5"/>
    </row>
    <row r="3" spans="1:13" ht="25.5" x14ac:dyDescent="0.25">
      <c r="A3" s="6" t="str">
        <f>MID(G3,1,1)</f>
        <v>1</v>
      </c>
      <c r="B3" s="6" t="str">
        <f>MID(G3,2,1)</f>
        <v>0</v>
      </c>
      <c r="C3" s="6" t="str">
        <f>MID(G3,3,1)</f>
        <v>0</v>
      </c>
      <c r="D3" s="6" t="str">
        <f>MID(G3,4,1)</f>
        <v>0</v>
      </c>
      <c r="E3" s="6" t="str">
        <f>MID(G3,5,2)</f>
        <v>00</v>
      </c>
      <c r="F3" s="6" t="str">
        <f>MID(G3,7,2)</f>
        <v>00</v>
      </c>
      <c r="G3" s="52">
        <v>10000000</v>
      </c>
      <c r="H3" s="6" t="s">
        <v>15</v>
      </c>
      <c r="I3" s="7" t="s">
        <v>16</v>
      </c>
      <c r="J3" s="6"/>
      <c r="K3" s="6"/>
      <c r="L3" s="6"/>
      <c r="M3" s="7" t="s">
        <v>17</v>
      </c>
    </row>
    <row r="4" spans="1:13" x14ac:dyDescent="0.25">
      <c r="A4" s="8" t="str">
        <f t="shared" ref="A4:A67" si="0">MID(G4,1,1)</f>
        <v>1</v>
      </c>
      <c r="B4" s="8" t="str">
        <f t="shared" ref="B4:B67" si="1">MID(G4,2,1)</f>
        <v>1</v>
      </c>
      <c r="C4" s="8" t="str">
        <f t="shared" ref="C4:C67" si="2">MID(G4,3,1)</f>
        <v>0</v>
      </c>
      <c r="D4" s="8" t="str">
        <f t="shared" ref="D4:D67" si="3">MID(G4,4,1)</f>
        <v>0</v>
      </c>
      <c r="E4" s="8" t="str">
        <f t="shared" ref="E4:E67" si="4">MID(G4,5,2)</f>
        <v>00</v>
      </c>
      <c r="F4" s="8" t="str">
        <f t="shared" ref="F4:F67" si="5">MID(G4,7,2)</f>
        <v>00</v>
      </c>
      <c r="G4" s="53">
        <v>11000000</v>
      </c>
      <c r="H4" s="8" t="s">
        <v>18</v>
      </c>
      <c r="I4" s="9" t="s">
        <v>19</v>
      </c>
      <c r="J4" s="8"/>
      <c r="K4" s="8"/>
      <c r="L4" s="8"/>
      <c r="M4" s="9" t="s">
        <v>20</v>
      </c>
    </row>
    <row r="5" spans="1:13" ht="25.5" x14ac:dyDescent="0.25">
      <c r="A5" s="10" t="str">
        <f t="shared" si="0"/>
        <v>1</v>
      </c>
      <c r="B5" s="10" t="str">
        <f t="shared" si="1"/>
        <v>1</v>
      </c>
      <c r="C5" s="10" t="str">
        <f t="shared" si="2"/>
        <v>1</v>
      </c>
      <c r="D5" s="10" t="str">
        <f t="shared" si="3"/>
        <v>0</v>
      </c>
      <c r="E5" s="10" t="str">
        <f t="shared" si="4"/>
        <v>00</v>
      </c>
      <c r="F5" s="10" t="str">
        <f t="shared" si="5"/>
        <v>00</v>
      </c>
      <c r="G5" s="54">
        <v>11100000</v>
      </c>
      <c r="H5" s="10" t="s">
        <v>21</v>
      </c>
      <c r="I5" s="11" t="s">
        <v>22</v>
      </c>
      <c r="J5" s="10"/>
      <c r="K5" s="10"/>
      <c r="L5" s="10"/>
      <c r="M5" s="11" t="s">
        <v>23</v>
      </c>
    </row>
    <row r="6" spans="1:13" x14ac:dyDescent="0.25">
      <c r="A6" s="12" t="str">
        <f t="shared" si="0"/>
        <v>1</v>
      </c>
      <c r="B6" s="12" t="str">
        <f t="shared" si="1"/>
        <v>1</v>
      </c>
      <c r="C6" s="12" t="str">
        <f t="shared" si="2"/>
        <v>1</v>
      </c>
      <c r="D6" s="12" t="str">
        <f t="shared" si="3"/>
        <v>1</v>
      </c>
      <c r="E6" s="12" t="str">
        <f t="shared" si="4"/>
        <v>00</v>
      </c>
      <c r="F6" s="12" t="str">
        <f t="shared" si="5"/>
        <v>00</v>
      </c>
      <c r="G6" s="55">
        <v>11110000</v>
      </c>
      <c r="H6" s="12" t="s">
        <v>24</v>
      </c>
      <c r="I6" s="13" t="s">
        <v>25</v>
      </c>
      <c r="J6" s="12"/>
      <c r="K6" s="12"/>
      <c r="L6" s="12"/>
      <c r="M6" s="13" t="s">
        <v>26</v>
      </c>
    </row>
    <row r="7" spans="1:13" ht="38.25" x14ac:dyDescent="0.25">
      <c r="A7" s="14" t="str">
        <f t="shared" si="0"/>
        <v>1</v>
      </c>
      <c r="B7" s="14" t="str">
        <f t="shared" si="1"/>
        <v>1</v>
      </c>
      <c r="C7" s="14" t="str">
        <f t="shared" si="2"/>
        <v>1</v>
      </c>
      <c r="D7" s="14" t="str">
        <f t="shared" si="3"/>
        <v>1</v>
      </c>
      <c r="E7" s="14" t="str">
        <f t="shared" si="4"/>
        <v>01</v>
      </c>
      <c r="F7" s="14" t="str">
        <f t="shared" si="5"/>
        <v>00</v>
      </c>
      <c r="G7" s="56">
        <v>11110100</v>
      </c>
      <c r="H7" s="14" t="s">
        <v>27</v>
      </c>
      <c r="I7" s="15" t="s">
        <v>28</v>
      </c>
      <c r="J7" s="14"/>
      <c r="K7" s="14"/>
      <c r="L7" s="14"/>
      <c r="M7" s="15" t="s">
        <v>29</v>
      </c>
    </row>
    <row r="8" spans="1:13" ht="76.5" x14ac:dyDescent="0.25">
      <c r="A8" s="16" t="str">
        <f t="shared" si="0"/>
        <v>1</v>
      </c>
      <c r="B8" s="16" t="str">
        <f t="shared" si="1"/>
        <v>1</v>
      </c>
      <c r="C8" s="16" t="str">
        <f t="shared" si="2"/>
        <v>1</v>
      </c>
      <c r="D8" s="16" t="str">
        <f t="shared" si="3"/>
        <v>1</v>
      </c>
      <c r="E8" s="16" t="str">
        <f t="shared" si="4"/>
        <v>01</v>
      </c>
      <c r="F8" s="16" t="str">
        <f t="shared" si="5"/>
        <v>01</v>
      </c>
      <c r="G8" s="57">
        <v>11110101</v>
      </c>
      <c r="H8" s="16" t="s">
        <v>30</v>
      </c>
      <c r="I8" s="17" t="s">
        <v>31</v>
      </c>
      <c r="J8" s="16"/>
      <c r="K8" s="16"/>
      <c r="L8" s="16"/>
      <c r="M8" s="17" t="s">
        <v>32</v>
      </c>
    </row>
    <row r="9" spans="1:13" ht="51" x14ac:dyDescent="0.25">
      <c r="A9" s="16" t="str">
        <f t="shared" si="0"/>
        <v>1</v>
      </c>
      <c r="B9" s="16" t="str">
        <f t="shared" si="1"/>
        <v>1</v>
      </c>
      <c r="C9" s="16" t="str">
        <f t="shared" si="2"/>
        <v>1</v>
      </c>
      <c r="D9" s="16" t="str">
        <f t="shared" si="3"/>
        <v>1</v>
      </c>
      <c r="E9" s="16" t="str">
        <f t="shared" si="4"/>
        <v>01</v>
      </c>
      <c r="F9" s="16" t="str">
        <f t="shared" si="5"/>
        <v>02</v>
      </c>
      <c r="G9" s="57">
        <v>11110102</v>
      </c>
      <c r="H9" s="16" t="s">
        <v>33</v>
      </c>
      <c r="I9" s="17" t="s">
        <v>34</v>
      </c>
      <c r="J9" s="16"/>
      <c r="K9" s="16"/>
      <c r="L9" s="16"/>
      <c r="M9" s="17" t="s">
        <v>35</v>
      </c>
    </row>
    <row r="10" spans="1:13" ht="51" x14ac:dyDescent="0.25">
      <c r="A10" s="14" t="str">
        <f t="shared" si="0"/>
        <v>1</v>
      </c>
      <c r="B10" s="14" t="str">
        <f t="shared" si="1"/>
        <v>1</v>
      </c>
      <c r="C10" s="14" t="str">
        <f t="shared" si="2"/>
        <v>1</v>
      </c>
      <c r="D10" s="14" t="str">
        <f t="shared" si="3"/>
        <v>1</v>
      </c>
      <c r="E10" s="14" t="str">
        <f t="shared" si="4"/>
        <v>02</v>
      </c>
      <c r="F10" s="14" t="str">
        <f t="shared" si="5"/>
        <v>00</v>
      </c>
      <c r="G10" s="56">
        <v>11110200</v>
      </c>
      <c r="H10" s="14" t="s">
        <v>36</v>
      </c>
      <c r="I10" s="15" t="s">
        <v>37</v>
      </c>
      <c r="J10" s="14"/>
      <c r="K10" s="14"/>
      <c r="L10" s="15"/>
      <c r="M10" s="15" t="s">
        <v>38</v>
      </c>
    </row>
    <row r="11" spans="1:13" ht="25.5" x14ac:dyDescent="0.25">
      <c r="A11" s="16" t="str">
        <f t="shared" si="0"/>
        <v>1</v>
      </c>
      <c r="B11" s="16" t="str">
        <f t="shared" si="1"/>
        <v>1</v>
      </c>
      <c r="C11" s="16" t="str">
        <f t="shared" si="2"/>
        <v>1</v>
      </c>
      <c r="D11" s="16" t="str">
        <f t="shared" si="3"/>
        <v>1</v>
      </c>
      <c r="E11" s="16" t="str">
        <f t="shared" si="4"/>
        <v>02</v>
      </c>
      <c r="F11" s="16" t="str">
        <f t="shared" si="5"/>
        <v>01</v>
      </c>
      <c r="G11" s="57">
        <v>11110201</v>
      </c>
      <c r="H11" s="16" t="s">
        <v>39</v>
      </c>
      <c r="I11" s="17" t="s">
        <v>40</v>
      </c>
      <c r="J11" s="16"/>
      <c r="K11" s="16"/>
      <c r="L11" s="16"/>
      <c r="M11" s="17"/>
    </row>
    <row r="12" spans="1:13" ht="25.5" x14ac:dyDescent="0.25">
      <c r="A12" s="16" t="str">
        <f t="shared" si="0"/>
        <v>1</v>
      </c>
      <c r="B12" s="16" t="str">
        <f t="shared" si="1"/>
        <v>1</v>
      </c>
      <c r="C12" s="16" t="str">
        <f t="shared" si="2"/>
        <v>1</v>
      </c>
      <c r="D12" s="16" t="str">
        <f t="shared" si="3"/>
        <v>1</v>
      </c>
      <c r="E12" s="16" t="str">
        <f t="shared" si="4"/>
        <v>02</v>
      </c>
      <c r="F12" s="16" t="str">
        <f t="shared" si="5"/>
        <v>02</v>
      </c>
      <c r="G12" s="57">
        <v>11110202</v>
      </c>
      <c r="H12" s="16" t="s">
        <v>41</v>
      </c>
      <c r="I12" s="17" t="s">
        <v>42</v>
      </c>
      <c r="J12" s="16"/>
      <c r="K12" s="16"/>
      <c r="L12" s="16"/>
      <c r="M12" s="17"/>
    </row>
    <row r="13" spans="1:13" ht="51" x14ac:dyDescent="0.25">
      <c r="A13" s="12" t="str">
        <f t="shared" si="0"/>
        <v>1</v>
      </c>
      <c r="B13" s="12" t="str">
        <f t="shared" si="1"/>
        <v>1</v>
      </c>
      <c r="C13" s="12" t="str">
        <f t="shared" si="2"/>
        <v>1</v>
      </c>
      <c r="D13" s="12" t="str">
        <f t="shared" si="3"/>
        <v>2</v>
      </c>
      <c r="E13" s="12" t="str">
        <f t="shared" si="4"/>
        <v>00</v>
      </c>
      <c r="F13" s="12" t="str">
        <f t="shared" si="5"/>
        <v>00</v>
      </c>
      <c r="G13" s="55">
        <v>11120000</v>
      </c>
      <c r="H13" s="12" t="s">
        <v>43</v>
      </c>
      <c r="I13" s="13" t="s">
        <v>44</v>
      </c>
      <c r="J13" s="12"/>
      <c r="K13" s="12"/>
      <c r="L13" s="12"/>
      <c r="M13" s="13"/>
    </row>
    <row r="14" spans="1:13" ht="63.75" x14ac:dyDescent="0.25">
      <c r="A14" s="14" t="str">
        <f t="shared" si="0"/>
        <v>1</v>
      </c>
      <c r="B14" s="14" t="str">
        <f t="shared" si="1"/>
        <v>1</v>
      </c>
      <c r="C14" s="14" t="str">
        <f t="shared" si="2"/>
        <v>1</v>
      </c>
      <c r="D14" s="14" t="str">
        <f t="shared" si="3"/>
        <v>2</v>
      </c>
      <c r="E14" s="14" t="str">
        <f t="shared" si="4"/>
        <v>01</v>
      </c>
      <c r="F14" s="14" t="str">
        <f t="shared" si="5"/>
        <v>00</v>
      </c>
      <c r="G14" s="56">
        <v>11120100</v>
      </c>
      <c r="H14" s="14" t="s">
        <v>45</v>
      </c>
      <c r="I14" s="15" t="s">
        <v>46</v>
      </c>
      <c r="J14" s="14"/>
      <c r="K14" s="14"/>
      <c r="L14" s="15"/>
      <c r="M14" s="15" t="s">
        <v>47</v>
      </c>
    </row>
    <row r="15" spans="1:13" ht="63.75" x14ac:dyDescent="0.25">
      <c r="A15" s="16" t="str">
        <f t="shared" si="0"/>
        <v>1</v>
      </c>
      <c r="B15" s="16" t="str">
        <f t="shared" si="1"/>
        <v>1</v>
      </c>
      <c r="C15" s="16" t="str">
        <f t="shared" si="2"/>
        <v>1</v>
      </c>
      <c r="D15" s="16" t="str">
        <f t="shared" si="3"/>
        <v>2</v>
      </c>
      <c r="E15" s="16" t="str">
        <f t="shared" si="4"/>
        <v>01</v>
      </c>
      <c r="F15" s="16" t="str">
        <f t="shared" si="5"/>
        <v>01</v>
      </c>
      <c r="G15" s="57">
        <v>11120101</v>
      </c>
      <c r="H15" s="16" t="s">
        <v>48</v>
      </c>
      <c r="I15" s="17" t="s">
        <v>49</v>
      </c>
      <c r="J15" s="16"/>
      <c r="K15" s="16"/>
      <c r="L15" s="16"/>
      <c r="M15" s="17" t="s">
        <v>50</v>
      </c>
    </row>
    <row r="16" spans="1:13" ht="63.75" x14ac:dyDescent="0.25">
      <c r="A16" s="16" t="str">
        <f t="shared" si="0"/>
        <v>1</v>
      </c>
      <c r="B16" s="16" t="str">
        <f t="shared" si="1"/>
        <v>1</v>
      </c>
      <c r="C16" s="16" t="str">
        <f t="shared" si="2"/>
        <v>1</v>
      </c>
      <c r="D16" s="16" t="str">
        <f t="shared" si="3"/>
        <v>2</v>
      </c>
      <c r="E16" s="16" t="str">
        <f t="shared" si="4"/>
        <v>01</v>
      </c>
      <c r="F16" s="16" t="str">
        <f t="shared" si="5"/>
        <v>02</v>
      </c>
      <c r="G16" s="57">
        <v>11120102</v>
      </c>
      <c r="H16" s="16" t="s">
        <v>51</v>
      </c>
      <c r="I16" s="17" t="s">
        <v>52</v>
      </c>
      <c r="J16" s="16"/>
      <c r="K16" s="16"/>
      <c r="L16" s="16"/>
      <c r="M16" s="17" t="s">
        <v>50</v>
      </c>
    </row>
    <row r="17" spans="1:13" ht="25.5" x14ac:dyDescent="0.25">
      <c r="A17" s="14" t="str">
        <f t="shared" si="0"/>
        <v>1</v>
      </c>
      <c r="B17" s="14" t="str">
        <f t="shared" si="1"/>
        <v>1</v>
      </c>
      <c r="C17" s="14" t="str">
        <f t="shared" si="2"/>
        <v>1</v>
      </c>
      <c r="D17" s="14" t="str">
        <f t="shared" si="3"/>
        <v>2</v>
      </c>
      <c r="E17" s="14" t="str">
        <f t="shared" si="4"/>
        <v>02</v>
      </c>
      <c r="F17" s="14" t="str">
        <f t="shared" si="5"/>
        <v>00</v>
      </c>
      <c r="G17" s="56">
        <v>11120200</v>
      </c>
      <c r="H17" s="14" t="s">
        <v>53</v>
      </c>
      <c r="I17" s="15" t="s">
        <v>54</v>
      </c>
      <c r="J17" s="14"/>
      <c r="K17" s="14"/>
      <c r="L17" s="15"/>
      <c r="M17" s="15"/>
    </row>
    <row r="18" spans="1:13" ht="38.25" x14ac:dyDescent="0.25">
      <c r="A18" s="14" t="str">
        <f t="shared" si="0"/>
        <v>1</v>
      </c>
      <c r="B18" s="14" t="str">
        <f t="shared" si="1"/>
        <v>1</v>
      </c>
      <c r="C18" s="14" t="str">
        <f t="shared" si="2"/>
        <v>1</v>
      </c>
      <c r="D18" s="14" t="str">
        <f t="shared" si="3"/>
        <v>2</v>
      </c>
      <c r="E18" s="14" t="str">
        <f t="shared" si="4"/>
        <v>04</v>
      </c>
      <c r="F18" s="14" t="str">
        <f t="shared" si="5"/>
        <v>00</v>
      </c>
      <c r="G18" s="56">
        <v>11120400</v>
      </c>
      <c r="H18" s="14" t="s">
        <v>55</v>
      </c>
      <c r="I18" s="15" t="s">
        <v>56</v>
      </c>
      <c r="J18" s="14"/>
      <c r="K18" s="14"/>
      <c r="L18" s="14"/>
      <c r="M18" s="14"/>
    </row>
    <row r="19" spans="1:13" ht="38.25" x14ac:dyDescent="0.25">
      <c r="A19" s="16" t="str">
        <f t="shared" si="0"/>
        <v>1</v>
      </c>
      <c r="B19" s="16" t="str">
        <f t="shared" si="1"/>
        <v>1</v>
      </c>
      <c r="C19" s="16" t="str">
        <f t="shared" si="2"/>
        <v>1</v>
      </c>
      <c r="D19" s="16" t="str">
        <f t="shared" si="3"/>
        <v>2</v>
      </c>
      <c r="E19" s="16" t="str">
        <f t="shared" si="4"/>
        <v>04</v>
      </c>
      <c r="F19" s="16" t="str">
        <f t="shared" si="5"/>
        <v>10</v>
      </c>
      <c r="G19" s="57">
        <v>11120410</v>
      </c>
      <c r="H19" s="16" t="s">
        <v>57</v>
      </c>
      <c r="I19" s="17" t="s">
        <v>58</v>
      </c>
      <c r="J19" s="16"/>
      <c r="K19" s="16"/>
      <c r="L19" s="16"/>
      <c r="M19" s="17"/>
    </row>
    <row r="20" spans="1:13" ht="25.5" x14ac:dyDescent="0.25">
      <c r="A20" s="16" t="str">
        <f t="shared" si="0"/>
        <v>1</v>
      </c>
      <c r="B20" s="16" t="str">
        <f t="shared" si="1"/>
        <v>1</v>
      </c>
      <c r="C20" s="16" t="str">
        <f t="shared" si="2"/>
        <v>1</v>
      </c>
      <c r="D20" s="16" t="str">
        <f t="shared" si="3"/>
        <v>2</v>
      </c>
      <c r="E20" s="16" t="str">
        <f t="shared" si="4"/>
        <v>04</v>
      </c>
      <c r="F20" s="16" t="str">
        <f t="shared" si="5"/>
        <v>11</v>
      </c>
      <c r="G20" s="57">
        <v>11120411</v>
      </c>
      <c r="H20" s="16" t="s">
        <v>59</v>
      </c>
      <c r="I20" s="17" t="s">
        <v>60</v>
      </c>
      <c r="J20" s="16"/>
      <c r="K20" s="16"/>
      <c r="L20" s="16"/>
      <c r="M20" s="17"/>
    </row>
    <row r="21" spans="1:13" ht="51" x14ac:dyDescent="0.25">
      <c r="A21" s="16" t="str">
        <f t="shared" si="0"/>
        <v>1</v>
      </c>
      <c r="B21" s="16" t="str">
        <f t="shared" si="1"/>
        <v>1</v>
      </c>
      <c r="C21" s="16" t="str">
        <f t="shared" si="2"/>
        <v>1</v>
      </c>
      <c r="D21" s="16" t="str">
        <f t="shared" si="3"/>
        <v>2</v>
      </c>
      <c r="E21" s="16" t="str">
        <f t="shared" si="4"/>
        <v>04</v>
      </c>
      <c r="F21" s="16" t="str">
        <f t="shared" si="5"/>
        <v>21</v>
      </c>
      <c r="G21" s="57">
        <v>11120421</v>
      </c>
      <c r="H21" s="16" t="s">
        <v>61</v>
      </c>
      <c r="I21" s="17" t="s">
        <v>62</v>
      </c>
      <c r="J21" s="16"/>
      <c r="K21" s="16"/>
      <c r="L21" s="16"/>
      <c r="M21" s="17"/>
    </row>
    <row r="22" spans="1:13" ht="25.5" x14ac:dyDescent="0.25">
      <c r="A22" s="16" t="str">
        <f t="shared" si="0"/>
        <v>1</v>
      </c>
      <c r="B22" s="16" t="str">
        <f t="shared" si="1"/>
        <v>1</v>
      </c>
      <c r="C22" s="16" t="str">
        <f t="shared" si="2"/>
        <v>1</v>
      </c>
      <c r="D22" s="16" t="str">
        <f t="shared" si="3"/>
        <v>2</v>
      </c>
      <c r="E22" s="16" t="str">
        <f t="shared" si="4"/>
        <v>04</v>
      </c>
      <c r="F22" s="16" t="str">
        <f t="shared" si="5"/>
        <v>22</v>
      </c>
      <c r="G22" s="57">
        <v>11120422</v>
      </c>
      <c r="H22" s="16" t="s">
        <v>63</v>
      </c>
      <c r="I22" s="17" t="s">
        <v>64</v>
      </c>
      <c r="J22" s="16"/>
      <c r="K22" s="16"/>
      <c r="L22" s="16"/>
      <c r="M22" s="17"/>
    </row>
    <row r="23" spans="1:13" ht="25.5" x14ac:dyDescent="0.25">
      <c r="A23" s="16" t="str">
        <f t="shared" si="0"/>
        <v>1</v>
      </c>
      <c r="B23" s="16" t="str">
        <f t="shared" si="1"/>
        <v>1</v>
      </c>
      <c r="C23" s="16" t="str">
        <f t="shared" si="2"/>
        <v>1</v>
      </c>
      <c r="D23" s="16" t="str">
        <f t="shared" si="3"/>
        <v>2</v>
      </c>
      <c r="E23" s="16" t="str">
        <f t="shared" si="4"/>
        <v>04</v>
      </c>
      <c r="F23" s="16" t="str">
        <f t="shared" si="5"/>
        <v>23</v>
      </c>
      <c r="G23" s="57">
        <v>11120423</v>
      </c>
      <c r="H23" s="16" t="s">
        <v>65</v>
      </c>
      <c r="I23" s="17" t="s">
        <v>66</v>
      </c>
      <c r="J23" s="16"/>
      <c r="K23" s="16"/>
      <c r="L23" s="16"/>
      <c r="M23" s="17"/>
    </row>
    <row r="24" spans="1:13" ht="63.75" x14ac:dyDescent="0.25">
      <c r="A24" s="16" t="str">
        <f t="shared" si="0"/>
        <v>1</v>
      </c>
      <c r="B24" s="16" t="str">
        <f t="shared" si="1"/>
        <v>1</v>
      </c>
      <c r="C24" s="16" t="str">
        <f t="shared" si="2"/>
        <v>1</v>
      </c>
      <c r="D24" s="16" t="str">
        <f t="shared" si="3"/>
        <v>2</v>
      </c>
      <c r="E24" s="16" t="str">
        <f t="shared" si="4"/>
        <v>04</v>
      </c>
      <c r="F24" s="16" t="str">
        <f t="shared" si="5"/>
        <v>31</v>
      </c>
      <c r="G24" s="57">
        <v>11120431</v>
      </c>
      <c r="H24" s="16" t="s">
        <v>67</v>
      </c>
      <c r="I24" s="17" t="s">
        <v>68</v>
      </c>
      <c r="J24" s="16"/>
      <c r="K24" s="16"/>
      <c r="L24" s="16"/>
      <c r="M24" s="17"/>
    </row>
    <row r="25" spans="1:13" ht="25.5" x14ac:dyDescent="0.25">
      <c r="A25" s="16" t="str">
        <f t="shared" si="0"/>
        <v>1</v>
      </c>
      <c r="B25" s="16" t="str">
        <f t="shared" si="1"/>
        <v>1</v>
      </c>
      <c r="C25" s="16" t="str">
        <f t="shared" si="2"/>
        <v>1</v>
      </c>
      <c r="D25" s="16" t="str">
        <f t="shared" si="3"/>
        <v>2</v>
      </c>
      <c r="E25" s="16" t="str">
        <f t="shared" si="4"/>
        <v>04</v>
      </c>
      <c r="F25" s="16" t="str">
        <f t="shared" si="5"/>
        <v>32</v>
      </c>
      <c r="G25" s="57">
        <v>11120432</v>
      </c>
      <c r="H25" s="16" t="s">
        <v>69</v>
      </c>
      <c r="I25" s="17" t="s">
        <v>70</v>
      </c>
      <c r="J25" s="16"/>
      <c r="K25" s="16"/>
      <c r="L25" s="16"/>
      <c r="M25" s="17"/>
    </row>
    <row r="26" spans="1:13" ht="38.25" x14ac:dyDescent="0.25">
      <c r="A26" s="16" t="str">
        <f t="shared" si="0"/>
        <v>1</v>
      </c>
      <c r="B26" s="16" t="str">
        <f t="shared" si="1"/>
        <v>1</v>
      </c>
      <c r="C26" s="16" t="str">
        <f t="shared" si="2"/>
        <v>1</v>
      </c>
      <c r="D26" s="16" t="str">
        <f t="shared" si="3"/>
        <v>2</v>
      </c>
      <c r="E26" s="16" t="str">
        <f t="shared" si="4"/>
        <v>04</v>
      </c>
      <c r="F26" s="16" t="str">
        <f t="shared" si="5"/>
        <v>33</v>
      </c>
      <c r="G26" s="57">
        <v>11120433</v>
      </c>
      <c r="H26" s="16" t="s">
        <v>71</v>
      </c>
      <c r="I26" s="17" t="s">
        <v>72</v>
      </c>
      <c r="J26" s="16"/>
      <c r="K26" s="16"/>
      <c r="L26" s="16"/>
      <c r="M26" s="17"/>
    </row>
    <row r="27" spans="1:13" ht="51" x14ac:dyDescent="0.25">
      <c r="A27" s="16" t="str">
        <f t="shared" si="0"/>
        <v>1</v>
      </c>
      <c r="B27" s="16" t="str">
        <f t="shared" si="1"/>
        <v>1</v>
      </c>
      <c r="C27" s="16" t="str">
        <f t="shared" si="2"/>
        <v>1</v>
      </c>
      <c r="D27" s="16" t="str">
        <f t="shared" si="3"/>
        <v>2</v>
      </c>
      <c r="E27" s="16" t="str">
        <f t="shared" si="4"/>
        <v>04</v>
      </c>
      <c r="F27" s="16" t="str">
        <f t="shared" si="5"/>
        <v>34</v>
      </c>
      <c r="G27" s="57">
        <v>11120434</v>
      </c>
      <c r="H27" s="16" t="s">
        <v>73</v>
      </c>
      <c r="I27" s="17" t="s">
        <v>74</v>
      </c>
      <c r="J27" s="16"/>
      <c r="K27" s="16"/>
      <c r="L27" s="16"/>
      <c r="M27" s="17"/>
    </row>
    <row r="28" spans="1:13" ht="25.5" x14ac:dyDescent="0.25">
      <c r="A28" s="16" t="str">
        <f t="shared" si="0"/>
        <v>1</v>
      </c>
      <c r="B28" s="16" t="str">
        <f t="shared" si="1"/>
        <v>1</v>
      </c>
      <c r="C28" s="16" t="str">
        <f t="shared" si="2"/>
        <v>1</v>
      </c>
      <c r="D28" s="16" t="str">
        <f t="shared" si="3"/>
        <v>2</v>
      </c>
      <c r="E28" s="16" t="str">
        <f t="shared" si="4"/>
        <v>04</v>
      </c>
      <c r="F28" s="16" t="str">
        <f t="shared" si="5"/>
        <v>35</v>
      </c>
      <c r="G28" s="57">
        <v>11120435</v>
      </c>
      <c r="H28" s="16" t="s">
        <v>75</v>
      </c>
      <c r="I28" s="17" t="s">
        <v>76</v>
      </c>
      <c r="J28" s="16"/>
      <c r="K28" s="16"/>
      <c r="L28" s="16"/>
      <c r="M28" s="17"/>
    </row>
    <row r="29" spans="1:13" ht="25.5" x14ac:dyDescent="0.25">
      <c r="A29" s="14" t="str">
        <f t="shared" si="0"/>
        <v>1</v>
      </c>
      <c r="B29" s="14" t="str">
        <f t="shared" si="1"/>
        <v>1</v>
      </c>
      <c r="C29" s="14" t="str">
        <f t="shared" si="2"/>
        <v>1</v>
      </c>
      <c r="D29" s="14" t="str">
        <f t="shared" si="3"/>
        <v>2</v>
      </c>
      <c r="E29" s="14" t="str">
        <f t="shared" si="4"/>
        <v>05</v>
      </c>
      <c r="F29" s="14" t="str">
        <f t="shared" si="5"/>
        <v>00</v>
      </c>
      <c r="G29" s="56">
        <v>11120500</v>
      </c>
      <c r="H29" s="14" t="s">
        <v>77</v>
      </c>
      <c r="I29" s="15" t="s">
        <v>78</v>
      </c>
      <c r="J29" s="14"/>
      <c r="K29" s="14"/>
      <c r="L29" s="14"/>
      <c r="M29" s="14"/>
    </row>
    <row r="30" spans="1:13" ht="38.25" x14ac:dyDescent="0.25">
      <c r="A30" s="14" t="str">
        <f t="shared" si="0"/>
        <v>1</v>
      </c>
      <c r="B30" s="14" t="str">
        <f t="shared" si="1"/>
        <v>1</v>
      </c>
      <c r="C30" s="14" t="str">
        <f t="shared" si="2"/>
        <v>1</v>
      </c>
      <c r="D30" s="14" t="str">
        <f t="shared" si="3"/>
        <v>2</v>
      </c>
      <c r="E30" s="14" t="str">
        <f t="shared" si="4"/>
        <v>07</v>
      </c>
      <c r="F30" s="14" t="str">
        <f t="shared" si="5"/>
        <v>00</v>
      </c>
      <c r="G30" s="56">
        <v>11120700</v>
      </c>
      <c r="H30" s="14" t="s">
        <v>79</v>
      </c>
      <c r="I30" s="15" t="s">
        <v>80</v>
      </c>
      <c r="J30" s="14"/>
      <c r="K30" s="14"/>
      <c r="L30" s="14"/>
      <c r="M30" s="14"/>
    </row>
    <row r="31" spans="1:13" ht="38.25" x14ac:dyDescent="0.25">
      <c r="A31" s="14" t="str">
        <f t="shared" si="0"/>
        <v>1</v>
      </c>
      <c r="B31" s="14" t="str">
        <f t="shared" si="1"/>
        <v>1</v>
      </c>
      <c r="C31" s="14" t="str">
        <f t="shared" si="2"/>
        <v>1</v>
      </c>
      <c r="D31" s="14" t="str">
        <f t="shared" si="3"/>
        <v>2</v>
      </c>
      <c r="E31" s="14" t="str">
        <f t="shared" si="4"/>
        <v>08</v>
      </c>
      <c r="F31" s="14" t="str">
        <f t="shared" si="5"/>
        <v>00</v>
      </c>
      <c r="G31" s="56">
        <v>11120800</v>
      </c>
      <c r="H31" s="14" t="s">
        <v>81</v>
      </c>
      <c r="I31" s="15" t="s">
        <v>82</v>
      </c>
      <c r="J31" s="14"/>
      <c r="K31" s="14"/>
      <c r="L31" s="14"/>
      <c r="M31" s="14"/>
    </row>
    <row r="32" spans="1:13" ht="38.25" x14ac:dyDescent="0.25">
      <c r="A32" s="12" t="str">
        <f t="shared" si="0"/>
        <v>1</v>
      </c>
      <c r="B32" s="12" t="str">
        <f t="shared" si="1"/>
        <v>1</v>
      </c>
      <c r="C32" s="12" t="str">
        <f t="shared" si="2"/>
        <v>1</v>
      </c>
      <c r="D32" s="12" t="str">
        <f t="shared" si="3"/>
        <v>3</v>
      </c>
      <c r="E32" s="12" t="str">
        <f t="shared" si="4"/>
        <v>00</v>
      </c>
      <c r="F32" s="12" t="str">
        <f t="shared" si="5"/>
        <v>00</v>
      </c>
      <c r="G32" s="55">
        <v>11130000</v>
      </c>
      <c r="H32" s="12" t="s">
        <v>83</v>
      </c>
      <c r="I32" s="13" t="s">
        <v>84</v>
      </c>
      <c r="J32" s="12"/>
      <c r="K32" s="12"/>
      <c r="L32" s="12"/>
      <c r="M32" s="13"/>
    </row>
    <row r="33" spans="1:13" ht="38.25" x14ac:dyDescent="0.25">
      <c r="A33" s="14" t="str">
        <f t="shared" si="0"/>
        <v>1</v>
      </c>
      <c r="B33" s="14" t="str">
        <f t="shared" si="1"/>
        <v>1</v>
      </c>
      <c r="C33" s="14" t="str">
        <f t="shared" si="2"/>
        <v>1</v>
      </c>
      <c r="D33" s="14" t="str">
        <f t="shared" si="3"/>
        <v>3</v>
      </c>
      <c r="E33" s="14" t="str">
        <f t="shared" si="4"/>
        <v>01</v>
      </c>
      <c r="F33" s="14" t="str">
        <f t="shared" si="5"/>
        <v>00</v>
      </c>
      <c r="G33" s="56">
        <v>11130100</v>
      </c>
      <c r="H33" s="14" t="s">
        <v>85</v>
      </c>
      <c r="I33" s="15" t="s">
        <v>86</v>
      </c>
      <c r="J33" s="14"/>
      <c r="K33" s="14"/>
      <c r="L33" s="14"/>
      <c r="M33" s="14"/>
    </row>
    <row r="34" spans="1:13" ht="25.5" x14ac:dyDescent="0.25">
      <c r="A34" s="16" t="str">
        <f t="shared" si="0"/>
        <v>1</v>
      </c>
      <c r="B34" s="16" t="str">
        <f t="shared" si="1"/>
        <v>1</v>
      </c>
      <c r="C34" s="16" t="str">
        <f t="shared" si="2"/>
        <v>1</v>
      </c>
      <c r="D34" s="16" t="str">
        <f t="shared" si="3"/>
        <v>3</v>
      </c>
      <c r="E34" s="16" t="str">
        <f t="shared" si="4"/>
        <v>01</v>
      </c>
      <c r="F34" s="16" t="str">
        <f t="shared" si="5"/>
        <v>01</v>
      </c>
      <c r="G34" s="57">
        <v>11130101</v>
      </c>
      <c r="H34" s="16" t="s">
        <v>87</v>
      </c>
      <c r="I34" s="17" t="s">
        <v>88</v>
      </c>
      <c r="J34" s="16"/>
      <c r="K34" s="16"/>
      <c r="L34" s="16"/>
      <c r="M34" s="17"/>
    </row>
    <row r="35" spans="1:13" ht="25.5" x14ac:dyDescent="0.25">
      <c r="A35" s="16" t="str">
        <f t="shared" si="0"/>
        <v>1</v>
      </c>
      <c r="B35" s="16" t="str">
        <f t="shared" si="1"/>
        <v>1</v>
      </c>
      <c r="C35" s="16" t="str">
        <f t="shared" si="2"/>
        <v>1</v>
      </c>
      <c r="D35" s="16" t="str">
        <f t="shared" si="3"/>
        <v>3</v>
      </c>
      <c r="E35" s="16" t="str">
        <f t="shared" si="4"/>
        <v>01</v>
      </c>
      <c r="F35" s="16" t="str">
        <f t="shared" si="5"/>
        <v>02</v>
      </c>
      <c r="G35" s="57">
        <v>11130102</v>
      </c>
      <c r="H35" s="16" t="s">
        <v>89</v>
      </c>
      <c r="I35" s="17" t="s">
        <v>90</v>
      </c>
      <c r="J35" s="16"/>
      <c r="K35" s="16"/>
      <c r="L35" s="16"/>
      <c r="M35" s="17"/>
    </row>
    <row r="36" spans="1:13" ht="25.5" x14ac:dyDescent="0.25">
      <c r="A36" s="16" t="str">
        <f t="shared" si="0"/>
        <v>1</v>
      </c>
      <c r="B36" s="16" t="str">
        <f t="shared" si="1"/>
        <v>1</v>
      </c>
      <c r="C36" s="16" t="str">
        <f t="shared" si="2"/>
        <v>1</v>
      </c>
      <c r="D36" s="16" t="str">
        <f t="shared" si="3"/>
        <v>3</v>
      </c>
      <c r="E36" s="16" t="str">
        <f t="shared" si="4"/>
        <v>01</v>
      </c>
      <c r="F36" s="16" t="str">
        <f t="shared" si="5"/>
        <v>03</v>
      </c>
      <c r="G36" s="57">
        <v>11130103</v>
      </c>
      <c r="H36" s="16" t="s">
        <v>91</v>
      </c>
      <c r="I36" s="17" t="s">
        <v>92</v>
      </c>
      <c r="J36" s="16"/>
      <c r="K36" s="16"/>
      <c r="L36" s="16"/>
      <c r="M36" s="17"/>
    </row>
    <row r="37" spans="1:13" ht="25.5" x14ac:dyDescent="0.25">
      <c r="A37" s="16" t="str">
        <f t="shared" si="0"/>
        <v>1</v>
      </c>
      <c r="B37" s="16" t="str">
        <f t="shared" si="1"/>
        <v>1</v>
      </c>
      <c r="C37" s="16" t="str">
        <f t="shared" si="2"/>
        <v>1</v>
      </c>
      <c r="D37" s="16" t="str">
        <f t="shared" si="3"/>
        <v>3</v>
      </c>
      <c r="E37" s="16" t="str">
        <f t="shared" si="4"/>
        <v>01</v>
      </c>
      <c r="F37" s="16" t="str">
        <f t="shared" si="5"/>
        <v>04</v>
      </c>
      <c r="G37" s="57">
        <v>11130104</v>
      </c>
      <c r="H37" s="16" t="s">
        <v>93</v>
      </c>
      <c r="I37" s="17" t="s">
        <v>94</v>
      </c>
      <c r="J37" s="16"/>
      <c r="K37" s="16"/>
      <c r="L37" s="16"/>
      <c r="M37" s="17"/>
    </row>
    <row r="38" spans="1:13" ht="25.5" x14ac:dyDescent="0.25">
      <c r="A38" s="16" t="str">
        <f t="shared" si="0"/>
        <v>1</v>
      </c>
      <c r="B38" s="16" t="str">
        <f t="shared" si="1"/>
        <v>1</v>
      </c>
      <c r="C38" s="16" t="str">
        <f t="shared" si="2"/>
        <v>1</v>
      </c>
      <c r="D38" s="16" t="str">
        <f t="shared" si="3"/>
        <v>3</v>
      </c>
      <c r="E38" s="16" t="str">
        <f t="shared" si="4"/>
        <v>01</v>
      </c>
      <c r="F38" s="16" t="str">
        <f t="shared" si="5"/>
        <v>09</v>
      </c>
      <c r="G38" s="57">
        <v>11130109</v>
      </c>
      <c r="H38" s="16" t="s">
        <v>95</v>
      </c>
      <c r="I38" s="17" t="s">
        <v>96</v>
      </c>
      <c r="J38" s="16"/>
      <c r="K38" s="16"/>
      <c r="L38" s="16"/>
      <c r="M38" s="17"/>
    </row>
    <row r="39" spans="1:13" ht="25.5" x14ac:dyDescent="0.25">
      <c r="A39" s="16" t="str">
        <f t="shared" si="0"/>
        <v>1</v>
      </c>
      <c r="B39" s="16" t="str">
        <f t="shared" si="1"/>
        <v>1</v>
      </c>
      <c r="C39" s="16" t="str">
        <f t="shared" si="2"/>
        <v>1</v>
      </c>
      <c r="D39" s="16" t="str">
        <f t="shared" si="3"/>
        <v>3</v>
      </c>
      <c r="E39" s="16" t="str">
        <f t="shared" si="4"/>
        <v>01</v>
      </c>
      <c r="F39" s="16" t="str">
        <f t="shared" si="5"/>
        <v>10</v>
      </c>
      <c r="G39" s="57">
        <v>11130110</v>
      </c>
      <c r="H39" s="16" t="s">
        <v>97</v>
      </c>
      <c r="I39" s="17" t="s">
        <v>98</v>
      </c>
      <c r="J39" s="16"/>
      <c r="K39" s="16"/>
      <c r="L39" s="16"/>
      <c r="M39" s="17"/>
    </row>
    <row r="40" spans="1:13" ht="25.5" x14ac:dyDescent="0.25">
      <c r="A40" s="16" t="str">
        <f t="shared" si="0"/>
        <v>1</v>
      </c>
      <c r="B40" s="16" t="str">
        <f t="shared" si="1"/>
        <v>1</v>
      </c>
      <c r="C40" s="16" t="str">
        <f t="shared" si="2"/>
        <v>1</v>
      </c>
      <c r="D40" s="16" t="str">
        <f t="shared" si="3"/>
        <v>3</v>
      </c>
      <c r="E40" s="16" t="str">
        <f t="shared" si="4"/>
        <v>01</v>
      </c>
      <c r="F40" s="16" t="str">
        <f t="shared" si="5"/>
        <v>11</v>
      </c>
      <c r="G40" s="57">
        <v>11130111</v>
      </c>
      <c r="H40" s="16" t="s">
        <v>99</v>
      </c>
      <c r="I40" s="17" t="s">
        <v>100</v>
      </c>
      <c r="J40" s="16"/>
      <c r="K40" s="16"/>
      <c r="L40" s="16"/>
      <c r="M40" s="17"/>
    </row>
    <row r="41" spans="1:13" ht="63.75" x14ac:dyDescent="0.25">
      <c r="A41" s="14" t="str">
        <f t="shared" si="0"/>
        <v>1</v>
      </c>
      <c r="B41" s="14" t="str">
        <f t="shared" si="1"/>
        <v>1</v>
      </c>
      <c r="C41" s="14" t="str">
        <f t="shared" si="2"/>
        <v>1</v>
      </c>
      <c r="D41" s="14" t="str">
        <f t="shared" si="3"/>
        <v>3</v>
      </c>
      <c r="E41" s="14" t="str">
        <f t="shared" si="4"/>
        <v>02</v>
      </c>
      <c r="F41" s="14" t="str">
        <f t="shared" si="5"/>
        <v>00</v>
      </c>
      <c r="G41" s="56">
        <v>11130200</v>
      </c>
      <c r="H41" s="14" t="s">
        <v>101</v>
      </c>
      <c r="I41" s="15" t="s">
        <v>102</v>
      </c>
      <c r="J41" s="14"/>
      <c r="K41" s="14"/>
      <c r="L41" s="14"/>
      <c r="M41" s="14"/>
    </row>
    <row r="42" spans="1:13" ht="63.75" x14ac:dyDescent="0.25">
      <c r="A42" s="16" t="str">
        <f t="shared" si="0"/>
        <v>1</v>
      </c>
      <c r="B42" s="16" t="str">
        <f t="shared" si="1"/>
        <v>1</v>
      </c>
      <c r="C42" s="16" t="str">
        <f t="shared" si="2"/>
        <v>1</v>
      </c>
      <c r="D42" s="16" t="str">
        <f t="shared" si="3"/>
        <v>3</v>
      </c>
      <c r="E42" s="16" t="str">
        <f t="shared" si="4"/>
        <v>02</v>
      </c>
      <c r="F42" s="16" t="str">
        <f t="shared" si="5"/>
        <v>01</v>
      </c>
      <c r="G42" s="57">
        <v>11130201</v>
      </c>
      <c r="H42" s="16" t="s">
        <v>101</v>
      </c>
      <c r="I42" s="17" t="s">
        <v>103</v>
      </c>
      <c r="J42" s="16"/>
      <c r="K42" s="16"/>
      <c r="L42" s="16"/>
      <c r="M42" s="17"/>
    </row>
    <row r="43" spans="1:13" ht="38.25" x14ac:dyDescent="0.25">
      <c r="A43" s="16" t="str">
        <f t="shared" si="0"/>
        <v>1</v>
      </c>
      <c r="B43" s="16" t="str">
        <f t="shared" si="1"/>
        <v>1</v>
      </c>
      <c r="C43" s="16" t="str">
        <f t="shared" si="2"/>
        <v>1</v>
      </c>
      <c r="D43" s="16" t="str">
        <f t="shared" si="3"/>
        <v>3</v>
      </c>
      <c r="E43" s="16" t="str">
        <f t="shared" si="4"/>
        <v>02</v>
      </c>
      <c r="F43" s="16" t="str">
        <f t="shared" si="5"/>
        <v>02</v>
      </c>
      <c r="G43" s="57">
        <v>11130202</v>
      </c>
      <c r="H43" s="16" t="s">
        <v>104</v>
      </c>
      <c r="I43" s="17" t="s">
        <v>105</v>
      </c>
      <c r="J43" s="16"/>
      <c r="K43" s="16"/>
      <c r="L43" s="16"/>
      <c r="M43" s="17"/>
    </row>
    <row r="44" spans="1:13" ht="38.25" x14ac:dyDescent="0.25">
      <c r="A44" s="14" t="str">
        <f t="shared" si="0"/>
        <v>1</v>
      </c>
      <c r="B44" s="14" t="str">
        <f t="shared" si="1"/>
        <v>1</v>
      </c>
      <c r="C44" s="14" t="str">
        <f t="shared" si="2"/>
        <v>1</v>
      </c>
      <c r="D44" s="14" t="str">
        <f t="shared" si="3"/>
        <v>3</v>
      </c>
      <c r="E44" s="14" t="str">
        <f t="shared" si="4"/>
        <v>03</v>
      </c>
      <c r="F44" s="14" t="str">
        <f t="shared" si="5"/>
        <v>00</v>
      </c>
      <c r="G44" s="56">
        <v>11130300</v>
      </c>
      <c r="H44" s="14" t="s">
        <v>106</v>
      </c>
      <c r="I44" s="15" t="s">
        <v>107</v>
      </c>
      <c r="J44" s="14"/>
      <c r="K44" s="14"/>
      <c r="L44" s="14"/>
      <c r="M44" s="14"/>
    </row>
    <row r="45" spans="1:13" ht="25.5" x14ac:dyDescent="0.25">
      <c r="A45" s="16" t="str">
        <f t="shared" si="0"/>
        <v>1</v>
      </c>
      <c r="B45" s="16" t="str">
        <f t="shared" si="1"/>
        <v>1</v>
      </c>
      <c r="C45" s="16" t="str">
        <f t="shared" si="2"/>
        <v>1</v>
      </c>
      <c r="D45" s="16" t="str">
        <f t="shared" si="3"/>
        <v>3</v>
      </c>
      <c r="E45" s="16" t="str">
        <f t="shared" si="4"/>
        <v>03</v>
      </c>
      <c r="F45" s="16" t="str">
        <f t="shared" si="5"/>
        <v>01</v>
      </c>
      <c r="G45" s="57">
        <v>11130301</v>
      </c>
      <c r="H45" s="16" t="s">
        <v>108</v>
      </c>
      <c r="I45" s="17" t="s">
        <v>109</v>
      </c>
      <c r="J45" s="16"/>
      <c r="K45" s="16"/>
      <c r="L45" s="16"/>
      <c r="M45" s="17"/>
    </row>
    <row r="46" spans="1:13" ht="51" x14ac:dyDescent="0.25">
      <c r="A46" s="16" t="str">
        <f t="shared" si="0"/>
        <v>1</v>
      </c>
      <c r="B46" s="16" t="str">
        <f t="shared" si="1"/>
        <v>1</v>
      </c>
      <c r="C46" s="16" t="str">
        <f t="shared" si="2"/>
        <v>1</v>
      </c>
      <c r="D46" s="16" t="str">
        <f t="shared" si="3"/>
        <v>3</v>
      </c>
      <c r="E46" s="16" t="str">
        <f t="shared" si="4"/>
        <v>03</v>
      </c>
      <c r="F46" s="16" t="str">
        <f t="shared" si="5"/>
        <v>02</v>
      </c>
      <c r="G46" s="57">
        <v>11130302</v>
      </c>
      <c r="H46" s="16" t="s">
        <v>110</v>
      </c>
      <c r="I46" s="17" t="s">
        <v>111</v>
      </c>
      <c r="J46" s="16"/>
      <c r="K46" s="16"/>
      <c r="L46" s="16"/>
      <c r="M46" s="17"/>
    </row>
    <row r="47" spans="1:13" ht="38.25" x14ac:dyDescent="0.25">
      <c r="A47" s="16" t="str">
        <f t="shared" si="0"/>
        <v>1</v>
      </c>
      <c r="B47" s="16" t="str">
        <f t="shared" si="1"/>
        <v>1</v>
      </c>
      <c r="C47" s="16" t="str">
        <f t="shared" si="2"/>
        <v>1</v>
      </c>
      <c r="D47" s="16" t="str">
        <f t="shared" si="3"/>
        <v>3</v>
      </c>
      <c r="E47" s="16" t="str">
        <f t="shared" si="4"/>
        <v>03</v>
      </c>
      <c r="F47" s="16" t="str">
        <f t="shared" si="5"/>
        <v>09</v>
      </c>
      <c r="G47" s="57">
        <v>11130309</v>
      </c>
      <c r="H47" s="16" t="s">
        <v>112</v>
      </c>
      <c r="I47" s="17" t="s">
        <v>113</v>
      </c>
      <c r="J47" s="16"/>
      <c r="K47" s="16"/>
      <c r="L47" s="16"/>
      <c r="M47" s="17"/>
    </row>
    <row r="48" spans="1:13" ht="51" x14ac:dyDescent="0.25">
      <c r="A48" s="16" t="str">
        <f t="shared" si="0"/>
        <v>1</v>
      </c>
      <c r="B48" s="16" t="str">
        <f t="shared" si="1"/>
        <v>1</v>
      </c>
      <c r="C48" s="16" t="str">
        <f t="shared" si="2"/>
        <v>1</v>
      </c>
      <c r="D48" s="16" t="str">
        <f t="shared" si="3"/>
        <v>3</v>
      </c>
      <c r="E48" s="16" t="str">
        <f t="shared" si="4"/>
        <v>03</v>
      </c>
      <c r="F48" s="16" t="str">
        <f t="shared" si="5"/>
        <v>10</v>
      </c>
      <c r="G48" s="57">
        <v>11130310</v>
      </c>
      <c r="H48" s="16" t="s">
        <v>114</v>
      </c>
      <c r="I48" s="17" t="s">
        <v>115</v>
      </c>
      <c r="J48" s="16"/>
      <c r="K48" s="16"/>
      <c r="L48" s="16"/>
      <c r="M48" s="17"/>
    </row>
    <row r="49" spans="1:13" ht="25.5" x14ac:dyDescent="0.25">
      <c r="A49" s="14" t="str">
        <f t="shared" si="0"/>
        <v>1</v>
      </c>
      <c r="B49" s="14" t="str">
        <f t="shared" si="1"/>
        <v>1</v>
      </c>
      <c r="C49" s="14" t="str">
        <f t="shared" si="2"/>
        <v>1</v>
      </c>
      <c r="D49" s="14" t="str">
        <f t="shared" si="3"/>
        <v>3</v>
      </c>
      <c r="E49" s="14" t="str">
        <f t="shared" si="4"/>
        <v>05</v>
      </c>
      <c r="F49" s="14" t="str">
        <f t="shared" si="5"/>
        <v>00</v>
      </c>
      <c r="G49" s="56">
        <v>11130500</v>
      </c>
      <c r="H49" s="14" t="s">
        <v>116</v>
      </c>
      <c r="I49" s="15" t="s">
        <v>117</v>
      </c>
      <c r="J49" s="14"/>
      <c r="K49" s="14"/>
      <c r="L49" s="14"/>
      <c r="M49" s="14"/>
    </row>
    <row r="50" spans="1:13" ht="38.25" x14ac:dyDescent="0.25">
      <c r="A50" s="16" t="str">
        <f t="shared" si="0"/>
        <v>1</v>
      </c>
      <c r="B50" s="16" t="str">
        <f t="shared" si="1"/>
        <v>1</v>
      </c>
      <c r="C50" s="16" t="str">
        <f t="shared" si="2"/>
        <v>1</v>
      </c>
      <c r="D50" s="16" t="str">
        <f t="shared" si="3"/>
        <v>3</v>
      </c>
      <c r="E50" s="16" t="str">
        <f t="shared" si="4"/>
        <v>05</v>
      </c>
      <c r="F50" s="16" t="str">
        <f t="shared" si="5"/>
        <v>01</v>
      </c>
      <c r="G50" s="57">
        <v>11130501</v>
      </c>
      <c r="H50" s="16" t="s">
        <v>116</v>
      </c>
      <c r="I50" s="17" t="s">
        <v>118</v>
      </c>
      <c r="J50" s="16"/>
      <c r="K50" s="16"/>
      <c r="L50" s="16"/>
      <c r="M50" s="17"/>
    </row>
    <row r="51" spans="1:13" ht="25.5" x14ac:dyDescent="0.25">
      <c r="A51" s="16" t="str">
        <f t="shared" si="0"/>
        <v>1</v>
      </c>
      <c r="B51" s="16" t="str">
        <f t="shared" si="1"/>
        <v>1</v>
      </c>
      <c r="C51" s="16" t="str">
        <f t="shared" si="2"/>
        <v>1</v>
      </c>
      <c r="D51" s="16" t="str">
        <f t="shared" si="3"/>
        <v>3</v>
      </c>
      <c r="E51" s="16" t="str">
        <f t="shared" si="4"/>
        <v>05</v>
      </c>
      <c r="F51" s="16" t="str">
        <f t="shared" si="5"/>
        <v>02</v>
      </c>
      <c r="G51" s="57">
        <v>11130502</v>
      </c>
      <c r="H51" s="16" t="s">
        <v>119</v>
      </c>
      <c r="I51" s="17" t="s">
        <v>120</v>
      </c>
      <c r="J51" s="16"/>
      <c r="K51" s="16"/>
      <c r="L51" s="16"/>
      <c r="M51" s="17"/>
    </row>
    <row r="52" spans="1:13" ht="25.5" x14ac:dyDescent="0.25">
      <c r="A52" s="12" t="str">
        <f t="shared" si="0"/>
        <v>1</v>
      </c>
      <c r="B52" s="12" t="str">
        <f t="shared" si="1"/>
        <v>1</v>
      </c>
      <c r="C52" s="12" t="str">
        <f t="shared" si="2"/>
        <v>1</v>
      </c>
      <c r="D52" s="12" t="str">
        <f t="shared" si="3"/>
        <v>5</v>
      </c>
      <c r="E52" s="12" t="str">
        <f t="shared" si="4"/>
        <v>00</v>
      </c>
      <c r="F52" s="12" t="str">
        <f t="shared" si="5"/>
        <v>00</v>
      </c>
      <c r="G52" s="55">
        <v>11150000</v>
      </c>
      <c r="H52" s="12" t="s">
        <v>121</v>
      </c>
      <c r="I52" s="13" t="s">
        <v>122</v>
      </c>
      <c r="J52" s="12"/>
      <c r="K52" s="12"/>
      <c r="L52" s="12"/>
      <c r="M52" s="13"/>
    </row>
    <row r="53" spans="1:13" ht="38.25" x14ac:dyDescent="0.25">
      <c r="A53" s="10" t="str">
        <f t="shared" si="0"/>
        <v>1</v>
      </c>
      <c r="B53" s="10" t="str">
        <f t="shared" si="1"/>
        <v>1</v>
      </c>
      <c r="C53" s="10" t="str">
        <f t="shared" si="2"/>
        <v>2</v>
      </c>
      <c r="D53" s="10" t="str">
        <f t="shared" si="3"/>
        <v>0</v>
      </c>
      <c r="E53" s="10" t="str">
        <f t="shared" si="4"/>
        <v>00</v>
      </c>
      <c r="F53" s="10" t="str">
        <f t="shared" si="5"/>
        <v>00</v>
      </c>
      <c r="G53" s="54">
        <v>11200000</v>
      </c>
      <c r="H53" s="10" t="s">
        <v>123</v>
      </c>
      <c r="I53" s="11" t="s">
        <v>124</v>
      </c>
      <c r="J53" s="10"/>
      <c r="K53" s="10"/>
      <c r="L53" s="10"/>
      <c r="M53" s="11"/>
    </row>
    <row r="54" spans="1:13" ht="63.75" x14ac:dyDescent="0.25">
      <c r="A54" s="12" t="str">
        <f t="shared" si="0"/>
        <v>1</v>
      </c>
      <c r="B54" s="12" t="str">
        <f t="shared" si="1"/>
        <v>1</v>
      </c>
      <c r="C54" s="12" t="str">
        <f t="shared" si="2"/>
        <v>2</v>
      </c>
      <c r="D54" s="12" t="str">
        <f t="shared" si="3"/>
        <v>1</v>
      </c>
      <c r="E54" s="12" t="str">
        <f t="shared" si="4"/>
        <v>00</v>
      </c>
      <c r="F54" s="12" t="str">
        <f t="shared" si="5"/>
        <v>00</v>
      </c>
      <c r="G54" s="55">
        <v>11210000</v>
      </c>
      <c r="H54" s="12" t="s">
        <v>125</v>
      </c>
      <c r="I54" s="13" t="s">
        <v>126</v>
      </c>
      <c r="J54" s="12"/>
      <c r="K54" s="12"/>
      <c r="L54" s="12"/>
      <c r="M54" s="13"/>
    </row>
    <row r="55" spans="1:13" ht="25.5" x14ac:dyDescent="0.25">
      <c r="A55" s="14" t="str">
        <f t="shared" si="0"/>
        <v>1</v>
      </c>
      <c r="B55" s="14" t="str">
        <f t="shared" si="1"/>
        <v>1</v>
      </c>
      <c r="C55" s="14" t="str">
        <f t="shared" si="2"/>
        <v>2</v>
      </c>
      <c r="D55" s="14" t="str">
        <f t="shared" si="3"/>
        <v>1</v>
      </c>
      <c r="E55" s="14" t="str">
        <f t="shared" si="4"/>
        <v>01</v>
      </c>
      <c r="F55" s="14" t="str">
        <f t="shared" si="5"/>
        <v>00</v>
      </c>
      <c r="G55" s="56">
        <v>11210100</v>
      </c>
      <c r="H55" s="14" t="s">
        <v>127</v>
      </c>
      <c r="I55" s="15" t="s">
        <v>128</v>
      </c>
      <c r="J55" s="14"/>
      <c r="K55" s="14"/>
      <c r="L55" s="14"/>
      <c r="M55" s="14"/>
    </row>
    <row r="56" spans="1:13" ht="51" x14ac:dyDescent="0.25">
      <c r="A56" s="14" t="str">
        <f t="shared" si="0"/>
        <v>1</v>
      </c>
      <c r="B56" s="14" t="str">
        <f t="shared" si="1"/>
        <v>1</v>
      </c>
      <c r="C56" s="14" t="str">
        <f t="shared" si="2"/>
        <v>2</v>
      </c>
      <c r="D56" s="14" t="str">
        <f t="shared" si="3"/>
        <v>1</v>
      </c>
      <c r="E56" s="14" t="str">
        <f t="shared" si="4"/>
        <v>02</v>
      </c>
      <c r="F56" s="14" t="str">
        <f t="shared" si="5"/>
        <v>00</v>
      </c>
      <c r="G56" s="56">
        <v>11210200</v>
      </c>
      <c r="H56" s="14" t="s">
        <v>129</v>
      </c>
      <c r="I56" s="15" t="s">
        <v>130</v>
      </c>
      <c r="J56" s="14"/>
      <c r="K56" s="14"/>
      <c r="L56" s="14"/>
      <c r="M56" s="14"/>
    </row>
    <row r="57" spans="1:13" ht="25.5" x14ac:dyDescent="0.25">
      <c r="A57" s="16" t="str">
        <f t="shared" si="0"/>
        <v>1</v>
      </c>
      <c r="B57" s="16" t="str">
        <f t="shared" si="1"/>
        <v>1</v>
      </c>
      <c r="C57" s="16" t="str">
        <f t="shared" si="2"/>
        <v>2</v>
      </c>
      <c r="D57" s="16" t="str">
        <f t="shared" si="3"/>
        <v>1</v>
      </c>
      <c r="E57" s="16" t="str">
        <f t="shared" si="4"/>
        <v>02</v>
      </c>
      <c r="F57" s="16" t="str">
        <f t="shared" si="5"/>
        <v>01</v>
      </c>
      <c r="G57" s="57">
        <v>11210201</v>
      </c>
      <c r="H57" s="16" t="s">
        <v>131</v>
      </c>
      <c r="I57" s="17" t="s">
        <v>132</v>
      </c>
      <c r="J57" s="16"/>
      <c r="K57" s="16"/>
      <c r="L57" s="16"/>
      <c r="M57" s="17"/>
    </row>
    <row r="58" spans="1:13" ht="25.5" x14ac:dyDescent="0.25">
      <c r="A58" s="16" t="str">
        <f t="shared" si="0"/>
        <v>1</v>
      </c>
      <c r="B58" s="16" t="str">
        <f t="shared" si="1"/>
        <v>1</v>
      </c>
      <c r="C58" s="16" t="str">
        <f t="shared" si="2"/>
        <v>2</v>
      </c>
      <c r="D58" s="16" t="str">
        <f t="shared" si="3"/>
        <v>1</v>
      </c>
      <c r="E58" s="16" t="str">
        <f t="shared" si="4"/>
        <v>02</v>
      </c>
      <c r="F58" s="16" t="str">
        <f t="shared" si="5"/>
        <v>02</v>
      </c>
      <c r="G58" s="57">
        <v>11210202</v>
      </c>
      <c r="H58" s="16" t="s">
        <v>133</v>
      </c>
      <c r="I58" s="17" t="s">
        <v>134</v>
      </c>
      <c r="J58" s="16"/>
      <c r="K58" s="16"/>
      <c r="L58" s="16"/>
      <c r="M58" s="17"/>
    </row>
    <row r="59" spans="1:13" ht="51" x14ac:dyDescent="0.25">
      <c r="A59" s="14" t="str">
        <f t="shared" si="0"/>
        <v>1</v>
      </c>
      <c r="B59" s="14" t="str">
        <f t="shared" si="1"/>
        <v>1</v>
      </c>
      <c r="C59" s="14" t="str">
        <f t="shared" si="2"/>
        <v>2</v>
      </c>
      <c r="D59" s="14" t="str">
        <f t="shared" si="3"/>
        <v>1</v>
      </c>
      <c r="E59" s="14" t="str">
        <f t="shared" si="4"/>
        <v>03</v>
      </c>
      <c r="F59" s="14" t="str">
        <f t="shared" si="5"/>
        <v>00</v>
      </c>
      <c r="G59" s="56">
        <v>11210300</v>
      </c>
      <c r="H59" s="14" t="s">
        <v>135</v>
      </c>
      <c r="I59" s="15" t="s">
        <v>136</v>
      </c>
      <c r="J59" s="14"/>
      <c r="K59" s="14"/>
      <c r="L59" s="14"/>
      <c r="M59" s="14"/>
    </row>
    <row r="60" spans="1:13" x14ac:dyDescent="0.25">
      <c r="A60" s="14" t="str">
        <f t="shared" si="0"/>
        <v>1</v>
      </c>
      <c r="B60" s="14" t="str">
        <f t="shared" si="1"/>
        <v>1</v>
      </c>
      <c r="C60" s="14" t="str">
        <f t="shared" si="2"/>
        <v>2</v>
      </c>
      <c r="D60" s="14" t="str">
        <f t="shared" si="3"/>
        <v>1</v>
      </c>
      <c r="E60" s="14" t="str">
        <f t="shared" si="4"/>
        <v>04</v>
      </c>
      <c r="F60" s="14" t="str">
        <f t="shared" si="5"/>
        <v>00</v>
      </c>
      <c r="G60" s="56">
        <v>11210400</v>
      </c>
      <c r="H60" s="14" t="s">
        <v>137</v>
      </c>
      <c r="I60" s="15" t="s">
        <v>138</v>
      </c>
      <c r="J60" s="14"/>
      <c r="K60" s="14"/>
      <c r="L60" s="14"/>
      <c r="M60" s="14"/>
    </row>
    <row r="61" spans="1:13" ht="25.5" x14ac:dyDescent="0.25">
      <c r="A61" s="16" t="str">
        <f t="shared" si="0"/>
        <v>1</v>
      </c>
      <c r="B61" s="16" t="str">
        <f t="shared" si="1"/>
        <v>1</v>
      </c>
      <c r="C61" s="16" t="str">
        <f t="shared" si="2"/>
        <v>2</v>
      </c>
      <c r="D61" s="16" t="str">
        <f t="shared" si="3"/>
        <v>1</v>
      </c>
      <c r="E61" s="16" t="str">
        <f t="shared" si="4"/>
        <v>04</v>
      </c>
      <c r="F61" s="16" t="str">
        <f t="shared" si="5"/>
        <v>01</v>
      </c>
      <c r="G61" s="57">
        <v>11210401</v>
      </c>
      <c r="H61" s="16" t="s">
        <v>139</v>
      </c>
      <c r="I61" s="17" t="s">
        <v>140</v>
      </c>
      <c r="J61" s="16"/>
      <c r="K61" s="16"/>
      <c r="L61" s="16"/>
      <c r="M61" s="17"/>
    </row>
    <row r="62" spans="1:13" ht="25.5" x14ac:dyDescent="0.25">
      <c r="A62" s="16" t="str">
        <f t="shared" si="0"/>
        <v>1</v>
      </c>
      <c r="B62" s="16" t="str">
        <f t="shared" si="1"/>
        <v>1</v>
      </c>
      <c r="C62" s="16" t="str">
        <f t="shared" si="2"/>
        <v>2</v>
      </c>
      <c r="D62" s="16" t="str">
        <f t="shared" si="3"/>
        <v>1</v>
      </c>
      <c r="E62" s="16" t="str">
        <f t="shared" si="4"/>
        <v>04</v>
      </c>
      <c r="F62" s="16" t="str">
        <f t="shared" si="5"/>
        <v>02</v>
      </c>
      <c r="G62" s="57">
        <v>11210402</v>
      </c>
      <c r="H62" s="16" t="s">
        <v>141</v>
      </c>
      <c r="I62" s="17" t="s">
        <v>142</v>
      </c>
      <c r="J62" s="16"/>
      <c r="K62" s="16"/>
      <c r="L62" s="16"/>
      <c r="M62" s="17"/>
    </row>
    <row r="63" spans="1:13" ht="25.5" x14ac:dyDescent="0.25">
      <c r="A63" s="14" t="str">
        <f t="shared" si="0"/>
        <v>1</v>
      </c>
      <c r="B63" s="14" t="str">
        <f t="shared" si="1"/>
        <v>1</v>
      </c>
      <c r="C63" s="14" t="str">
        <f t="shared" si="2"/>
        <v>2</v>
      </c>
      <c r="D63" s="14" t="str">
        <f t="shared" si="3"/>
        <v>1</v>
      </c>
      <c r="E63" s="14" t="str">
        <f t="shared" si="4"/>
        <v>05</v>
      </c>
      <c r="F63" s="14" t="str">
        <f t="shared" si="5"/>
        <v>00</v>
      </c>
      <c r="G63" s="56">
        <v>11210500</v>
      </c>
      <c r="H63" s="14" t="s">
        <v>143</v>
      </c>
      <c r="I63" s="15" t="s">
        <v>144</v>
      </c>
      <c r="J63" s="14"/>
      <c r="K63" s="14"/>
      <c r="L63" s="14"/>
      <c r="M63" s="14"/>
    </row>
    <row r="64" spans="1:13" ht="38.25" x14ac:dyDescent="0.25">
      <c r="A64" s="14" t="str">
        <f t="shared" si="0"/>
        <v>1</v>
      </c>
      <c r="B64" s="14" t="str">
        <f t="shared" si="1"/>
        <v>1</v>
      </c>
      <c r="C64" s="14" t="str">
        <f t="shared" si="2"/>
        <v>2</v>
      </c>
      <c r="D64" s="14" t="str">
        <f t="shared" si="3"/>
        <v>1</v>
      </c>
      <c r="E64" s="14" t="str">
        <f t="shared" si="4"/>
        <v>10</v>
      </c>
      <c r="F64" s="14" t="str">
        <f t="shared" si="5"/>
        <v>00</v>
      </c>
      <c r="G64" s="56">
        <v>11211000</v>
      </c>
      <c r="H64" s="14" t="s">
        <v>145</v>
      </c>
      <c r="I64" s="15" t="s">
        <v>146</v>
      </c>
      <c r="J64" s="14"/>
      <c r="K64" s="14"/>
      <c r="L64" s="14"/>
      <c r="M64" s="14"/>
    </row>
    <row r="65" spans="1:13" ht="25.5" x14ac:dyDescent="0.25">
      <c r="A65" s="14" t="str">
        <f t="shared" si="0"/>
        <v>1</v>
      </c>
      <c r="B65" s="14" t="str">
        <f t="shared" si="1"/>
        <v>1</v>
      </c>
      <c r="C65" s="14" t="str">
        <f t="shared" si="2"/>
        <v>2</v>
      </c>
      <c r="D65" s="14" t="str">
        <f t="shared" si="3"/>
        <v>1</v>
      </c>
      <c r="E65" s="14" t="str">
        <f t="shared" si="4"/>
        <v>11</v>
      </c>
      <c r="F65" s="14" t="str">
        <f t="shared" si="5"/>
        <v>00</v>
      </c>
      <c r="G65" s="56">
        <v>11211100</v>
      </c>
      <c r="H65" s="14" t="s">
        <v>147</v>
      </c>
      <c r="I65" s="15" t="s">
        <v>148</v>
      </c>
      <c r="J65" s="14"/>
      <c r="K65" s="14"/>
      <c r="L65" s="14"/>
      <c r="M65" s="14"/>
    </row>
    <row r="66" spans="1:13" ht="38.25" x14ac:dyDescent="0.25">
      <c r="A66" s="14" t="str">
        <f t="shared" si="0"/>
        <v>1</v>
      </c>
      <c r="B66" s="14" t="str">
        <f t="shared" si="1"/>
        <v>1</v>
      </c>
      <c r="C66" s="14" t="str">
        <f t="shared" si="2"/>
        <v>2</v>
      </c>
      <c r="D66" s="14" t="str">
        <f t="shared" si="3"/>
        <v>1</v>
      </c>
      <c r="E66" s="14" t="str">
        <f t="shared" si="4"/>
        <v>13</v>
      </c>
      <c r="F66" s="14" t="str">
        <f t="shared" si="5"/>
        <v>00</v>
      </c>
      <c r="G66" s="56">
        <v>11211300</v>
      </c>
      <c r="H66" s="14" t="s">
        <v>149</v>
      </c>
      <c r="I66" s="15" t="s">
        <v>150</v>
      </c>
      <c r="J66" s="14"/>
      <c r="K66" s="14" t="s">
        <v>151</v>
      </c>
      <c r="L66" s="14" t="s">
        <v>152</v>
      </c>
      <c r="M66" s="14"/>
    </row>
    <row r="67" spans="1:13" ht="51" x14ac:dyDescent="0.25">
      <c r="A67" s="14" t="str">
        <f t="shared" si="0"/>
        <v>1</v>
      </c>
      <c r="B67" s="14" t="str">
        <f t="shared" si="1"/>
        <v>1</v>
      </c>
      <c r="C67" s="14" t="str">
        <f t="shared" si="2"/>
        <v>2</v>
      </c>
      <c r="D67" s="14" t="str">
        <f t="shared" si="3"/>
        <v>1</v>
      </c>
      <c r="E67" s="14" t="str">
        <f t="shared" si="4"/>
        <v>14</v>
      </c>
      <c r="F67" s="14" t="str">
        <f t="shared" si="5"/>
        <v>00</v>
      </c>
      <c r="G67" s="56">
        <v>11211400</v>
      </c>
      <c r="H67" s="14" t="s">
        <v>153</v>
      </c>
      <c r="I67" s="15" t="s">
        <v>154</v>
      </c>
      <c r="J67" s="14"/>
      <c r="K67" s="14"/>
      <c r="L67" s="14"/>
      <c r="M67" s="14"/>
    </row>
    <row r="68" spans="1:13" ht="38.25" x14ac:dyDescent="0.25">
      <c r="A68" s="14" t="str">
        <f t="shared" ref="A68:A131" si="6">MID(G68,1,1)</f>
        <v>1</v>
      </c>
      <c r="B68" s="14" t="str">
        <f t="shared" ref="B68:B131" si="7">MID(G68,2,1)</f>
        <v>1</v>
      </c>
      <c r="C68" s="14" t="str">
        <f t="shared" ref="C68:C131" si="8">MID(G68,3,1)</f>
        <v>2</v>
      </c>
      <c r="D68" s="14" t="str">
        <f t="shared" ref="D68:D131" si="9">MID(G68,4,1)</f>
        <v>1</v>
      </c>
      <c r="E68" s="14" t="str">
        <f t="shared" ref="E68:E131" si="10">MID(G68,5,2)</f>
        <v>15</v>
      </c>
      <c r="F68" s="14" t="str">
        <f t="shared" ref="F68:F131" si="11">MID(G68,7,2)</f>
        <v>00</v>
      </c>
      <c r="G68" s="56">
        <v>11211500</v>
      </c>
      <c r="H68" s="14" t="s">
        <v>155</v>
      </c>
      <c r="I68" s="15" t="s">
        <v>156</v>
      </c>
      <c r="J68" s="14"/>
      <c r="K68" s="14"/>
      <c r="L68" s="14"/>
      <c r="M68" s="14"/>
    </row>
    <row r="69" spans="1:13" ht="38.25" x14ac:dyDescent="0.25">
      <c r="A69" s="14" t="str">
        <f t="shared" si="6"/>
        <v>1</v>
      </c>
      <c r="B69" s="14" t="str">
        <f t="shared" si="7"/>
        <v>1</v>
      </c>
      <c r="C69" s="14" t="str">
        <f t="shared" si="8"/>
        <v>2</v>
      </c>
      <c r="D69" s="14" t="str">
        <f t="shared" si="9"/>
        <v>1</v>
      </c>
      <c r="E69" s="14" t="str">
        <f t="shared" si="10"/>
        <v>16</v>
      </c>
      <c r="F69" s="14" t="str">
        <f t="shared" si="11"/>
        <v>00</v>
      </c>
      <c r="G69" s="56">
        <v>11211600</v>
      </c>
      <c r="H69" s="14" t="s">
        <v>157</v>
      </c>
      <c r="I69" s="15" t="s">
        <v>158</v>
      </c>
      <c r="J69" s="14"/>
      <c r="K69" s="14"/>
      <c r="L69" s="14"/>
      <c r="M69" s="14"/>
    </row>
    <row r="70" spans="1:13" ht="38.25" x14ac:dyDescent="0.25">
      <c r="A70" s="14" t="str">
        <f t="shared" si="6"/>
        <v>1</v>
      </c>
      <c r="B70" s="14" t="str">
        <f t="shared" si="7"/>
        <v>1</v>
      </c>
      <c r="C70" s="14" t="str">
        <f t="shared" si="8"/>
        <v>2</v>
      </c>
      <c r="D70" s="14" t="str">
        <f t="shared" si="9"/>
        <v>1</v>
      </c>
      <c r="E70" s="14" t="str">
        <f t="shared" si="10"/>
        <v>17</v>
      </c>
      <c r="F70" s="14" t="str">
        <f t="shared" si="11"/>
        <v>00</v>
      </c>
      <c r="G70" s="56">
        <v>11211700</v>
      </c>
      <c r="H70" s="14" t="s">
        <v>159</v>
      </c>
      <c r="I70" s="15" t="s">
        <v>160</v>
      </c>
      <c r="J70" s="14"/>
      <c r="K70" s="14"/>
      <c r="L70" s="14"/>
      <c r="M70" s="14"/>
    </row>
    <row r="71" spans="1:13" ht="38.25" x14ac:dyDescent="0.25">
      <c r="A71" s="14" t="str">
        <f t="shared" si="6"/>
        <v>1</v>
      </c>
      <c r="B71" s="14" t="str">
        <f t="shared" si="7"/>
        <v>1</v>
      </c>
      <c r="C71" s="14" t="str">
        <f t="shared" si="8"/>
        <v>2</v>
      </c>
      <c r="D71" s="14" t="str">
        <f t="shared" si="9"/>
        <v>1</v>
      </c>
      <c r="E71" s="14" t="str">
        <f t="shared" si="10"/>
        <v>20</v>
      </c>
      <c r="F71" s="14" t="str">
        <f t="shared" si="11"/>
        <v>00</v>
      </c>
      <c r="G71" s="56">
        <v>11212000</v>
      </c>
      <c r="H71" s="14" t="s">
        <v>161</v>
      </c>
      <c r="I71" s="15" t="s">
        <v>162</v>
      </c>
      <c r="J71" s="14"/>
      <c r="K71" s="14"/>
      <c r="L71" s="14"/>
      <c r="M71" s="14"/>
    </row>
    <row r="72" spans="1:13" ht="38.25" x14ac:dyDescent="0.25">
      <c r="A72" s="16" t="str">
        <f t="shared" si="6"/>
        <v>1</v>
      </c>
      <c r="B72" s="16" t="str">
        <f t="shared" si="7"/>
        <v>1</v>
      </c>
      <c r="C72" s="16" t="str">
        <f t="shared" si="8"/>
        <v>2</v>
      </c>
      <c r="D72" s="16" t="str">
        <f t="shared" si="9"/>
        <v>1</v>
      </c>
      <c r="E72" s="16" t="str">
        <f t="shared" si="10"/>
        <v>20</v>
      </c>
      <c r="F72" s="16" t="str">
        <f t="shared" si="11"/>
        <v>01</v>
      </c>
      <c r="G72" s="57">
        <v>11212001</v>
      </c>
      <c r="H72" s="16" t="s">
        <v>163</v>
      </c>
      <c r="I72" s="17" t="s">
        <v>164</v>
      </c>
      <c r="J72" s="16"/>
      <c r="K72" s="16"/>
      <c r="L72" s="16"/>
      <c r="M72" s="17"/>
    </row>
    <row r="73" spans="1:13" ht="25.5" x14ac:dyDescent="0.25">
      <c r="A73" s="16" t="str">
        <f t="shared" si="6"/>
        <v>1</v>
      </c>
      <c r="B73" s="16" t="str">
        <f t="shared" si="7"/>
        <v>1</v>
      </c>
      <c r="C73" s="16" t="str">
        <f t="shared" si="8"/>
        <v>2</v>
      </c>
      <c r="D73" s="16" t="str">
        <f t="shared" si="9"/>
        <v>1</v>
      </c>
      <c r="E73" s="16" t="str">
        <f t="shared" si="10"/>
        <v>20</v>
      </c>
      <c r="F73" s="16" t="str">
        <f t="shared" si="11"/>
        <v>02</v>
      </c>
      <c r="G73" s="57">
        <v>11212002</v>
      </c>
      <c r="H73" s="16" t="s">
        <v>165</v>
      </c>
      <c r="I73" s="17" t="s">
        <v>166</v>
      </c>
      <c r="J73" s="16"/>
      <c r="K73" s="16"/>
      <c r="L73" s="16"/>
      <c r="M73" s="17"/>
    </row>
    <row r="74" spans="1:13" ht="25.5" x14ac:dyDescent="0.25">
      <c r="A74" s="16" t="str">
        <f t="shared" si="6"/>
        <v>1</v>
      </c>
      <c r="B74" s="16" t="str">
        <f t="shared" si="7"/>
        <v>1</v>
      </c>
      <c r="C74" s="16" t="str">
        <f t="shared" si="8"/>
        <v>2</v>
      </c>
      <c r="D74" s="16" t="str">
        <f t="shared" si="9"/>
        <v>1</v>
      </c>
      <c r="E74" s="16" t="str">
        <f t="shared" si="10"/>
        <v>20</v>
      </c>
      <c r="F74" s="16" t="str">
        <f t="shared" si="11"/>
        <v>03</v>
      </c>
      <c r="G74" s="57">
        <v>11212003</v>
      </c>
      <c r="H74" s="16" t="s">
        <v>167</v>
      </c>
      <c r="I74" s="17" t="s">
        <v>168</v>
      </c>
      <c r="J74" s="16"/>
      <c r="K74" s="16"/>
      <c r="L74" s="16"/>
      <c r="M74" s="17"/>
    </row>
    <row r="75" spans="1:13" ht="25.5" x14ac:dyDescent="0.25">
      <c r="A75" s="16" t="str">
        <f t="shared" si="6"/>
        <v>1</v>
      </c>
      <c r="B75" s="16" t="str">
        <f t="shared" si="7"/>
        <v>1</v>
      </c>
      <c r="C75" s="16" t="str">
        <f t="shared" si="8"/>
        <v>2</v>
      </c>
      <c r="D75" s="16" t="str">
        <f t="shared" si="9"/>
        <v>1</v>
      </c>
      <c r="E75" s="16" t="str">
        <f t="shared" si="10"/>
        <v>20</v>
      </c>
      <c r="F75" s="16" t="str">
        <f t="shared" si="11"/>
        <v>04</v>
      </c>
      <c r="G75" s="57">
        <v>11212004</v>
      </c>
      <c r="H75" s="16" t="s">
        <v>169</v>
      </c>
      <c r="I75" s="17" t="s">
        <v>170</v>
      </c>
      <c r="J75" s="16"/>
      <c r="K75" s="16"/>
      <c r="L75" s="16"/>
      <c r="M75" s="17"/>
    </row>
    <row r="76" spans="1:13" ht="25.5" x14ac:dyDescent="0.25">
      <c r="A76" s="16" t="str">
        <f t="shared" si="6"/>
        <v>1</v>
      </c>
      <c r="B76" s="16" t="str">
        <f t="shared" si="7"/>
        <v>1</v>
      </c>
      <c r="C76" s="16" t="str">
        <f t="shared" si="8"/>
        <v>2</v>
      </c>
      <c r="D76" s="16" t="str">
        <f t="shared" si="9"/>
        <v>1</v>
      </c>
      <c r="E76" s="16" t="str">
        <f t="shared" si="10"/>
        <v>20</v>
      </c>
      <c r="F76" s="16" t="str">
        <f t="shared" si="11"/>
        <v>05</v>
      </c>
      <c r="G76" s="57">
        <v>11212005</v>
      </c>
      <c r="H76" s="16" t="s">
        <v>171</v>
      </c>
      <c r="I76" s="17" t="s">
        <v>172</v>
      </c>
      <c r="J76" s="16"/>
      <c r="K76" s="16"/>
      <c r="L76" s="16"/>
      <c r="M76" s="17"/>
    </row>
    <row r="77" spans="1:13" ht="25.5" x14ac:dyDescent="0.25">
      <c r="A77" s="16" t="str">
        <f t="shared" si="6"/>
        <v>1</v>
      </c>
      <c r="B77" s="16" t="str">
        <f t="shared" si="7"/>
        <v>1</v>
      </c>
      <c r="C77" s="16" t="str">
        <f t="shared" si="8"/>
        <v>2</v>
      </c>
      <c r="D77" s="16" t="str">
        <f t="shared" si="9"/>
        <v>1</v>
      </c>
      <c r="E77" s="16" t="str">
        <f t="shared" si="10"/>
        <v>20</v>
      </c>
      <c r="F77" s="16" t="str">
        <f t="shared" si="11"/>
        <v>06</v>
      </c>
      <c r="G77" s="57">
        <v>11212006</v>
      </c>
      <c r="H77" s="16" t="s">
        <v>173</v>
      </c>
      <c r="I77" s="17" t="s">
        <v>174</v>
      </c>
      <c r="J77" s="16"/>
      <c r="K77" s="16"/>
      <c r="L77" s="16"/>
      <c r="M77" s="17"/>
    </row>
    <row r="78" spans="1:13" x14ac:dyDescent="0.25">
      <c r="A78" s="16" t="str">
        <f t="shared" si="6"/>
        <v>1</v>
      </c>
      <c r="B78" s="16" t="str">
        <f t="shared" si="7"/>
        <v>1</v>
      </c>
      <c r="C78" s="16" t="str">
        <f t="shared" si="8"/>
        <v>2</v>
      </c>
      <c r="D78" s="16" t="str">
        <f t="shared" si="9"/>
        <v>1</v>
      </c>
      <c r="E78" s="16" t="str">
        <f t="shared" si="10"/>
        <v>20</v>
      </c>
      <c r="F78" s="16" t="str">
        <f t="shared" si="11"/>
        <v>99</v>
      </c>
      <c r="G78" s="57">
        <v>11212099</v>
      </c>
      <c r="H78" s="16" t="s">
        <v>175</v>
      </c>
      <c r="I78" s="17" t="s">
        <v>176</v>
      </c>
      <c r="J78" s="16"/>
      <c r="K78" s="16"/>
      <c r="L78" s="16"/>
      <c r="M78" s="17"/>
    </row>
    <row r="79" spans="1:13" ht="25.5" x14ac:dyDescent="0.25">
      <c r="A79" s="14" t="str">
        <f t="shared" si="6"/>
        <v>1</v>
      </c>
      <c r="B79" s="14" t="str">
        <f t="shared" si="7"/>
        <v>1</v>
      </c>
      <c r="C79" s="14" t="str">
        <f t="shared" si="8"/>
        <v>2</v>
      </c>
      <c r="D79" s="14" t="str">
        <f t="shared" si="9"/>
        <v>1</v>
      </c>
      <c r="E79" s="14" t="str">
        <f t="shared" si="10"/>
        <v>21</v>
      </c>
      <c r="F79" s="14" t="str">
        <f t="shared" si="11"/>
        <v>00</v>
      </c>
      <c r="G79" s="56">
        <v>11212100</v>
      </c>
      <c r="H79" s="14" t="s">
        <v>177</v>
      </c>
      <c r="I79" s="15" t="s">
        <v>178</v>
      </c>
      <c r="J79" s="14"/>
      <c r="K79" s="14"/>
      <c r="L79" s="14"/>
      <c r="M79" s="14"/>
    </row>
    <row r="80" spans="1:13" ht="51" x14ac:dyDescent="0.25">
      <c r="A80" s="14" t="str">
        <f t="shared" si="6"/>
        <v>1</v>
      </c>
      <c r="B80" s="14" t="str">
        <f t="shared" si="7"/>
        <v>1</v>
      </c>
      <c r="C80" s="14" t="str">
        <f t="shared" si="8"/>
        <v>2</v>
      </c>
      <c r="D80" s="14" t="str">
        <f t="shared" si="9"/>
        <v>1</v>
      </c>
      <c r="E80" s="14" t="str">
        <f t="shared" si="10"/>
        <v>22</v>
      </c>
      <c r="F80" s="14" t="str">
        <f t="shared" si="11"/>
        <v>00</v>
      </c>
      <c r="G80" s="56">
        <v>11212200</v>
      </c>
      <c r="H80" s="14" t="s">
        <v>179</v>
      </c>
      <c r="I80" s="15" t="s">
        <v>180</v>
      </c>
      <c r="J80" s="14"/>
      <c r="K80" s="14"/>
      <c r="L80" s="14"/>
      <c r="M80" s="14"/>
    </row>
    <row r="81" spans="1:13" ht="25.5" x14ac:dyDescent="0.25">
      <c r="A81" s="14" t="str">
        <f t="shared" si="6"/>
        <v>1</v>
      </c>
      <c r="B81" s="14" t="str">
        <f t="shared" si="7"/>
        <v>1</v>
      </c>
      <c r="C81" s="14" t="str">
        <f t="shared" si="8"/>
        <v>2</v>
      </c>
      <c r="D81" s="14" t="str">
        <f t="shared" si="9"/>
        <v>1</v>
      </c>
      <c r="E81" s="14" t="str">
        <f t="shared" si="10"/>
        <v>23</v>
      </c>
      <c r="F81" s="14" t="str">
        <f t="shared" si="11"/>
        <v>00</v>
      </c>
      <c r="G81" s="56">
        <v>11212300</v>
      </c>
      <c r="H81" s="14" t="s">
        <v>181</v>
      </c>
      <c r="I81" s="15" t="s">
        <v>182</v>
      </c>
      <c r="J81" s="14"/>
      <c r="K81" s="14"/>
      <c r="L81" s="14"/>
      <c r="M81" s="14"/>
    </row>
    <row r="82" spans="1:13" ht="25.5" x14ac:dyDescent="0.25">
      <c r="A82" s="14" t="str">
        <f t="shared" si="6"/>
        <v>1</v>
      </c>
      <c r="B82" s="14" t="str">
        <f t="shared" si="7"/>
        <v>1</v>
      </c>
      <c r="C82" s="14" t="str">
        <f t="shared" si="8"/>
        <v>2</v>
      </c>
      <c r="D82" s="14" t="str">
        <f t="shared" si="9"/>
        <v>1</v>
      </c>
      <c r="E82" s="14" t="str">
        <f t="shared" si="10"/>
        <v>24</v>
      </c>
      <c r="F82" s="14" t="str">
        <f t="shared" si="11"/>
        <v>00</v>
      </c>
      <c r="G82" s="56">
        <v>11212400</v>
      </c>
      <c r="H82" s="14" t="s">
        <v>183</v>
      </c>
      <c r="I82" s="15" t="s">
        <v>184</v>
      </c>
      <c r="J82" s="14"/>
      <c r="K82" s="14"/>
      <c r="L82" s="14"/>
      <c r="M82" s="14"/>
    </row>
    <row r="83" spans="1:13" ht="38.25" x14ac:dyDescent="0.25">
      <c r="A83" s="14" t="str">
        <f t="shared" si="6"/>
        <v>1</v>
      </c>
      <c r="B83" s="14" t="str">
        <f t="shared" si="7"/>
        <v>1</v>
      </c>
      <c r="C83" s="14" t="str">
        <f t="shared" si="8"/>
        <v>2</v>
      </c>
      <c r="D83" s="14" t="str">
        <f t="shared" si="9"/>
        <v>1</v>
      </c>
      <c r="E83" s="14" t="str">
        <f t="shared" si="10"/>
        <v>25</v>
      </c>
      <c r="F83" s="14" t="str">
        <f t="shared" si="11"/>
        <v>00</v>
      </c>
      <c r="G83" s="56">
        <v>11212500</v>
      </c>
      <c r="H83" s="14" t="s">
        <v>185</v>
      </c>
      <c r="I83" s="15" t="s">
        <v>186</v>
      </c>
      <c r="J83" s="14"/>
      <c r="K83" s="14"/>
      <c r="L83" s="14"/>
      <c r="M83" s="14"/>
    </row>
    <row r="84" spans="1:13" x14ac:dyDescent="0.25">
      <c r="A84" s="14" t="str">
        <f t="shared" si="6"/>
        <v>1</v>
      </c>
      <c r="B84" s="14" t="str">
        <f t="shared" si="7"/>
        <v>1</v>
      </c>
      <c r="C84" s="14" t="str">
        <f t="shared" si="8"/>
        <v>2</v>
      </c>
      <c r="D84" s="14" t="str">
        <f t="shared" si="9"/>
        <v>1</v>
      </c>
      <c r="E84" s="14" t="str">
        <f t="shared" si="10"/>
        <v>26</v>
      </c>
      <c r="F84" s="14" t="str">
        <f t="shared" si="11"/>
        <v>00</v>
      </c>
      <c r="G84" s="56">
        <v>11212600</v>
      </c>
      <c r="H84" s="14" t="s">
        <v>187</v>
      </c>
      <c r="I84" s="15" t="s">
        <v>188</v>
      </c>
      <c r="J84" s="14"/>
      <c r="K84" s="14"/>
      <c r="L84" s="14"/>
      <c r="M84" s="14"/>
    </row>
    <row r="85" spans="1:13" x14ac:dyDescent="0.25">
      <c r="A85" s="14" t="str">
        <f t="shared" si="6"/>
        <v>1</v>
      </c>
      <c r="B85" s="14" t="str">
        <f t="shared" si="7"/>
        <v>1</v>
      </c>
      <c r="C85" s="14" t="str">
        <f t="shared" si="8"/>
        <v>2</v>
      </c>
      <c r="D85" s="14" t="str">
        <f t="shared" si="9"/>
        <v>1</v>
      </c>
      <c r="E85" s="14" t="str">
        <f t="shared" si="10"/>
        <v>27</v>
      </c>
      <c r="F85" s="14" t="str">
        <f t="shared" si="11"/>
        <v>00</v>
      </c>
      <c r="G85" s="56">
        <v>11212700</v>
      </c>
      <c r="H85" s="14" t="s">
        <v>189</v>
      </c>
      <c r="I85" s="15" t="s">
        <v>190</v>
      </c>
      <c r="J85" s="14"/>
      <c r="K85" s="14"/>
      <c r="L85" s="14"/>
      <c r="M85" s="14"/>
    </row>
    <row r="86" spans="1:13" ht="25.5" x14ac:dyDescent="0.25">
      <c r="A86" s="14" t="str">
        <f t="shared" si="6"/>
        <v>1</v>
      </c>
      <c r="B86" s="14" t="str">
        <f t="shared" si="7"/>
        <v>1</v>
      </c>
      <c r="C86" s="14" t="str">
        <f t="shared" si="8"/>
        <v>2</v>
      </c>
      <c r="D86" s="14" t="str">
        <f t="shared" si="9"/>
        <v>1</v>
      </c>
      <c r="E86" s="14" t="str">
        <f t="shared" si="10"/>
        <v>28</v>
      </c>
      <c r="F86" s="14" t="str">
        <f t="shared" si="11"/>
        <v>00</v>
      </c>
      <c r="G86" s="56">
        <v>11212800</v>
      </c>
      <c r="H86" s="14" t="s">
        <v>191</v>
      </c>
      <c r="I86" s="15" t="s">
        <v>192</v>
      </c>
      <c r="J86" s="14"/>
      <c r="K86" s="14"/>
      <c r="L86" s="14"/>
      <c r="M86" s="14"/>
    </row>
    <row r="87" spans="1:13" ht="25.5" x14ac:dyDescent="0.25">
      <c r="A87" s="14" t="str">
        <f t="shared" si="6"/>
        <v>1</v>
      </c>
      <c r="B87" s="14" t="str">
        <f t="shared" si="7"/>
        <v>1</v>
      </c>
      <c r="C87" s="14" t="str">
        <f t="shared" si="8"/>
        <v>2</v>
      </c>
      <c r="D87" s="14" t="str">
        <f t="shared" si="9"/>
        <v>1</v>
      </c>
      <c r="E87" s="14" t="str">
        <f t="shared" si="10"/>
        <v>29</v>
      </c>
      <c r="F87" s="14" t="str">
        <f t="shared" si="11"/>
        <v>00</v>
      </c>
      <c r="G87" s="56">
        <v>11212900</v>
      </c>
      <c r="H87" s="14" t="s">
        <v>193</v>
      </c>
      <c r="I87" s="15" t="s">
        <v>194</v>
      </c>
      <c r="J87" s="14"/>
      <c r="K87" s="14"/>
      <c r="L87" s="14"/>
      <c r="M87" s="14"/>
    </row>
    <row r="88" spans="1:13" ht="25.5" x14ac:dyDescent="0.25">
      <c r="A88" s="14" t="str">
        <f t="shared" si="6"/>
        <v>1</v>
      </c>
      <c r="B88" s="14" t="str">
        <f t="shared" si="7"/>
        <v>1</v>
      </c>
      <c r="C88" s="14" t="str">
        <f t="shared" si="8"/>
        <v>2</v>
      </c>
      <c r="D88" s="14" t="str">
        <f t="shared" si="9"/>
        <v>1</v>
      </c>
      <c r="E88" s="14" t="str">
        <f t="shared" si="10"/>
        <v>30</v>
      </c>
      <c r="F88" s="14" t="str">
        <f t="shared" si="11"/>
        <v>00</v>
      </c>
      <c r="G88" s="56">
        <v>11213000</v>
      </c>
      <c r="H88" s="14" t="s">
        <v>195</v>
      </c>
      <c r="I88" s="15" t="s">
        <v>196</v>
      </c>
      <c r="J88" s="14"/>
      <c r="K88" s="14"/>
      <c r="L88" s="14"/>
      <c r="M88" s="14"/>
    </row>
    <row r="89" spans="1:13" ht="38.25" x14ac:dyDescent="0.25">
      <c r="A89" s="14" t="str">
        <f t="shared" si="6"/>
        <v>1</v>
      </c>
      <c r="B89" s="14" t="str">
        <f t="shared" si="7"/>
        <v>1</v>
      </c>
      <c r="C89" s="14" t="str">
        <f t="shared" si="8"/>
        <v>2</v>
      </c>
      <c r="D89" s="14" t="str">
        <f t="shared" si="9"/>
        <v>1</v>
      </c>
      <c r="E89" s="14" t="str">
        <f t="shared" si="10"/>
        <v>31</v>
      </c>
      <c r="F89" s="14" t="str">
        <f t="shared" si="11"/>
        <v>00</v>
      </c>
      <c r="G89" s="56">
        <v>11213100</v>
      </c>
      <c r="H89" s="14" t="s">
        <v>197</v>
      </c>
      <c r="I89" s="15" t="s">
        <v>198</v>
      </c>
      <c r="J89" s="14"/>
      <c r="K89" s="14"/>
      <c r="L89" s="14"/>
      <c r="M89" s="14"/>
    </row>
    <row r="90" spans="1:13" ht="25.5" x14ac:dyDescent="0.25">
      <c r="A90" s="14" t="str">
        <f t="shared" si="6"/>
        <v>1</v>
      </c>
      <c r="B90" s="14" t="str">
        <f t="shared" si="7"/>
        <v>1</v>
      </c>
      <c r="C90" s="14" t="str">
        <f t="shared" si="8"/>
        <v>2</v>
      </c>
      <c r="D90" s="14" t="str">
        <f t="shared" si="9"/>
        <v>1</v>
      </c>
      <c r="E90" s="14" t="str">
        <f t="shared" si="10"/>
        <v>32</v>
      </c>
      <c r="F90" s="14" t="str">
        <f t="shared" si="11"/>
        <v>00</v>
      </c>
      <c r="G90" s="56">
        <v>11213200</v>
      </c>
      <c r="H90" s="14" t="s">
        <v>199</v>
      </c>
      <c r="I90" s="15" t="s">
        <v>200</v>
      </c>
      <c r="J90" s="14"/>
      <c r="K90" s="14"/>
      <c r="L90" s="14"/>
      <c r="M90" s="14"/>
    </row>
    <row r="91" spans="1:13" ht="25.5" x14ac:dyDescent="0.25">
      <c r="A91" s="14" t="str">
        <f t="shared" si="6"/>
        <v>1</v>
      </c>
      <c r="B91" s="14" t="str">
        <f t="shared" si="7"/>
        <v>1</v>
      </c>
      <c r="C91" s="14" t="str">
        <f t="shared" si="8"/>
        <v>2</v>
      </c>
      <c r="D91" s="14" t="str">
        <f t="shared" si="9"/>
        <v>1</v>
      </c>
      <c r="E91" s="14" t="str">
        <f t="shared" si="10"/>
        <v>34</v>
      </c>
      <c r="F91" s="14" t="str">
        <f t="shared" si="11"/>
        <v>00</v>
      </c>
      <c r="G91" s="56">
        <v>11213400</v>
      </c>
      <c r="H91" s="14" t="s">
        <v>201</v>
      </c>
      <c r="I91" s="15" t="s">
        <v>202</v>
      </c>
      <c r="J91" s="14"/>
      <c r="K91" s="14"/>
      <c r="L91" s="14"/>
      <c r="M91" s="14"/>
    </row>
    <row r="92" spans="1:13" x14ac:dyDescent="0.25">
      <c r="A92" s="14" t="str">
        <f t="shared" si="6"/>
        <v>1</v>
      </c>
      <c r="B92" s="14" t="str">
        <f t="shared" si="7"/>
        <v>1</v>
      </c>
      <c r="C92" s="14" t="str">
        <f t="shared" si="8"/>
        <v>2</v>
      </c>
      <c r="D92" s="14" t="str">
        <f t="shared" si="9"/>
        <v>1</v>
      </c>
      <c r="E92" s="14" t="str">
        <f t="shared" si="10"/>
        <v>35</v>
      </c>
      <c r="F92" s="14" t="str">
        <f t="shared" si="11"/>
        <v>00</v>
      </c>
      <c r="G92" s="56">
        <v>11213500</v>
      </c>
      <c r="H92" s="14" t="s">
        <v>203</v>
      </c>
      <c r="I92" s="15" t="s">
        <v>204</v>
      </c>
      <c r="J92" s="14"/>
      <c r="K92" s="14"/>
      <c r="L92" s="14"/>
      <c r="M92" s="14"/>
    </row>
    <row r="93" spans="1:13" ht="25.5" x14ac:dyDescent="0.25">
      <c r="A93" s="14" t="str">
        <f t="shared" si="6"/>
        <v>1</v>
      </c>
      <c r="B93" s="14" t="str">
        <f t="shared" si="7"/>
        <v>1</v>
      </c>
      <c r="C93" s="14" t="str">
        <f t="shared" si="8"/>
        <v>2</v>
      </c>
      <c r="D93" s="14" t="str">
        <f t="shared" si="9"/>
        <v>1</v>
      </c>
      <c r="E93" s="14" t="str">
        <f t="shared" si="10"/>
        <v>36</v>
      </c>
      <c r="F93" s="14" t="str">
        <f t="shared" si="11"/>
        <v>00</v>
      </c>
      <c r="G93" s="56">
        <v>11213600</v>
      </c>
      <c r="H93" s="14" t="s">
        <v>205</v>
      </c>
      <c r="I93" s="15" t="s">
        <v>206</v>
      </c>
      <c r="J93" s="14"/>
      <c r="K93" s="14"/>
      <c r="L93" s="14"/>
      <c r="M93" s="14"/>
    </row>
    <row r="94" spans="1:13" ht="25.5" x14ac:dyDescent="0.25">
      <c r="A94" s="14" t="str">
        <f t="shared" si="6"/>
        <v>1</v>
      </c>
      <c r="B94" s="14" t="str">
        <f t="shared" si="7"/>
        <v>1</v>
      </c>
      <c r="C94" s="14" t="str">
        <f t="shared" si="8"/>
        <v>2</v>
      </c>
      <c r="D94" s="14" t="str">
        <f t="shared" si="9"/>
        <v>1</v>
      </c>
      <c r="E94" s="14" t="str">
        <f t="shared" si="10"/>
        <v>37</v>
      </c>
      <c r="F94" s="14" t="str">
        <f t="shared" si="11"/>
        <v>00</v>
      </c>
      <c r="G94" s="56">
        <v>11213700</v>
      </c>
      <c r="H94" s="14" t="s">
        <v>207</v>
      </c>
      <c r="I94" s="15" t="s">
        <v>208</v>
      </c>
      <c r="J94" s="14"/>
      <c r="K94" s="14"/>
      <c r="L94" s="14"/>
      <c r="M94" s="14"/>
    </row>
    <row r="95" spans="1:13" ht="25.5" x14ac:dyDescent="0.25">
      <c r="A95" s="14" t="str">
        <f t="shared" si="6"/>
        <v>1</v>
      </c>
      <c r="B95" s="14" t="str">
        <f t="shared" si="7"/>
        <v>1</v>
      </c>
      <c r="C95" s="14" t="str">
        <f t="shared" si="8"/>
        <v>2</v>
      </c>
      <c r="D95" s="14" t="str">
        <f t="shared" si="9"/>
        <v>1</v>
      </c>
      <c r="E95" s="14" t="str">
        <f t="shared" si="10"/>
        <v>38</v>
      </c>
      <c r="F95" s="14" t="str">
        <f t="shared" si="11"/>
        <v>00</v>
      </c>
      <c r="G95" s="56">
        <v>11213800</v>
      </c>
      <c r="H95" s="14" t="s">
        <v>209</v>
      </c>
      <c r="I95" s="15" t="s">
        <v>210</v>
      </c>
      <c r="J95" s="14"/>
      <c r="K95" s="14"/>
      <c r="L95" s="14"/>
      <c r="M95" s="14"/>
    </row>
    <row r="96" spans="1:13" ht="25.5" x14ac:dyDescent="0.25">
      <c r="A96" s="14" t="str">
        <f t="shared" si="6"/>
        <v>1</v>
      </c>
      <c r="B96" s="14" t="str">
        <f t="shared" si="7"/>
        <v>1</v>
      </c>
      <c r="C96" s="14" t="str">
        <f t="shared" si="8"/>
        <v>2</v>
      </c>
      <c r="D96" s="14" t="str">
        <f t="shared" si="9"/>
        <v>1</v>
      </c>
      <c r="E96" s="14" t="str">
        <f t="shared" si="10"/>
        <v>39</v>
      </c>
      <c r="F96" s="14" t="str">
        <f t="shared" si="11"/>
        <v>00</v>
      </c>
      <c r="G96" s="56">
        <v>11213900</v>
      </c>
      <c r="H96" s="14" t="s">
        <v>211</v>
      </c>
      <c r="I96" s="15" t="s">
        <v>212</v>
      </c>
      <c r="J96" s="14"/>
      <c r="K96" s="14"/>
      <c r="L96" s="14"/>
      <c r="M96" s="14"/>
    </row>
    <row r="97" spans="1:13" ht="25.5" x14ac:dyDescent="0.25">
      <c r="A97" s="14" t="str">
        <f t="shared" si="6"/>
        <v>1</v>
      </c>
      <c r="B97" s="14" t="str">
        <f t="shared" si="7"/>
        <v>1</v>
      </c>
      <c r="C97" s="14" t="str">
        <f t="shared" si="8"/>
        <v>2</v>
      </c>
      <c r="D97" s="14" t="str">
        <f t="shared" si="9"/>
        <v>1</v>
      </c>
      <c r="E97" s="14" t="str">
        <f t="shared" si="10"/>
        <v>40</v>
      </c>
      <c r="F97" s="14" t="str">
        <f t="shared" si="11"/>
        <v>00</v>
      </c>
      <c r="G97" s="56">
        <v>11214000</v>
      </c>
      <c r="H97" s="14" t="s">
        <v>213</v>
      </c>
      <c r="I97" s="15" t="s">
        <v>214</v>
      </c>
      <c r="J97" s="14"/>
      <c r="K97" s="14"/>
      <c r="L97" s="14"/>
      <c r="M97" s="14"/>
    </row>
    <row r="98" spans="1:13" ht="51" x14ac:dyDescent="0.25">
      <c r="A98" s="14" t="str">
        <f t="shared" si="6"/>
        <v>1</v>
      </c>
      <c r="B98" s="14" t="str">
        <f t="shared" si="7"/>
        <v>1</v>
      </c>
      <c r="C98" s="14" t="str">
        <f t="shared" si="8"/>
        <v>2</v>
      </c>
      <c r="D98" s="14" t="str">
        <f t="shared" si="9"/>
        <v>1</v>
      </c>
      <c r="E98" s="14" t="str">
        <f t="shared" si="10"/>
        <v>50</v>
      </c>
      <c r="F98" s="14" t="str">
        <f t="shared" si="11"/>
        <v>00</v>
      </c>
      <c r="G98" s="56">
        <v>11215000</v>
      </c>
      <c r="H98" s="14" t="s">
        <v>215</v>
      </c>
      <c r="I98" s="15" t="s">
        <v>216</v>
      </c>
      <c r="J98" s="14"/>
      <c r="K98" s="14" t="s">
        <v>217</v>
      </c>
      <c r="L98" s="14" t="s">
        <v>218</v>
      </c>
      <c r="M98" s="14" t="s">
        <v>219</v>
      </c>
    </row>
    <row r="99" spans="1:13" ht="25.5" x14ac:dyDescent="0.25">
      <c r="A99" s="14" t="str">
        <f t="shared" si="6"/>
        <v>1</v>
      </c>
      <c r="B99" s="14" t="str">
        <f t="shared" si="7"/>
        <v>1</v>
      </c>
      <c r="C99" s="14" t="str">
        <f t="shared" si="8"/>
        <v>2</v>
      </c>
      <c r="D99" s="14" t="str">
        <f t="shared" si="9"/>
        <v>1</v>
      </c>
      <c r="E99" s="14" t="str">
        <f t="shared" si="10"/>
        <v>99</v>
      </c>
      <c r="F99" s="14" t="str">
        <f t="shared" si="11"/>
        <v>00</v>
      </c>
      <c r="G99" s="56">
        <v>11219900</v>
      </c>
      <c r="H99" s="14" t="s">
        <v>220</v>
      </c>
      <c r="I99" s="15" t="s">
        <v>221</v>
      </c>
      <c r="J99" s="14"/>
      <c r="K99" s="14"/>
      <c r="L99" s="14"/>
      <c r="M99" s="14"/>
    </row>
    <row r="100" spans="1:13" ht="63.75" x14ac:dyDescent="0.25">
      <c r="A100" s="12" t="str">
        <f t="shared" si="6"/>
        <v>1</v>
      </c>
      <c r="B100" s="12" t="str">
        <f t="shared" si="7"/>
        <v>1</v>
      </c>
      <c r="C100" s="12" t="str">
        <f t="shared" si="8"/>
        <v>2</v>
      </c>
      <c r="D100" s="12" t="str">
        <f t="shared" si="9"/>
        <v>2</v>
      </c>
      <c r="E100" s="12" t="str">
        <f t="shared" si="10"/>
        <v>00</v>
      </c>
      <c r="F100" s="12" t="str">
        <f t="shared" si="11"/>
        <v>00</v>
      </c>
      <c r="G100" s="55">
        <v>11220000</v>
      </c>
      <c r="H100" s="12" t="s">
        <v>222</v>
      </c>
      <c r="I100" s="13" t="s">
        <v>223</v>
      </c>
      <c r="J100" s="12"/>
      <c r="K100" s="12"/>
      <c r="L100" s="12"/>
      <c r="M100" s="13"/>
    </row>
    <row r="101" spans="1:13" ht="25.5" x14ac:dyDescent="0.25">
      <c r="A101" s="14" t="str">
        <f t="shared" si="6"/>
        <v>1</v>
      </c>
      <c r="B101" s="14" t="str">
        <f t="shared" si="7"/>
        <v>1</v>
      </c>
      <c r="C101" s="14" t="str">
        <f t="shared" si="8"/>
        <v>2</v>
      </c>
      <c r="D101" s="14" t="str">
        <f t="shared" si="9"/>
        <v>2</v>
      </c>
      <c r="E101" s="14" t="str">
        <f t="shared" si="10"/>
        <v>01</v>
      </c>
      <c r="F101" s="14" t="str">
        <f t="shared" si="11"/>
        <v>00</v>
      </c>
      <c r="G101" s="56">
        <v>11220100</v>
      </c>
      <c r="H101" s="14" t="s">
        <v>224</v>
      </c>
      <c r="I101" s="15" t="s">
        <v>225</v>
      </c>
      <c r="J101" s="14"/>
      <c r="K101" s="14"/>
      <c r="L101" s="14"/>
      <c r="M101" s="14"/>
    </row>
    <row r="102" spans="1:13" ht="25.5" x14ac:dyDescent="0.25">
      <c r="A102" s="14" t="str">
        <f t="shared" si="6"/>
        <v>1</v>
      </c>
      <c r="B102" s="14" t="str">
        <f t="shared" si="7"/>
        <v>1</v>
      </c>
      <c r="C102" s="14" t="str">
        <f t="shared" si="8"/>
        <v>2</v>
      </c>
      <c r="D102" s="14" t="str">
        <f t="shared" si="9"/>
        <v>2</v>
      </c>
      <c r="E102" s="14" t="str">
        <f t="shared" si="10"/>
        <v>02</v>
      </c>
      <c r="F102" s="14" t="str">
        <f t="shared" si="11"/>
        <v>00</v>
      </c>
      <c r="G102" s="56">
        <v>11220200</v>
      </c>
      <c r="H102" s="14" t="s">
        <v>226</v>
      </c>
      <c r="I102" s="15" t="s">
        <v>227</v>
      </c>
      <c r="J102" s="14"/>
      <c r="K102" s="14"/>
      <c r="L102" s="14"/>
      <c r="M102" s="14"/>
    </row>
    <row r="103" spans="1:13" ht="51" x14ac:dyDescent="0.25">
      <c r="A103" s="14" t="str">
        <f t="shared" si="6"/>
        <v>1</v>
      </c>
      <c r="B103" s="14" t="str">
        <f t="shared" si="7"/>
        <v>1</v>
      </c>
      <c r="C103" s="14" t="str">
        <f t="shared" si="8"/>
        <v>2</v>
      </c>
      <c r="D103" s="14" t="str">
        <f t="shared" si="9"/>
        <v>2</v>
      </c>
      <c r="E103" s="14" t="str">
        <f t="shared" si="10"/>
        <v>03</v>
      </c>
      <c r="F103" s="14" t="str">
        <f t="shared" si="11"/>
        <v>00</v>
      </c>
      <c r="G103" s="56">
        <v>11220300</v>
      </c>
      <c r="H103" s="14" t="s">
        <v>228</v>
      </c>
      <c r="I103" s="15" t="s">
        <v>229</v>
      </c>
      <c r="J103" s="14"/>
      <c r="K103" s="14"/>
      <c r="L103" s="14"/>
      <c r="M103" s="14"/>
    </row>
    <row r="104" spans="1:13" x14ac:dyDescent="0.25">
      <c r="A104" s="14" t="str">
        <f t="shared" si="6"/>
        <v>1</v>
      </c>
      <c r="B104" s="14" t="str">
        <f t="shared" si="7"/>
        <v>1</v>
      </c>
      <c r="C104" s="14" t="str">
        <f t="shared" si="8"/>
        <v>2</v>
      </c>
      <c r="D104" s="14" t="str">
        <f t="shared" si="9"/>
        <v>2</v>
      </c>
      <c r="E104" s="14" t="str">
        <f t="shared" si="10"/>
        <v>04</v>
      </c>
      <c r="F104" s="14" t="str">
        <f t="shared" si="11"/>
        <v>00</v>
      </c>
      <c r="G104" s="56">
        <v>11220400</v>
      </c>
      <c r="H104" s="14" t="s">
        <v>230</v>
      </c>
      <c r="I104" s="15" t="s">
        <v>231</v>
      </c>
      <c r="J104" s="14"/>
      <c r="K104" s="14"/>
      <c r="L104" s="14"/>
      <c r="M104" s="14"/>
    </row>
    <row r="105" spans="1:13" ht="38.25" x14ac:dyDescent="0.25">
      <c r="A105" s="14" t="str">
        <f t="shared" si="6"/>
        <v>1</v>
      </c>
      <c r="B105" s="14" t="str">
        <f t="shared" si="7"/>
        <v>1</v>
      </c>
      <c r="C105" s="14" t="str">
        <f t="shared" si="8"/>
        <v>2</v>
      </c>
      <c r="D105" s="14" t="str">
        <f t="shared" si="9"/>
        <v>2</v>
      </c>
      <c r="E105" s="14" t="str">
        <f t="shared" si="10"/>
        <v>06</v>
      </c>
      <c r="F105" s="14" t="str">
        <f t="shared" si="11"/>
        <v>00</v>
      </c>
      <c r="G105" s="56">
        <v>11220600</v>
      </c>
      <c r="H105" s="14" t="s">
        <v>232</v>
      </c>
      <c r="I105" s="15" t="s">
        <v>233</v>
      </c>
      <c r="J105" s="14"/>
      <c r="K105" s="14"/>
      <c r="L105" s="14"/>
      <c r="M105" s="14"/>
    </row>
    <row r="106" spans="1:13" ht="25.5" x14ac:dyDescent="0.25">
      <c r="A106" s="14" t="str">
        <f t="shared" si="6"/>
        <v>1</v>
      </c>
      <c r="B106" s="14" t="str">
        <f t="shared" si="7"/>
        <v>1</v>
      </c>
      <c r="C106" s="14" t="str">
        <f t="shared" si="8"/>
        <v>2</v>
      </c>
      <c r="D106" s="14" t="str">
        <f t="shared" si="9"/>
        <v>2</v>
      </c>
      <c r="E106" s="14" t="str">
        <f t="shared" si="10"/>
        <v>07</v>
      </c>
      <c r="F106" s="14" t="str">
        <f t="shared" si="11"/>
        <v>00</v>
      </c>
      <c r="G106" s="56">
        <v>11220700</v>
      </c>
      <c r="H106" s="14" t="s">
        <v>234</v>
      </c>
      <c r="I106" s="15" t="s">
        <v>235</v>
      </c>
      <c r="J106" s="14"/>
      <c r="K106" s="14"/>
      <c r="L106" s="14"/>
      <c r="M106" s="14"/>
    </row>
    <row r="107" spans="1:13" ht="63.75" x14ac:dyDescent="0.25">
      <c r="A107" s="14" t="str">
        <f t="shared" si="6"/>
        <v>1</v>
      </c>
      <c r="B107" s="14" t="str">
        <f t="shared" si="7"/>
        <v>1</v>
      </c>
      <c r="C107" s="14" t="str">
        <f t="shared" si="8"/>
        <v>2</v>
      </c>
      <c r="D107" s="14" t="str">
        <f t="shared" si="9"/>
        <v>2</v>
      </c>
      <c r="E107" s="14" t="str">
        <f t="shared" si="10"/>
        <v>08</v>
      </c>
      <c r="F107" s="14" t="str">
        <f t="shared" si="11"/>
        <v>00</v>
      </c>
      <c r="G107" s="56">
        <v>11220800</v>
      </c>
      <c r="H107" s="14" t="s">
        <v>236</v>
      </c>
      <c r="I107" s="15" t="s">
        <v>237</v>
      </c>
      <c r="J107" s="14"/>
      <c r="K107" s="14"/>
      <c r="L107" s="14"/>
      <c r="M107" s="14"/>
    </row>
    <row r="108" spans="1:13" ht="38.25" x14ac:dyDescent="0.25">
      <c r="A108" s="14" t="str">
        <f t="shared" si="6"/>
        <v>1</v>
      </c>
      <c r="B108" s="14" t="str">
        <f t="shared" si="7"/>
        <v>1</v>
      </c>
      <c r="C108" s="14" t="str">
        <f t="shared" si="8"/>
        <v>2</v>
      </c>
      <c r="D108" s="14" t="str">
        <f t="shared" si="9"/>
        <v>2</v>
      </c>
      <c r="E108" s="14" t="str">
        <f t="shared" si="10"/>
        <v>11</v>
      </c>
      <c r="F108" s="14" t="str">
        <f t="shared" si="11"/>
        <v>00</v>
      </c>
      <c r="G108" s="56">
        <v>11221100</v>
      </c>
      <c r="H108" s="14" t="s">
        <v>238</v>
      </c>
      <c r="I108" s="15" t="s">
        <v>239</v>
      </c>
      <c r="J108" s="14"/>
      <c r="K108" s="14"/>
      <c r="L108" s="14"/>
      <c r="M108" s="14"/>
    </row>
    <row r="109" spans="1:13" ht="25.5" x14ac:dyDescent="0.25">
      <c r="A109" s="14" t="str">
        <f t="shared" si="6"/>
        <v>1</v>
      </c>
      <c r="B109" s="14" t="str">
        <f t="shared" si="7"/>
        <v>1</v>
      </c>
      <c r="C109" s="14" t="str">
        <f t="shared" si="8"/>
        <v>2</v>
      </c>
      <c r="D109" s="14" t="str">
        <f t="shared" si="9"/>
        <v>2</v>
      </c>
      <c r="E109" s="14" t="str">
        <f t="shared" si="10"/>
        <v>12</v>
      </c>
      <c r="F109" s="14" t="str">
        <f t="shared" si="11"/>
        <v>00</v>
      </c>
      <c r="G109" s="56">
        <v>11221200</v>
      </c>
      <c r="H109" s="14" t="s">
        <v>240</v>
      </c>
      <c r="I109" s="15" t="s">
        <v>241</v>
      </c>
      <c r="J109" s="14"/>
      <c r="K109" s="14"/>
      <c r="L109" s="14"/>
      <c r="M109" s="14"/>
    </row>
    <row r="110" spans="1:13" ht="25.5" x14ac:dyDescent="0.25">
      <c r="A110" s="16" t="str">
        <f t="shared" si="6"/>
        <v>1</v>
      </c>
      <c r="B110" s="16" t="str">
        <f t="shared" si="7"/>
        <v>1</v>
      </c>
      <c r="C110" s="16" t="str">
        <f t="shared" si="8"/>
        <v>2</v>
      </c>
      <c r="D110" s="16" t="str">
        <f t="shared" si="9"/>
        <v>2</v>
      </c>
      <c r="E110" s="16" t="str">
        <f t="shared" si="10"/>
        <v>12</v>
      </c>
      <c r="F110" s="16" t="str">
        <f t="shared" si="11"/>
        <v>01</v>
      </c>
      <c r="G110" s="57">
        <v>11221201</v>
      </c>
      <c r="H110" s="16" t="s">
        <v>242</v>
      </c>
      <c r="I110" s="17" t="s">
        <v>243</v>
      </c>
      <c r="J110" s="16"/>
      <c r="K110" s="16"/>
      <c r="L110" s="16"/>
      <c r="M110" s="17"/>
    </row>
    <row r="111" spans="1:13" ht="25.5" x14ac:dyDescent="0.25">
      <c r="A111" s="16" t="str">
        <f t="shared" si="6"/>
        <v>1</v>
      </c>
      <c r="B111" s="16" t="str">
        <f t="shared" si="7"/>
        <v>1</v>
      </c>
      <c r="C111" s="16" t="str">
        <f t="shared" si="8"/>
        <v>2</v>
      </c>
      <c r="D111" s="16" t="str">
        <f t="shared" si="9"/>
        <v>2</v>
      </c>
      <c r="E111" s="16" t="str">
        <f t="shared" si="10"/>
        <v>12</v>
      </c>
      <c r="F111" s="16" t="str">
        <f t="shared" si="11"/>
        <v>02</v>
      </c>
      <c r="G111" s="57">
        <v>11221202</v>
      </c>
      <c r="H111" s="16" t="s">
        <v>244</v>
      </c>
      <c r="I111" s="17" t="s">
        <v>245</v>
      </c>
      <c r="J111" s="16"/>
      <c r="K111" s="16"/>
      <c r="L111" s="16"/>
      <c r="M111" s="17"/>
    </row>
    <row r="112" spans="1:13" ht="25.5" x14ac:dyDescent="0.25">
      <c r="A112" s="14" t="str">
        <f t="shared" si="6"/>
        <v>1</v>
      </c>
      <c r="B112" s="14" t="str">
        <f t="shared" si="7"/>
        <v>1</v>
      </c>
      <c r="C112" s="14" t="str">
        <f t="shared" si="8"/>
        <v>2</v>
      </c>
      <c r="D112" s="14" t="str">
        <f t="shared" si="9"/>
        <v>2</v>
      </c>
      <c r="E112" s="14" t="str">
        <f t="shared" si="10"/>
        <v>15</v>
      </c>
      <c r="F112" s="14" t="str">
        <f t="shared" si="11"/>
        <v>00</v>
      </c>
      <c r="G112" s="56">
        <v>11221500</v>
      </c>
      <c r="H112" s="14" t="s">
        <v>246</v>
      </c>
      <c r="I112" s="15" t="s">
        <v>247</v>
      </c>
      <c r="J112" s="14"/>
      <c r="K112" s="14"/>
      <c r="L112" s="14"/>
      <c r="M112" s="14"/>
    </row>
    <row r="113" spans="1:13" ht="25.5" x14ac:dyDescent="0.25">
      <c r="A113" s="14" t="str">
        <f t="shared" si="6"/>
        <v>1</v>
      </c>
      <c r="B113" s="14" t="str">
        <f t="shared" si="7"/>
        <v>1</v>
      </c>
      <c r="C113" s="14" t="str">
        <f t="shared" si="8"/>
        <v>2</v>
      </c>
      <c r="D113" s="14" t="str">
        <f t="shared" si="9"/>
        <v>2</v>
      </c>
      <c r="E113" s="14" t="str">
        <f t="shared" si="10"/>
        <v>19</v>
      </c>
      <c r="F113" s="14" t="str">
        <f t="shared" si="11"/>
        <v>00</v>
      </c>
      <c r="G113" s="56">
        <v>11221900</v>
      </c>
      <c r="H113" s="14" t="s">
        <v>248</v>
      </c>
      <c r="I113" s="15" t="s">
        <v>249</v>
      </c>
      <c r="J113" s="14"/>
      <c r="K113" s="14"/>
      <c r="L113" s="14"/>
      <c r="M113" s="14"/>
    </row>
    <row r="114" spans="1:13" x14ac:dyDescent="0.25">
      <c r="A114" s="14" t="str">
        <f t="shared" si="6"/>
        <v>1</v>
      </c>
      <c r="B114" s="14" t="str">
        <f t="shared" si="7"/>
        <v>1</v>
      </c>
      <c r="C114" s="14" t="str">
        <f t="shared" si="8"/>
        <v>2</v>
      </c>
      <c r="D114" s="14" t="str">
        <f t="shared" si="9"/>
        <v>2</v>
      </c>
      <c r="E114" s="14" t="str">
        <f t="shared" si="10"/>
        <v>21</v>
      </c>
      <c r="F114" s="14" t="str">
        <f t="shared" si="11"/>
        <v>00</v>
      </c>
      <c r="G114" s="56">
        <v>11222100</v>
      </c>
      <c r="H114" s="14" t="s">
        <v>250</v>
      </c>
      <c r="I114" s="15" t="s">
        <v>251</v>
      </c>
      <c r="J114" s="14"/>
      <c r="K114" s="14"/>
      <c r="L114" s="14"/>
      <c r="M114" s="14"/>
    </row>
    <row r="115" spans="1:13" ht="25.5" x14ac:dyDescent="0.25">
      <c r="A115" s="14" t="str">
        <f t="shared" si="6"/>
        <v>1</v>
      </c>
      <c r="B115" s="14" t="str">
        <f t="shared" si="7"/>
        <v>1</v>
      </c>
      <c r="C115" s="14" t="str">
        <f t="shared" si="8"/>
        <v>2</v>
      </c>
      <c r="D115" s="14" t="str">
        <f t="shared" si="9"/>
        <v>2</v>
      </c>
      <c r="E115" s="14" t="str">
        <f t="shared" si="10"/>
        <v>22</v>
      </c>
      <c r="F115" s="14" t="str">
        <f t="shared" si="11"/>
        <v>00</v>
      </c>
      <c r="G115" s="56">
        <v>11222200</v>
      </c>
      <c r="H115" s="14" t="s">
        <v>252</v>
      </c>
      <c r="I115" s="15" t="s">
        <v>253</v>
      </c>
      <c r="J115" s="14"/>
      <c r="K115" s="14"/>
      <c r="L115" s="14"/>
      <c r="M115" s="14"/>
    </row>
    <row r="116" spans="1:13" ht="25.5" x14ac:dyDescent="0.25">
      <c r="A116" s="14" t="str">
        <f t="shared" si="6"/>
        <v>1</v>
      </c>
      <c r="B116" s="14" t="str">
        <f t="shared" si="7"/>
        <v>1</v>
      </c>
      <c r="C116" s="14" t="str">
        <f t="shared" si="8"/>
        <v>2</v>
      </c>
      <c r="D116" s="14" t="str">
        <f t="shared" si="9"/>
        <v>2</v>
      </c>
      <c r="E116" s="14" t="str">
        <f t="shared" si="10"/>
        <v>28</v>
      </c>
      <c r="F116" s="14" t="str">
        <f t="shared" si="11"/>
        <v>00</v>
      </c>
      <c r="G116" s="56">
        <v>11222800</v>
      </c>
      <c r="H116" s="14" t="s">
        <v>254</v>
      </c>
      <c r="I116" s="15" t="s">
        <v>255</v>
      </c>
      <c r="J116" s="14"/>
      <c r="K116" s="14"/>
      <c r="L116" s="14"/>
      <c r="M116" s="14"/>
    </row>
    <row r="117" spans="1:13" ht="38.25" x14ac:dyDescent="0.25">
      <c r="A117" s="14" t="str">
        <f t="shared" si="6"/>
        <v>1</v>
      </c>
      <c r="B117" s="14" t="str">
        <f t="shared" si="7"/>
        <v>1</v>
      </c>
      <c r="C117" s="14" t="str">
        <f t="shared" si="8"/>
        <v>2</v>
      </c>
      <c r="D117" s="14" t="str">
        <f t="shared" si="9"/>
        <v>2</v>
      </c>
      <c r="E117" s="14" t="str">
        <f t="shared" si="10"/>
        <v>29</v>
      </c>
      <c r="F117" s="14" t="str">
        <f t="shared" si="11"/>
        <v>00</v>
      </c>
      <c r="G117" s="56">
        <v>11222900</v>
      </c>
      <c r="H117" s="14" t="s">
        <v>256</v>
      </c>
      <c r="I117" s="15" t="s">
        <v>257</v>
      </c>
      <c r="J117" s="14"/>
      <c r="K117" s="14"/>
      <c r="L117" s="14"/>
      <c r="M117" s="14"/>
    </row>
    <row r="118" spans="1:13" ht="25.5" x14ac:dyDescent="0.25">
      <c r="A118" s="14" t="str">
        <f t="shared" si="6"/>
        <v>1</v>
      </c>
      <c r="B118" s="14" t="str">
        <f t="shared" si="7"/>
        <v>1</v>
      </c>
      <c r="C118" s="14" t="str">
        <f t="shared" si="8"/>
        <v>2</v>
      </c>
      <c r="D118" s="14" t="str">
        <f t="shared" si="9"/>
        <v>2</v>
      </c>
      <c r="E118" s="14" t="str">
        <f t="shared" si="10"/>
        <v>90</v>
      </c>
      <c r="F118" s="14" t="str">
        <f t="shared" si="11"/>
        <v>00</v>
      </c>
      <c r="G118" s="56">
        <v>11229000</v>
      </c>
      <c r="H118" s="14" t="s">
        <v>258</v>
      </c>
      <c r="I118" s="15" t="s">
        <v>259</v>
      </c>
      <c r="J118" s="14"/>
      <c r="K118" s="14"/>
      <c r="L118" s="14"/>
      <c r="M118" s="14"/>
    </row>
    <row r="119" spans="1:13" x14ac:dyDescent="0.25">
      <c r="A119" s="14" t="str">
        <f t="shared" si="6"/>
        <v>1</v>
      </c>
      <c r="B119" s="14" t="str">
        <f t="shared" si="7"/>
        <v>1</v>
      </c>
      <c r="C119" s="14" t="str">
        <f t="shared" si="8"/>
        <v>2</v>
      </c>
      <c r="D119" s="14" t="str">
        <f t="shared" si="9"/>
        <v>2</v>
      </c>
      <c r="E119" s="14" t="str">
        <f t="shared" si="10"/>
        <v>99</v>
      </c>
      <c r="F119" s="14" t="str">
        <f t="shared" si="11"/>
        <v>00</v>
      </c>
      <c r="G119" s="56">
        <v>11229900</v>
      </c>
      <c r="H119" s="14" t="s">
        <v>260</v>
      </c>
      <c r="I119" s="15" t="s">
        <v>261</v>
      </c>
      <c r="J119" s="14"/>
      <c r="K119" s="14"/>
      <c r="L119" s="14"/>
      <c r="M119" s="14"/>
    </row>
    <row r="120" spans="1:13" ht="38.25" x14ac:dyDescent="0.25">
      <c r="A120" s="10" t="str">
        <f t="shared" si="6"/>
        <v>1</v>
      </c>
      <c r="B120" s="10" t="str">
        <f t="shared" si="7"/>
        <v>1</v>
      </c>
      <c r="C120" s="10" t="str">
        <f t="shared" si="8"/>
        <v>3</v>
      </c>
      <c r="D120" s="10" t="str">
        <f t="shared" si="9"/>
        <v>0</v>
      </c>
      <c r="E120" s="10" t="str">
        <f t="shared" si="10"/>
        <v>00</v>
      </c>
      <c r="F120" s="10" t="str">
        <f t="shared" si="11"/>
        <v>00</v>
      </c>
      <c r="G120" s="54">
        <v>11300000</v>
      </c>
      <c r="H120" s="10" t="s">
        <v>262</v>
      </c>
      <c r="I120" s="11" t="s">
        <v>263</v>
      </c>
      <c r="J120" s="10"/>
      <c r="K120" s="10"/>
      <c r="L120" s="10"/>
      <c r="M120" s="11"/>
    </row>
    <row r="121" spans="1:13" ht="25.5" x14ac:dyDescent="0.25">
      <c r="A121" s="14" t="str">
        <f t="shared" si="6"/>
        <v>1</v>
      </c>
      <c r="B121" s="14" t="str">
        <f t="shared" si="7"/>
        <v>1</v>
      </c>
      <c r="C121" s="14" t="str">
        <f t="shared" si="8"/>
        <v>3</v>
      </c>
      <c r="D121" s="14" t="str">
        <f t="shared" si="9"/>
        <v>0</v>
      </c>
      <c r="E121" s="14" t="str">
        <f t="shared" si="10"/>
        <v>01</v>
      </c>
      <c r="F121" s="14" t="str">
        <f t="shared" si="11"/>
        <v>00</v>
      </c>
      <c r="G121" s="56">
        <v>11300100</v>
      </c>
      <c r="H121" s="14" t="s">
        <v>264</v>
      </c>
      <c r="I121" s="15" t="s">
        <v>265</v>
      </c>
      <c r="J121" s="14"/>
      <c r="K121" s="14"/>
      <c r="L121" s="14"/>
      <c r="M121" s="14"/>
    </row>
    <row r="122" spans="1:13" ht="25.5" x14ac:dyDescent="0.25">
      <c r="A122" s="14" t="str">
        <f t="shared" si="6"/>
        <v>1</v>
      </c>
      <c r="B122" s="14" t="str">
        <f t="shared" si="7"/>
        <v>1</v>
      </c>
      <c r="C122" s="14" t="str">
        <f t="shared" si="8"/>
        <v>3</v>
      </c>
      <c r="D122" s="14" t="str">
        <f t="shared" si="9"/>
        <v>0</v>
      </c>
      <c r="E122" s="14" t="str">
        <f t="shared" si="10"/>
        <v>02</v>
      </c>
      <c r="F122" s="14" t="str">
        <f t="shared" si="11"/>
        <v>00</v>
      </c>
      <c r="G122" s="56">
        <v>11300200</v>
      </c>
      <c r="H122" s="14" t="s">
        <v>266</v>
      </c>
      <c r="I122" s="15" t="s">
        <v>267</v>
      </c>
      <c r="J122" s="14"/>
      <c r="K122" s="14"/>
      <c r="L122" s="14"/>
      <c r="M122" s="14"/>
    </row>
    <row r="123" spans="1:13" ht="25.5" x14ac:dyDescent="0.25">
      <c r="A123" s="14" t="str">
        <f t="shared" si="6"/>
        <v>1</v>
      </c>
      <c r="B123" s="14" t="str">
        <f t="shared" si="7"/>
        <v>1</v>
      </c>
      <c r="C123" s="14" t="str">
        <f t="shared" si="8"/>
        <v>3</v>
      </c>
      <c r="D123" s="14" t="str">
        <f t="shared" si="9"/>
        <v>0</v>
      </c>
      <c r="E123" s="14" t="str">
        <f t="shared" si="10"/>
        <v>03</v>
      </c>
      <c r="F123" s="14" t="str">
        <f t="shared" si="11"/>
        <v>00</v>
      </c>
      <c r="G123" s="56">
        <v>11300300</v>
      </c>
      <c r="H123" s="14" t="s">
        <v>268</v>
      </c>
      <c r="I123" s="15" t="s">
        <v>269</v>
      </c>
      <c r="J123" s="14"/>
      <c r="K123" s="14"/>
      <c r="L123" s="14"/>
      <c r="M123" s="14"/>
    </row>
    <row r="124" spans="1:13" ht="25.5" x14ac:dyDescent="0.25">
      <c r="A124" s="14" t="str">
        <f t="shared" si="6"/>
        <v>1</v>
      </c>
      <c r="B124" s="14" t="str">
        <f t="shared" si="7"/>
        <v>1</v>
      </c>
      <c r="C124" s="14" t="str">
        <f t="shared" si="8"/>
        <v>3</v>
      </c>
      <c r="D124" s="14" t="str">
        <f t="shared" si="9"/>
        <v>0</v>
      </c>
      <c r="E124" s="14" t="str">
        <f t="shared" si="10"/>
        <v>04</v>
      </c>
      <c r="F124" s="14" t="str">
        <f t="shared" si="11"/>
        <v>00</v>
      </c>
      <c r="G124" s="56">
        <v>11300400</v>
      </c>
      <c r="H124" s="14" t="s">
        <v>270</v>
      </c>
      <c r="I124" s="15" t="s">
        <v>271</v>
      </c>
      <c r="J124" s="14"/>
      <c r="K124" s="14"/>
      <c r="L124" s="14"/>
      <c r="M124" s="14"/>
    </row>
    <row r="125" spans="1:13" x14ac:dyDescent="0.25">
      <c r="A125" s="14" t="str">
        <f t="shared" si="6"/>
        <v>1</v>
      </c>
      <c r="B125" s="14" t="str">
        <f t="shared" si="7"/>
        <v>1</v>
      </c>
      <c r="C125" s="14" t="str">
        <f t="shared" si="8"/>
        <v>3</v>
      </c>
      <c r="D125" s="14" t="str">
        <f t="shared" si="9"/>
        <v>0</v>
      </c>
      <c r="E125" s="14" t="str">
        <f t="shared" si="10"/>
        <v>99</v>
      </c>
      <c r="F125" s="14" t="str">
        <f t="shared" si="11"/>
        <v>00</v>
      </c>
      <c r="G125" s="56">
        <v>11309900</v>
      </c>
      <c r="H125" s="14" t="s">
        <v>272</v>
      </c>
      <c r="I125" s="15" t="s">
        <v>273</v>
      </c>
      <c r="J125" s="14"/>
      <c r="K125" s="14"/>
      <c r="L125" s="14"/>
      <c r="M125" s="14"/>
    </row>
    <row r="126" spans="1:13" ht="38.25" x14ac:dyDescent="0.25">
      <c r="A126" s="16" t="str">
        <f t="shared" si="6"/>
        <v>1</v>
      </c>
      <c r="B126" s="16" t="str">
        <f t="shared" si="7"/>
        <v>1</v>
      </c>
      <c r="C126" s="16" t="str">
        <f t="shared" si="8"/>
        <v>3</v>
      </c>
      <c r="D126" s="16" t="str">
        <f t="shared" si="9"/>
        <v>1</v>
      </c>
      <c r="E126" s="16" t="str">
        <f t="shared" si="10"/>
        <v>02</v>
      </c>
      <c r="F126" s="16" t="str">
        <f t="shared" si="11"/>
        <v>05</v>
      </c>
      <c r="G126" s="57">
        <v>11310205</v>
      </c>
      <c r="H126" s="16" t="s">
        <v>274</v>
      </c>
      <c r="I126" s="17" t="s">
        <v>275</v>
      </c>
      <c r="J126" s="16"/>
      <c r="K126" s="16"/>
      <c r="L126" s="16"/>
      <c r="M126" s="17"/>
    </row>
    <row r="127" spans="1:13" ht="38.25" x14ac:dyDescent="0.25">
      <c r="A127" s="8" t="str">
        <f t="shared" si="6"/>
        <v>1</v>
      </c>
      <c r="B127" s="8" t="str">
        <f t="shared" si="7"/>
        <v>2</v>
      </c>
      <c r="C127" s="8" t="str">
        <f t="shared" si="8"/>
        <v>0</v>
      </c>
      <c r="D127" s="8" t="str">
        <f t="shared" si="9"/>
        <v>0</v>
      </c>
      <c r="E127" s="8" t="str">
        <f t="shared" si="10"/>
        <v>00</v>
      </c>
      <c r="F127" s="8" t="str">
        <f t="shared" si="11"/>
        <v>00</v>
      </c>
      <c r="G127" s="53">
        <v>12000000</v>
      </c>
      <c r="H127" s="8" t="s">
        <v>276</v>
      </c>
      <c r="I127" s="9" t="s">
        <v>277</v>
      </c>
      <c r="J127" s="8"/>
      <c r="K127" s="8"/>
      <c r="L127" s="8"/>
      <c r="M127" s="9"/>
    </row>
    <row r="128" spans="1:13" x14ac:dyDescent="0.25">
      <c r="A128" s="10" t="str">
        <f t="shared" si="6"/>
        <v>1</v>
      </c>
      <c r="B128" s="10" t="str">
        <f t="shared" si="7"/>
        <v>2</v>
      </c>
      <c r="C128" s="10" t="str">
        <f t="shared" si="8"/>
        <v>1</v>
      </c>
      <c r="D128" s="10" t="str">
        <f t="shared" si="9"/>
        <v>0</v>
      </c>
      <c r="E128" s="10" t="str">
        <f t="shared" si="10"/>
        <v>00</v>
      </c>
      <c r="F128" s="10" t="str">
        <f t="shared" si="11"/>
        <v>00</v>
      </c>
      <c r="G128" s="54">
        <v>12100000</v>
      </c>
      <c r="H128" s="10" t="s">
        <v>278</v>
      </c>
      <c r="I128" s="11" t="s">
        <v>279</v>
      </c>
      <c r="J128" s="10"/>
      <c r="K128" s="10"/>
      <c r="L128" s="10"/>
      <c r="M128" s="11"/>
    </row>
    <row r="129" spans="1:13" ht="38.25" x14ac:dyDescent="0.25">
      <c r="A129" s="14" t="str">
        <f t="shared" si="6"/>
        <v>1</v>
      </c>
      <c r="B129" s="14" t="str">
        <f t="shared" si="7"/>
        <v>2</v>
      </c>
      <c r="C129" s="14" t="str">
        <f t="shared" si="8"/>
        <v>1</v>
      </c>
      <c r="D129" s="14" t="str">
        <f t="shared" si="9"/>
        <v>0</v>
      </c>
      <c r="E129" s="14" t="str">
        <f t="shared" si="10"/>
        <v>01</v>
      </c>
      <c r="F129" s="14" t="str">
        <f t="shared" si="11"/>
        <v>00</v>
      </c>
      <c r="G129" s="56">
        <v>12100100</v>
      </c>
      <c r="H129" s="14" t="s">
        <v>280</v>
      </c>
      <c r="I129" s="15" t="s">
        <v>281</v>
      </c>
      <c r="J129" s="14"/>
      <c r="K129" s="14"/>
      <c r="L129" s="14"/>
      <c r="M129" s="14"/>
    </row>
    <row r="130" spans="1:13" ht="38.25" x14ac:dyDescent="0.25">
      <c r="A130" s="16" t="str">
        <f t="shared" si="6"/>
        <v>1</v>
      </c>
      <c r="B130" s="16" t="str">
        <f t="shared" si="7"/>
        <v>2</v>
      </c>
      <c r="C130" s="16" t="str">
        <f t="shared" si="8"/>
        <v>1</v>
      </c>
      <c r="D130" s="16" t="str">
        <f t="shared" si="9"/>
        <v>0</v>
      </c>
      <c r="E130" s="16" t="str">
        <f t="shared" si="10"/>
        <v>01</v>
      </c>
      <c r="F130" s="16" t="str">
        <f t="shared" si="11"/>
        <v>01</v>
      </c>
      <c r="G130" s="57">
        <v>12100101</v>
      </c>
      <c r="H130" s="16" t="s">
        <v>282</v>
      </c>
      <c r="I130" s="17" t="s">
        <v>283</v>
      </c>
      <c r="J130" s="16"/>
      <c r="K130" s="16"/>
      <c r="L130" s="16"/>
      <c r="M130" s="17"/>
    </row>
    <row r="131" spans="1:13" ht="38.25" x14ac:dyDescent="0.25">
      <c r="A131" s="16" t="str">
        <f t="shared" si="6"/>
        <v>1</v>
      </c>
      <c r="B131" s="16" t="str">
        <f t="shared" si="7"/>
        <v>2</v>
      </c>
      <c r="C131" s="16" t="str">
        <f t="shared" si="8"/>
        <v>1</v>
      </c>
      <c r="D131" s="16" t="str">
        <f t="shared" si="9"/>
        <v>0</v>
      </c>
      <c r="E131" s="16" t="str">
        <f t="shared" si="10"/>
        <v>01</v>
      </c>
      <c r="F131" s="16" t="str">
        <f t="shared" si="11"/>
        <v>02</v>
      </c>
      <c r="G131" s="57">
        <v>12100102</v>
      </c>
      <c r="H131" s="16" t="s">
        <v>284</v>
      </c>
      <c r="I131" s="17" t="s">
        <v>285</v>
      </c>
      <c r="J131" s="16"/>
      <c r="K131" s="16"/>
      <c r="L131" s="16"/>
      <c r="M131" s="17"/>
    </row>
    <row r="132" spans="1:13" ht="63.75" x14ac:dyDescent="0.25">
      <c r="A132" s="14" t="str">
        <f t="shared" ref="A132:A195" si="12">MID(G132,1,1)</f>
        <v>1</v>
      </c>
      <c r="B132" s="14" t="str">
        <f t="shared" ref="B132:B195" si="13">MID(G132,2,1)</f>
        <v>2</v>
      </c>
      <c r="C132" s="14" t="str">
        <f t="shared" ref="C132:C195" si="14">MID(G132,3,1)</f>
        <v>1</v>
      </c>
      <c r="D132" s="14" t="str">
        <f t="shared" ref="D132:D195" si="15">MID(G132,4,1)</f>
        <v>0</v>
      </c>
      <c r="E132" s="14" t="str">
        <f t="shared" ref="E132:E195" si="16">MID(G132,5,2)</f>
        <v>02</v>
      </c>
      <c r="F132" s="14" t="str">
        <f t="shared" ref="F132:F195" si="17">MID(G132,7,2)</f>
        <v>00</v>
      </c>
      <c r="G132" s="56">
        <v>12100200</v>
      </c>
      <c r="H132" s="14" t="s">
        <v>286</v>
      </c>
      <c r="I132" s="15" t="s">
        <v>287</v>
      </c>
      <c r="J132" s="14"/>
      <c r="K132" s="14"/>
      <c r="L132" s="14"/>
      <c r="M132" s="14"/>
    </row>
    <row r="133" spans="1:13" ht="38.25" x14ac:dyDescent="0.25">
      <c r="A133" s="14" t="str">
        <f t="shared" si="12"/>
        <v>1</v>
      </c>
      <c r="B133" s="14" t="str">
        <f t="shared" si="13"/>
        <v>2</v>
      </c>
      <c r="C133" s="14" t="str">
        <f t="shared" si="14"/>
        <v>1</v>
      </c>
      <c r="D133" s="14" t="str">
        <f t="shared" si="15"/>
        <v>0</v>
      </c>
      <c r="E133" s="14" t="str">
        <f t="shared" si="16"/>
        <v>04</v>
      </c>
      <c r="F133" s="14" t="str">
        <f t="shared" si="17"/>
        <v>00</v>
      </c>
      <c r="G133" s="56">
        <v>12100400</v>
      </c>
      <c r="H133" s="14" t="s">
        <v>288</v>
      </c>
      <c r="I133" s="15" t="s">
        <v>289</v>
      </c>
      <c r="J133" s="14"/>
      <c r="K133" s="14"/>
      <c r="L133" s="14"/>
      <c r="M133" s="14"/>
    </row>
    <row r="134" spans="1:13" ht="38.25" x14ac:dyDescent="0.25">
      <c r="A134" s="14" t="str">
        <f t="shared" si="12"/>
        <v>1</v>
      </c>
      <c r="B134" s="14" t="str">
        <f t="shared" si="13"/>
        <v>2</v>
      </c>
      <c r="C134" s="14" t="str">
        <f t="shared" si="14"/>
        <v>1</v>
      </c>
      <c r="D134" s="14" t="str">
        <f t="shared" si="15"/>
        <v>0</v>
      </c>
      <c r="E134" s="14" t="str">
        <f t="shared" si="16"/>
        <v>05</v>
      </c>
      <c r="F134" s="14" t="str">
        <f t="shared" si="17"/>
        <v>00</v>
      </c>
      <c r="G134" s="56">
        <v>12100500</v>
      </c>
      <c r="H134" s="14" t="s">
        <v>290</v>
      </c>
      <c r="I134" s="15" t="s">
        <v>291</v>
      </c>
      <c r="J134" s="14"/>
      <c r="K134" s="14"/>
      <c r="L134" s="14"/>
      <c r="M134" s="14"/>
    </row>
    <row r="135" spans="1:13" ht="38.25" x14ac:dyDescent="0.25">
      <c r="A135" s="14" t="str">
        <f t="shared" si="12"/>
        <v>1</v>
      </c>
      <c r="B135" s="14" t="str">
        <f t="shared" si="13"/>
        <v>2</v>
      </c>
      <c r="C135" s="14" t="str">
        <f t="shared" si="14"/>
        <v>1</v>
      </c>
      <c r="D135" s="14" t="str">
        <f t="shared" si="15"/>
        <v>0</v>
      </c>
      <c r="E135" s="14" t="str">
        <f t="shared" si="16"/>
        <v>06</v>
      </c>
      <c r="F135" s="14" t="str">
        <f t="shared" si="17"/>
        <v>00</v>
      </c>
      <c r="G135" s="56">
        <v>12100600</v>
      </c>
      <c r="H135" s="14" t="s">
        <v>292</v>
      </c>
      <c r="I135" s="15" t="s">
        <v>293</v>
      </c>
      <c r="J135" s="14"/>
      <c r="K135" s="14"/>
      <c r="L135" s="14"/>
      <c r="M135" s="14"/>
    </row>
    <row r="136" spans="1:13" ht="25.5" x14ac:dyDescent="0.25">
      <c r="A136" s="14" t="str">
        <f t="shared" si="12"/>
        <v>1</v>
      </c>
      <c r="B136" s="14" t="str">
        <f t="shared" si="13"/>
        <v>2</v>
      </c>
      <c r="C136" s="14" t="str">
        <f t="shared" si="14"/>
        <v>1</v>
      </c>
      <c r="D136" s="14" t="str">
        <f t="shared" si="15"/>
        <v>0</v>
      </c>
      <c r="E136" s="14" t="str">
        <f t="shared" si="16"/>
        <v>07</v>
      </c>
      <c r="F136" s="14" t="str">
        <f t="shared" si="17"/>
        <v>00</v>
      </c>
      <c r="G136" s="56">
        <v>12100700</v>
      </c>
      <c r="H136" s="14" t="s">
        <v>294</v>
      </c>
      <c r="I136" s="15" t="s">
        <v>295</v>
      </c>
      <c r="J136" s="14"/>
      <c r="K136" s="14"/>
      <c r="L136" s="14"/>
      <c r="M136" s="14"/>
    </row>
    <row r="137" spans="1:13" ht="25.5" x14ac:dyDescent="0.25">
      <c r="A137" s="14" t="str">
        <f t="shared" si="12"/>
        <v>1</v>
      </c>
      <c r="B137" s="14" t="str">
        <f t="shared" si="13"/>
        <v>2</v>
      </c>
      <c r="C137" s="14" t="str">
        <f t="shared" si="14"/>
        <v>1</v>
      </c>
      <c r="D137" s="14" t="str">
        <f t="shared" si="15"/>
        <v>0</v>
      </c>
      <c r="E137" s="14" t="str">
        <f t="shared" si="16"/>
        <v>09</v>
      </c>
      <c r="F137" s="14" t="str">
        <f t="shared" si="17"/>
        <v>00</v>
      </c>
      <c r="G137" s="56">
        <v>12100900</v>
      </c>
      <c r="H137" s="14" t="s">
        <v>296</v>
      </c>
      <c r="I137" s="15" t="s">
        <v>297</v>
      </c>
      <c r="J137" s="14"/>
      <c r="K137" s="14"/>
      <c r="L137" s="14"/>
      <c r="M137" s="14"/>
    </row>
    <row r="138" spans="1:13" ht="38.25" x14ac:dyDescent="0.25">
      <c r="A138" s="14" t="str">
        <f t="shared" si="12"/>
        <v>1</v>
      </c>
      <c r="B138" s="14" t="str">
        <f t="shared" si="13"/>
        <v>2</v>
      </c>
      <c r="C138" s="14" t="str">
        <f t="shared" si="14"/>
        <v>1</v>
      </c>
      <c r="D138" s="14" t="str">
        <f t="shared" si="15"/>
        <v>0</v>
      </c>
      <c r="E138" s="14" t="str">
        <f t="shared" si="16"/>
        <v>13</v>
      </c>
      <c r="F138" s="14" t="str">
        <f t="shared" si="17"/>
        <v>00</v>
      </c>
      <c r="G138" s="56">
        <v>12101300</v>
      </c>
      <c r="H138" s="14" t="s">
        <v>298</v>
      </c>
      <c r="I138" s="15" t="s">
        <v>299</v>
      </c>
      <c r="J138" s="14"/>
      <c r="K138" s="14"/>
      <c r="L138" s="14"/>
      <c r="M138" s="14"/>
    </row>
    <row r="139" spans="1:13" ht="51" x14ac:dyDescent="0.25">
      <c r="A139" s="16" t="str">
        <f t="shared" si="12"/>
        <v>1</v>
      </c>
      <c r="B139" s="16" t="str">
        <f t="shared" si="13"/>
        <v>2</v>
      </c>
      <c r="C139" s="16" t="str">
        <f t="shared" si="14"/>
        <v>1</v>
      </c>
      <c r="D139" s="16" t="str">
        <f t="shared" si="15"/>
        <v>0</v>
      </c>
      <c r="E139" s="16" t="str">
        <f t="shared" si="16"/>
        <v>13</v>
      </c>
      <c r="F139" s="16" t="str">
        <f t="shared" si="17"/>
        <v>01</v>
      </c>
      <c r="G139" s="57">
        <v>12101301</v>
      </c>
      <c r="H139" s="16" t="s">
        <v>300</v>
      </c>
      <c r="I139" s="17" t="s">
        <v>301</v>
      </c>
      <c r="J139" s="16"/>
      <c r="K139" s="16"/>
      <c r="L139" s="16"/>
      <c r="M139" s="17"/>
    </row>
    <row r="140" spans="1:13" ht="51" x14ac:dyDescent="0.25">
      <c r="A140" s="16" t="str">
        <f t="shared" si="12"/>
        <v>1</v>
      </c>
      <c r="B140" s="16" t="str">
        <f t="shared" si="13"/>
        <v>2</v>
      </c>
      <c r="C140" s="16" t="str">
        <f t="shared" si="14"/>
        <v>1</v>
      </c>
      <c r="D140" s="16" t="str">
        <f t="shared" si="15"/>
        <v>0</v>
      </c>
      <c r="E140" s="16" t="str">
        <f t="shared" si="16"/>
        <v>13</v>
      </c>
      <c r="F140" s="16" t="str">
        <f t="shared" si="17"/>
        <v>02</v>
      </c>
      <c r="G140" s="57">
        <v>12101302</v>
      </c>
      <c r="H140" s="16" t="s">
        <v>302</v>
      </c>
      <c r="I140" s="17" t="s">
        <v>303</v>
      </c>
      <c r="J140" s="16"/>
      <c r="K140" s="16"/>
      <c r="L140" s="16"/>
      <c r="M140" s="17"/>
    </row>
    <row r="141" spans="1:13" ht="25.5" x14ac:dyDescent="0.25">
      <c r="A141" s="14" t="str">
        <f t="shared" si="12"/>
        <v>1</v>
      </c>
      <c r="B141" s="14" t="str">
        <f t="shared" si="13"/>
        <v>2</v>
      </c>
      <c r="C141" s="14" t="str">
        <f t="shared" si="14"/>
        <v>1</v>
      </c>
      <c r="D141" s="14" t="str">
        <f t="shared" si="15"/>
        <v>0</v>
      </c>
      <c r="E141" s="14" t="str">
        <f t="shared" si="16"/>
        <v>15</v>
      </c>
      <c r="F141" s="14" t="str">
        <f t="shared" si="17"/>
        <v>00</v>
      </c>
      <c r="G141" s="56">
        <v>12101500</v>
      </c>
      <c r="H141" s="14" t="s">
        <v>304</v>
      </c>
      <c r="I141" s="15" t="s">
        <v>305</v>
      </c>
      <c r="J141" s="14"/>
      <c r="K141" s="14"/>
      <c r="L141" s="14"/>
      <c r="M141" s="14"/>
    </row>
    <row r="142" spans="1:13" ht="25.5" x14ac:dyDescent="0.25">
      <c r="A142" s="14" t="str">
        <f t="shared" si="12"/>
        <v>1</v>
      </c>
      <c r="B142" s="14" t="str">
        <f t="shared" si="13"/>
        <v>2</v>
      </c>
      <c r="C142" s="14" t="str">
        <f t="shared" si="14"/>
        <v>1</v>
      </c>
      <c r="D142" s="14" t="str">
        <f t="shared" si="15"/>
        <v>0</v>
      </c>
      <c r="E142" s="14" t="str">
        <f t="shared" si="16"/>
        <v>17</v>
      </c>
      <c r="F142" s="14" t="str">
        <f t="shared" si="17"/>
        <v>00</v>
      </c>
      <c r="G142" s="56">
        <v>12101700</v>
      </c>
      <c r="H142" s="14" t="s">
        <v>306</v>
      </c>
      <c r="I142" s="15" t="s">
        <v>307</v>
      </c>
      <c r="J142" s="14"/>
      <c r="K142" s="14"/>
      <c r="L142" s="14"/>
      <c r="M142" s="14"/>
    </row>
    <row r="143" spans="1:13" ht="38.25" x14ac:dyDescent="0.25">
      <c r="A143" s="14" t="str">
        <f t="shared" si="12"/>
        <v>1</v>
      </c>
      <c r="B143" s="14" t="str">
        <f t="shared" si="13"/>
        <v>2</v>
      </c>
      <c r="C143" s="14" t="str">
        <f t="shared" si="14"/>
        <v>1</v>
      </c>
      <c r="D143" s="14" t="str">
        <f t="shared" si="15"/>
        <v>0</v>
      </c>
      <c r="E143" s="14" t="str">
        <f t="shared" si="16"/>
        <v>18</v>
      </c>
      <c r="F143" s="14" t="str">
        <f t="shared" si="17"/>
        <v>00</v>
      </c>
      <c r="G143" s="56">
        <v>12101800</v>
      </c>
      <c r="H143" s="14" t="s">
        <v>308</v>
      </c>
      <c r="I143" s="15" t="s">
        <v>309</v>
      </c>
      <c r="J143" s="14"/>
      <c r="K143" s="14"/>
      <c r="L143" s="14"/>
      <c r="M143" s="14"/>
    </row>
    <row r="144" spans="1:13" ht="25.5" x14ac:dyDescent="0.25">
      <c r="A144" s="16" t="str">
        <f t="shared" si="12"/>
        <v>1</v>
      </c>
      <c r="B144" s="16" t="str">
        <f t="shared" si="13"/>
        <v>2</v>
      </c>
      <c r="C144" s="16" t="str">
        <f t="shared" si="14"/>
        <v>1</v>
      </c>
      <c r="D144" s="16" t="str">
        <f t="shared" si="15"/>
        <v>0</v>
      </c>
      <c r="E144" s="16" t="str">
        <f t="shared" si="16"/>
        <v>18</v>
      </c>
      <c r="F144" s="16" t="str">
        <f t="shared" si="17"/>
        <v>01</v>
      </c>
      <c r="G144" s="57">
        <v>12101801</v>
      </c>
      <c r="H144" s="16" t="s">
        <v>310</v>
      </c>
      <c r="I144" s="17" t="s">
        <v>311</v>
      </c>
      <c r="J144" s="16"/>
      <c r="K144" s="16"/>
      <c r="L144" s="16"/>
      <c r="M144" s="17"/>
    </row>
    <row r="145" spans="1:13" ht="25.5" x14ac:dyDescent="0.25">
      <c r="A145" s="16" t="str">
        <f t="shared" si="12"/>
        <v>1</v>
      </c>
      <c r="B145" s="16" t="str">
        <f t="shared" si="13"/>
        <v>2</v>
      </c>
      <c r="C145" s="16" t="str">
        <f t="shared" si="14"/>
        <v>1</v>
      </c>
      <c r="D145" s="16" t="str">
        <f t="shared" si="15"/>
        <v>0</v>
      </c>
      <c r="E145" s="16" t="str">
        <f t="shared" si="16"/>
        <v>18</v>
      </c>
      <c r="F145" s="16" t="str">
        <f t="shared" si="17"/>
        <v>02</v>
      </c>
      <c r="G145" s="57">
        <v>12101802</v>
      </c>
      <c r="H145" s="16" t="s">
        <v>312</v>
      </c>
      <c r="I145" s="17" t="s">
        <v>313</v>
      </c>
      <c r="J145" s="16"/>
      <c r="K145" s="16"/>
      <c r="L145" s="16"/>
      <c r="M145" s="17"/>
    </row>
    <row r="146" spans="1:13" ht="25.5" x14ac:dyDescent="0.25">
      <c r="A146" s="16" t="str">
        <f t="shared" si="12"/>
        <v>1</v>
      </c>
      <c r="B146" s="16" t="str">
        <f t="shared" si="13"/>
        <v>2</v>
      </c>
      <c r="C146" s="16" t="str">
        <f t="shared" si="14"/>
        <v>1</v>
      </c>
      <c r="D146" s="16" t="str">
        <f t="shared" si="15"/>
        <v>0</v>
      </c>
      <c r="E146" s="16" t="str">
        <f t="shared" si="16"/>
        <v>18</v>
      </c>
      <c r="F146" s="16" t="str">
        <f t="shared" si="17"/>
        <v>03</v>
      </c>
      <c r="G146" s="57">
        <v>12101803</v>
      </c>
      <c r="H146" s="16" t="s">
        <v>314</v>
      </c>
      <c r="I146" s="17" t="s">
        <v>315</v>
      </c>
      <c r="J146" s="16"/>
      <c r="K146" s="16"/>
      <c r="L146" s="16"/>
      <c r="M146" s="17"/>
    </row>
    <row r="147" spans="1:13" ht="25.5" x14ac:dyDescent="0.25">
      <c r="A147" s="16" t="str">
        <f t="shared" si="12"/>
        <v>1</v>
      </c>
      <c r="B147" s="16" t="str">
        <f t="shared" si="13"/>
        <v>2</v>
      </c>
      <c r="C147" s="16" t="str">
        <f t="shared" si="14"/>
        <v>1</v>
      </c>
      <c r="D147" s="16" t="str">
        <f t="shared" si="15"/>
        <v>0</v>
      </c>
      <c r="E147" s="16" t="str">
        <f t="shared" si="16"/>
        <v>18</v>
      </c>
      <c r="F147" s="16" t="str">
        <f t="shared" si="17"/>
        <v>04</v>
      </c>
      <c r="G147" s="57">
        <v>12101804</v>
      </c>
      <c r="H147" s="16" t="s">
        <v>316</v>
      </c>
      <c r="I147" s="17" t="s">
        <v>317</v>
      </c>
      <c r="J147" s="16"/>
      <c r="K147" s="16"/>
      <c r="L147" s="16"/>
      <c r="M147" s="17"/>
    </row>
    <row r="148" spans="1:13" ht="25.5" x14ac:dyDescent="0.25">
      <c r="A148" s="16" t="str">
        <f t="shared" si="12"/>
        <v>1</v>
      </c>
      <c r="B148" s="16" t="str">
        <f t="shared" si="13"/>
        <v>2</v>
      </c>
      <c r="C148" s="16" t="str">
        <f t="shared" si="14"/>
        <v>1</v>
      </c>
      <c r="D148" s="16" t="str">
        <f t="shared" si="15"/>
        <v>0</v>
      </c>
      <c r="E148" s="16" t="str">
        <f t="shared" si="16"/>
        <v>18</v>
      </c>
      <c r="F148" s="16" t="str">
        <f t="shared" si="17"/>
        <v>05</v>
      </c>
      <c r="G148" s="57">
        <v>12101805</v>
      </c>
      <c r="H148" s="16" t="s">
        <v>318</v>
      </c>
      <c r="I148" s="17" t="s">
        <v>319</v>
      </c>
      <c r="J148" s="16"/>
      <c r="K148" s="16"/>
      <c r="L148" s="16"/>
      <c r="M148" s="17"/>
    </row>
    <row r="149" spans="1:13" ht="25.5" x14ac:dyDescent="0.25">
      <c r="A149" s="16" t="str">
        <f t="shared" si="12"/>
        <v>1</v>
      </c>
      <c r="B149" s="16" t="str">
        <f t="shared" si="13"/>
        <v>2</v>
      </c>
      <c r="C149" s="16" t="str">
        <f t="shared" si="14"/>
        <v>1</v>
      </c>
      <c r="D149" s="16" t="str">
        <f t="shared" si="15"/>
        <v>0</v>
      </c>
      <c r="E149" s="16" t="str">
        <f t="shared" si="16"/>
        <v>18</v>
      </c>
      <c r="F149" s="16" t="str">
        <f t="shared" si="17"/>
        <v>06</v>
      </c>
      <c r="G149" s="57">
        <v>12101806</v>
      </c>
      <c r="H149" s="16" t="s">
        <v>320</v>
      </c>
      <c r="I149" s="17" t="s">
        <v>321</v>
      </c>
      <c r="J149" s="16"/>
      <c r="K149" s="16"/>
      <c r="L149" s="16"/>
      <c r="M149" s="17"/>
    </row>
    <row r="150" spans="1:13" ht="25.5" x14ac:dyDescent="0.25">
      <c r="A150" s="16" t="str">
        <f t="shared" si="12"/>
        <v>1</v>
      </c>
      <c r="B150" s="16" t="str">
        <f t="shared" si="13"/>
        <v>2</v>
      </c>
      <c r="C150" s="16" t="str">
        <f t="shared" si="14"/>
        <v>1</v>
      </c>
      <c r="D150" s="16" t="str">
        <f t="shared" si="15"/>
        <v>0</v>
      </c>
      <c r="E150" s="16" t="str">
        <f t="shared" si="16"/>
        <v>18</v>
      </c>
      <c r="F150" s="16" t="str">
        <f t="shared" si="17"/>
        <v>07</v>
      </c>
      <c r="G150" s="57">
        <v>12101807</v>
      </c>
      <c r="H150" s="16" t="s">
        <v>322</v>
      </c>
      <c r="I150" s="17" t="s">
        <v>323</v>
      </c>
      <c r="J150" s="16"/>
      <c r="K150" s="16"/>
      <c r="L150" s="16"/>
      <c r="M150" s="17"/>
    </row>
    <row r="151" spans="1:13" ht="51" x14ac:dyDescent="0.25">
      <c r="A151" s="16" t="str">
        <f t="shared" si="12"/>
        <v>1</v>
      </c>
      <c r="B151" s="16" t="str">
        <f t="shared" si="13"/>
        <v>2</v>
      </c>
      <c r="C151" s="16" t="str">
        <f t="shared" si="14"/>
        <v>1</v>
      </c>
      <c r="D151" s="16" t="str">
        <f t="shared" si="15"/>
        <v>0</v>
      </c>
      <c r="E151" s="16" t="str">
        <f t="shared" si="16"/>
        <v>18</v>
      </c>
      <c r="F151" s="16" t="str">
        <f t="shared" si="17"/>
        <v>08</v>
      </c>
      <c r="G151" s="57">
        <v>12101808</v>
      </c>
      <c r="H151" s="16" t="s">
        <v>324</v>
      </c>
      <c r="I151" s="17" t="s">
        <v>325</v>
      </c>
      <c r="J151" s="16"/>
      <c r="K151" s="16"/>
      <c r="L151" s="16"/>
      <c r="M151" s="17"/>
    </row>
    <row r="152" spans="1:13" ht="25.5" x14ac:dyDescent="0.25">
      <c r="A152" s="16" t="str">
        <f t="shared" si="12"/>
        <v>1</v>
      </c>
      <c r="B152" s="16" t="str">
        <f t="shared" si="13"/>
        <v>2</v>
      </c>
      <c r="C152" s="16" t="str">
        <f t="shared" si="14"/>
        <v>1</v>
      </c>
      <c r="D152" s="16" t="str">
        <f t="shared" si="15"/>
        <v>0</v>
      </c>
      <c r="E152" s="16" t="str">
        <f t="shared" si="16"/>
        <v>18</v>
      </c>
      <c r="F152" s="16" t="str">
        <f t="shared" si="17"/>
        <v>09</v>
      </c>
      <c r="G152" s="57">
        <v>12101809</v>
      </c>
      <c r="H152" s="16" t="s">
        <v>326</v>
      </c>
      <c r="I152" s="17" t="s">
        <v>327</v>
      </c>
      <c r="J152" s="16"/>
      <c r="K152" s="16"/>
      <c r="L152" s="16"/>
      <c r="M152" s="17"/>
    </row>
    <row r="153" spans="1:13" ht="25.5" x14ac:dyDescent="0.25">
      <c r="A153" s="14" t="str">
        <f t="shared" si="12"/>
        <v>1</v>
      </c>
      <c r="B153" s="14" t="str">
        <f t="shared" si="13"/>
        <v>2</v>
      </c>
      <c r="C153" s="14" t="str">
        <f t="shared" si="14"/>
        <v>1</v>
      </c>
      <c r="D153" s="14" t="str">
        <f t="shared" si="15"/>
        <v>0</v>
      </c>
      <c r="E153" s="14" t="str">
        <f t="shared" si="16"/>
        <v>29</v>
      </c>
      <c r="F153" s="14" t="str">
        <f t="shared" si="17"/>
        <v>00</v>
      </c>
      <c r="G153" s="56">
        <v>12102900</v>
      </c>
      <c r="H153" s="14" t="s">
        <v>328</v>
      </c>
      <c r="I153" s="15" t="s">
        <v>329</v>
      </c>
      <c r="J153" s="14"/>
      <c r="K153" s="14"/>
      <c r="L153" s="14"/>
      <c r="M153" s="14"/>
    </row>
    <row r="154" spans="1:13" ht="25.5" x14ac:dyDescent="0.25">
      <c r="A154" s="16" t="str">
        <f t="shared" si="12"/>
        <v>1</v>
      </c>
      <c r="B154" s="16" t="str">
        <f t="shared" si="13"/>
        <v>2</v>
      </c>
      <c r="C154" s="16" t="str">
        <f t="shared" si="14"/>
        <v>1</v>
      </c>
      <c r="D154" s="16" t="str">
        <f t="shared" si="15"/>
        <v>0</v>
      </c>
      <c r="E154" s="16" t="str">
        <f t="shared" si="16"/>
        <v>29</v>
      </c>
      <c r="F154" s="16" t="str">
        <f t="shared" si="17"/>
        <v>01</v>
      </c>
      <c r="G154" s="57">
        <v>12102901</v>
      </c>
      <c r="H154" s="16" t="s">
        <v>330</v>
      </c>
      <c r="I154" s="17" t="s">
        <v>331</v>
      </c>
      <c r="J154" s="16"/>
      <c r="K154" s="16"/>
      <c r="L154" s="16"/>
      <c r="M154" s="17"/>
    </row>
    <row r="155" spans="1:13" ht="25.5" x14ac:dyDescent="0.25">
      <c r="A155" s="16" t="str">
        <f t="shared" si="12"/>
        <v>1</v>
      </c>
      <c r="B155" s="16" t="str">
        <f t="shared" si="13"/>
        <v>2</v>
      </c>
      <c r="C155" s="16" t="str">
        <f t="shared" si="14"/>
        <v>1</v>
      </c>
      <c r="D155" s="16" t="str">
        <f t="shared" si="15"/>
        <v>0</v>
      </c>
      <c r="E155" s="16" t="str">
        <f t="shared" si="16"/>
        <v>29</v>
      </c>
      <c r="F155" s="16" t="str">
        <f t="shared" si="17"/>
        <v>02</v>
      </c>
      <c r="G155" s="57">
        <v>12102902</v>
      </c>
      <c r="H155" s="16" t="s">
        <v>332</v>
      </c>
      <c r="I155" s="17" t="s">
        <v>333</v>
      </c>
      <c r="J155" s="16"/>
      <c r="K155" s="16"/>
      <c r="L155" s="16"/>
      <c r="M155" s="17"/>
    </row>
    <row r="156" spans="1:13" x14ac:dyDescent="0.25">
      <c r="A156" s="16" t="str">
        <f t="shared" si="12"/>
        <v>1</v>
      </c>
      <c r="B156" s="16" t="str">
        <f t="shared" si="13"/>
        <v>2</v>
      </c>
      <c r="C156" s="16" t="str">
        <f t="shared" si="14"/>
        <v>1</v>
      </c>
      <c r="D156" s="16" t="str">
        <f t="shared" si="15"/>
        <v>0</v>
      </c>
      <c r="E156" s="16" t="str">
        <f t="shared" si="16"/>
        <v>29</v>
      </c>
      <c r="F156" s="16" t="str">
        <f t="shared" si="17"/>
        <v>03</v>
      </c>
      <c r="G156" s="57">
        <v>12102903</v>
      </c>
      <c r="H156" s="16" t="s">
        <v>334</v>
      </c>
      <c r="I156" s="17" t="s">
        <v>335</v>
      </c>
      <c r="J156" s="16"/>
      <c r="K156" s="16"/>
      <c r="L156" s="16"/>
      <c r="M156" s="17"/>
    </row>
    <row r="157" spans="1:13" x14ac:dyDescent="0.25">
      <c r="A157" s="16" t="str">
        <f t="shared" si="12"/>
        <v>1</v>
      </c>
      <c r="B157" s="16" t="str">
        <f t="shared" si="13"/>
        <v>2</v>
      </c>
      <c r="C157" s="16" t="str">
        <f t="shared" si="14"/>
        <v>1</v>
      </c>
      <c r="D157" s="16" t="str">
        <f t="shared" si="15"/>
        <v>0</v>
      </c>
      <c r="E157" s="16" t="str">
        <f t="shared" si="16"/>
        <v>29</v>
      </c>
      <c r="F157" s="16" t="str">
        <f t="shared" si="17"/>
        <v>04</v>
      </c>
      <c r="G157" s="57">
        <v>12102904</v>
      </c>
      <c r="H157" s="16" t="s">
        <v>336</v>
      </c>
      <c r="I157" s="17" t="s">
        <v>337</v>
      </c>
      <c r="J157" s="16"/>
      <c r="K157" s="16"/>
      <c r="L157" s="16"/>
      <c r="M157" s="17"/>
    </row>
    <row r="158" spans="1:13" x14ac:dyDescent="0.25">
      <c r="A158" s="16" t="str">
        <f t="shared" si="12"/>
        <v>1</v>
      </c>
      <c r="B158" s="16" t="str">
        <f t="shared" si="13"/>
        <v>2</v>
      </c>
      <c r="C158" s="16" t="str">
        <f t="shared" si="14"/>
        <v>1</v>
      </c>
      <c r="D158" s="16" t="str">
        <f t="shared" si="15"/>
        <v>0</v>
      </c>
      <c r="E158" s="16" t="str">
        <f t="shared" si="16"/>
        <v>29</v>
      </c>
      <c r="F158" s="16" t="str">
        <f t="shared" si="17"/>
        <v>05</v>
      </c>
      <c r="G158" s="57">
        <v>12102905</v>
      </c>
      <c r="H158" s="16" t="s">
        <v>338</v>
      </c>
      <c r="I158" s="17" t="s">
        <v>339</v>
      </c>
      <c r="J158" s="16"/>
      <c r="K158" s="16"/>
      <c r="L158" s="16"/>
      <c r="M158" s="17"/>
    </row>
    <row r="159" spans="1:13" ht="25.5" x14ac:dyDescent="0.25">
      <c r="A159" s="16" t="str">
        <f t="shared" si="12"/>
        <v>1</v>
      </c>
      <c r="B159" s="16" t="str">
        <f t="shared" si="13"/>
        <v>2</v>
      </c>
      <c r="C159" s="16" t="str">
        <f t="shared" si="14"/>
        <v>1</v>
      </c>
      <c r="D159" s="16" t="str">
        <f t="shared" si="15"/>
        <v>0</v>
      </c>
      <c r="E159" s="16" t="str">
        <f t="shared" si="16"/>
        <v>29</v>
      </c>
      <c r="F159" s="16" t="str">
        <f t="shared" si="17"/>
        <v>06</v>
      </c>
      <c r="G159" s="57">
        <v>12102906</v>
      </c>
      <c r="H159" s="16" t="s">
        <v>340</v>
      </c>
      <c r="I159" s="17" t="s">
        <v>341</v>
      </c>
      <c r="J159" s="16"/>
      <c r="K159" s="16"/>
      <c r="L159" s="16"/>
      <c r="M159" s="17"/>
    </row>
    <row r="160" spans="1:13" ht="25.5" x14ac:dyDescent="0.25">
      <c r="A160" s="16" t="str">
        <f t="shared" si="12"/>
        <v>1</v>
      </c>
      <c r="B160" s="16" t="str">
        <f t="shared" si="13"/>
        <v>2</v>
      </c>
      <c r="C160" s="16" t="str">
        <f t="shared" si="14"/>
        <v>1</v>
      </c>
      <c r="D160" s="16" t="str">
        <f t="shared" si="15"/>
        <v>0</v>
      </c>
      <c r="E160" s="16" t="str">
        <f t="shared" si="16"/>
        <v>29</v>
      </c>
      <c r="F160" s="16" t="str">
        <f t="shared" si="17"/>
        <v>07</v>
      </c>
      <c r="G160" s="57">
        <v>12102907</v>
      </c>
      <c r="H160" s="16" t="s">
        <v>342</v>
      </c>
      <c r="I160" s="17" t="s">
        <v>343</v>
      </c>
      <c r="J160" s="16"/>
      <c r="K160" s="16"/>
      <c r="L160" s="16"/>
      <c r="M160" s="17"/>
    </row>
    <row r="161" spans="1:13" x14ac:dyDescent="0.25">
      <c r="A161" s="16" t="str">
        <f t="shared" si="12"/>
        <v>1</v>
      </c>
      <c r="B161" s="16" t="str">
        <f t="shared" si="13"/>
        <v>2</v>
      </c>
      <c r="C161" s="16" t="str">
        <f t="shared" si="14"/>
        <v>1</v>
      </c>
      <c r="D161" s="16" t="str">
        <f t="shared" si="15"/>
        <v>0</v>
      </c>
      <c r="E161" s="16" t="str">
        <f t="shared" si="16"/>
        <v>29</v>
      </c>
      <c r="F161" s="16" t="str">
        <f t="shared" si="17"/>
        <v>08</v>
      </c>
      <c r="G161" s="57">
        <v>12102908</v>
      </c>
      <c r="H161" s="16" t="s">
        <v>344</v>
      </c>
      <c r="I161" s="17" t="s">
        <v>345</v>
      </c>
      <c r="J161" s="16"/>
      <c r="K161" s="16"/>
      <c r="L161" s="16"/>
      <c r="M161" s="17"/>
    </row>
    <row r="162" spans="1:13" ht="25.5" x14ac:dyDescent="0.25">
      <c r="A162" s="16" t="str">
        <f t="shared" si="12"/>
        <v>1</v>
      </c>
      <c r="B162" s="16" t="str">
        <f t="shared" si="13"/>
        <v>2</v>
      </c>
      <c r="C162" s="16" t="str">
        <f t="shared" si="14"/>
        <v>1</v>
      </c>
      <c r="D162" s="16" t="str">
        <f t="shared" si="15"/>
        <v>0</v>
      </c>
      <c r="E162" s="16" t="str">
        <f t="shared" si="16"/>
        <v>29</v>
      </c>
      <c r="F162" s="16" t="str">
        <f t="shared" si="17"/>
        <v>09</v>
      </c>
      <c r="G162" s="57">
        <v>12102909</v>
      </c>
      <c r="H162" s="16" t="s">
        <v>346</v>
      </c>
      <c r="I162" s="17" t="s">
        <v>347</v>
      </c>
      <c r="J162" s="16"/>
      <c r="K162" s="16"/>
      <c r="L162" s="16"/>
      <c r="M162" s="17"/>
    </row>
    <row r="163" spans="1:13" x14ac:dyDescent="0.25">
      <c r="A163" s="16" t="str">
        <f t="shared" si="12"/>
        <v>1</v>
      </c>
      <c r="B163" s="16" t="str">
        <f t="shared" si="13"/>
        <v>2</v>
      </c>
      <c r="C163" s="16" t="str">
        <f t="shared" si="14"/>
        <v>1</v>
      </c>
      <c r="D163" s="16" t="str">
        <f t="shared" si="15"/>
        <v>0</v>
      </c>
      <c r="E163" s="16" t="str">
        <f t="shared" si="16"/>
        <v>29</v>
      </c>
      <c r="F163" s="16" t="str">
        <f t="shared" si="17"/>
        <v>10</v>
      </c>
      <c r="G163" s="57">
        <v>12102910</v>
      </c>
      <c r="H163" s="16" t="s">
        <v>348</v>
      </c>
      <c r="I163" s="17" t="s">
        <v>349</v>
      </c>
      <c r="J163" s="16"/>
      <c r="K163" s="16"/>
      <c r="L163" s="16"/>
      <c r="M163" s="17"/>
    </row>
    <row r="164" spans="1:13" ht="25.5" x14ac:dyDescent="0.25">
      <c r="A164" s="16" t="str">
        <f t="shared" si="12"/>
        <v>1</v>
      </c>
      <c r="B164" s="16" t="str">
        <f t="shared" si="13"/>
        <v>2</v>
      </c>
      <c r="C164" s="16" t="str">
        <f t="shared" si="14"/>
        <v>1</v>
      </c>
      <c r="D164" s="16" t="str">
        <f t="shared" si="15"/>
        <v>0</v>
      </c>
      <c r="E164" s="16" t="str">
        <f t="shared" si="16"/>
        <v>29</v>
      </c>
      <c r="F164" s="16" t="str">
        <f t="shared" si="17"/>
        <v>11</v>
      </c>
      <c r="G164" s="57">
        <v>12102911</v>
      </c>
      <c r="H164" s="16" t="s">
        <v>350</v>
      </c>
      <c r="I164" s="17" t="s">
        <v>351</v>
      </c>
      <c r="J164" s="16"/>
      <c r="K164" s="16"/>
      <c r="L164" s="16"/>
      <c r="M164" s="17"/>
    </row>
    <row r="165" spans="1:13" x14ac:dyDescent="0.25">
      <c r="A165" s="16" t="str">
        <f t="shared" si="12"/>
        <v>1</v>
      </c>
      <c r="B165" s="16" t="str">
        <f t="shared" si="13"/>
        <v>2</v>
      </c>
      <c r="C165" s="16" t="str">
        <f t="shared" si="14"/>
        <v>1</v>
      </c>
      <c r="D165" s="16" t="str">
        <f t="shared" si="15"/>
        <v>0</v>
      </c>
      <c r="E165" s="16" t="str">
        <f t="shared" si="16"/>
        <v>29</v>
      </c>
      <c r="F165" s="16" t="str">
        <f t="shared" si="17"/>
        <v>12</v>
      </c>
      <c r="G165" s="57">
        <v>12102912</v>
      </c>
      <c r="H165" s="16" t="s">
        <v>352</v>
      </c>
      <c r="I165" s="17" t="s">
        <v>353</v>
      </c>
      <c r="J165" s="16"/>
      <c r="K165" s="16"/>
      <c r="L165" s="16"/>
      <c r="M165" s="17"/>
    </row>
    <row r="166" spans="1:13" ht="25.5" x14ac:dyDescent="0.25">
      <c r="A166" s="16" t="str">
        <f t="shared" si="12"/>
        <v>1</v>
      </c>
      <c r="B166" s="16" t="str">
        <f t="shared" si="13"/>
        <v>2</v>
      </c>
      <c r="C166" s="16" t="str">
        <f t="shared" si="14"/>
        <v>1</v>
      </c>
      <c r="D166" s="16" t="str">
        <f t="shared" si="15"/>
        <v>0</v>
      </c>
      <c r="E166" s="16" t="str">
        <f t="shared" si="16"/>
        <v>29</v>
      </c>
      <c r="F166" s="16" t="str">
        <f t="shared" si="17"/>
        <v>13</v>
      </c>
      <c r="G166" s="57">
        <v>12102913</v>
      </c>
      <c r="H166" s="16" t="s">
        <v>354</v>
      </c>
      <c r="I166" s="17" t="s">
        <v>355</v>
      </c>
      <c r="J166" s="16"/>
      <c r="K166" s="16"/>
      <c r="L166" s="16"/>
      <c r="M166" s="17"/>
    </row>
    <row r="167" spans="1:13" ht="25.5" x14ac:dyDescent="0.25">
      <c r="A167" s="16" t="str">
        <f t="shared" si="12"/>
        <v>1</v>
      </c>
      <c r="B167" s="16" t="str">
        <f t="shared" si="13"/>
        <v>2</v>
      </c>
      <c r="C167" s="16" t="str">
        <f t="shared" si="14"/>
        <v>1</v>
      </c>
      <c r="D167" s="16" t="str">
        <f t="shared" si="15"/>
        <v>0</v>
      </c>
      <c r="E167" s="16" t="str">
        <f t="shared" si="16"/>
        <v>29</v>
      </c>
      <c r="F167" s="16" t="str">
        <f t="shared" si="17"/>
        <v>15</v>
      </c>
      <c r="G167" s="57">
        <v>12102915</v>
      </c>
      <c r="H167" s="16" t="s">
        <v>356</v>
      </c>
      <c r="I167" s="17" t="s">
        <v>357</v>
      </c>
      <c r="J167" s="16"/>
      <c r="K167" s="16"/>
      <c r="L167" s="16"/>
      <c r="M167" s="17"/>
    </row>
    <row r="168" spans="1:13" ht="38.25" x14ac:dyDescent="0.25">
      <c r="A168" s="16" t="str">
        <f t="shared" si="12"/>
        <v>1</v>
      </c>
      <c r="B168" s="16" t="str">
        <f t="shared" si="13"/>
        <v>2</v>
      </c>
      <c r="C168" s="16" t="str">
        <f t="shared" si="14"/>
        <v>1</v>
      </c>
      <c r="D168" s="16" t="str">
        <f t="shared" si="15"/>
        <v>0</v>
      </c>
      <c r="E168" s="16" t="str">
        <f t="shared" si="16"/>
        <v>29</v>
      </c>
      <c r="F168" s="16" t="str">
        <f t="shared" si="17"/>
        <v>16</v>
      </c>
      <c r="G168" s="57">
        <v>12102916</v>
      </c>
      <c r="H168" s="16" t="s">
        <v>358</v>
      </c>
      <c r="I168" s="17" t="s">
        <v>359</v>
      </c>
      <c r="J168" s="16"/>
      <c r="K168" s="16" t="s">
        <v>151</v>
      </c>
      <c r="L168" s="16" t="s">
        <v>360</v>
      </c>
      <c r="M168" s="17"/>
    </row>
    <row r="169" spans="1:13" ht="38.25" x14ac:dyDescent="0.25">
      <c r="A169" s="16" t="str">
        <f t="shared" si="12"/>
        <v>1</v>
      </c>
      <c r="B169" s="16" t="str">
        <f t="shared" si="13"/>
        <v>2</v>
      </c>
      <c r="C169" s="16" t="str">
        <f t="shared" si="14"/>
        <v>1</v>
      </c>
      <c r="D169" s="16" t="str">
        <f t="shared" si="15"/>
        <v>0</v>
      </c>
      <c r="E169" s="16" t="str">
        <f t="shared" si="16"/>
        <v>29</v>
      </c>
      <c r="F169" s="16" t="str">
        <f t="shared" si="17"/>
        <v>17</v>
      </c>
      <c r="G169" s="57">
        <v>12102917</v>
      </c>
      <c r="H169" s="16" t="s">
        <v>361</v>
      </c>
      <c r="I169" s="17" t="s">
        <v>362</v>
      </c>
      <c r="J169" s="16"/>
      <c r="K169" s="16"/>
      <c r="L169" s="16"/>
      <c r="M169" s="17"/>
    </row>
    <row r="170" spans="1:13" ht="38.25" x14ac:dyDescent="0.25">
      <c r="A170" s="16" t="str">
        <f t="shared" si="12"/>
        <v>1</v>
      </c>
      <c r="B170" s="16" t="str">
        <f t="shared" si="13"/>
        <v>2</v>
      </c>
      <c r="C170" s="16" t="str">
        <f t="shared" si="14"/>
        <v>1</v>
      </c>
      <c r="D170" s="16" t="str">
        <f t="shared" si="15"/>
        <v>0</v>
      </c>
      <c r="E170" s="16" t="str">
        <f t="shared" si="16"/>
        <v>29</v>
      </c>
      <c r="F170" s="16" t="str">
        <f t="shared" si="17"/>
        <v>18</v>
      </c>
      <c r="G170" s="57">
        <v>12102918</v>
      </c>
      <c r="H170" s="16" t="s">
        <v>363</v>
      </c>
      <c r="I170" s="17" t="s">
        <v>364</v>
      </c>
      <c r="J170" s="16"/>
      <c r="K170" s="16"/>
      <c r="L170" s="16"/>
      <c r="M170" s="17"/>
    </row>
    <row r="171" spans="1:13" ht="38.25" x14ac:dyDescent="0.25">
      <c r="A171" s="16" t="str">
        <f t="shared" si="12"/>
        <v>1</v>
      </c>
      <c r="B171" s="16" t="str">
        <f t="shared" si="13"/>
        <v>2</v>
      </c>
      <c r="C171" s="16" t="str">
        <f t="shared" si="14"/>
        <v>1</v>
      </c>
      <c r="D171" s="16" t="str">
        <f t="shared" si="15"/>
        <v>0</v>
      </c>
      <c r="E171" s="16" t="str">
        <f t="shared" si="16"/>
        <v>29</v>
      </c>
      <c r="F171" s="16" t="str">
        <f t="shared" si="17"/>
        <v>19</v>
      </c>
      <c r="G171" s="57">
        <v>12102919</v>
      </c>
      <c r="H171" s="16" t="s">
        <v>365</v>
      </c>
      <c r="I171" s="17" t="s">
        <v>366</v>
      </c>
      <c r="J171" s="16"/>
      <c r="K171" s="16"/>
      <c r="L171" s="16"/>
      <c r="M171" s="17"/>
    </row>
    <row r="172" spans="1:13" ht="25.5" x14ac:dyDescent="0.25">
      <c r="A172" s="14" t="str">
        <f t="shared" si="12"/>
        <v>1</v>
      </c>
      <c r="B172" s="14" t="str">
        <f t="shared" si="13"/>
        <v>2</v>
      </c>
      <c r="C172" s="14" t="str">
        <f t="shared" si="14"/>
        <v>1</v>
      </c>
      <c r="D172" s="14" t="str">
        <f t="shared" si="15"/>
        <v>0</v>
      </c>
      <c r="E172" s="14" t="str">
        <f t="shared" si="16"/>
        <v>30</v>
      </c>
      <c r="F172" s="14" t="str">
        <f t="shared" si="17"/>
        <v>00</v>
      </c>
      <c r="G172" s="56">
        <v>12103000</v>
      </c>
      <c r="H172" s="14" t="s">
        <v>367</v>
      </c>
      <c r="I172" s="15" t="s">
        <v>368</v>
      </c>
      <c r="J172" s="14"/>
      <c r="K172" s="14"/>
      <c r="L172" s="14"/>
      <c r="M172" s="14"/>
    </row>
    <row r="173" spans="1:13" ht="25.5" x14ac:dyDescent="0.25">
      <c r="A173" s="16" t="str">
        <f t="shared" si="12"/>
        <v>1</v>
      </c>
      <c r="B173" s="16" t="str">
        <f t="shared" si="13"/>
        <v>2</v>
      </c>
      <c r="C173" s="16" t="str">
        <f t="shared" si="14"/>
        <v>1</v>
      </c>
      <c r="D173" s="16" t="str">
        <f t="shared" si="15"/>
        <v>0</v>
      </c>
      <c r="E173" s="16" t="str">
        <f t="shared" si="16"/>
        <v>30</v>
      </c>
      <c r="F173" s="16" t="str">
        <f t="shared" si="17"/>
        <v>01</v>
      </c>
      <c r="G173" s="57">
        <v>12103001</v>
      </c>
      <c r="H173" s="16" t="s">
        <v>369</v>
      </c>
      <c r="I173" s="17" t="s">
        <v>370</v>
      </c>
      <c r="J173" s="16"/>
      <c r="K173" s="16"/>
      <c r="L173" s="16"/>
      <c r="M173" s="17"/>
    </row>
    <row r="174" spans="1:13" ht="25.5" x14ac:dyDescent="0.25">
      <c r="A174" s="16" t="str">
        <f t="shared" si="12"/>
        <v>1</v>
      </c>
      <c r="B174" s="16" t="str">
        <f t="shared" si="13"/>
        <v>2</v>
      </c>
      <c r="C174" s="16" t="str">
        <f t="shared" si="14"/>
        <v>1</v>
      </c>
      <c r="D174" s="16" t="str">
        <f t="shared" si="15"/>
        <v>0</v>
      </c>
      <c r="E174" s="16" t="str">
        <f t="shared" si="16"/>
        <v>30</v>
      </c>
      <c r="F174" s="16" t="str">
        <f t="shared" si="17"/>
        <v>02</v>
      </c>
      <c r="G174" s="57">
        <v>12103002</v>
      </c>
      <c r="H174" s="16" t="s">
        <v>371</v>
      </c>
      <c r="I174" s="17" t="s">
        <v>372</v>
      </c>
      <c r="J174" s="16"/>
      <c r="K174" s="16"/>
      <c r="L174" s="16"/>
      <c r="M174" s="17"/>
    </row>
    <row r="175" spans="1:13" ht="25.5" x14ac:dyDescent="0.25">
      <c r="A175" s="16" t="str">
        <f t="shared" si="12"/>
        <v>1</v>
      </c>
      <c r="B175" s="16" t="str">
        <f t="shared" si="13"/>
        <v>2</v>
      </c>
      <c r="C175" s="16" t="str">
        <f t="shared" si="14"/>
        <v>1</v>
      </c>
      <c r="D175" s="16" t="str">
        <f t="shared" si="15"/>
        <v>0</v>
      </c>
      <c r="E175" s="16" t="str">
        <f t="shared" si="16"/>
        <v>30</v>
      </c>
      <c r="F175" s="16" t="str">
        <f t="shared" si="17"/>
        <v>03</v>
      </c>
      <c r="G175" s="57">
        <v>12103003</v>
      </c>
      <c r="H175" s="16" t="s">
        <v>373</v>
      </c>
      <c r="I175" s="17" t="s">
        <v>374</v>
      </c>
      <c r="J175" s="16"/>
      <c r="K175" s="16"/>
      <c r="L175" s="16"/>
      <c r="M175" s="17"/>
    </row>
    <row r="176" spans="1:13" ht="51" x14ac:dyDescent="0.25">
      <c r="A176" s="16" t="str">
        <f t="shared" si="12"/>
        <v>1</v>
      </c>
      <c r="B176" s="16" t="str">
        <f t="shared" si="13"/>
        <v>2</v>
      </c>
      <c r="C176" s="16" t="str">
        <f t="shared" si="14"/>
        <v>1</v>
      </c>
      <c r="D176" s="16" t="str">
        <f t="shared" si="15"/>
        <v>0</v>
      </c>
      <c r="E176" s="16" t="str">
        <f t="shared" si="16"/>
        <v>30</v>
      </c>
      <c r="F176" s="16" t="str">
        <f t="shared" si="17"/>
        <v>04</v>
      </c>
      <c r="G176" s="57">
        <v>12103004</v>
      </c>
      <c r="H176" s="16" t="s">
        <v>375</v>
      </c>
      <c r="I176" s="17" t="s">
        <v>376</v>
      </c>
      <c r="J176" s="16"/>
      <c r="K176" s="16"/>
      <c r="L176" s="16"/>
      <c r="M176" s="17"/>
    </row>
    <row r="177" spans="1:13" ht="38.25" x14ac:dyDescent="0.25">
      <c r="A177" s="16" t="str">
        <f t="shared" si="12"/>
        <v>1</v>
      </c>
      <c r="B177" s="16" t="str">
        <f t="shared" si="13"/>
        <v>2</v>
      </c>
      <c r="C177" s="16" t="str">
        <f t="shared" si="14"/>
        <v>1</v>
      </c>
      <c r="D177" s="16" t="str">
        <f t="shared" si="15"/>
        <v>0</v>
      </c>
      <c r="E177" s="16" t="str">
        <f t="shared" si="16"/>
        <v>30</v>
      </c>
      <c r="F177" s="16" t="str">
        <f t="shared" si="17"/>
        <v>05</v>
      </c>
      <c r="G177" s="57">
        <v>12103005</v>
      </c>
      <c r="H177" s="16" t="s">
        <v>377</v>
      </c>
      <c r="I177" s="17" t="s">
        <v>378</v>
      </c>
      <c r="J177" s="16"/>
      <c r="K177" s="16"/>
      <c r="L177" s="16"/>
      <c r="M177" s="17"/>
    </row>
    <row r="178" spans="1:13" ht="25.5" x14ac:dyDescent="0.25">
      <c r="A178" s="16" t="str">
        <f t="shared" si="12"/>
        <v>1</v>
      </c>
      <c r="B178" s="16" t="str">
        <f t="shared" si="13"/>
        <v>2</v>
      </c>
      <c r="C178" s="16" t="str">
        <f t="shared" si="14"/>
        <v>1</v>
      </c>
      <c r="D178" s="16" t="str">
        <f t="shared" si="15"/>
        <v>0</v>
      </c>
      <c r="E178" s="16" t="str">
        <f t="shared" si="16"/>
        <v>30</v>
      </c>
      <c r="F178" s="16" t="str">
        <f t="shared" si="17"/>
        <v>06</v>
      </c>
      <c r="G178" s="57">
        <v>12103006</v>
      </c>
      <c r="H178" s="16" t="s">
        <v>379</v>
      </c>
      <c r="I178" s="17" t="s">
        <v>380</v>
      </c>
      <c r="J178" s="16"/>
      <c r="K178" s="16"/>
      <c r="L178" s="16"/>
      <c r="M178" s="17"/>
    </row>
    <row r="179" spans="1:13" ht="38.25" x14ac:dyDescent="0.25">
      <c r="A179" s="16" t="str">
        <f t="shared" si="12"/>
        <v>1</v>
      </c>
      <c r="B179" s="16" t="str">
        <f t="shared" si="13"/>
        <v>2</v>
      </c>
      <c r="C179" s="16" t="str">
        <f t="shared" si="14"/>
        <v>1</v>
      </c>
      <c r="D179" s="16" t="str">
        <f t="shared" si="15"/>
        <v>0</v>
      </c>
      <c r="E179" s="16" t="str">
        <f t="shared" si="16"/>
        <v>30</v>
      </c>
      <c r="F179" s="16" t="str">
        <f t="shared" si="17"/>
        <v>07</v>
      </c>
      <c r="G179" s="57">
        <v>12103007</v>
      </c>
      <c r="H179" s="16" t="s">
        <v>381</v>
      </c>
      <c r="I179" s="17" t="s">
        <v>382</v>
      </c>
      <c r="J179" s="16"/>
      <c r="K179" s="16"/>
      <c r="L179" s="16"/>
      <c r="M179" s="17"/>
    </row>
    <row r="180" spans="1:13" ht="38.25" x14ac:dyDescent="0.25">
      <c r="A180" s="16" t="str">
        <f t="shared" si="12"/>
        <v>1</v>
      </c>
      <c r="B180" s="16" t="str">
        <f t="shared" si="13"/>
        <v>2</v>
      </c>
      <c r="C180" s="16" t="str">
        <f t="shared" si="14"/>
        <v>1</v>
      </c>
      <c r="D180" s="16" t="str">
        <f t="shared" si="15"/>
        <v>0</v>
      </c>
      <c r="E180" s="16" t="str">
        <f t="shared" si="16"/>
        <v>30</v>
      </c>
      <c r="F180" s="16" t="str">
        <f t="shared" si="17"/>
        <v>08</v>
      </c>
      <c r="G180" s="57">
        <v>12103008</v>
      </c>
      <c r="H180" s="16" t="s">
        <v>383</v>
      </c>
      <c r="I180" s="17" t="s">
        <v>384</v>
      </c>
      <c r="J180" s="16"/>
      <c r="K180" s="16"/>
      <c r="L180" s="16"/>
      <c r="M180" s="17"/>
    </row>
    <row r="181" spans="1:13" ht="38.25" x14ac:dyDescent="0.25">
      <c r="A181" s="16" t="str">
        <f t="shared" si="12"/>
        <v>1</v>
      </c>
      <c r="B181" s="16" t="str">
        <f t="shared" si="13"/>
        <v>2</v>
      </c>
      <c r="C181" s="16" t="str">
        <f t="shared" si="14"/>
        <v>1</v>
      </c>
      <c r="D181" s="16" t="str">
        <f t="shared" si="15"/>
        <v>0</v>
      </c>
      <c r="E181" s="16" t="str">
        <f t="shared" si="16"/>
        <v>30</v>
      </c>
      <c r="F181" s="16" t="str">
        <f t="shared" si="17"/>
        <v>09</v>
      </c>
      <c r="G181" s="57">
        <v>12103009</v>
      </c>
      <c r="H181" s="16" t="s">
        <v>385</v>
      </c>
      <c r="I181" s="17" t="s">
        <v>386</v>
      </c>
      <c r="J181" s="16"/>
      <c r="K181" s="16"/>
      <c r="L181" s="16"/>
      <c r="M181" s="17"/>
    </row>
    <row r="182" spans="1:13" ht="25.5" x14ac:dyDescent="0.25">
      <c r="A182" s="16" t="str">
        <f t="shared" si="12"/>
        <v>1</v>
      </c>
      <c r="B182" s="16" t="str">
        <f t="shared" si="13"/>
        <v>2</v>
      </c>
      <c r="C182" s="16" t="str">
        <f t="shared" si="14"/>
        <v>1</v>
      </c>
      <c r="D182" s="16" t="str">
        <f t="shared" si="15"/>
        <v>0</v>
      </c>
      <c r="E182" s="16" t="str">
        <f t="shared" si="16"/>
        <v>30</v>
      </c>
      <c r="F182" s="16" t="str">
        <f t="shared" si="17"/>
        <v>10</v>
      </c>
      <c r="G182" s="57">
        <v>12103010</v>
      </c>
      <c r="H182" s="16" t="s">
        <v>387</v>
      </c>
      <c r="I182" s="17" t="s">
        <v>388</v>
      </c>
      <c r="J182" s="16"/>
      <c r="K182" s="16"/>
      <c r="L182" s="16"/>
      <c r="M182" s="17"/>
    </row>
    <row r="183" spans="1:13" ht="25.5" x14ac:dyDescent="0.25">
      <c r="A183" s="16" t="str">
        <f t="shared" si="12"/>
        <v>1</v>
      </c>
      <c r="B183" s="16" t="str">
        <f t="shared" si="13"/>
        <v>2</v>
      </c>
      <c r="C183" s="16" t="str">
        <f t="shared" si="14"/>
        <v>1</v>
      </c>
      <c r="D183" s="16" t="str">
        <f t="shared" si="15"/>
        <v>0</v>
      </c>
      <c r="E183" s="16" t="str">
        <f t="shared" si="16"/>
        <v>30</v>
      </c>
      <c r="F183" s="16" t="str">
        <f t="shared" si="17"/>
        <v>11</v>
      </c>
      <c r="G183" s="57">
        <v>12103011</v>
      </c>
      <c r="H183" s="16" t="s">
        <v>389</v>
      </c>
      <c r="I183" s="17" t="s">
        <v>390</v>
      </c>
      <c r="J183" s="16"/>
      <c r="K183" s="16"/>
      <c r="L183" s="16"/>
      <c r="M183" s="17"/>
    </row>
    <row r="184" spans="1:13" ht="25.5" x14ac:dyDescent="0.25">
      <c r="A184" s="16" t="str">
        <f t="shared" si="12"/>
        <v>1</v>
      </c>
      <c r="B184" s="16" t="str">
        <f t="shared" si="13"/>
        <v>2</v>
      </c>
      <c r="C184" s="16" t="str">
        <f t="shared" si="14"/>
        <v>1</v>
      </c>
      <c r="D184" s="16" t="str">
        <f t="shared" si="15"/>
        <v>0</v>
      </c>
      <c r="E184" s="16" t="str">
        <f t="shared" si="16"/>
        <v>30</v>
      </c>
      <c r="F184" s="16" t="str">
        <f t="shared" si="17"/>
        <v>12</v>
      </c>
      <c r="G184" s="57">
        <v>12103012</v>
      </c>
      <c r="H184" s="16" t="s">
        <v>391</v>
      </c>
      <c r="I184" s="17" t="s">
        <v>392</v>
      </c>
      <c r="J184" s="16"/>
      <c r="K184" s="16"/>
      <c r="L184" s="16"/>
      <c r="M184" s="17"/>
    </row>
    <row r="185" spans="1:13" ht="51" x14ac:dyDescent="0.25">
      <c r="A185" s="16" t="str">
        <f t="shared" si="12"/>
        <v>1</v>
      </c>
      <c r="B185" s="16" t="str">
        <f t="shared" si="13"/>
        <v>2</v>
      </c>
      <c r="C185" s="16" t="str">
        <f t="shared" si="14"/>
        <v>1</v>
      </c>
      <c r="D185" s="16" t="str">
        <f t="shared" si="15"/>
        <v>0</v>
      </c>
      <c r="E185" s="16" t="str">
        <f t="shared" si="16"/>
        <v>30</v>
      </c>
      <c r="F185" s="16" t="str">
        <f t="shared" si="17"/>
        <v>13</v>
      </c>
      <c r="G185" s="57">
        <v>12103013</v>
      </c>
      <c r="H185" s="16" t="s">
        <v>393</v>
      </c>
      <c r="I185" s="17" t="s">
        <v>394</v>
      </c>
      <c r="J185" s="16"/>
      <c r="K185" s="16"/>
      <c r="L185" s="16"/>
      <c r="M185" s="17"/>
    </row>
    <row r="186" spans="1:13" ht="25.5" x14ac:dyDescent="0.25">
      <c r="A186" s="16" t="str">
        <f t="shared" si="12"/>
        <v>1</v>
      </c>
      <c r="B186" s="16" t="str">
        <f t="shared" si="13"/>
        <v>2</v>
      </c>
      <c r="C186" s="16" t="str">
        <f t="shared" si="14"/>
        <v>1</v>
      </c>
      <c r="D186" s="16" t="str">
        <f t="shared" si="15"/>
        <v>0</v>
      </c>
      <c r="E186" s="16" t="str">
        <f t="shared" si="16"/>
        <v>30</v>
      </c>
      <c r="F186" s="16" t="str">
        <f t="shared" si="17"/>
        <v>14</v>
      </c>
      <c r="G186" s="57">
        <v>12103014</v>
      </c>
      <c r="H186" s="16" t="s">
        <v>395</v>
      </c>
      <c r="I186" s="17" t="s">
        <v>396</v>
      </c>
      <c r="J186" s="16"/>
      <c r="K186" s="16"/>
      <c r="L186" s="16"/>
      <c r="M186" s="17"/>
    </row>
    <row r="187" spans="1:13" ht="25.5" x14ac:dyDescent="0.25">
      <c r="A187" s="16" t="str">
        <f t="shared" si="12"/>
        <v>1</v>
      </c>
      <c r="B187" s="16" t="str">
        <f t="shared" si="13"/>
        <v>2</v>
      </c>
      <c r="C187" s="16" t="str">
        <f t="shared" si="14"/>
        <v>1</v>
      </c>
      <c r="D187" s="16" t="str">
        <f t="shared" si="15"/>
        <v>0</v>
      </c>
      <c r="E187" s="16" t="str">
        <f t="shared" si="16"/>
        <v>30</v>
      </c>
      <c r="F187" s="16" t="str">
        <f t="shared" si="17"/>
        <v>15</v>
      </c>
      <c r="G187" s="57">
        <v>12103015</v>
      </c>
      <c r="H187" s="16" t="s">
        <v>397</v>
      </c>
      <c r="I187" s="17" t="s">
        <v>398</v>
      </c>
      <c r="J187" s="16"/>
      <c r="K187" s="16"/>
      <c r="L187" s="16"/>
      <c r="M187" s="17"/>
    </row>
    <row r="188" spans="1:13" ht="25.5" x14ac:dyDescent="0.25">
      <c r="A188" s="16" t="str">
        <f t="shared" si="12"/>
        <v>1</v>
      </c>
      <c r="B188" s="16" t="str">
        <f t="shared" si="13"/>
        <v>2</v>
      </c>
      <c r="C188" s="16" t="str">
        <f t="shared" si="14"/>
        <v>1</v>
      </c>
      <c r="D188" s="16" t="str">
        <f t="shared" si="15"/>
        <v>0</v>
      </c>
      <c r="E188" s="16" t="str">
        <f t="shared" si="16"/>
        <v>30</v>
      </c>
      <c r="F188" s="16" t="str">
        <f t="shared" si="17"/>
        <v>16</v>
      </c>
      <c r="G188" s="57">
        <v>12103016</v>
      </c>
      <c r="H188" s="16" t="s">
        <v>399</v>
      </c>
      <c r="I188" s="17" t="s">
        <v>400</v>
      </c>
      <c r="J188" s="16"/>
      <c r="K188" s="16"/>
      <c r="L188" s="16"/>
      <c r="M188" s="17"/>
    </row>
    <row r="189" spans="1:13" ht="38.25" x14ac:dyDescent="0.25">
      <c r="A189" s="16" t="str">
        <f t="shared" si="12"/>
        <v>1</v>
      </c>
      <c r="B189" s="16" t="str">
        <f t="shared" si="13"/>
        <v>2</v>
      </c>
      <c r="C189" s="16" t="str">
        <f t="shared" si="14"/>
        <v>1</v>
      </c>
      <c r="D189" s="16" t="str">
        <f t="shared" si="15"/>
        <v>0</v>
      </c>
      <c r="E189" s="16" t="str">
        <f t="shared" si="16"/>
        <v>30</v>
      </c>
      <c r="F189" s="16" t="str">
        <f t="shared" si="17"/>
        <v>17</v>
      </c>
      <c r="G189" s="57">
        <v>12103017</v>
      </c>
      <c r="H189" s="16" t="s">
        <v>401</v>
      </c>
      <c r="I189" s="17" t="s">
        <v>402</v>
      </c>
      <c r="J189" s="16"/>
      <c r="K189" s="16"/>
      <c r="L189" s="16"/>
      <c r="M189" s="17"/>
    </row>
    <row r="190" spans="1:13" ht="25.5" x14ac:dyDescent="0.25">
      <c r="A190" s="16" t="str">
        <f t="shared" si="12"/>
        <v>1</v>
      </c>
      <c r="B190" s="16" t="str">
        <f t="shared" si="13"/>
        <v>2</v>
      </c>
      <c r="C190" s="16" t="str">
        <f t="shared" si="14"/>
        <v>1</v>
      </c>
      <c r="D190" s="16" t="str">
        <f t="shared" si="15"/>
        <v>0</v>
      </c>
      <c r="E190" s="16" t="str">
        <f t="shared" si="16"/>
        <v>30</v>
      </c>
      <c r="F190" s="16" t="str">
        <f t="shared" si="17"/>
        <v>18</v>
      </c>
      <c r="G190" s="57">
        <v>12103018</v>
      </c>
      <c r="H190" s="16" t="s">
        <v>403</v>
      </c>
      <c r="I190" s="17" t="s">
        <v>404</v>
      </c>
      <c r="J190" s="16"/>
      <c r="K190" s="16"/>
      <c r="L190" s="16"/>
      <c r="M190" s="17"/>
    </row>
    <row r="191" spans="1:13" ht="25.5" x14ac:dyDescent="0.25">
      <c r="A191" s="16" t="str">
        <f t="shared" si="12"/>
        <v>1</v>
      </c>
      <c r="B191" s="16" t="str">
        <f t="shared" si="13"/>
        <v>2</v>
      </c>
      <c r="C191" s="16" t="str">
        <f t="shared" si="14"/>
        <v>1</v>
      </c>
      <c r="D191" s="16" t="str">
        <f t="shared" si="15"/>
        <v>0</v>
      </c>
      <c r="E191" s="16" t="str">
        <f t="shared" si="16"/>
        <v>30</v>
      </c>
      <c r="F191" s="16" t="str">
        <f t="shared" si="17"/>
        <v>19</v>
      </c>
      <c r="G191" s="57">
        <v>12103019</v>
      </c>
      <c r="H191" s="16" t="s">
        <v>405</v>
      </c>
      <c r="I191" s="17" t="s">
        <v>406</v>
      </c>
      <c r="J191" s="16"/>
      <c r="K191" s="16"/>
      <c r="L191" s="16"/>
      <c r="M191" s="17"/>
    </row>
    <row r="192" spans="1:13" ht="25.5" x14ac:dyDescent="0.25">
      <c r="A192" s="16" t="str">
        <f t="shared" si="12"/>
        <v>1</v>
      </c>
      <c r="B192" s="16" t="str">
        <f t="shared" si="13"/>
        <v>2</v>
      </c>
      <c r="C192" s="16" t="str">
        <f t="shared" si="14"/>
        <v>1</v>
      </c>
      <c r="D192" s="16" t="str">
        <f t="shared" si="15"/>
        <v>0</v>
      </c>
      <c r="E192" s="16" t="str">
        <f t="shared" si="16"/>
        <v>30</v>
      </c>
      <c r="F192" s="16" t="str">
        <f t="shared" si="17"/>
        <v>20</v>
      </c>
      <c r="G192" s="57">
        <v>12103020</v>
      </c>
      <c r="H192" s="16" t="s">
        <v>407</v>
      </c>
      <c r="I192" s="17" t="s">
        <v>408</v>
      </c>
      <c r="J192" s="16"/>
      <c r="K192" s="16"/>
      <c r="L192" s="16"/>
      <c r="M192" s="17"/>
    </row>
    <row r="193" spans="1:13" ht="38.25" x14ac:dyDescent="0.25">
      <c r="A193" s="16" t="str">
        <f t="shared" si="12"/>
        <v>1</v>
      </c>
      <c r="B193" s="16" t="str">
        <f t="shared" si="13"/>
        <v>2</v>
      </c>
      <c r="C193" s="16" t="str">
        <f t="shared" si="14"/>
        <v>1</v>
      </c>
      <c r="D193" s="16" t="str">
        <f t="shared" si="15"/>
        <v>0</v>
      </c>
      <c r="E193" s="16" t="str">
        <f t="shared" si="16"/>
        <v>30</v>
      </c>
      <c r="F193" s="16" t="str">
        <f t="shared" si="17"/>
        <v>21</v>
      </c>
      <c r="G193" s="57">
        <v>12103021</v>
      </c>
      <c r="H193" s="16" t="s">
        <v>409</v>
      </c>
      <c r="I193" s="17" t="s">
        <v>410</v>
      </c>
      <c r="J193" s="16"/>
      <c r="K193" s="16"/>
      <c r="L193" s="16"/>
      <c r="M193" s="17"/>
    </row>
    <row r="194" spans="1:13" ht="38.25" x14ac:dyDescent="0.25">
      <c r="A194" s="16" t="str">
        <f t="shared" si="12"/>
        <v>1</v>
      </c>
      <c r="B194" s="16" t="str">
        <f t="shared" si="13"/>
        <v>2</v>
      </c>
      <c r="C194" s="16" t="str">
        <f t="shared" si="14"/>
        <v>1</v>
      </c>
      <c r="D194" s="16" t="str">
        <f t="shared" si="15"/>
        <v>0</v>
      </c>
      <c r="E194" s="16" t="str">
        <f t="shared" si="16"/>
        <v>30</v>
      </c>
      <c r="F194" s="16" t="str">
        <f t="shared" si="17"/>
        <v>22</v>
      </c>
      <c r="G194" s="57">
        <v>12103022</v>
      </c>
      <c r="H194" s="16" t="s">
        <v>411</v>
      </c>
      <c r="I194" s="17" t="s">
        <v>412</v>
      </c>
      <c r="J194" s="16"/>
      <c r="K194" s="16"/>
      <c r="L194" s="16"/>
      <c r="M194" s="17"/>
    </row>
    <row r="195" spans="1:13" ht="38.25" x14ac:dyDescent="0.25">
      <c r="A195" s="16" t="str">
        <f t="shared" si="12"/>
        <v>1</v>
      </c>
      <c r="B195" s="16" t="str">
        <f t="shared" si="13"/>
        <v>2</v>
      </c>
      <c r="C195" s="16" t="str">
        <f t="shared" si="14"/>
        <v>1</v>
      </c>
      <c r="D195" s="16" t="str">
        <f t="shared" si="15"/>
        <v>0</v>
      </c>
      <c r="E195" s="16" t="str">
        <f t="shared" si="16"/>
        <v>30</v>
      </c>
      <c r="F195" s="16" t="str">
        <f t="shared" si="17"/>
        <v>23</v>
      </c>
      <c r="G195" s="57">
        <v>12103023</v>
      </c>
      <c r="H195" s="16" t="s">
        <v>413</v>
      </c>
      <c r="I195" s="17" t="s">
        <v>414</v>
      </c>
      <c r="J195" s="16"/>
      <c r="K195" s="16"/>
      <c r="L195" s="16"/>
      <c r="M195" s="17"/>
    </row>
    <row r="196" spans="1:13" ht="76.5" x14ac:dyDescent="0.25">
      <c r="A196" s="16" t="str">
        <f t="shared" ref="A196:A259" si="18">MID(G196,1,1)</f>
        <v>1</v>
      </c>
      <c r="B196" s="16" t="str">
        <f t="shared" ref="B196:B259" si="19">MID(G196,2,1)</f>
        <v>2</v>
      </c>
      <c r="C196" s="16" t="str">
        <f t="shared" ref="C196:C259" si="20">MID(G196,3,1)</f>
        <v>1</v>
      </c>
      <c r="D196" s="16" t="str">
        <f t="shared" ref="D196:D259" si="21">MID(G196,4,1)</f>
        <v>0</v>
      </c>
      <c r="E196" s="16" t="str">
        <f t="shared" ref="E196:E259" si="22">MID(G196,5,2)</f>
        <v>30</v>
      </c>
      <c r="F196" s="16" t="str">
        <f t="shared" ref="F196:F259" si="23">MID(G196,7,2)</f>
        <v>24</v>
      </c>
      <c r="G196" s="57">
        <v>12103024</v>
      </c>
      <c r="H196" s="16" t="s">
        <v>415</v>
      </c>
      <c r="I196" s="17" t="s">
        <v>416</v>
      </c>
      <c r="J196" s="16"/>
      <c r="K196" s="16"/>
      <c r="L196" s="16"/>
      <c r="M196" s="17"/>
    </row>
    <row r="197" spans="1:13" x14ac:dyDescent="0.25">
      <c r="A197" s="16" t="str">
        <f t="shared" si="18"/>
        <v>1</v>
      </c>
      <c r="B197" s="16" t="str">
        <f t="shared" si="19"/>
        <v>2</v>
      </c>
      <c r="C197" s="16" t="str">
        <f t="shared" si="20"/>
        <v>1</v>
      </c>
      <c r="D197" s="16" t="str">
        <f t="shared" si="21"/>
        <v>0</v>
      </c>
      <c r="E197" s="16" t="str">
        <f t="shared" si="22"/>
        <v>30</v>
      </c>
      <c r="F197" s="16" t="str">
        <f t="shared" si="23"/>
        <v>99</v>
      </c>
      <c r="G197" s="57">
        <v>12103099</v>
      </c>
      <c r="H197" s="16" t="s">
        <v>417</v>
      </c>
      <c r="I197" s="17" t="s">
        <v>418</v>
      </c>
      <c r="J197" s="16"/>
      <c r="K197" s="16"/>
      <c r="L197" s="16"/>
      <c r="M197" s="17"/>
    </row>
    <row r="198" spans="1:13" ht="38.25" x14ac:dyDescent="0.25">
      <c r="A198" s="14" t="str">
        <f t="shared" si="18"/>
        <v>1</v>
      </c>
      <c r="B198" s="14" t="str">
        <f t="shared" si="19"/>
        <v>2</v>
      </c>
      <c r="C198" s="14" t="str">
        <f t="shared" si="20"/>
        <v>1</v>
      </c>
      <c r="D198" s="14" t="str">
        <f t="shared" si="21"/>
        <v>0</v>
      </c>
      <c r="E198" s="14" t="str">
        <f t="shared" si="22"/>
        <v>31</v>
      </c>
      <c r="F198" s="14" t="str">
        <f t="shared" si="23"/>
        <v>00</v>
      </c>
      <c r="G198" s="56">
        <v>12103100</v>
      </c>
      <c r="H198" s="14" t="s">
        <v>419</v>
      </c>
      <c r="I198" s="15" t="s">
        <v>420</v>
      </c>
      <c r="J198" s="14"/>
      <c r="K198" s="14"/>
      <c r="L198" s="14"/>
      <c r="M198" s="14"/>
    </row>
    <row r="199" spans="1:13" ht="25.5" x14ac:dyDescent="0.25">
      <c r="A199" s="16" t="str">
        <f t="shared" si="18"/>
        <v>1</v>
      </c>
      <c r="B199" s="16" t="str">
        <f t="shared" si="19"/>
        <v>2</v>
      </c>
      <c r="C199" s="16" t="str">
        <f t="shared" si="20"/>
        <v>1</v>
      </c>
      <c r="D199" s="16" t="str">
        <f t="shared" si="21"/>
        <v>0</v>
      </c>
      <c r="E199" s="16" t="str">
        <f t="shared" si="22"/>
        <v>31</v>
      </c>
      <c r="F199" s="16" t="str">
        <f t="shared" si="23"/>
        <v>01</v>
      </c>
      <c r="G199" s="57">
        <v>12103101</v>
      </c>
      <c r="H199" s="16" t="s">
        <v>421</v>
      </c>
      <c r="I199" s="17" t="s">
        <v>422</v>
      </c>
      <c r="J199" s="16"/>
      <c r="K199" s="16" t="s">
        <v>151</v>
      </c>
      <c r="L199" s="16" t="s">
        <v>423</v>
      </c>
      <c r="M199" s="17"/>
    </row>
    <row r="200" spans="1:13" ht="25.5" x14ac:dyDescent="0.25">
      <c r="A200" s="16" t="str">
        <f t="shared" si="18"/>
        <v>1</v>
      </c>
      <c r="B200" s="16" t="str">
        <f t="shared" si="19"/>
        <v>2</v>
      </c>
      <c r="C200" s="16" t="str">
        <f t="shared" si="20"/>
        <v>1</v>
      </c>
      <c r="D200" s="16" t="str">
        <f t="shared" si="21"/>
        <v>0</v>
      </c>
      <c r="E200" s="16" t="str">
        <f t="shared" si="22"/>
        <v>31</v>
      </c>
      <c r="F200" s="16" t="str">
        <f t="shared" si="23"/>
        <v>02</v>
      </c>
      <c r="G200" s="57">
        <v>12103102</v>
      </c>
      <c r="H200" s="16" t="s">
        <v>424</v>
      </c>
      <c r="I200" s="17" t="s">
        <v>425</v>
      </c>
      <c r="J200" s="16"/>
      <c r="K200" s="16" t="s">
        <v>151</v>
      </c>
      <c r="L200" s="16" t="s">
        <v>423</v>
      </c>
      <c r="M200" s="17"/>
    </row>
    <row r="201" spans="1:13" ht="25.5" x14ac:dyDescent="0.25">
      <c r="A201" s="14" t="str">
        <f t="shared" si="18"/>
        <v>1</v>
      </c>
      <c r="B201" s="14" t="str">
        <f t="shared" si="19"/>
        <v>2</v>
      </c>
      <c r="C201" s="14" t="str">
        <f t="shared" si="20"/>
        <v>1</v>
      </c>
      <c r="D201" s="14" t="str">
        <f t="shared" si="21"/>
        <v>0</v>
      </c>
      <c r="E201" s="14" t="str">
        <f t="shared" si="22"/>
        <v>32</v>
      </c>
      <c r="F201" s="14" t="str">
        <f t="shared" si="23"/>
        <v>00</v>
      </c>
      <c r="G201" s="56">
        <v>12103200</v>
      </c>
      <c r="H201" s="14" t="s">
        <v>426</v>
      </c>
      <c r="I201" s="15" t="s">
        <v>427</v>
      </c>
      <c r="J201" s="14"/>
      <c r="K201" s="14"/>
      <c r="L201" s="14"/>
      <c r="M201" s="14"/>
    </row>
    <row r="202" spans="1:13" ht="51" x14ac:dyDescent="0.25">
      <c r="A202" s="16" t="str">
        <f t="shared" si="18"/>
        <v>1</v>
      </c>
      <c r="B202" s="16" t="str">
        <f t="shared" si="19"/>
        <v>2</v>
      </c>
      <c r="C202" s="16" t="str">
        <f t="shared" si="20"/>
        <v>1</v>
      </c>
      <c r="D202" s="16" t="str">
        <f t="shared" si="21"/>
        <v>0</v>
      </c>
      <c r="E202" s="16" t="str">
        <f t="shared" si="22"/>
        <v>32</v>
      </c>
      <c r="F202" s="16" t="str">
        <f t="shared" si="23"/>
        <v>01</v>
      </c>
      <c r="G202" s="57">
        <v>12103201</v>
      </c>
      <c r="H202" s="16" t="s">
        <v>428</v>
      </c>
      <c r="I202" s="17" t="s">
        <v>429</v>
      </c>
      <c r="J202" s="16"/>
      <c r="K202" s="16"/>
      <c r="L202" s="16"/>
      <c r="M202" s="17"/>
    </row>
    <row r="203" spans="1:13" ht="25.5" x14ac:dyDescent="0.25">
      <c r="A203" s="16" t="str">
        <f t="shared" si="18"/>
        <v>1</v>
      </c>
      <c r="B203" s="16" t="str">
        <f t="shared" si="19"/>
        <v>2</v>
      </c>
      <c r="C203" s="16" t="str">
        <f t="shared" si="20"/>
        <v>1</v>
      </c>
      <c r="D203" s="16" t="str">
        <f t="shared" si="21"/>
        <v>0</v>
      </c>
      <c r="E203" s="16" t="str">
        <f t="shared" si="22"/>
        <v>32</v>
      </c>
      <c r="F203" s="16" t="str">
        <f t="shared" si="23"/>
        <v>03</v>
      </c>
      <c r="G203" s="57">
        <v>12103203</v>
      </c>
      <c r="H203" s="16" t="s">
        <v>430</v>
      </c>
      <c r="I203" s="17" t="s">
        <v>431</v>
      </c>
      <c r="J203" s="16"/>
      <c r="K203" s="16"/>
      <c r="L203" s="16"/>
      <c r="M203" s="17"/>
    </row>
    <row r="204" spans="1:13" ht="38.25" x14ac:dyDescent="0.25">
      <c r="A204" s="14" t="str">
        <f t="shared" si="18"/>
        <v>1</v>
      </c>
      <c r="B204" s="14" t="str">
        <f t="shared" si="19"/>
        <v>2</v>
      </c>
      <c r="C204" s="14" t="str">
        <f t="shared" si="20"/>
        <v>1</v>
      </c>
      <c r="D204" s="14" t="str">
        <f t="shared" si="21"/>
        <v>0</v>
      </c>
      <c r="E204" s="14" t="str">
        <f t="shared" si="22"/>
        <v>33</v>
      </c>
      <c r="F204" s="14" t="str">
        <f t="shared" si="23"/>
        <v>00</v>
      </c>
      <c r="G204" s="56">
        <v>12103300</v>
      </c>
      <c r="H204" s="14" t="s">
        <v>432</v>
      </c>
      <c r="I204" s="15" t="s">
        <v>433</v>
      </c>
      <c r="J204" s="14"/>
      <c r="K204" s="14"/>
      <c r="L204" s="14"/>
      <c r="M204" s="14"/>
    </row>
    <row r="205" spans="1:13" ht="38.25" x14ac:dyDescent="0.25">
      <c r="A205" s="16" t="str">
        <f t="shared" si="18"/>
        <v>1</v>
      </c>
      <c r="B205" s="16" t="str">
        <f t="shared" si="19"/>
        <v>2</v>
      </c>
      <c r="C205" s="16" t="str">
        <f t="shared" si="20"/>
        <v>1</v>
      </c>
      <c r="D205" s="16" t="str">
        <f t="shared" si="21"/>
        <v>0</v>
      </c>
      <c r="E205" s="16" t="str">
        <f t="shared" si="22"/>
        <v>33</v>
      </c>
      <c r="F205" s="16" t="str">
        <f t="shared" si="23"/>
        <v>01</v>
      </c>
      <c r="G205" s="57">
        <v>12103301</v>
      </c>
      <c r="H205" s="16" t="s">
        <v>434</v>
      </c>
      <c r="I205" s="17" t="s">
        <v>435</v>
      </c>
      <c r="J205" s="16"/>
      <c r="K205" s="16"/>
      <c r="L205" s="16"/>
      <c r="M205" s="17"/>
    </row>
    <row r="206" spans="1:13" ht="38.25" x14ac:dyDescent="0.25">
      <c r="A206" s="16" t="str">
        <f t="shared" si="18"/>
        <v>1</v>
      </c>
      <c r="B206" s="16" t="str">
        <f t="shared" si="19"/>
        <v>2</v>
      </c>
      <c r="C206" s="16" t="str">
        <f t="shared" si="20"/>
        <v>1</v>
      </c>
      <c r="D206" s="16" t="str">
        <f t="shared" si="21"/>
        <v>0</v>
      </c>
      <c r="E206" s="16" t="str">
        <f t="shared" si="22"/>
        <v>33</v>
      </c>
      <c r="F206" s="16" t="str">
        <f t="shared" si="23"/>
        <v>02</v>
      </c>
      <c r="G206" s="57">
        <v>12103302</v>
      </c>
      <c r="H206" s="16" t="s">
        <v>436</v>
      </c>
      <c r="I206" s="17" t="s">
        <v>437</v>
      </c>
      <c r="J206" s="16"/>
      <c r="K206" s="16"/>
      <c r="L206" s="16"/>
      <c r="M206" s="17"/>
    </row>
    <row r="207" spans="1:13" ht="38.25" x14ac:dyDescent="0.25">
      <c r="A207" s="14" t="str">
        <f t="shared" si="18"/>
        <v>1</v>
      </c>
      <c r="B207" s="14" t="str">
        <f t="shared" si="19"/>
        <v>2</v>
      </c>
      <c r="C207" s="14" t="str">
        <f t="shared" si="20"/>
        <v>1</v>
      </c>
      <c r="D207" s="14" t="str">
        <f t="shared" si="21"/>
        <v>0</v>
      </c>
      <c r="E207" s="14" t="str">
        <f t="shared" si="22"/>
        <v>34</v>
      </c>
      <c r="F207" s="14" t="str">
        <f t="shared" si="23"/>
        <v>00</v>
      </c>
      <c r="G207" s="56">
        <v>12103400</v>
      </c>
      <c r="H207" s="14" t="s">
        <v>438</v>
      </c>
      <c r="I207" s="15" t="s">
        <v>439</v>
      </c>
      <c r="J207" s="14"/>
      <c r="K207" s="14"/>
      <c r="L207" s="14"/>
      <c r="M207" s="14"/>
    </row>
    <row r="208" spans="1:13" ht="38.25" x14ac:dyDescent="0.25">
      <c r="A208" s="16" t="str">
        <f t="shared" si="18"/>
        <v>1</v>
      </c>
      <c r="B208" s="16" t="str">
        <f t="shared" si="19"/>
        <v>2</v>
      </c>
      <c r="C208" s="16" t="str">
        <f t="shared" si="20"/>
        <v>1</v>
      </c>
      <c r="D208" s="16" t="str">
        <f t="shared" si="21"/>
        <v>0</v>
      </c>
      <c r="E208" s="16" t="str">
        <f t="shared" si="22"/>
        <v>34</v>
      </c>
      <c r="F208" s="16" t="str">
        <f t="shared" si="23"/>
        <v>01</v>
      </c>
      <c r="G208" s="57">
        <v>12103401</v>
      </c>
      <c r="H208" s="16" t="s">
        <v>440</v>
      </c>
      <c r="I208" s="17" t="s">
        <v>441</v>
      </c>
      <c r="J208" s="16"/>
      <c r="K208" s="16"/>
      <c r="L208" s="16"/>
      <c r="M208" s="17"/>
    </row>
    <row r="209" spans="1:13" ht="38.25" x14ac:dyDescent="0.25">
      <c r="A209" s="16" t="str">
        <f t="shared" si="18"/>
        <v>1</v>
      </c>
      <c r="B209" s="16" t="str">
        <f t="shared" si="19"/>
        <v>2</v>
      </c>
      <c r="C209" s="16" t="str">
        <f t="shared" si="20"/>
        <v>1</v>
      </c>
      <c r="D209" s="16" t="str">
        <f t="shared" si="21"/>
        <v>0</v>
      </c>
      <c r="E209" s="16" t="str">
        <f t="shared" si="22"/>
        <v>34</v>
      </c>
      <c r="F209" s="16" t="str">
        <f t="shared" si="23"/>
        <v>02</v>
      </c>
      <c r="G209" s="57">
        <v>12103402</v>
      </c>
      <c r="H209" s="16" t="s">
        <v>442</v>
      </c>
      <c r="I209" s="17" t="s">
        <v>437</v>
      </c>
      <c r="J209" s="16"/>
      <c r="K209" s="16"/>
      <c r="L209" s="16"/>
      <c r="M209" s="17"/>
    </row>
    <row r="210" spans="1:13" ht="25.5" x14ac:dyDescent="0.25">
      <c r="A210" s="14" t="str">
        <f t="shared" si="18"/>
        <v>1</v>
      </c>
      <c r="B210" s="14" t="str">
        <f t="shared" si="19"/>
        <v>2</v>
      </c>
      <c r="C210" s="14" t="str">
        <f t="shared" si="20"/>
        <v>1</v>
      </c>
      <c r="D210" s="14" t="str">
        <f t="shared" si="21"/>
        <v>0</v>
      </c>
      <c r="E210" s="14" t="str">
        <f t="shared" si="22"/>
        <v>35</v>
      </c>
      <c r="F210" s="14" t="str">
        <f t="shared" si="23"/>
        <v>00</v>
      </c>
      <c r="G210" s="56">
        <v>12103500</v>
      </c>
      <c r="H210" s="14" t="s">
        <v>443</v>
      </c>
      <c r="I210" s="15" t="s">
        <v>444</v>
      </c>
      <c r="J210" s="14"/>
      <c r="K210" s="14"/>
      <c r="L210" s="14"/>
      <c r="M210" s="14"/>
    </row>
    <row r="211" spans="1:13" ht="51" x14ac:dyDescent="0.25">
      <c r="A211" s="16" t="str">
        <f t="shared" si="18"/>
        <v>1</v>
      </c>
      <c r="B211" s="16" t="str">
        <f t="shared" si="19"/>
        <v>2</v>
      </c>
      <c r="C211" s="16" t="str">
        <f t="shared" si="20"/>
        <v>1</v>
      </c>
      <c r="D211" s="16" t="str">
        <f t="shared" si="21"/>
        <v>0</v>
      </c>
      <c r="E211" s="16" t="str">
        <f t="shared" si="22"/>
        <v>35</v>
      </c>
      <c r="F211" s="16" t="str">
        <f t="shared" si="23"/>
        <v>01</v>
      </c>
      <c r="G211" s="57">
        <v>12103501</v>
      </c>
      <c r="H211" s="16" t="s">
        <v>445</v>
      </c>
      <c r="I211" s="17" t="s">
        <v>446</v>
      </c>
      <c r="J211" s="16"/>
      <c r="K211" s="16"/>
      <c r="L211" s="16"/>
      <c r="M211" s="17"/>
    </row>
    <row r="212" spans="1:13" ht="25.5" x14ac:dyDescent="0.25">
      <c r="A212" s="16" t="str">
        <f t="shared" si="18"/>
        <v>1</v>
      </c>
      <c r="B212" s="16" t="str">
        <f t="shared" si="19"/>
        <v>2</v>
      </c>
      <c r="C212" s="16" t="str">
        <f t="shared" si="20"/>
        <v>1</v>
      </c>
      <c r="D212" s="16" t="str">
        <f t="shared" si="21"/>
        <v>0</v>
      </c>
      <c r="E212" s="16" t="str">
        <f t="shared" si="22"/>
        <v>35</v>
      </c>
      <c r="F212" s="16" t="str">
        <f t="shared" si="23"/>
        <v>02</v>
      </c>
      <c r="G212" s="57">
        <v>12103502</v>
      </c>
      <c r="H212" s="16" t="s">
        <v>447</v>
      </c>
      <c r="I212" s="17" t="s">
        <v>448</v>
      </c>
      <c r="J212" s="16"/>
      <c r="K212" s="16"/>
      <c r="L212" s="16"/>
      <c r="M212" s="17"/>
    </row>
    <row r="213" spans="1:13" ht="25.5" x14ac:dyDescent="0.25">
      <c r="A213" s="14" t="str">
        <f t="shared" si="18"/>
        <v>1</v>
      </c>
      <c r="B213" s="14" t="str">
        <f t="shared" si="19"/>
        <v>2</v>
      </c>
      <c r="C213" s="14" t="str">
        <f t="shared" si="20"/>
        <v>1</v>
      </c>
      <c r="D213" s="14" t="str">
        <f t="shared" si="21"/>
        <v>0</v>
      </c>
      <c r="E213" s="14" t="str">
        <f t="shared" si="22"/>
        <v>36</v>
      </c>
      <c r="F213" s="14" t="str">
        <f t="shared" si="23"/>
        <v>00</v>
      </c>
      <c r="G213" s="56">
        <v>12103600</v>
      </c>
      <c r="H213" s="14" t="s">
        <v>449</v>
      </c>
      <c r="I213" s="15" t="s">
        <v>450</v>
      </c>
      <c r="J213" s="14"/>
      <c r="K213" s="14"/>
      <c r="L213" s="14"/>
      <c r="M213" s="14"/>
    </row>
    <row r="214" spans="1:13" ht="38.25" x14ac:dyDescent="0.25">
      <c r="A214" s="16" t="str">
        <f t="shared" si="18"/>
        <v>1</v>
      </c>
      <c r="B214" s="16" t="str">
        <f t="shared" si="19"/>
        <v>2</v>
      </c>
      <c r="C214" s="16" t="str">
        <f t="shared" si="20"/>
        <v>1</v>
      </c>
      <c r="D214" s="16" t="str">
        <f t="shared" si="21"/>
        <v>0</v>
      </c>
      <c r="E214" s="16" t="str">
        <f t="shared" si="22"/>
        <v>36</v>
      </c>
      <c r="F214" s="16" t="str">
        <f t="shared" si="23"/>
        <v>01</v>
      </c>
      <c r="G214" s="57">
        <v>12103601</v>
      </c>
      <c r="H214" s="16" t="s">
        <v>451</v>
      </c>
      <c r="I214" s="17" t="s">
        <v>452</v>
      </c>
      <c r="J214" s="16"/>
      <c r="K214" s="16"/>
      <c r="L214" s="16"/>
      <c r="M214" s="17"/>
    </row>
    <row r="215" spans="1:13" ht="25.5" x14ac:dyDescent="0.25">
      <c r="A215" s="16" t="str">
        <f t="shared" si="18"/>
        <v>1</v>
      </c>
      <c r="B215" s="16" t="str">
        <f t="shared" si="19"/>
        <v>2</v>
      </c>
      <c r="C215" s="16" t="str">
        <f t="shared" si="20"/>
        <v>1</v>
      </c>
      <c r="D215" s="16" t="str">
        <f t="shared" si="21"/>
        <v>0</v>
      </c>
      <c r="E215" s="16" t="str">
        <f t="shared" si="22"/>
        <v>36</v>
      </c>
      <c r="F215" s="16" t="str">
        <f t="shared" si="23"/>
        <v>02</v>
      </c>
      <c r="G215" s="57">
        <v>12103602</v>
      </c>
      <c r="H215" s="16" t="s">
        <v>453</v>
      </c>
      <c r="I215" s="17" t="s">
        <v>448</v>
      </c>
      <c r="J215" s="16"/>
      <c r="K215" s="16"/>
      <c r="L215" s="16"/>
      <c r="M215" s="17"/>
    </row>
    <row r="216" spans="1:13" ht="51" x14ac:dyDescent="0.25">
      <c r="A216" s="14" t="str">
        <f t="shared" si="18"/>
        <v>1</v>
      </c>
      <c r="B216" s="14" t="str">
        <f t="shared" si="19"/>
        <v>2</v>
      </c>
      <c r="C216" s="14" t="str">
        <f t="shared" si="20"/>
        <v>1</v>
      </c>
      <c r="D216" s="14" t="str">
        <f t="shared" si="21"/>
        <v>0</v>
      </c>
      <c r="E216" s="14" t="str">
        <f t="shared" si="22"/>
        <v>37</v>
      </c>
      <c r="F216" s="14" t="str">
        <f t="shared" si="23"/>
        <v>00</v>
      </c>
      <c r="G216" s="56">
        <v>12103700</v>
      </c>
      <c r="H216" s="14" t="s">
        <v>454</v>
      </c>
      <c r="I216" s="15" t="s">
        <v>455</v>
      </c>
      <c r="J216" s="14"/>
      <c r="K216" s="14"/>
      <c r="L216" s="14"/>
      <c r="M216" s="14"/>
    </row>
    <row r="217" spans="1:13" ht="25.5" x14ac:dyDescent="0.25">
      <c r="A217" s="16" t="str">
        <f t="shared" si="18"/>
        <v>1</v>
      </c>
      <c r="B217" s="16" t="str">
        <f t="shared" si="19"/>
        <v>2</v>
      </c>
      <c r="C217" s="16" t="str">
        <f t="shared" si="20"/>
        <v>1</v>
      </c>
      <c r="D217" s="16" t="str">
        <f t="shared" si="21"/>
        <v>0</v>
      </c>
      <c r="E217" s="16" t="str">
        <f t="shared" si="22"/>
        <v>37</v>
      </c>
      <c r="F217" s="16" t="str">
        <f t="shared" si="23"/>
        <v>01</v>
      </c>
      <c r="G217" s="57">
        <v>12103701</v>
      </c>
      <c r="H217" s="16" t="s">
        <v>456</v>
      </c>
      <c r="I217" s="17" t="s">
        <v>457</v>
      </c>
      <c r="J217" s="16"/>
      <c r="K217" s="16"/>
      <c r="L217" s="16"/>
      <c r="M217" s="17"/>
    </row>
    <row r="218" spans="1:13" ht="38.25" x14ac:dyDescent="0.25">
      <c r="A218" s="16" t="str">
        <f t="shared" si="18"/>
        <v>1</v>
      </c>
      <c r="B218" s="16" t="str">
        <f t="shared" si="19"/>
        <v>2</v>
      </c>
      <c r="C218" s="16" t="str">
        <f t="shared" si="20"/>
        <v>1</v>
      </c>
      <c r="D218" s="16" t="str">
        <f t="shared" si="21"/>
        <v>0</v>
      </c>
      <c r="E218" s="16" t="str">
        <f t="shared" si="22"/>
        <v>37</v>
      </c>
      <c r="F218" s="16" t="str">
        <f t="shared" si="23"/>
        <v>02</v>
      </c>
      <c r="G218" s="57">
        <v>12103702</v>
      </c>
      <c r="H218" s="16" t="s">
        <v>458</v>
      </c>
      <c r="I218" s="17" t="s">
        <v>459</v>
      </c>
      <c r="J218" s="16"/>
      <c r="K218" s="16"/>
      <c r="L218" s="16"/>
      <c r="M218" s="17"/>
    </row>
    <row r="219" spans="1:13" ht="25.5" x14ac:dyDescent="0.25">
      <c r="A219" s="14" t="str">
        <f t="shared" si="18"/>
        <v>1</v>
      </c>
      <c r="B219" s="14" t="str">
        <f t="shared" si="19"/>
        <v>2</v>
      </c>
      <c r="C219" s="14" t="str">
        <f t="shared" si="20"/>
        <v>1</v>
      </c>
      <c r="D219" s="14" t="str">
        <f t="shared" si="21"/>
        <v>0</v>
      </c>
      <c r="E219" s="14" t="str">
        <f t="shared" si="22"/>
        <v>38</v>
      </c>
      <c r="F219" s="14" t="str">
        <f t="shared" si="23"/>
        <v>00</v>
      </c>
      <c r="G219" s="56">
        <v>12103800</v>
      </c>
      <c r="H219" s="14" t="s">
        <v>460</v>
      </c>
      <c r="I219" s="15" t="s">
        <v>461</v>
      </c>
      <c r="J219" s="14"/>
      <c r="K219" s="14"/>
      <c r="L219" s="14"/>
      <c r="M219" s="14"/>
    </row>
    <row r="220" spans="1:13" ht="25.5" x14ac:dyDescent="0.25">
      <c r="A220" s="16" t="str">
        <f t="shared" si="18"/>
        <v>1</v>
      </c>
      <c r="B220" s="16" t="str">
        <f t="shared" si="19"/>
        <v>2</v>
      </c>
      <c r="C220" s="16" t="str">
        <f t="shared" si="20"/>
        <v>1</v>
      </c>
      <c r="D220" s="16" t="str">
        <f t="shared" si="21"/>
        <v>0</v>
      </c>
      <c r="E220" s="16" t="str">
        <f t="shared" si="22"/>
        <v>38</v>
      </c>
      <c r="F220" s="16" t="str">
        <f t="shared" si="23"/>
        <v>01</v>
      </c>
      <c r="G220" s="57">
        <v>12103801</v>
      </c>
      <c r="H220" s="16" t="s">
        <v>462</v>
      </c>
      <c r="I220" s="17" t="s">
        <v>463</v>
      </c>
      <c r="J220" s="16"/>
      <c r="K220" s="16"/>
      <c r="L220" s="16"/>
      <c r="M220" s="17"/>
    </row>
    <row r="221" spans="1:13" ht="25.5" x14ac:dyDescent="0.25">
      <c r="A221" s="16" t="str">
        <f t="shared" si="18"/>
        <v>1</v>
      </c>
      <c r="B221" s="16" t="str">
        <f t="shared" si="19"/>
        <v>2</v>
      </c>
      <c r="C221" s="16" t="str">
        <f t="shared" si="20"/>
        <v>1</v>
      </c>
      <c r="D221" s="16" t="str">
        <f t="shared" si="21"/>
        <v>0</v>
      </c>
      <c r="E221" s="16" t="str">
        <f t="shared" si="22"/>
        <v>38</v>
      </c>
      <c r="F221" s="16" t="str">
        <f t="shared" si="23"/>
        <v>02</v>
      </c>
      <c r="G221" s="57">
        <v>12103802</v>
      </c>
      <c r="H221" s="16" t="s">
        <v>464</v>
      </c>
      <c r="I221" s="17" t="s">
        <v>465</v>
      </c>
      <c r="J221" s="16"/>
      <c r="K221" s="16"/>
      <c r="L221" s="16"/>
      <c r="M221" s="17"/>
    </row>
    <row r="222" spans="1:13" ht="51" x14ac:dyDescent="0.25">
      <c r="A222" s="14" t="str">
        <f t="shared" si="18"/>
        <v>1</v>
      </c>
      <c r="B222" s="14" t="str">
        <f t="shared" si="19"/>
        <v>2</v>
      </c>
      <c r="C222" s="14" t="str">
        <f t="shared" si="20"/>
        <v>1</v>
      </c>
      <c r="D222" s="14" t="str">
        <f t="shared" si="21"/>
        <v>0</v>
      </c>
      <c r="E222" s="14" t="str">
        <f t="shared" si="22"/>
        <v>39</v>
      </c>
      <c r="F222" s="14" t="str">
        <f t="shared" si="23"/>
        <v>00</v>
      </c>
      <c r="G222" s="56">
        <v>12103900</v>
      </c>
      <c r="H222" s="14" t="s">
        <v>466</v>
      </c>
      <c r="I222" s="15" t="s">
        <v>467</v>
      </c>
      <c r="J222" s="14"/>
      <c r="K222" s="14"/>
      <c r="L222" s="14"/>
      <c r="M222" s="14"/>
    </row>
    <row r="223" spans="1:13" ht="51" x14ac:dyDescent="0.25">
      <c r="A223" s="14" t="str">
        <f t="shared" si="18"/>
        <v>1</v>
      </c>
      <c r="B223" s="14" t="str">
        <f t="shared" si="19"/>
        <v>2</v>
      </c>
      <c r="C223" s="14" t="str">
        <f t="shared" si="20"/>
        <v>1</v>
      </c>
      <c r="D223" s="14" t="str">
        <f t="shared" si="21"/>
        <v>0</v>
      </c>
      <c r="E223" s="14" t="str">
        <f t="shared" si="22"/>
        <v>41</v>
      </c>
      <c r="F223" s="14" t="str">
        <f t="shared" si="23"/>
        <v>00</v>
      </c>
      <c r="G223" s="56">
        <v>12104100</v>
      </c>
      <c r="H223" s="14" t="s">
        <v>468</v>
      </c>
      <c r="I223" s="15" t="s">
        <v>469</v>
      </c>
      <c r="J223" s="14"/>
      <c r="K223" s="14"/>
      <c r="L223" s="14"/>
      <c r="M223" s="14"/>
    </row>
    <row r="224" spans="1:13" ht="63.75" x14ac:dyDescent="0.25">
      <c r="A224" s="14" t="str">
        <f t="shared" si="18"/>
        <v>1</v>
      </c>
      <c r="B224" s="14" t="str">
        <f t="shared" si="19"/>
        <v>2</v>
      </c>
      <c r="C224" s="14" t="str">
        <f t="shared" si="20"/>
        <v>1</v>
      </c>
      <c r="D224" s="14" t="str">
        <f t="shared" si="21"/>
        <v>0</v>
      </c>
      <c r="E224" s="14" t="str">
        <f t="shared" si="22"/>
        <v>42</v>
      </c>
      <c r="F224" s="14" t="str">
        <f t="shared" si="23"/>
        <v>00</v>
      </c>
      <c r="G224" s="56">
        <v>12104200</v>
      </c>
      <c r="H224" s="14" t="s">
        <v>470</v>
      </c>
      <c r="I224" s="15" t="s">
        <v>471</v>
      </c>
      <c r="J224" s="14"/>
      <c r="K224" s="14"/>
      <c r="L224" s="14"/>
      <c r="M224" s="14"/>
    </row>
    <row r="225" spans="1:13" ht="51" x14ac:dyDescent="0.25">
      <c r="A225" s="14" t="str">
        <f t="shared" si="18"/>
        <v>1</v>
      </c>
      <c r="B225" s="14" t="str">
        <f t="shared" si="19"/>
        <v>2</v>
      </c>
      <c r="C225" s="14" t="str">
        <f t="shared" si="20"/>
        <v>1</v>
      </c>
      <c r="D225" s="14" t="str">
        <f t="shared" si="21"/>
        <v>0</v>
      </c>
      <c r="E225" s="14" t="str">
        <f t="shared" si="22"/>
        <v>43</v>
      </c>
      <c r="F225" s="14" t="str">
        <f t="shared" si="23"/>
        <v>00</v>
      </c>
      <c r="G225" s="56">
        <v>12104300</v>
      </c>
      <c r="H225" s="14" t="s">
        <v>472</v>
      </c>
      <c r="I225" s="15" t="s">
        <v>473</v>
      </c>
      <c r="J225" s="14"/>
      <c r="K225" s="14"/>
      <c r="L225" s="14"/>
      <c r="M225" s="14"/>
    </row>
    <row r="226" spans="1:13" ht="38.25" x14ac:dyDescent="0.25">
      <c r="A226" s="14" t="str">
        <f t="shared" si="18"/>
        <v>1</v>
      </c>
      <c r="B226" s="14" t="str">
        <f t="shared" si="19"/>
        <v>2</v>
      </c>
      <c r="C226" s="14" t="str">
        <f t="shared" si="20"/>
        <v>1</v>
      </c>
      <c r="D226" s="14" t="str">
        <f t="shared" si="21"/>
        <v>0</v>
      </c>
      <c r="E226" s="14" t="str">
        <f t="shared" si="22"/>
        <v>44</v>
      </c>
      <c r="F226" s="14" t="str">
        <f t="shared" si="23"/>
        <v>00</v>
      </c>
      <c r="G226" s="56">
        <v>12104400</v>
      </c>
      <c r="H226" s="14" t="s">
        <v>474</v>
      </c>
      <c r="I226" s="15" t="s">
        <v>475</v>
      </c>
      <c r="J226" s="14"/>
      <c r="K226" s="14"/>
      <c r="L226" s="14"/>
      <c r="M226" s="14"/>
    </row>
    <row r="227" spans="1:13" x14ac:dyDescent="0.25">
      <c r="A227" s="14" t="str">
        <f t="shared" si="18"/>
        <v>1</v>
      </c>
      <c r="B227" s="14" t="str">
        <f t="shared" si="19"/>
        <v>2</v>
      </c>
      <c r="C227" s="14" t="str">
        <f t="shared" si="20"/>
        <v>1</v>
      </c>
      <c r="D227" s="14" t="str">
        <f t="shared" si="21"/>
        <v>0</v>
      </c>
      <c r="E227" s="14" t="str">
        <f t="shared" si="22"/>
        <v>45</v>
      </c>
      <c r="F227" s="14" t="str">
        <f t="shared" si="23"/>
        <v>00</v>
      </c>
      <c r="G227" s="56">
        <v>12104500</v>
      </c>
      <c r="H227" s="14" t="s">
        <v>476</v>
      </c>
      <c r="I227" s="15" t="s">
        <v>477</v>
      </c>
      <c r="J227" s="14"/>
      <c r="K227" s="14"/>
      <c r="L227" s="14"/>
      <c r="M227" s="14"/>
    </row>
    <row r="228" spans="1:13" ht="25.5" x14ac:dyDescent="0.25">
      <c r="A228" s="14" t="str">
        <f t="shared" si="18"/>
        <v>1</v>
      </c>
      <c r="B228" s="14" t="str">
        <f t="shared" si="19"/>
        <v>2</v>
      </c>
      <c r="C228" s="14" t="str">
        <f t="shared" si="20"/>
        <v>1</v>
      </c>
      <c r="D228" s="14" t="str">
        <f t="shared" si="21"/>
        <v>0</v>
      </c>
      <c r="E228" s="14" t="str">
        <f t="shared" si="22"/>
        <v>47</v>
      </c>
      <c r="F228" s="14" t="str">
        <f t="shared" si="23"/>
        <v>00</v>
      </c>
      <c r="G228" s="56">
        <v>12104700</v>
      </c>
      <c r="H228" s="14" t="s">
        <v>478</v>
      </c>
      <c r="I228" s="15" t="s">
        <v>479</v>
      </c>
      <c r="J228" s="14"/>
      <c r="K228" s="14"/>
      <c r="L228" s="14"/>
      <c r="M228" s="14"/>
    </row>
    <row r="229" spans="1:13" ht="25.5" x14ac:dyDescent="0.25">
      <c r="A229" s="14" t="str">
        <f t="shared" si="18"/>
        <v>1</v>
      </c>
      <c r="B229" s="14" t="str">
        <f t="shared" si="19"/>
        <v>2</v>
      </c>
      <c r="C229" s="14" t="str">
        <f t="shared" si="20"/>
        <v>1</v>
      </c>
      <c r="D229" s="14" t="str">
        <f t="shared" si="21"/>
        <v>0</v>
      </c>
      <c r="E229" s="14" t="str">
        <f t="shared" si="22"/>
        <v>48</v>
      </c>
      <c r="F229" s="14" t="str">
        <f t="shared" si="23"/>
        <v>00</v>
      </c>
      <c r="G229" s="56">
        <v>12104800</v>
      </c>
      <c r="H229" s="14" t="s">
        <v>480</v>
      </c>
      <c r="I229" s="15" t="s">
        <v>481</v>
      </c>
      <c r="J229" s="14"/>
      <c r="K229" s="14"/>
      <c r="L229" s="14"/>
      <c r="M229" s="14"/>
    </row>
    <row r="230" spans="1:13" x14ac:dyDescent="0.25">
      <c r="A230" s="14" t="str">
        <f t="shared" si="18"/>
        <v>1</v>
      </c>
      <c r="B230" s="14" t="str">
        <f t="shared" si="19"/>
        <v>2</v>
      </c>
      <c r="C230" s="14" t="str">
        <f t="shared" si="20"/>
        <v>1</v>
      </c>
      <c r="D230" s="14" t="str">
        <f t="shared" si="21"/>
        <v>0</v>
      </c>
      <c r="E230" s="14" t="str">
        <f t="shared" si="22"/>
        <v>99</v>
      </c>
      <c r="F230" s="14" t="str">
        <f t="shared" si="23"/>
        <v>00</v>
      </c>
      <c r="G230" s="56">
        <v>12109900</v>
      </c>
      <c r="H230" s="14" t="s">
        <v>482</v>
      </c>
      <c r="I230" s="15" t="s">
        <v>483</v>
      </c>
      <c r="J230" s="14"/>
      <c r="K230" s="14"/>
      <c r="L230" s="14"/>
      <c r="M230" s="14"/>
    </row>
    <row r="231" spans="1:13" ht="25.5" x14ac:dyDescent="0.25">
      <c r="A231" s="10" t="str">
        <f t="shared" si="18"/>
        <v>1</v>
      </c>
      <c r="B231" s="10" t="str">
        <f t="shared" si="19"/>
        <v>2</v>
      </c>
      <c r="C231" s="10" t="str">
        <f t="shared" si="20"/>
        <v>2</v>
      </c>
      <c r="D231" s="10" t="str">
        <f t="shared" si="21"/>
        <v>0</v>
      </c>
      <c r="E231" s="10" t="str">
        <f t="shared" si="22"/>
        <v>00</v>
      </c>
      <c r="F231" s="10" t="str">
        <f t="shared" si="23"/>
        <v>00</v>
      </c>
      <c r="G231" s="54">
        <v>12200000</v>
      </c>
      <c r="H231" s="10" t="s">
        <v>484</v>
      </c>
      <c r="I231" s="11" t="s">
        <v>485</v>
      </c>
      <c r="J231" s="10"/>
      <c r="K231" s="10"/>
      <c r="L231" s="10"/>
      <c r="M231" s="11"/>
    </row>
    <row r="232" spans="1:13" ht="63.75" x14ac:dyDescent="0.25">
      <c r="A232" s="14" t="str">
        <f t="shared" si="18"/>
        <v>1</v>
      </c>
      <c r="B232" s="14" t="str">
        <f t="shared" si="19"/>
        <v>2</v>
      </c>
      <c r="C232" s="14" t="str">
        <f t="shared" si="20"/>
        <v>2</v>
      </c>
      <c r="D232" s="14" t="str">
        <f t="shared" si="21"/>
        <v>0</v>
      </c>
      <c r="E232" s="14" t="str">
        <f t="shared" si="22"/>
        <v>01</v>
      </c>
      <c r="F232" s="14" t="str">
        <f t="shared" si="23"/>
        <v>00</v>
      </c>
      <c r="G232" s="56">
        <v>12200100</v>
      </c>
      <c r="H232" s="14" t="s">
        <v>486</v>
      </c>
      <c r="I232" s="15" t="s">
        <v>487</v>
      </c>
      <c r="J232" s="14"/>
      <c r="K232" s="14"/>
      <c r="L232" s="14"/>
      <c r="M232" s="14"/>
    </row>
    <row r="233" spans="1:13" ht="63.75" x14ac:dyDescent="0.25">
      <c r="A233" s="14" t="str">
        <f t="shared" si="18"/>
        <v>1</v>
      </c>
      <c r="B233" s="14" t="str">
        <f t="shared" si="19"/>
        <v>2</v>
      </c>
      <c r="C233" s="14" t="str">
        <f t="shared" si="20"/>
        <v>2</v>
      </c>
      <c r="D233" s="14" t="str">
        <f t="shared" si="21"/>
        <v>0</v>
      </c>
      <c r="E233" s="14" t="str">
        <f t="shared" si="22"/>
        <v>02</v>
      </c>
      <c r="F233" s="14" t="str">
        <f t="shared" si="23"/>
        <v>00</v>
      </c>
      <c r="G233" s="56">
        <v>12200200</v>
      </c>
      <c r="H233" s="14" t="s">
        <v>488</v>
      </c>
      <c r="I233" s="15" t="s">
        <v>489</v>
      </c>
      <c r="J233" s="14"/>
      <c r="K233" s="14"/>
      <c r="L233" s="14"/>
      <c r="M233" s="14"/>
    </row>
    <row r="234" spans="1:13" ht="38.25" x14ac:dyDescent="0.25">
      <c r="A234" s="14" t="str">
        <f t="shared" si="18"/>
        <v>1</v>
      </c>
      <c r="B234" s="14" t="str">
        <f t="shared" si="19"/>
        <v>2</v>
      </c>
      <c r="C234" s="14" t="str">
        <f t="shared" si="20"/>
        <v>2</v>
      </c>
      <c r="D234" s="14" t="str">
        <f t="shared" si="21"/>
        <v>0</v>
      </c>
      <c r="E234" s="14" t="str">
        <f t="shared" si="22"/>
        <v>03</v>
      </c>
      <c r="F234" s="14" t="str">
        <f t="shared" si="23"/>
        <v>00</v>
      </c>
      <c r="G234" s="56">
        <v>12200300</v>
      </c>
      <c r="H234" s="14" t="s">
        <v>490</v>
      </c>
      <c r="I234" s="15" t="s">
        <v>491</v>
      </c>
      <c r="J234" s="14"/>
      <c r="K234" s="14"/>
      <c r="L234" s="14"/>
      <c r="M234" s="14"/>
    </row>
    <row r="235" spans="1:13" ht="25.5" x14ac:dyDescent="0.25">
      <c r="A235" s="18" t="str">
        <f t="shared" si="18"/>
        <v>1</v>
      </c>
      <c r="B235" s="18" t="str">
        <f t="shared" si="19"/>
        <v>2</v>
      </c>
      <c r="C235" s="18" t="str">
        <f t="shared" si="20"/>
        <v>2</v>
      </c>
      <c r="D235" s="18" t="str">
        <f t="shared" si="21"/>
        <v>0</v>
      </c>
      <c r="E235" s="18" t="str">
        <f t="shared" si="22"/>
        <v>03</v>
      </c>
      <c r="F235" s="18" t="str">
        <f t="shared" si="23"/>
        <v>01</v>
      </c>
      <c r="G235" s="58">
        <v>12200301</v>
      </c>
      <c r="H235" s="18" t="s">
        <v>492</v>
      </c>
      <c r="I235" s="19" t="s">
        <v>493</v>
      </c>
      <c r="J235" s="16"/>
      <c r="K235" s="16" t="s">
        <v>494</v>
      </c>
      <c r="L235" s="16" t="s">
        <v>495</v>
      </c>
      <c r="M235" s="17" t="s">
        <v>496</v>
      </c>
    </row>
    <row r="236" spans="1:13" ht="51" x14ac:dyDescent="0.25">
      <c r="A236" s="16" t="str">
        <f t="shared" si="18"/>
        <v>1</v>
      </c>
      <c r="B236" s="16" t="str">
        <f t="shared" si="19"/>
        <v>2</v>
      </c>
      <c r="C236" s="16" t="str">
        <f t="shared" si="20"/>
        <v>2</v>
      </c>
      <c r="D236" s="16" t="str">
        <f t="shared" si="21"/>
        <v>0</v>
      </c>
      <c r="E236" s="16" t="str">
        <f t="shared" si="22"/>
        <v>03</v>
      </c>
      <c r="F236" s="16" t="str">
        <f t="shared" si="23"/>
        <v>02</v>
      </c>
      <c r="G236" s="57">
        <v>12200302</v>
      </c>
      <c r="H236" s="16" t="s">
        <v>497</v>
      </c>
      <c r="I236" s="17" t="s">
        <v>498</v>
      </c>
      <c r="J236" s="16"/>
      <c r="K236" s="16"/>
      <c r="L236" s="16"/>
      <c r="M236" s="17"/>
    </row>
    <row r="237" spans="1:13" ht="38.25" x14ac:dyDescent="0.25">
      <c r="A237" s="16" t="str">
        <f t="shared" si="18"/>
        <v>1</v>
      </c>
      <c r="B237" s="16" t="str">
        <f t="shared" si="19"/>
        <v>2</v>
      </c>
      <c r="C237" s="16" t="str">
        <f t="shared" si="20"/>
        <v>2</v>
      </c>
      <c r="D237" s="16" t="str">
        <f t="shared" si="21"/>
        <v>0</v>
      </c>
      <c r="E237" s="16" t="str">
        <f t="shared" si="22"/>
        <v>03</v>
      </c>
      <c r="F237" s="16" t="str">
        <f t="shared" si="23"/>
        <v>99</v>
      </c>
      <c r="G237" s="57">
        <v>12200399</v>
      </c>
      <c r="H237" s="16" t="s">
        <v>499</v>
      </c>
      <c r="I237" s="17" t="s">
        <v>500</v>
      </c>
      <c r="J237" s="16"/>
      <c r="K237" s="16"/>
      <c r="L237" s="16"/>
      <c r="M237" s="17"/>
    </row>
    <row r="238" spans="1:13" ht="25.5" x14ac:dyDescent="0.25">
      <c r="A238" s="14" t="str">
        <f t="shared" si="18"/>
        <v>1</v>
      </c>
      <c r="B238" s="14" t="str">
        <f t="shared" si="19"/>
        <v>2</v>
      </c>
      <c r="C238" s="14" t="str">
        <f t="shared" si="20"/>
        <v>2</v>
      </c>
      <c r="D238" s="14" t="str">
        <f t="shared" si="21"/>
        <v>0</v>
      </c>
      <c r="E238" s="14" t="str">
        <f t="shared" si="22"/>
        <v>05</v>
      </c>
      <c r="F238" s="14" t="str">
        <f t="shared" si="23"/>
        <v>00</v>
      </c>
      <c r="G238" s="56">
        <v>12200500</v>
      </c>
      <c r="H238" s="14" t="s">
        <v>501</v>
      </c>
      <c r="I238" s="15" t="s">
        <v>502</v>
      </c>
      <c r="J238" s="14"/>
      <c r="K238" s="14"/>
      <c r="L238" s="14"/>
      <c r="M238" s="14"/>
    </row>
    <row r="239" spans="1:13" ht="38.25" x14ac:dyDescent="0.25">
      <c r="A239" s="14" t="str">
        <f t="shared" si="18"/>
        <v>1</v>
      </c>
      <c r="B239" s="14" t="str">
        <f t="shared" si="19"/>
        <v>2</v>
      </c>
      <c r="C239" s="14" t="str">
        <f t="shared" si="20"/>
        <v>2</v>
      </c>
      <c r="D239" s="14" t="str">
        <f t="shared" si="21"/>
        <v>0</v>
      </c>
      <c r="E239" s="14" t="str">
        <f t="shared" si="22"/>
        <v>06</v>
      </c>
      <c r="F239" s="14" t="str">
        <f t="shared" si="23"/>
        <v>00</v>
      </c>
      <c r="G239" s="56">
        <v>12200600</v>
      </c>
      <c r="H239" s="14" t="s">
        <v>503</v>
      </c>
      <c r="I239" s="15" t="s">
        <v>504</v>
      </c>
      <c r="J239" s="14"/>
      <c r="K239" s="14"/>
      <c r="L239" s="14"/>
      <c r="M239" s="14"/>
    </row>
    <row r="240" spans="1:13" ht="38.25" x14ac:dyDescent="0.25">
      <c r="A240" s="16" t="str">
        <f t="shared" si="18"/>
        <v>1</v>
      </c>
      <c r="B240" s="16" t="str">
        <f t="shared" si="19"/>
        <v>2</v>
      </c>
      <c r="C240" s="16" t="str">
        <f t="shared" si="20"/>
        <v>2</v>
      </c>
      <c r="D240" s="16" t="str">
        <f t="shared" si="21"/>
        <v>0</v>
      </c>
      <c r="E240" s="16" t="str">
        <f t="shared" si="22"/>
        <v>06</v>
      </c>
      <c r="F240" s="16" t="str">
        <f t="shared" si="23"/>
        <v>01</v>
      </c>
      <c r="G240" s="57">
        <v>12200601</v>
      </c>
      <c r="H240" s="16" t="s">
        <v>505</v>
      </c>
      <c r="I240" s="17" t="s">
        <v>506</v>
      </c>
      <c r="J240" s="16"/>
      <c r="K240" s="16"/>
      <c r="L240" s="16"/>
      <c r="M240" s="17"/>
    </row>
    <row r="241" spans="1:13" ht="38.25" x14ac:dyDescent="0.25">
      <c r="A241" s="16" t="str">
        <f t="shared" si="18"/>
        <v>1</v>
      </c>
      <c r="B241" s="16" t="str">
        <f t="shared" si="19"/>
        <v>2</v>
      </c>
      <c r="C241" s="16" t="str">
        <f t="shared" si="20"/>
        <v>2</v>
      </c>
      <c r="D241" s="16" t="str">
        <f t="shared" si="21"/>
        <v>0</v>
      </c>
      <c r="E241" s="16" t="str">
        <f t="shared" si="22"/>
        <v>06</v>
      </c>
      <c r="F241" s="16" t="str">
        <f t="shared" si="23"/>
        <v>02</v>
      </c>
      <c r="G241" s="57">
        <v>12200602</v>
      </c>
      <c r="H241" s="16" t="s">
        <v>507</v>
      </c>
      <c r="I241" s="17" t="s">
        <v>508</v>
      </c>
      <c r="J241" s="16"/>
      <c r="K241" s="16"/>
      <c r="L241" s="16"/>
      <c r="M241" s="17"/>
    </row>
    <row r="242" spans="1:13" ht="38.25" x14ac:dyDescent="0.25">
      <c r="A242" s="16" t="str">
        <f t="shared" si="18"/>
        <v>1</v>
      </c>
      <c r="B242" s="16" t="str">
        <f t="shared" si="19"/>
        <v>2</v>
      </c>
      <c r="C242" s="16" t="str">
        <f t="shared" si="20"/>
        <v>2</v>
      </c>
      <c r="D242" s="16" t="str">
        <f t="shared" si="21"/>
        <v>0</v>
      </c>
      <c r="E242" s="16" t="str">
        <f t="shared" si="22"/>
        <v>06</v>
      </c>
      <c r="F242" s="16" t="str">
        <f t="shared" si="23"/>
        <v>03</v>
      </c>
      <c r="G242" s="57">
        <v>12200603</v>
      </c>
      <c r="H242" s="16" t="s">
        <v>509</v>
      </c>
      <c r="I242" s="17" t="s">
        <v>510</v>
      </c>
      <c r="J242" s="16"/>
      <c r="K242" s="16"/>
      <c r="L242" s="16"/>
      <c r="M242" s="17"/>
    </row>
    <row r="243" spans="1:13" ht="25.5" x14ac:dyDescent="0.25">
      <c r="A243" s="14" t="str">
        <f t="shared" si="18"/>
        <v>1</v>
      </c>
      <c r="B243" s="14" t="str">
        <f t="shared" si="19"/>
        <v>2</v>
      </c>
      <c r="C243" s="14" t="str">
        <f t="shared" si="20"/>
        <v>2</v>
      </c>
      <c r="D243" s="14" t="str">
        <f t="shared" si="21"/>
        <v>0</v>
      </c>
      <c r="E243" s="14" t="str">
        <f t="shared" si="22"/>
        <v>16</v>
      </c>
      <c r="F243" s="14" t="str">
        <f t="shared" si="23"/>
        <v>00</v>
      </c>
      <c r="G243" s="56">
        <v>12201600</v>
      </c>
      <c r="H243" s="14" t="s">
        <v>511</v>
      </c>
      <c r="I243" s="15" t="s">
        <v>512</v>
      </c>
      <c r="J243" s="14"/>
      <c r="K243" s="14"/>
      <c r="L243" s="14"/>
      <c r="M243" s="14"/>
    </row>
    <row r="244" spans="1:13" ht="76.5" x14ac:dyDescent="0.25">
      <c r="A244" s="14" t="str">
        <f t="shared" si="18"/>
        <v>1</v>
      </c>
      <c r="B244" s="14" t="str">
        <f t="shared" si="19"/>
        <v>2</v>
      </c>
      <c r="C244" s="14" t="str">
        <f t="shared" si="20"/>
        <v>2</v>
      </c>
      <c r="D244" s="14" t="str">
        <f t="shared" si="21"/>
        <v>0</v>
      </c>
      <c r="E244" s="14" t="str">
        <f t="shared" si="22"/>
        <v>18</v>
      </c>
      <c r="F244" s="14" t="str">
        <f t="shared" si="23"/>
        <v>00</v>
      </c>
      <c r="G244" s="56">
        <v>12201800</v>
      </c>
      <c r="H244" s="14" t="s">
        <v>513</v>
      </c>
      <c r="I244" s="15" t="s">
        <v>514</v>
      </c>
      <c r="J244" s="14"/>
      <c r="K244" s="14"/>
      <c r="L244" s="14"/>
      <c r="M244" s="14"/>
    </row>
    <row r="245" spans="1:13" ht="63.75" x14ac:dyDescent="0.25">
      <c r="A245" s="14" t="str">
        <f t="shared" si="18"/>
        <v>1</v>
      </c>
      <c r="B245" s="14" t="str">
        <f t="shared" si="19"/>
        <v>2</v>
      </c>
      <c r="C245" s="14" t="str">
        <f t="shared" si="20"/>
        <v>2</v>
      </c>
      <c r="D245" s="14" t="str">
        <f t="shared" si="21"/>
        <v>0</v>
      </c>
      <c r="E245" s="14" t="str">
        <f t="shared" si="22"/>
        <v>24</v>
      </c>
      <c r="F245" s="14" t="str">
        <f t="shared" si="23"/>
        <v>00</v>
      </c>
      <c r="G245" s="56">
        <v>12202400</v>
      </c>
      <c r="H245" s="14" t="s">
        <v>515</v>
      </c>
      <c r="I245" s="15" t="s">
        <v>516</v>
      </c>
      <c r="J245" s="14"/>
      <c r="K245" s="14"/>
      <c r="L245" s="14"/>
      <c r="M245" s="14"/>
    </row>
    <row r="246" spans="1:13" ht="38.25" x14ac:dyDescent="0.25">
      <c r="A246" s="14" t="str">
        <f t="shared" si="18"/>
        <v>1</v>
      </c>
      <c r="B246" s="14" t="str">
        <f t="shared" si="19"/>
        <v>2</v>
      </c>
      <c r="C246" s="14" t="str">
        <f t="shared" si="20"/>
        <v>2</v>
      </c>
      <c r="D246" s="14" t="str">
        <f t="shared" si="21"/>
        <v>0</v>
      </c>
      <c r="E246" s="14" t="str">
        <f t="shared" si="22"/>
        <v>25</v>
      </c>
      <c r="F246" s="14" t="str">
        <f t="shared" si="23"/>
        <v>00</v>
      </c>
      <c r="G246" s="56">
        <v>12202500</v>
      </c>
      <c r="H246" s="14" t="s">
        <v>517</v>
      </c>
      <c r="I246" s="15" t="s">
        <v>518</v>
      </c>
      <c r="J246" s="14"/>
      <c r="K246" s="14"/>
      <c r="L246" s="14"/>
      <c r="M246" s="14"/>
    </row>
    <row r="247" spans="1:13" ht="38.25" x14ac:dyDescent="0.25">
      <c r="A247" s="14" t="str">
        <f t="shared" si="18"/>
        <v>1</v>
      </c>
      <c r="B247" s="14" t="str">
        <f t="shared" si="19"/>
        <v>2</v>
      </c>
      <c r="C247" s="14" t="str">
        <f t="shared" si="20"/>
        <v>2</v>
      </c>
      <c r="D247" s="14" t="str">
        <f t="shared" si="21"/>
        <v>0</v>
      </c>
      <c r="E247" s="14" t="str">
        <f t="shared" si="22"/>
        <v>26</v>
      </c>
      <c r="F247" s="14" t="str">
        <f t="shared" si="23"/>
        <v>00</v>
      </c>
      <c r="G247" s="56">
        <v>12202600</v>
      </c>
      <c r="H247" s="14" t="s">
        <v>519</v>
      </c>
      <c r="I247" s="15" t="s">
        <v>520</v>
      </c>
      <c r="J247" s="14"/>
      <c r="K247" s="14"/>
      <c r="L247" s="14"/>
      <c r="M247" s="14"/>
    </row>
    <row r="248" spans="1:13" ht="89.25" x14ac:dyDescent="0.25">
      <c r="A248" s="16" t="str">
        <f t="shared" si="18"/>
        <v>1</v>
      </c>
      <c r="B248" s="16" t="str">
        <f t="shared" si="19"/>
        <v>2</v>
      </c>
      <c r="C248" s="16" t="str">
        <f t="shared" si="20"/>
        <v>2</v>
      </c>
      <c r="D248" s="16" t="str">
        <f t="shared" si="21"/>
        <v>0</v>
      </c>
      <c r="E248" s="16" t="str">
        <f t="shared" si="22"/>
        <v>26</v>
      </c>
      <c r="F248" s="16" t="str">
        <f t="shared" si="23"/>
        <v>01</v>
      </c>
      <c r="G248" s="57">
        <v>12202601</v>
      </c>
      <c r="H248" s="16" t="s">
        <v>521</v>
      </c>
      <c r="I248" s="17" t="s">
        <v>522</v>
      </c>
      <c r="J248" s="16"/>
      <c r="K248" s="16"/>
      <c r="L248" s="16"/>
      <c r="M248" s="17"/>
    </row>
    <row r="249" spans="1:13" ht="63.75" x14ac:dyDescent="0.25">
      <c r="A249" s="16" t="str">
        <f t="shared" si="18"/>
        <v>1</v>
      </c>
      <c r="B249" s="16" t="str">
        <f t="shared" si="19"/>
        <v>2</v>
      </c>
      <c r="C249" s="16" t="str">
        <f t="shared" si="20"/>
        <v>2</v>
      </c>
      <c r="D249" s="16" t="str">
        <f t="shared" si="21"/>
        <v>0</v>
      </c>
      <c r="E249" s="16" t="str">
        <f t="shared" si="22"/>
        <v>26</v>
      </c>
      <c r="F249" s="16" t="str">
        <f t="shared" si="23"/>
        <v>02</v>
      </c>
      <c r="G249" s="57">
        <v>12202602</v>
      </c>
      <c r="H249" s="16" t="s">
        <v>523</v>
      </c>
      <c r="I249" s="17" t="s">
        <v>524</v>
      </c>
      <c r="J249" s="16"/>
      <c r="K249" s="16"/>
      <c r="L249" s="16"/>
      <c r="M249" s="17"/>
    </row>
    <row r="250" spans="1:13" ht="51" x14ac:dyDescent="0.25">
      <c r="A250" s="14" t="str">
        <f t="shared" si="18"/>
        <v>1</v>
      </c>
      <c r="B250" s="14" t="str">
        <f t="shared" si="19"/>
        <v>2</v>
      </c>
      <c r="C250" s="14" t="str">
        <f t="shared" si="20"/>
        <v>2</v>
      </c>
      <c r="D250" s="14" t="str">
        <f t="shared" si="21"/>
        <v>0</v>
      </c>
      <c r="E250" s="14" t="str">
        <f t="shared" si="22"/>
        <v>28</v>
      </c>
      <c r="F250" s="14" t="str">
        <f t="shared" si="23"/>
        <v>00</v>
      </c>
      <c r="G250" s="56">
        <v>12202800</v>
      </c>
      <c r="H250" s="14" t="s">
        <v>525</v>
      </c>
      <c r="I250" s="15" t="s">
        <v>526</v>
      </c>
      <c r="J250" s="14"/>
      <c r="K250" s="14"/>
      <c r="L250" s="14"/>
      <c r="M250" s="14"/>
    </row>
    <row r="251" spans="1:13" ht="51" x14ac:dyDescent="0.25">
      <c r="A251" s="16" t="str">
        <f t="shared" si="18"/>
        <v>1</v>
      </c>
      <c r="B251" s="16" t="str">
        <f t="shared" si="19"/>
        <v>2</v>
      </c>
      <c r="C251" s="16" t="str">
        <f t="shared" si="20"/>
        <v>2</v>
      </c>
      <c r="D251" s="16" t="str">
        <f t="shared" si="21"/>
        <v>0</v>
      </c>
      <c r="E251" s="16" t="str">
        <f t="shared" si="22"/>
        <v>28</v>
      </c>
      <c r="F251" s="16" t="str">
        <f t="shared" si="23"/>
        <v>01</v>
      </c>
      <c r="G251" s="57">
        <v>12202801</v>
      </c>
      <c r="H251" s="16" t="s">
        <v>527</v>
      </c>
      <c r="I251" s="17" t="s">
        <v>528</v>
      </c>
      <c r="J251" s="16"/>
      <c r="K251" s="16"/>
      <c r="L251" s="16"/>
      <c r="M251" s="17"/>
    </row>
    <row r="252" spans="1:13" ht="51" x14ac:dyDescent="0.25">
      <c r="A252" s="16" t="str">
        <f t="shared" si="18"/>
        <v>1</v>
      </c>
      <c r="B252" s="16" t="str">
        <f t="shared" si="19"/>
        <v>2</v>
      </c>
      <c r="C252" s="16" t="str">
        <f t="shared" si="20"/>
        <v>2</v>
      </c>
      <c r="D252" s="16" t="str">
        <f t="shared" si="21"/>
        <v>0</v>
      </c>
      <c r="E252" s="16" t="str">
        <f t="shared" si="22"/>
        <v>28</v>
      </c>
      <c r="F252" s="16" t="str">
        <f t="shared" si="23"/>
        <v>02</v>
      </c>
      <c r="G252" s="57">
        <v>12202802</v>
      </c>
      <c r="H252" s="16" t="s">
        <v>529</v>
      </c>
      <c r="I252" s="17" t="s">
        <v>530</v>
      </c>
      <c r="J252" s="16"/>
      <c r="K252" s="16"/>
      <c r="L252" s="16"/>
      <c r="M252" s="17"/>
    </row>
    <row r="253" spans="1:13" ht="51" x14ac:dyDescent="0.25">
      <c r="A253" s="16" t="str">
        <f t="shared" si="18"/>
        <v>1</v>
      </c>
      <c r="B253" s="16" t="str">
        <f t="shared" si="19"/>
        <v>2</v>
      </c>
      <c r="C253" s="16" t="str">
        <f t="shared" si="20"/>
        <v>2</v>
      </c>
      <c r="D253" s="16" t="str">
        <f t="shared" si="21"/>
        <v>0</v>
      </c>
      <c r="E253" s="16" t="str">
        <f t="shared" si="22"/>
        <v>28</v>
      </c>
      <c r="F253" s="16" t="str">
        <f t="shared" si="23"/>
        <v>03</v>
      </c>
      <c r="G253" s="57">
        <v>12202803</v>
      </c>
      <c r="H253" s="16" t="s">
        <v>531</v>
      </c>
      <c r="I253" s="17" t="s">
        <v>532</v>
      </c>
      <c r="J253" s="16"/>
      <c r="K253" s="16"/>
      <c r="L253" s="16"/>
      <c r="M253" s="17"/>
    </row>
    <row r="254" spans="1:13" ht="25.5" x14ac:dyDescent="0.25">
      <c r="A254" s="14" t="str">
        <f t="shared" si="18"/>
        <v>1</v>
      </c>
      <c r="B254" s="14" t="str">
        <f t="shared" si="19"/>
        <v>2</v>
      </c>
      <c r="C254" s="14" t="str">
        <f t="shared" si="20"/>
        <v>2</v>
      </c>
      <c r="D254" s="14" t="str">
        <f t="shared" si="21"/>
        <v>0</v>
      </c>
      <c r="E254" s="14" t="str">
        <f t="shared" si="22"/>
        <v>30</v>
      </c>
      <c r="F254" s="14" t="str">
        <f t="shared" si="23"/>
        <v>00</v>
      </c>
      <c r="G254" s="56">
        <v>12203000</v>
      </c>
      <c r="H254" s="14" t="s">
        <v>533</v>
      </c>
      <c r="I254" s="15" t="s">
        <v>534</v>
      </c>
      <c r="J254" s="14"/>
      <c r="K254" s="14"/>
      <c r="L254" s="14"/>
      <c r="M254" s="14"/>
    </row>
    <row r="255" spans="1:13" ht="25.5" x14ac:dyDescent="0.25">
      <c r="A255" s="14" t="str">
        <f t="shared" si="18"/>
        <v>1</v>
      </c>
      <c r="B255" s="14" t="str">
        <f t="shared" si="19"/>
        <v>2</v>
      </c>
      <c r="C255" s="14" t="str">
        <f t="shared" si="20"/>
        <v>2</v>
      </c>
      <c r="D255" s="14" t="str">
        <f t="shared" si="21"/>
        <v>0</v>
      </c>
      <c r="E255" s="14" t="str">
        <f t="shared" si="22"/>
        <v>40</v>
      </c>
      <c r="F255" s="14" t="str">
        <f t="shared" si="23"/>
        <v>00</v>
      </c>
      <c r="G255" s="56">
        <v>12204000</v>
      </c>
      <c r="H255" s="14" t="s">
        <v>535</v>
      </c>
      <c r="I255" s="15" t="s">
        <v>536</v>
      </c>
      <c r="J255" s="14"/>
      <c r="K255" s="14"/>
      <c r="L255" s="14"/>
      <c r="M255" s="14"/>
    </row>
    <row r="256" spans="1:13" ht="38.25" x14ac:dyDescent="0.25">
      <c r="A256" s="14" t="str">
        <f t="shared" si="18"/>
        <v>1</v>
      </c>
      <c r="B256" s="14" t="str">
        <f t="shared" si="19"/>
        <v>2</v>
      </c>
      <c r="C256" s="14" t="str">
        <f t="shared" si="20"/>
        <v>2</v>
      </c>
      <c r="D256" s="14" t="str">
        <f t="shared" si="21"/>
        <v>0</v>
      </c>
      <c r="E256" s="14" t="str">
        <f t="shared" si="22"/>
        <v>41</v>
      </c>
      <c r="F256" s="14" t="str">
        <f t="shared" si="23"/>
        <v>00</v>
      </c>
      <c r="G256" s="56">
        <v>12204100</v>
      </c>
      <c r="H256" s="14" t="s">
        <v>537</v>
      </c>
      <c r="I256" s="15" t="s">
        <v>538</v>
      </c>
      <c r="J256" s="14"/>
      <c r="K256" s="14"/>
      <c r="L256" s="14"/>
      <c r="M256" s="14"/>
    </row>
    <row r="257" spans="1:13" ht="38.25" x14ac:dyDescent="0.25">
      <c r="A257" s="16" t="str">
        <f t="shared" si="18"/>
        <v>1</v>
      </c>
      <c r="B257" s="16" t="str">
        <f t="shared" si="19"/>
        <v>2</v>
      </c>
      <c r="C257" s="16" t="str">
        <f t="shared" si="20"/>
        <v>2</v>
      </c>
      <c r="D257" s="16" t="str">
        <f t="shared" si="21"/>
        <v>0</v>
      </c>
      <c r="E257" s="16" t="str">
        <f t="shared" si="22"/>
        <v>41</v>
      </c>
      <c r="F257" s="16" t="str">
        <f t="shared" si="23"/>
        <v>01</v>
      </c>
      <c r="G257" s="57">
        <v>12204101</v>
      </c>
      <c r="H257" s="16" t="s">
        <v>539</v>
      </c>
      <c r="I257" s="17" t="s">
        <v>540</v>
      </c>
      <c r="J257" s="16"/>
      <c r="K257" s="16"/>
      <c r="L257" s="16"/>
      <c r="M257" s="17"/>
    </row>
    <row r="258" spans="1:13" ht="38.25" x14ac:dyDescent="0.25">
      <c r="A258" s="16" t="str">
        <f t="shared" si="18"/>
        <v>1</v>
      </c>
      <c r="B258" s="16" t="str">
        <f t="shared" si="19"/>
        <v>2</v>
      </c>
      <c r="C258" s="16" t="str">
        <f t="shared" si="20"/>
        <v>2</v>
      </c>
      <c r="D258" s="16" t="str">
        <f t="shared" si="21"/>
        <v>0</v>
      </c>
      <c r="E258" s="16" t="str">
        <f t="shared" si="22"/>
        <v>41</v>
      </c>
      <c r="F258" s="16" t="str">
        <f t="shared" si="23"/>
        <v>02</v>
      </c>
      <c r="G258" s="57">
        <v>12204102</v>
      </c>
      <c r="H258" s="16" t="s">
        <v>541</v>
      </c>
      <c r="I258" s="17" t="s">
        <v>542</v>
      </c>
      <c r="J258" s="16"/>
      <c r="K258" s="16"/>
      <c r="L258" s="16"/>
      <c r="M258" s="17"/>
    </row>
    <row r="259" spans="1:13" ht="38.25" x14ac:dyDescent="0.25">
      <c r="A259" s="16" t="str">
        <f t="shared" si="18"/>
        <v>1</v>
      </c>
      <c r="B259" s="16" t="str">
        <f t="shared" si="19"/>
        <v>2</v>
      </c>
      <c r="C259" s="16" t="str">
        <f t="shared" si="20"/>
        <v>2</v>
      </c>
      <c r="D259" s="16" t="str">
        <f t="shared" si="21"/>
        <v>0</v>
      </c>
      <c r="E259" s="16" t="str">
        <f t="shared" si="22"/>
        <v>41</v>
      </c>
      <c r="F259" s="16" t="str">
        <f t="shared" si="23"/>
        <v>03</v>
      </c>
      <c r="G259" s="57">
        <v>12204103</v>
      </c>
      <c r="H259" s="16" t="s">
        <v>543</v>
      </c>
      <c r="I259" s="17" t="s">
        <v>544</v>
      </c>
      <c r="J259" s="16"/>
      <c r="K259" s="16"/>
      <c r="L259" s="16"/>
      <c r="M259" s="17"/>
    </row>
    <row r="260" spans="1:13" ht="38.25" x14ac:dyDescent="0.25">
      <c r="A260" s="16" t="str">
        <f t="shared" ref="A260:A323" si="24">MID(G260,1,1)</f>
        <v>1</v>
      </c>
      <c r="B260" s="16" t="str">
        <f t="shared" ref="B260:B323" si="25">MID(G260,2,1)</f>
        <v>2</v>
      </c>
      <c r="C260" s="16" t="str">
        <f t="shared" ref="C260:C323" si="26">MID(G260,3,1)</f>
        <v>2</v>
      </c>
      <c r="D260" s="16" t="str">
        <f t="shared" ref="D260:D323" si="27">MID(G260,4,1)</f>
        <v>0</v>
      </c>
      <c r="E260" s="16" t="str">
        <f t="shared" ref="E260:E323" si="28">MID(G260,5,2)</f>
        <v>41</v>
      </c>
      <c r="F260" s="16" t="str">
        <f t="shared" ref="F260:F323" si="29">MID(G260,7,2)</f>
        <v>04</v>
      </c>
      <c r="G260" s="57">
        <v>12204104</v>
      </c>
      <c r="H260" s="16" t="s">
        <v>545</v>
      </c>
      <c r="I260" s="17" t="s">
        <v>546</v>
      </c>
      <c r="J260" s="16"/>
      <c r="K260" s="16"/>
      <c r="L260" s="16"/>
      <c r="M260" s="17"/>
    </row>
    <row r="261" spans="1:13" ht="38.25" x14ac:dyDescent="0.25">
      <c r="A261" s="14" t="str">
        <f t="shared" si="24"/>
        <v>1</v>
      </c>
      <c r="B261" s="14" t="str">
        <f t="shared" si="25"/>
        <v>2</v>
      </c>
      <c r="C261" s="14" t="str">
        <f t="shared" si="26"/>
        <v>2</v>
      </c>
      <c r="D261" s="14" t="str">
        <f t="shared" si="27"/>
        <v>0</v>
      </c>
      <c r="E261" s="14" t="str">
        <f t="shared" si="28"/>
        <v>42</v>
      </c>
      <c r="F261" s="14" t="str">
        <f t="shared" si="29"/>
        <v>00</v>
      </c>
      <c r="G261" s="56">
        <v>12204200</v>
      </c>
      <c r="H261" s="14" t="s">
        <v>547</v>
      </c>
      <c r="I261" s="15" t="s">
        <v>548</v>
      </c>
      <c r="J261" s="14"/>
      <c r="K261" s="14"/>
      <c r="L261" s="14"/>
      <c r="M261" s="14"/>
    </row>
    <row r="262" spans="1:13" ht="38.25" x14ac:dyDescent="0.25">
      <c r="A262" s="16" t="str">
        <f t="shared" si="24"/>
        <v>1</v>
      </c>
      <c r="B262" s="16" t="str">
        <f t="shared" si="25"/>
        <v>2</v>
      </c>
      <c r="C262" s="16" t="str">
        <f t="shared" si="26"/>
        <v>2</v>
      </c>
      <c r="D262" s="16" t="str">
        <f t="shared" si="27"/>
        <v>0</v>
      </c>
      <c r="E262" s="16" t="str">
        <f t="shared" si="28"/>
        <v>42</v>
      </c>
      <c r="F262" s="16" t="str">
        <f t="shared" si="29"/>
        <v>01</v>
      </c>
      <c r="G262" s="57">
        <v>12204201</v>
      </c>
      <c r="H262" s="16" t="s">
        <v>549</v>
      </c>
      <c r="I262" s="17" t="s">
        <v>550</v>
      </c>
      <c r="J262" s="16"/>
      <c r="K262" s="16"/>
      <c r="L262" s="16"/>
      <c r="M262" s="17"/>
    </row>
    <row r="263" spans="1:13" ht="38.25" x14ac:dyDescent="0.25">
      <c r="A263" s="16" t="str">
        <f t="shared" si="24"/>
        <v>1</v>
      </c>
      <c r="B263" s="16" t="str">
        <f t="shared" si="25"/>
        <v>2</v>
      </c>
      <c r="C263" s="16" t="str">
        <f t="shared" si="26"/>
        <v>2</v>
      </c>
      <c r="D263" s="16" t="str">
        <f t="shared" si="27"/>
        <v>0</v>
      </c>
      <c r="E263" s="16" t="str">
        <f t="shared" si="28"/>
        <v>42</v>
      </c>
      <c r="F263" s="16" t="str">
        <f t="shared" si="29"/>
        <v>02</v>
      </c>
      <c r="G263" s="57">
        <v>12204202</v>
      </c>
      <c r="H263" s="16" t="s">
        <v>551</v>
      </c>
      <c r="I263" s="17" t="s">
        <v>552</v>
      </c>
      <c r="J263" s="16"/>
      <c r="K263" s="16"/>
      <c r="L263" s="16"/>
      <c r="M263" s="17"/>
    </row>
    <row r="264" spans="1:13" ht="38.25" x14ac:dyDescent="0.25">
      <c r="A264" s="16" t="str">
        <f t="shared" si="24"/>
        <v>1</v>
      </c>
      <c r="B264" s="16" t="str">
        <f t="shared" si="25"/>
        <v>2</v>
      </c>
      <c r="C264" s="16" t="str">
        <f t="shared" si="26"/>
        <v>2</v>
      </c>
      <c r="D264" s="16" t="str">
        <f t="shared" si="27"/>
        <v>0</v>
      </c>
      <c r="E264" s="16" t="str">
        <f t="shared" si="28"/>
        <v>42</v>
      </c>
      <c r="F264" s="16" t="str">
        <f t="shared" si="29"/>
        <v>03</v>
      </c>
      <c r="G264" s="57">
        <v>12204203</v>
      </c>
      <c r="H264" s="16" t="s">
        <v>553</v>
      </c>
      <c r="I264" s="17" t="s">
        <v>554</v>
      </c>
      <c r="J264" s="16"/>
      <c r="K264" s="16"/>
      <c r="L264" s="16"/>
      <c r="M264" s="17"/>
    </row>
    <row r="265" spans="1:13" ht="38.25" x14ac:dyDescent="0.25">
      <c r="A265" s="16" t="str">
        <f t="shared" si="24"/>
        <v>1</v>
      </c>
      <c r="B265" s="16" t="str">
        <f t="shared" si="25"/>
        <v>2</v>
      </c>
      <c r="C265" s="16" t="str">
        <f t="shared" si="26"/>
        <v>2</v>
      </c>
      <c r="D265" s="16" t="str">
        <f t="shared" si="27"/>
        <v>0</v>
      </c>
      <c r="E265" s="16" t="str">
        <f t="shared" si="28"/>
        <v>42</v>
      </c>
      <c r="F265" s="16" t="str">
        <f t="shared" si="29"/>
        <v>04</v>
      </c>
      <c r="G265" s="57">
        <v>12204204</v>
      </c>
      <c r="H265" s="16" t="s">
        <v>555</v>
      </c>
      <c r="I265" s="17" t="s">
        <v>556</v>
      </c>
      <c r="J265" s="16"/>
      <c r="K265" s="16"/>
      <c r="L265" s="16"/>
      <c r="M265" s="17"/>
    </row>
    <row r="266" spans="1:13" x14ac:dyDescent="0.25">
      <c r="A266" s="14" t="str">
        <f t="shared" si="24"/>
        <v>1</v>
      </c>
      <c r="B266" s="14" t="str">
        <f t="shared" si="25"/>
        <v>2</v>
      </c>
      <c r="C266" s="14" t="str">
        <f t="shared" si="26"/>
        <v>2</v>
      </c>
      <c r="D266" s="14" t="str">
        <f t="shared" si="27"/>
        <v>0</v>
      </c>
      <c r="E266" s="14" t="str">
        <f t="shared" si="28"/>
        <v>99</v>
      </c>
      <c r="F266" s="14" t="str">
        <f t="shared" si="29"/>
        <v>00</v>
      </c>
      <c r="G266" s="56">
        <v>12209900</v>
      </c>
      <c r="H266" s="14" t="s">
        <v>557</v>
      </c>
      <c r="I266" s="15" t="s">
        <v>558</v>
      </c>
      <c r="J266" s="14"/>
      <c r="K266" s="14"/>
      <c r="L266" s="14"/>
      <c r="M266" s="14"/>
    </row>
    <row r="267" spans="1:13" ht="25.5" x14ac:dyDescent="0.25">
      <c r="A267" s="16" t="str">
        <f t="shared" si="24"/>
        <v>1</v>
      </c>
      <c r="B267" s="16" t="str">
        <f t="shared" si="25"/>
        <v>2</v>
      </c>
      <c r="C267" s="16" t="str">
        <f t="shared" si="26"/>
        <v>2</v>
      </c>
      <c r="D267" s="16" t="str">
        <f t="shared" si="27"/>
        <v>0</v>
      </c>
      <c r="E267" s="16" t="str">
        <f t="shared" si="28"/>
        <v>99</v>
      </c>
      <c r="F267" s="16" t="str">
        <f t="shared" si="29"/>
        <v>01</v>
      </c>
      <c r="G267" s="57">
        <v>12209901</v>
      </c>
      <c r="H267" s="16" t="s">
        <v>559</v>
      </c>
      <c r="I267" s="17" t="s">
        <v>560</v>
      </c>
      <c r="J267" s="16"/>
      <c r="K267" s="16"/>
      <c r="L267" s="16"/>
      <c r="M267" s="17"/>
    </row>
    <row r="268" spans="1:13" ht="25.5" x14ac:dyDescent="0.25">
      <c r="A268" s="16" t="str">
        <f t="shared" si="24"/>
        <v>1</v>
      </c>
      <c r="B268" s="16" t="str">
        <f t="shared" si="25"/>
        <v>2</v>
      </c>
      <c r="C268" s="16" t="str">
        <f t="shared" si="26"/>
        <v>2</v>
      </c>
      <c r="D268" s="16" t="str">
        <f t="shared" si="27"/>
        <v>0</v>
      </c>
      <c r="E268" s="16" t="str">
        <f t="shared" si="28"/>
        <v>99</v>
      </c>
      <c r="F268" s="16" t="str">
        <f t="shared" si="29"/>
        <v>02</v>
      </c>
      <c r="G268" s="57">
        <v>12209902</v>
      </c>
      <c r="H268" s="16" t="s">
        <v>561</v>
      </c>
      <c r="I268" s="17" t="s">
        <v>562</v>
      </c>
      <c r="J268" s="16"/>
      <c r="K268" s="16"/>
      <c r="L268" s="16"/>
      <c r="M268" s="17"/>
    </row>
    <row r="269" spans="1:13" ht="25.5" x14ac:dyDescent="0.25">
      <c r="A269" s="10" t="str">
        <f t="shared" si="24"/>
        <v>1</v>
      </c>
      <c r="B269" s="10" t="str">
        <f t="shared" si="25"/>
        <v>2</v>
      </c>
      <c r="C269" s="10" t="str">
        <f t="shared" si="26"/>
        <v>3</v>
      </c>
      <c r="D269" s="10" t="str">
        <f t="shared" si="27"/>
        <v>0</v>
      </c>
      <c r="E269" s="10" t="str">
        <f t="shared" si="28"/>
        <v>00</v>
      </c>
      <c r="F269" s="10" t="str">
        <f t="shared" si="29"/>
        <v>00</v>
      </c>
      <c r="G269" s="54">
        <v>12300000</v>
      </c>
      <c r="H269" s="10" t="s">
        <v>563</v>
      </c>
      <c r="I269" s="11" t="s">
        <v>564</v>
      </c>
      <c r="J269" s="10"/>
      <c r="K269" s="10"/>
      <c r="L269" s="10"/>
      <c r="M269" s="11"/>
    </row>
    <row r="270" spans="1:13" ht="25.5" x14ac:dyDescent="0.25">
      <c r="A270" s="8" t="str">
        <f t="shared" si="24"/>
        <v>1</v>
      </c>
      <c r="B270" s="8" t="str">
        <f t="shared" si="25"/>
        <v>3</v>
      </c>
      <c r="C270" s="8" t="str">
        <f t="shared" si="26"/>
        <v>0</v>
      </c>
      <c r="D270" s="8" t="str">
        <f t="shared" si="27"/>
        <v>0</v>
      </c>
      <c r="E270" s="8" t="str">
        <f t="shared" si="28"/>
        <v>00</v>
      </c>
      <c r="F270" s="8" t="str">
        <f t="shared" si="29"/>
        <v>00</v>
      </c>
      <c r="G270" s="53">
        <v>13000000</v>
      </c>
      <c r="H270" s="8" t="s">
        <v>565</v>
      </c>
      <c r="I270" s="9" t="s">
        <v>566</v>
      </c>
      <c r="J270" s="8"/>
      <c r="K270" s="8"/>
      <c r="L270" s="8"/>
      <c r="M270" s="9"/>
    </row>
    <row r="271" spans="1:13" x14ac:dyDescent="0.25">
      <c r="A271" s="10" t="str">
        <f t="shared" si="24"/>
        <v>1</v>
      </c>
      <c r="B271" s="10" t="str">
        <f t="shared" si="25"/>
        <v>3</v>
      </c>
      <c r="C271" s="10" t="str">
        <f t="shared" si="26"/>
        <v>1</v>
      </c>
      <c r="D271" s="10" t="str">
        <f t="shared" si="27"/>
        <v>0</v>
      </c>
      <c r="E271" s="10" t="str">
        <f t="shared" si="28"/>
        <v>00</v>
      </c>
      <c r="F271" s="10" t="str">
        <f t="shared" si="29"/>
        <v>00</v>
      </c>
      <c r="G271" s="54">
        <v>13100000</v>
      </c>
      <c r="H271" s="10" t="s">
        <v>567</v>
      </c>
      <c r="I271" s="11" t="s">
        <v>568</v>
      </c>
      <c r="J271" s="10"/>
      <c r="K271" s="10"/>
      <c r="L271" s="10"/>
      <c r="M271" s="11"/>
    </row>
    <row r="272" spans="1:13" x14ac:dyDescent="0.25">
      <c r="A272" s="12" t="str">
        <f t="shared" si="24"/>
        <v>1</v>
      </c>
      <c r="B272" s="12" t="str">
        <f t="shared" si="25"/>
        <v>3</v>
      </c>
      <c r="C272" s="12" t="str">
        <f t="shared" si="26"/>
        <v>1</v>
      </c>
      <c r="D272" s="12" t="str">
        <f t="shared" si="27"/>
        <v>1</v>
      </c>
      <c r="E272" s="12" t="str">
        <f t="shared" si="28"/>
        <v>00</v>
      </c>
      <c r="F272" s="12" t="str">
        <f t="shared" si="29"/>
        <v>00</v>
      </c>
      <c r="G272" s="55">
        <v>13110000</v>
      </c>
      <c r="H272" s="12" t="s">
        <v>569</v>
      </c>
      <c r="I272" s="13" t="s">
        <v>570</v>
      </c>
      <c r="J272" s="12"/>
      <c r="K272" s="12"/>
      <c r="L272" s="12"/>
      <c r="M272" s="13"/>
    </row>
    <row r="273" spans="1:13" x14ac:dyDescent="0.25">
      <c r="A273" s="12" t="str">
        <f t="shared" si="24"/>
        <v>1</v>
      </c>
      <c r="B273" s="12" t="str">
        <f t="shared" si="25"/>
        <v>3</v>
      </c>
      <c r="C273" s="12" t="str">
        <f t="shared" si="26"/>
        <v>1</v>
      </c>
      <c r="D273" s="12" t="str">
        <f t="shared" si="27"/>
        <v>2</v>
      </c>
      <c r="E273" s="12" t="str">
        <f t="shared" si="28"/>
        <v>00</v>
      </c>
      <c r="F273" s="12" t="str">
        <f t="shared" si="29"/>
        <v>00</v>
      </c>
      <c r="G273" s="55">
        <v>13120000</v>
      </c>
      <c r="H273" s="12" t="s">
        <v>571</v>
      </c>
      <c r="I273" s="13" t="s">
        <v>572</v>
      </c>
      <c r="J273" s="12"/>
      <c r="K273" s="12"/>
      <c r="L273" s="12"/>
      <c r="M273" s="13"/>
    </row>
    <row r="274" spans="1:13" x14ac:dyDescent="0.25">
      <c r="A274" s="12" t="str">
        <f t="shared" si="24"/>
        <v>1</v>
      </c>
      <c r="B274" s="12" t="str">
        <f t="shared" si="25"/>
        <v>3</v>
      </c>
      <c r="C274" s="12" t="str">
        <f t="shared" si="26"/>
        <v>1</v>
      </c>
      <c r="D274" s="12" t="str">
        <f t="shared" si="27"/>
        <v>3</v>
      </c>
      <c r="E274" s="12" t="str">
        <f t="shared" si="28"/>
        <v>00</v>
      </c>
      <c r="F274" s="12" t="str">
        <f t="shared" si="29"/>
        <v>00</v>
      </c>
      <c r="G274" s="55">
        <v>13130000</v>
      </c>
      <c r="H274" s="12" t="s">
        <v>573</v>
      </c>
      <c r="I274" s="13" t="s">
        <v>574</v>
      </c>
      <c r="J274" s="12"/>
      <c r="K274" s="12"/>
      <c r="L274" s="12"/>
      <c r="M274" s="13"/>
    </row>
    <row r="275" spans="1:13" ht="25.5" x14ac:dyDescent="0.25">
      <c r="A275" s="12" t="str">
        <f t="shared" si="24"/>
        <v>1</v>
      </c>
      <c r="B275" s="12" t="str">
        <f t="shared" si="25"/>
        <v>3</v>
      </c>
      <c r="C275" s="12" t="str">
        <f t="shared" si="26"/>
        <v>1</v>
      </c>
      <c r="D275" s="12" t="str">
        <f t="shared" si="27"/>
        <v>4</v>
      </c>
      <c r="E275" s="12" t="str">
        <f t="shared" si="28"/>
        <v>00</v>
      </c>
      <c r="F275" s="12" t="str">
        <f t="shared" si="29"/>
        <v>00</v>
      </c>
      <c r="G275" s="55">
        <v>13140000</v>
      </c>
      <c r="H275" s="12" t="s">
        <v>575</v>
      </c>
      <c r="I275" s="13" t="s">
        <v>576</v>
      </c>
      <c r="J275" s="12"/>
      <c r="K275" s="12"/>
      <c r="L275" s="12"/>
      <c r="M275" s="13"/>
    </row>
    <row r="276" spans="1:13" x14ac:dyDescent="0.25">
      <c r="A276" s="12" t="str">
        <f t="shared" si="24"/>
        <v>1</v>
      </c>
      <c r="B276" s="12" t="str">
        <f t="shared" si="25"/>
        <v>3</v>
      </c>
      <c r="C276" s="12" t="str">
        <f t="shared" si="26"/>
        <v>1</v>
      </c>
      <c r="D276" s="12" t="str">
        <f t="shared" si="27"/>
        <v>5</v>
      </c>
      <c r="E276" s="12" t="str">
        <f t="shared" si="28"/>
        <v>00</v>
      </c>
      <c r="F276" s="12" t="str">
        <f t="shared" si="29"/>
        <v>00</v>
      </c>
      <c r="G276" s="55">
        <v>13150000</v>
      </c>
      <c r="H276" s="12" t="s">
        <v>577</v>
      </c>
      <c r="I276" s="13" t="s">
        <v>578</v>
      </c>
      <c r="J276" s="12"/>
      <c r="K276" s="12"/>
      <c r="L276" s="12"/>
      <c r="M276" s="13"/>
    </row>
    <row r="277" spans="1:13" ht="25.5" x14ac:dyDescent="0.25">
      <c r="A277" s="14" t="str">
        <f t="shared" si="24"/>
        <v>1</v>
      </c>
      <c r="B277" s="14" t="str">
        <f t="shared" si="25"/>
        <v>3</v>
      </c>
      <c r="C277" s="14" t="str">
        <f t="shared" si="26"/>
        <v>1</v>
      </c>
      <c r="D277" s="14" t="str">
        <f t="shared" si="27"/>
        <v>5</v>
      </c>
      <c r="E277" s="14" t="str">
        <f t="shared" si="28"/>
        <v>10</v>
      </c>
      <c r="F277" s="14" t="str">
        <f t="shared" si="29"/>
        <v>00</v>
      </c>
      <c r="G277" s="56">
        <v>13151000</v>
      </c>
      <c r="H277" s="14" t="s">
        <v>579</v>
      </c>
      <c r="I277" s="15" t="s">
        <v>580</v>
      </c>
      <c r="J277" s="14"/>
      <c r="K277" s="14"/>
      <c r="L277" s="14"/>
      <c r="M277" s="14"/>
    </row>
    <row r="278" spans="1:13" ht="25.5" x14ac:dyDescent="0.25">
      <c r="A278" s="14" t="str">
        <f t="shared" si="24"/>
        <v>1</v>
      </c>
      <c r="B278" s="14" t="str">
        <f t="shared" si="25"/>
        <v>3</v>
      </c>
      <c r="C278" s="14" t="str">
        <f t="shared" si="26"/>
        <v>1</v>
      </c>
      <c r="D278" s="14" t="str">
        <f t="shared" si="27"/>
        <v>5</v>
      </c>
      <c r="E278" s="14" t="str">
        <f t="shared" si="28"/>
        <v>20</v>
      </c>
      <c r="F278" s="14" t="str">
        <f t="shared" si="29"/>
        <v>00</v>
      </c>
      <c r="G278" s="56">
        <v>13152000</v>
      </c>
      <c r="H278" s="14" t="s">
        <v>581</v>
      </c>
      <c r="I278" s="15" t="s">
        <v>582</v>
      </c>
      <c r="J278" s="14"/>
      <c r="K278" s="14"/>
      <c r="L278" s="14"/>
      <c r="M278" s="14"/>
    </row>
    <row r="279" spans="1:13" x14ac:dyDescent="0.25">
      <c r="A279" s="14" t="str">
        <f t="shared" si="24"/>
        <v>1</v>
      </c>
      <c r="B279" s="14" t="str">
        <f t="shared" si="25"/>
        <v>3</v>
      </c>
      <c r="C279" s="14" t="str">
        <f t="shared" si="26"/>
        <v>1</v>
      </c>
      <c r="D279" s="14" t="str">
        <f t="shared" si="27"/>
        <v>5</v>
      </c>
      <c r="E279" s="14" t="str">
        <f t="shared" si="28"/>
        <v>30</v>
      </c>
      <c r="F279" s="14" t="str">
        <f t="shared" si="29"/>
        <v>00</v>
      </c>
      <c r="G279" s="56">
        <v>13153000</v>
      </c>
      <c r="H279" s="14" t="s">
        <v>583</v>
      </c>
      <c r="I279" s="15" t="s">
        <v>584</v>
      </c>
      <c r="J279" s="14"/>
      <c r="K279" s="14"/>
      <c r="L279" s="14"/>
      <c r="M279" s="14"/>
    </row>
    <row r="280" spans="1:13" x14ac:dyDescent="0.25">
      <c r="A280" s="12" t="str">
        <f t="shared" si="24"/>
        <v>1</v>
      </c>
      <c r="B280" s="12" t="str">
        <f t="shared" si="25"/>
        <v>3</v>
      </c>
      <c r="C280" s="12" t="str">
        <f t="shared" si="26"/>
        <v>1</v>
      </c>
      <c r="D280" s="12" t="str">
        <f t="shared" si="27"/>
        <v>9</v>
      </c>
      <c r="E280" s="12" t="str">
        <f t="shared" si="28"/>
        <v>00</v>
      </c>
      <c r="F280" s="12" t="str">
        <f t="shared" si="29"/>
        <v>00</v>
      </c>
      <c r="G280" s="55">
        <v>13190000</v>
      </c>
      <c r="H280" s="12" t="s">
        <v>585</v>
      </c>
      <c r="I280" s="13" t="s">
        <v>586</v>
      </c>
      <c r="J280" s="12"/>
      <c r="K280" s="12"/>
      <c r="L280" s="12"/>
      <c r="M280" s="13"/>
    </row>
    <row r="281" spans="1:13" x14ac:dyDescent="0.25">
      <c r="A281" s="10" t="str">
        <f t="shared" si="24"/>
        <v>1</v>
      </c>
      <c r="B281" s="10" t="str">
        <f t="shared" si="25"/>
        <v>3</v>
      </c>
      <c r="C281" s="10" t="str">
        <f t="shared" si="26"/>
        <v>2</v>
      </c>
      <c r="D281" s="10" t="str">
        <f t="shared" si="27"/>
        <v>0</v>
      </c>
      <c r="E281" s="10" t="str">
        <f t="shared" si="28"/>
        <v>00</v>
      </c>
      <c r="F281" s="10" t="str">
        <f t="shared" si="29"/>
        <v>00</v>
      </c>
      <c r="G281" s="54">
        <v>13200000</v>
      </c>
      <c r="H281" s="10" t="s">
        <v>587</v>
      </c>
      <c r="I281" s="11" t="s">
        <v>588</v>
      </c>
      <c r="J281" s="10"/>
      <c r="K281" s="10"/>
      <c r="L281" s="10"/>
      <c r="M281" s="11"/>
    </row>
    <row r="282" spans="1:13" ht="25.5" x14ac:dyDescent="0.25">
      <c r="A282" s="12" t="str">
        <f t="shared" si="24"/>
        <v>1</v>
      </c>
      <c r="B282" s="12" t="str">
        <f t="shared" si="25"/>
        <v>3</v>
      </c>
      <c r="C282" s="12" t="str">
        <f t="shared" si="26"/>
        <v>2</v>
      </c>
      <c r="D282" s="12" t="str">
        <f t="shared" si="27"/>
        <v>1</v>
      </c>
      <c r="E282" s="12" t="str">
        <f t="shared" si="28"/>
        <v>00</v>
      </c>
      <c r="F282" s="12" t="str">
        <f t="shared" si="29"/>
        <v>00</v>
      </c>
      <c r="G282" s="55">
        <v>13210000</v>
      </c>
      <c r="H282" s="12" t="s">
        <v>589</v>
      </c>
      <c r="I282" s="13" t="s">
        <v>590</v>
      </c>
      <c r="J282" s="12"/>
      <c r="K282" s="12"/>
      <c r="L282" s="12"/>
      <c r="M282" s="13"/>
    </row>
    <row r="283" spans="1:13" ht="25.5" x14ac:dyDescent="0.25">
      <c r="A283" s="12" t="str">
        <f t="shared" si="24"/>
        <v>1</v>
      </c>
      <c r="B283" s="12" t="str">
        <f t="shared" si="25"/>
        <v>3</v>
      </c>
      <c r="C283" s="12" t="str">
        <f t="shared" si="26"/>
        <v>2</v>
      </c>
      <c r="D283" s="12" t="str">
        <f t="shared" si="27"/>
        <v>2</v>
      </c>
      <c r="E283" s="12" t="str">
        <f t="shared" si="28"/>
        <v>00</v>
      </c>
      <c r="F283" s="12" t="str">
        <f t="shared" si="29"/>
        <v>00</v>
      </c>
      <c r="G283" s="55">
        <v>13220000</v>
      </c>
      <c r="H283" s="12" t="s">
        <v>591</v>
      </c>
      <c r="I283" s="13" t="s">
        <v>592</v>
      </c>
      <c r="J283" s="12"/>
      <c r="K283" s="12" t="s">
        <v>151</v>
      </c>
      <c r="L283" s="12" t="s">
        <v>593</v>
      </c>
      <c r="M283" s="13"/>
    </row>
    <row r="284" spans="1:13" ht="25.5" x14ac:dyDescent="0.25">
      <c r="A284" s="16" t="str">
        <f t="shared" si="24"/>
        <v>1</v>
      </c>
      <c r="B284" s="16" t="str">
        <f t="shared" si="25"/>
        <v>3</v>
      </c>
      <c r="C284" s="16" t="str">
        <f t="shared" si="26"/>
        <v>2</v>
      </c>
      <c r="D284" s="16" t="str">
        <f t="shared" si="27"/>
        <v>2</v>
      </c>
      <c r="E284" s="16" t="str">
        <f t="shared" si="28"/>
        <v>00</v>
      </c>
      <c r="F284" s="16" t="str">
        <f t="shared" si="29"/>
        <v>01</v>
      </c>
      <c r="G284" s="57">
        <v>13220001</v>
      </c>
      <c r="H284" s="16" t="s">
        <v>594</v>
      </c>
      <c r="I284" s="17" t="s">
        <v>595</v>
      </c>
      <c r="J284" s="16"/>
      <c r="K284" s="16" t="s">
        <v>217</v>
      </c>
      <c r="L284" s="16" t="s">
        <v>596</v>
      </c>
      <c r="M284" s="17"/>
    </row>
    <row r="285" spans="1:13" x14ac:dyDescent="0.25">
      <c r="A285" s="16" t="str">
        <f t="shared" si="24"/>
        <v>1</v>
      </c>
      <c r="B285" s="16" t="str">
        <f t="shared" si="25"/>
        <v>3</v>
      </c>
      <c r="C285" s="16" t="str">
        <f t="shared" si="26"/>
        <v>2</v>
      </c>
      <c r="D285" s="16" t="str">
        <f t="shared" si="27"/>
        <v>2</v>
      </c>
      <c r="E285" s="16" t="str">
        <f t="shared" si="28"/>
        <v>00</v>
      </c>
      <c r="F285" s="16" t="str">
        <f t="shared" si="29"/>
        <v>02</v>
      </c>
      <c r="G285" s="57">
        <v>13220002</v>
      </c>
      <c r="H285" s="16" t="s">
        <v>597</v>
      </c>
      <c r="I285" s="17" t="s">
        <v>598</v>
      </c>
      <c r="J285" s="16"/>
      <c r="K285" s="16" t="s">
        <v>217</v>
      </c>
      <c r="L285" s="16" t="s">
        <v>596</v>
      </c>
      <c r="M285" s="17"/>
    </row>
    <row r="286" spans="1:13" ht="25.5" x14ac:dyDescent="0.25">
      <c r="A286" s="16" t="str">
        <f t="shared" si="24"/>
        <v>1</v>
      </c>
      <c r="B286" s="16" t="str">
        <f t="shared" si="25"/>
        <v>3</v>
      </c>
      <c r="C286" s="16" t="str">
        <f t="shared" si="26"/>
        <v>2</v>
      </c>
      <c r="D286" s="16" t="str">
        <f t="shared" si="27"/>
        <v>2</v>
      </c>
      <c r="E286" s="16" t="str">
        <f t="shared" si="28"/>
        <v>00</v>
      </c>
      <c r="F286" s="16" t="str">
        <f t="shared" si="29"/>
        <v>03</v>
      </c>
      <c r="G286" s="57">
        <v>13220003</v>
      </c>
      <c r="H286" s="16" t="s">
        <v>599</v>
      </c>
      <c r="I286" s="17" t="s">
        <v>600</v>
      </c>
      <c r="J286" s="16"/>
      <c r="K286" s="16" t="s">
        <v>217</v>
      </c>
      <c r="L286" s="16" t="s">
        <v>596</v>
      </c>
      <c r="M286" s="17"/>
    </row>
    <row r="287" spans="1:13" ht="25.5" x14ac:dyDescent="0.25">
      <c r="A287" s="20" t="str">
        <f t="shared" si="24"/>
        <v>1</v>
      </c>
      <c r="B287" s="20" t="str">
        <f t="shared" si="25"/>
        <v>3</v>
      </c>
      <c r="C287" s="20" t="str">
        <f t="shared" si="26"/>
        <v>2</v>
      </c>
      <c r="D287" s="20" t="str">
        <f t="shared" si="27"/>
        <v>3</v>
      </c>
      <c r="E287" s="20" t="str">
        <f t="shared" si="28"/>
        <v>00</v>
      </c>
      <c r="F287" s="20" t="str">
        <f t="shared" si="29"/>
        <v>00</v>
      </c>
      <c r="G287" s="59">
        <v>13230000</v>
      </c>
      <c r="H287" s="20" t="s">
        <v>597</v>
      </c>
      <c r="I287" s="21" t="s">
        <v>601</v>
      </c>
      <c r="J287" s="22"/>
      <c r="K287" s="22" t="s">
        <v>494</v>
      </c>
      <c r="L287" s="22" t="s">
        <v>602</v>
      </c>
      <c r="M287" s="23"/>
    </row>
    <row r="288" spans="1:13" ht="25.5" x14ac:dyDescent="0.25">
      <c r="A288" s="12" t="str">
        <f t="shared" si="24"/>
        <v>1</v>
      </c>
      <c r="B288" s="12" t="str">
        <f t="shared" si="25"/>
        <v>3</v>
      </c>
      <c r="C288" s="12" t="str">
        <f t="shared" si="26"/>
        <v>2</v>
      </c>
      <c r="D288" s="12" t="str">
        <f t="shared" si="27"/>
        <v>5</v>
      </c>
      <c r="E288" s="12" t="str">
        <f t="shared" si="28"/>
        <v>00</v>
      </c>
      <c r="F288" s="12" t="str">
        <f t="shared" si="29"/>
        <v>00</v>
      </c>
      <c r="G288" s="55">
        <v>13250000</v>
      </c>
      <c r="H288" s="12" t="s">
        <v>603</v>
      </c>
      <c r="I288" s="13" t="s">
        <v>604</v>
      </c>
      <c r="J288" s="12"/>
      <c r="K288" s="12"/>
      <c r="L288" s="12"/>
      <c r="M288" s="13"/>
    </row>
    <row r="289" spans="1:13" ht="25.5" x14ac:dyDescent="0.25">
      <c r="A289" s="12" t="str">
        <f t="shared" si="24"/>
        <v>1</v>
      </c>
      <c r="B289" s="12" t="str">
        <f t="shared" si="25"/>
        <v>3</v>
      </c>
      <c r="C289" s="12" t="str">
        <f t="shared" si="26"/>
        <v>2</v>
      </c>
      <c r="D289" s="12" t="str">
        <f t="shared" si="27"/>
        <v>6</v>
      </c>
      <c r="E289" s="12" t="str">
        <f t="shared" si="28"/>
        <v>00</v>
      </c>
      <c r="F289" s="12" t="str">
        <f t="shared" si="29"/>
        <v>00</v>
      </c>
      <c r="G289" s="55">
        <v>13260000</v>
      </c>
      <c r="H289" s="12" t="s">
        <v>605</v>
      </c>
      <c r="I289" s="13" t="s">
        <v>606</v>
      </c>
      <c r="J289" s="12"/>
      <c r="K289" s="12"/>
      <c r="L289" s="12"/>
      <c r="M289" s="13"/>
    </row>
    <row r="290" spans="1:13" ht="25.5" x14ac:dyDescent="0.25">
      <c r="A290" s="12" t="str">
        <f t="shared" si="24"/>
        <v>1</v>
      </c>
      <c r="B290" s="12" t="str">
        <f t="shared" si="25"/>
        <v>3</v>
      </c>
      <c r="C290" s="12" t="str">
        <f t="shared" si="26"/>
        <v>2</v>
      </c>
      <c r="D290" s="12" t="str">
        <f t="shared" si="27"/>
        <v>7</v>
      </c>
      <c r="E290" s="12" t="str">
        <f t="shared" si="28"/>
        <v>00</v>
      </c>
      <c r="F290" s="12" t="str">
        <f t="shared" si="29"/>
        <v>00</v>
      </c>
      <c r="G290" s="55">
        <v>13270000</v>
      </c>
      <c r="H290" s="12" t="s">
        <v>607</v>
      </c>
      <c r="I290" s="13" t="s">
        <v>608</v>
      </c>
      <c r="J290" s="12"/>
      <c r="K290" s="12"/>
      <c r="L290" s="12"/>
      <c r="M290" s="13"/>
    </row>
    <row r="291" spans="1:13" ht="25.5" x14ac:dyDescent="0.25">
      <c r="A291" s="12" t="str">
        <f t="shared" si="24"/>
        <v>1</v>
      </c>
      <c r="B291" s="12" t="str">
        <f t="shared" si="25"/>
        <v>3</v>
      </c>
      <c r="C291" s="12" t="str">
        <f t="shared" si="26"/>
        <v>2</v>
      </c>
      <c r="D291" s="12" t="str">
        <f t="shared" si="27"/>
        <v>8</v>
      </c>
      <c r="E291" s="12" t="str">
        <f t="shared" si="28"/>
        <v>00</v>
      </c>
      <c r="F291" s="12" t="str">
        <f t="shared" si="29"/>
        <v>00</v>
      </c>
      <c r="G291" s="55">
        <v>13280000</v>
      </c>
      <c r="H291" s="12" t="s">
        <v>609</v>
      </c>
      <c r="I291" s="13" t="s">
        <v>610</v>
      </c>
      <c r="J291" s="12"/>
      <c r="K291" s="12"/>
      <c r="L291" s="12"/>
      <c r="M291" s="13"/>
    </row>
    <row r="292" spans="1:13" ht="38.25" x14ac:dyDescent="0.25">
      <c r="A292" s="14" t="str">
        <f t="shared" si="24"/>
        <v>1</v>
      </c>
      <c r="B292" s="14" t="str">
        <f t="shared" si="25"/>
        <v>3</v>
      </c>
      <c r="C292" s="14" t="str">
        <f t="shared" si="26"/>
        <v>2</v>
      </c>
      <c r="D292" s="14" t="str">
        <f t="shared" si="27"/>
        <v>8</v>
      </c>
      <c r="E292" s="14" t="str">
        <f t="shared" si="28"/>
        <v>10</v>
      </c>
      <c r="F292" s="14" t="str">
        <f t="shared" si="29"/>
        <v>00</v>
      </c>
      <c r="G292" s="56">
        <v>13281000</v>
      </c>
      <c r="H292" s="14" t="s">
        <v>611</v>
      </c>
      <c r="I292" s="15" t="s">
        <v>612</v>
      </c>
      <c r="J292" s="14"/>
      <c r="K292" s="14"/>
      <c r="L292" s="14"/>
      <c r="M292" s="14"/>
    </row>
    <row r="293" spans="1:13" ht="38.25" x14ac:dyDescent="0.25">
      <c r="A293" s="14" t="str">
        <f t="shared" si="24"/>
        <v>1</v>
      </c>
      <c r="B293" s="14" t="str">
        <f t="shared" si="25"/>
        <v>3</v>
      </c>
      <c r="C293" s="14" t="str">
        <f t="shared" si="26"/>
        <v>2</v>
      </c>
      <c r="D293" s="14" t="str">
        <f t="shared" si="27"/>
        <v>8</v>
      </c>
      <c r="E293" s="14" t="str">
        <f t="shared" si="28"/>
        <v>20</v>
      </c>
      <c r="F293" s="14" t="str">
        <f t="shared" si="29"/>
        <v>00</v>
      </c>
      <c r="G293" s="56">
        <v>13282000</v>
      </c>
      <c r="H293" s="14" t="s">
        <v>613</v>
      </c>
      <c r="I293" s="15" t="s">
        <v>614</v>
      </c>
      <c r="J293" s="14"/>
      <c r="K293" s="14"/>
      <c r="L293" s="14"/>
      <c r="M293" s="14"/>
    </row>
    <row r="294" spans="1:13" ht="38.25" x14ac:dyDescent="0.25">
      <c r="A294" s="14" t="str">
        <f t="shared" si="24"/>
        <v>1</v>
      </c>
      <c r="B294" s="14" t="str">
        <f t="shared" si="25"/>
        <v>3</v>
      </c>
      <c r="C294" s="14" t="str">
        <f t="shared" si="26"/>
        <v>2</v>
      </c>
      <c r="D294" s="14" t="str">
        <f t="shared" si="27"/>
        <v>8</v>
      </c>
      <c r="E294" s="14" t="str">
        <f t="shared" si="28"/>
        <v>30</v>
      </c>
      <c r="F294" s="14" t="str">
        <f t="shared" si="29"/>
        <v>00</v>
      </c>
      <c r="G294" s="56">
        <v>13283000</v>
      </c>
      <c r="H294" s="14" t="s">
        <v>615</v>
      </c>
      <c r="I294" s="15" t="s">
        <v>616</v>
      </c>
      <c r="J294" s="14"/>
      <c r="K294" s="14"/>
      <c r="L294" s="14"/>
      <c r="M294" s="14"/>
    </row>
    <row r="295" spans="1:13" x14ac:dyDescent="0.25">
      <c r="A295" s="12" t="str">
        <f t="shared" si="24"/>
        <v>1</v>
      </c>
      <c r="B295" s="12" t="str">
        <f t="shared" si="25"/>
        <v>3</v>
      </c>
      <c r="C295" s="12" t="str">
        <f t="shared" si="26"/>
        <v>2</v>
      </c>
      <c r="D295" s="12" t="str">
        <f t="shared" si="27"/>
        <v>9</v>
      </c>
      <c r="E295" s="12" t="str">
        <f t="shared" si="28"/>
        <v>00</v>
      </c>
      <c r="F295" s="12" t="str">
        <f t="shared" si="29"/>
        <v>00</v>
      </c>
      <c r="G295" s="55">
        <v>13290000</v>
      </c>
      <c r="H295" s="12" t="s">
        <v>617</v>
      </c>
      <c r="I295" s="13" t="s">
        <v>618</v>
      </c>
      <c r="J295" s="12"/>
      <c r="K295" s="12"/>
      <c r="L295" s="12"/>
      <c r="M295" s="13"/>
    </row>
    <row r="296" spans="1:13" ht="25.5" x14ac:dyDescent="0.25">
      <c r="A296" s="10" t="str">
        <f t="shared" si="24"/>
        <v>1</v>
      </c>
      <c r="B296" s="10" t="str">
        <f t="shared" si="25"/>
        <v>3</v>
      </c>
      <c r="C296" s="10" t="str">
        <f t="shared" si="26"/>
        <v>3</v>
      </c>
      <c r="D296" s="10" t="str">
        <f t="shared" si="27"/>
        <v>0</v>
      </c>
      <c r="E296" s="10" t="str">
        <f t="shared" si="28"/>
        <v>00</v>
      </c>
      <c r="F296" s="10" t="str">
        <f t="shared" si="29"/>
        <v>00</v>
      </c>
      <c r="G296" s="54">
        <v>13300000</v>
      </c>
      <c r="H296" s="10" t="s">
        <v>619</v>
      </c>
      <c r="I296" s="11" t="s">
        <v>620</v>
      </c>
      <c r="J296" s="10"/>
      <c r="K296" s="10"/>
      <c r="L296" s="10"/>
      <c r="M296" s="11"/>
    </row>
    <row r="297" spans="1:13" ht="25.5" x14ac:dyDescent="0.25">
      <c r="A297" s="12" t="str">
        <f t="shared" si="24"/>
        <v>1</v>
      </c>
      <c r="B297" s="12" t="str">
        <f t="shared" si="25"/>
        <v>3</v>
      </c>
      <c r="C297" s="12" t="str">
        <f t="shared" si="26"/>
        <v>3</v>
      </c>
      <c r="D297" s="12" t="str">
        <f t="shared" si="27"/>
        <v>1</v>
      </c>
      <c r="E297" s="12" t="str">
        <f t="shared" si="28"/>
        <v>00</v>
      </c>
      <c r="F297" s="12" t="str">
        <f t="shared" si="29"/>
        <v>00</v>
      </c>
      <c r="G297" s="55">
        <v>13310000</v>
      </c>
      <c r="H297" s="12" t="s">
        <v>621</v>
      </c>
      <c r="I297" s="13" t="s">
        <v>622</v>
      </c>
      <c r="J297" s="12"/>
      <c r="K297" s="12"/>
      <c r="L297" s="12"/>
      <c r="M297" s="13"/>
    </row>
    <row r="298" spans="1:13" ht="25.5" x14ac:dyDescent="0.25">
      <c r="A298" s="14" t="str">
        <f t="shared" si="24"/>
        <v>1</v>
      </c>
      <c r="B298" s="14" t="str">
        <f t="shared" si="25"/>
        <v>3</v>
      </c>
      <c r="C298" s="14" t="str">
        <f t="shared" si="26"/>
        <v>3</v>
      </c>
      <c r="D298" s="14" t="str">
        <f t="shared" si="27"/>
        <v>1</v>
      </c>
      <c r="E298" s="14" t="str">
        <f t="shared" si="28"/>
        <v>01</v>
      </c>
      <c r="F298" s="14" t="str">
        <f t="shared" si="29"/>
        <v>00</v>
      </c>
      <c r="G298" s="56">
        <v>13310100</v>
      </c>
      <c r="H298" s="14" t="s">
        <v>623</v>
      </c>
      <c r="I298" s="15" t="s">
        <v>624</v>
      </c>
      <c r="J298" s="14"/>
      <c r="K298" s="14"/>
      <c r="L298" s="14"/>
      <c r="M298" s="14"/>
    </row>
    <row r="299" spans="1:13" ht="25.5" x14ac:dyDescent="0.25">
      <c r="A299" s="16" t="str">
        <f t="shared" si="24"/>
        <v>1</v>
      </c>
      <c r="B299" s="16" t="str">
        <f t="shared" si="25"/>
        <v>3</v>
      </c>
      <c r="C299" s="16" t="str">
        <f t="shared" si="26"/>
        <v>3</v>
      </c>
      <c r="D299" s="16" t="str">
        <f t="shared" si="27"/>
        <v>1</v>
      </c>
      <c r="E299" s="16" t="str">
        <f t="shared" si="28"/>
        <v>01</v>
      </c>
      <c r="F299" s="16" t="str">
        <f t="shared" si="29"/>
        <v>01</v>
      </c>
      <c r="G299" s="57">
        <v>13310101</v>
      </c>
      <c r="H299" s="16" t="s">
        <v>625</v>
      </c>
      <c r="I299" s="17" t="s">
        <v>626</v>
      </c>
      <c r="J299" s="16"/>
      <c r="K299" s="16"/>
      <c r="L299" s="16"/>
      <c r="M299" s="17"/>
    </row>
    <row r="300" spans="1:13" ht="38.25" x14ac:dyDescent="0.25">
      <c r="A300" s="16" t="str">
        <f t="shared" si="24"/>
        <v>1</v>
      </c>
      <c r="B300" s="16" t="str">
        <f t="shared" si="25"/>
        <v>3</v>
      </c>
      <c r="C300" s="16" t="str">
        <f t="shared" si="26"/>
        <v>3</v>
      </c>
      <c r="D300" s="16" t="str">
        <f t="shared" si="27"/>
        <v>1</v>
      </c>
      <c r="E300" s="16" t="str">
        <f t="shared" si="28"/>
        <v>01</v>
      </c>
      <c r="F300" s="16" t="str">
        <f t="shared" si="29"/>
        <v>02</v>
      </c>
      <c r="G300" s="57">
        <v>13310102</v>
      </c>
      <c r="H300" s="16" t="s">
        <v>627</v>
      </c>
      <c r="I300" s="17" t="s">
        <v>628</v>
      </c>
      <c r="J300" s="16"/>
      <c r="K300" s="16"/>
      <c r="L300" s="16"/>
      <c r="M300" s="17"/>
    </row>
    <row r="301" spans="1:13" ht="25.5" x14ac:dyDescent="0.25">
      <c r="A301" s="16" t="str">
        <f t="shared" si="24"/>
        <v>1</v>
      </c>
      <c r="B301" s="16" t="str">
        <f t="shared" si="25"/>
        <v>3</v>
      </c>
      <c r="C301" s="16" t="str">
        <f t="shared" si="26"/>
        <v>3</v>
      </c>
      <c r="D301" s="16" t="str">
        <f t="shared" si="27"/>
        <v>1</v>
      </c>
      <c r="E301" s="16" t="str">
        <f t="shared" si="28"/>
        <v>01</v>
      </c>
      <c r="F301" s="16" t="str">
        <f t="shared" si="29"/>
        <v>03</v>
      </c>
      <c r="G301" s="57">
        <v>13310103</v>
      </c>
      <c r="H301" s="16" t="s">
        <v>629</v>
      </c>
      <c r="I301" s="17" t="s">
        <v>630</v>
      </c>
      <c r="J301" s="16"/>
      <c r="K301" s="16"/>
      <c r="L301" s="16"/>
      <c r="M301" s="17"/>
    </row>
    <row r="302" spans="1:13" ht="25.5" x14ac:dyDescent="0.25">
      <c r="A302" s="16" t="str">
        <f t="shared" si="24"/>
        <v>1</v>
      </c>
      <c r="B302" s="16" t="str">
        <f t="shared" si="25"/>
        <v>3</v>
      </c>
      <c r="C302" s="16" t="str">
        <f t="shared" si="26"/>
        <v>3</v>
      </c>
      <c r="D302" s="16" t="str">
        <f t="shared" si="27"/>
        <v>1</v>
      </c>
      <c r="E302" s="16" t="str">
        <f t="shared" si="28"/>
        <v>01</v>
      </c>
      <c r="F302" s="16" t="str">
        <f t="shared" si="29"/>
        <v>04</v>
      </c>
      <c r="G302" s="57">
        <v>13310104</v>
      </c>
      <c r="H302" s="16" t="s">
        <v>631</v>
      </c>
      <c r="I302" s="17" t="s">
        <v>632</v>
      </c>
      <c r="J302" s="16"/>
      <c r="K302" s="16"/>
      <c r="L302" s="16"/>
      <c r="M302" s="17"/>
    </row>
    <row r="303" spans="1:13" ht="25.5" x14ac:dyDescent="0.25">
      <c r="A303" s="16" t="str">
        <f t="shared" si="24"/>
        <v>1</v>
      </c>
      <c r="B303" s="16" t="str">
        <f t="shared" si="25"/>
        <v>3</v>
      </c>
      <c r="C303" s="16" t="str">
        <f t="shared" si="26"/>
        <v>3</v>
      </c>
      <c r="D303" s="16" t="str">
        <f t="shared" si="27"/>
        <v>1</v>
      </c>
      <c r="E303" s="16" t="str">
        <f t="shared" si="28"/>
        <v>01</v>
      </c>
      <c r="F303" s="16" t="str">
        <f t="shared" si="29"/>
        <v>05</v>
      </c>
      <c r="G303" s="57">
        <v>13310105</v>
      </c>
      <c r="H303" s="16" t="s">
        <v>633</v>
      </c>
      <c r="I303" s="17" t="s">
        <v>634</v>
      </c>
      <c r="J303" s="16"/>
      <c r="K303" s="16"/>
      <c r="L303" s="16"/>
      <c r="M303" s="17"/>
    </row>
    <row r="304" spans="1:13" ht="25.5" x14ac:dyDescent="0.25">
      <c r="A304" s="16" t="str">
        <f t="shared" si="24"/>
        <v>1</v>
      </c>
      <c r="B304" s="16" t="str">
        <f t="shared" si="25"/>
        <v>3</v>
      </c>
      <c r="C304" s="16" t="str">
        <f t="shared" si="26"/>
        <v>3</v>
      </c>
      <c r="D304" s="16" t="str">
        <f t="shared" si="27"/>
        <v>1</v>
      </c>
      <c r="E304" s="16" t="str">
        <f t="shared" si="28"/>
        <v>01</v>
      </c>
      <c r="F304" s="16" t="str">
        <f t="shared" si="29"/>
        <v>06</v>
      </c>
      <c r="G304" s="57">
        <v>13310106</v>
      </c>
      <c r="H304" s="16" t="s">
        <v>635</v>
      </c>
      <c r="I304" s="17" t="s">
        <v>636</v>
      </c>
      <c r="J304" s="16"/>
      <c r="K304" s="16"/>
      <c r="L304" s="16"/>
      <c r="M304" s="17"/>
    </row>
    <row r="305" spans="1:13" ht="25.5" x14ac:dyDescent="0.25">
      <c r="A305" s="16" t="str">
        <f t="shared" si="24"/>
        <v>1</v>
      </c>
      <c r="B305" s="16" t="str">
        <f t="shared" si="25"/>
        <v>3</v>
      </c>
      <c r="C305" s="16" t="str">
        <f t="shared" si="26"/>
        <v>3</v>
      </c>
      <c r="D305" s="16" t="str">
        <f t="shared" si="27"/>
        <v>1</v>
      </c>
      <c r="E305" s="16" t="str">
        <f t="shared" si="28"/>
        <v>01</v>
      </c>
      <c r="F305" s="16" t="str">
        <f t="shared" si="29"/>
        <v>07</v>
      </c>
      <c r="G305" s="57">
        <v>13310107</v>
      </c>
      <c r="H305" s="16" t="s">
        <v>637</v>
      </c>
      <c r="I305" s="17" t="s">
        <v>638</v>
      </c>
      <c r="J305" s="16"/>
      <c r="K305" s="16" t="s">
        <v>217</v>
      </c>
      <c r="L305" s="16" t="s">
        <v>639</v>
      </c>
      <c r="M305" s="17"/>
    </row>
    <row r="306" spans="1:13" ht="25.5" x14ac:dyDescent="0.25">
      <c r="A306" s="16" t="str">
        <f t="shared" si="24"/>
        <v>1</v>
      </c>
      <c r="B306" s="16" t="str">
        <f t="shared" si="25"/>
        <v>3</v>
      </c>
      <c r="C306" s="16" t="str">
        <f t="shared" si="26"/>
        <v>3</v>
      </c>
      <c r="D306" s="16" t="str">
        <f t="shared" si="27"/>
        <v>1</v>
      </c>
      <c r="E306" s="16" t="str">
        <f t="shared" si="28"/>
        <v>01</v>
      </c>
      <c r="F306" s="16" t="str">
        <f t="shared" si="29"/>
        <v>99</v>
      </c>
      <c r="G306" s="57">
        <v>13310199</v>
      </c>
      <c r="H306" s="16" t="s">
        <v>640</v>
      </c>
      <c r="I306" s="17" t="s">
        <v>641</v>
      </c>
      <c r="J306" s="16"/>
      <c r="K306" s="16"/>
      <c r="L306" s="16"/>
      <c r="M306" s="17"/>
    </row>
    <row r="307" spans="1:13" ht="25.5" x14ac:dyDescent="0.25">
      <c r="A307" s="14" t="str">
        <f t="shared" si="24"/>
        <v>1</v>
      </c>
      <c r="B307" s="14" t="str">
        <f t="shared" si="25"/>
        <v>3</v>
      </c>
      <c r="C307" s="14" t="str">
        <f t="shared" si="26"/>
        <v>3</v>
      </c>
      <c r="D307" s="14" t="str">
        <f t="shared" si="27"/>
        <v>1</v>
      </c>
      <c r="E307" s="14" t="str">
        <f t="shared" si="28"/>
        <v>02</v>
      </c>
      <c r="F307" s="14" t="str">
        <f t="shared" si="29"/>
        <v>00</v>
      </c>
      <c r="G307" s="56">
        <v>13310200</v>
      </c>
      <c r="H307" s="14" t="s">
        <v>642</v>
      </c>
      <c r="I307" s="15" t="s">
        <v>643</v>
      </c>
      <c r="J307" s="14"/>
      <c r="K307" s="14"/>
      <c r="L307" s="14"/>
      <c r="M307" s="14"/>
    </row>
    <row r="308" spans="1:13" ht="25.5" x14ac:dyDescent="0.25">
      <c r="A308" s="16" t="str">
        <f t="shared" si="24"/>
        <v>1</v>
      </c>
      <c r="B308" s="16" t="str">
        <f t="shared" si="25"/>
        <v>3</v>
      </c>
      <c r="C308" s="16" t="str">
        <f t="shared" si="26"/>
        <v>3</v>
      </c>
      <c r="D308" s="16" t="str">
        <f t="shared" si="27"/>
        <v>1</v>
      </c>
      <c r="E308" s="16" t="str">
        <f t="shared" si="28"/>
        <v>02</v>
      </c>
      <c r="F308" s="16" t="str">
        <f t="shared" si="29"/>
        <v>01</v>
      </c>
      <c r="G308" s="57">
        <v>13310201</v>
      </c>
      <c r="H308" s="16" t="s">
        <v>644</v>
      </c>
      <c r="I308" s="17" t="s">
        <v>645</v>
      </c>
      <c r="J308" s="16"/>
      <c r="K308" s="16"/>
      <c r="L308" s="16"/>
      <c r="M308" s="17"/>
    </row>
    <row r="309" spans="1:13" ht="25.5" x14ac:dyDescent="0.25">
      <c r="A309" s="16" t="str">
        <f t="shared" si="24"/>
        <v>1</v>
      </c>
      <c r="B309" s="16" t="str">
        <f t="shared" si="25"/>
        <v>3</v>
      </c>
      <c r="C309" s="16" t="str">
        <f t="shared" si="26"/>
        <v>3</v>
      </c>
      <c r="D309" s="16" t="str">
        <f t="shared" si="27"/>
        <v>1</v>
      </c>
      <c r="E309" s="16" t="str">
        <f t="shared" si="28"/>
        <v>02</v>
      </c>
      <c r="F309" s="16" t="str">
        <f t="shared" si="29"/>
        <v>02</v>
      </c>
      <c r="G309" s="57">
        <v>13310202</v>
      </c>
      <c r="H309" s="16" t="s">
        <v>646</v>
      </c>
      <c r="I309" s="17" t="s">
        <v>647</v>
      </c>
      <c r="J309" s="16"/>
      <c r="K309" s="16"/>
      <c r="L309" s="16"/>
      <c r="M309" s="17"/>
    </row>
    <row r="310" spans="1:13" ht="25.5" x14ac:dyDescent="0.25">
      <c r="A310" s="16" t="str">
        <f t="shared" si="24"/>
        <v>1</v>
      </c>
      <c r="B310" s="16" t="str">
        <f t="shared" si="25"/>
        <v>3</v>
      </c>
      <c r="C310" s="16" t="str">
        <f t="shared" si="26"/>
        <v>3</v>
      </c>
      <c r="D310" s="16" t="str">
        <f t="shared" si="27"/>
        <v>1</v>
      </c>
      <c r="E310" s="16" t="str">
        <f t="shared" si="28"/>
        <v>02</v>
      </c>
      <c r="F310" s="16" t="str">
        <f t="shared" si="29"/>
        <v>03</v>
      </c>
      <c r="G310" s="57">
        <v>13310203</v>
      </c>
      <c r="H310" s="16" t="s">
        <v>648</v>
      </c>
      <c r="I310" s="17" t="s">
        <v>649</v>
      </c>
      <c r="J310" s="16"/>
      <c r="K310" s="16"/>
      <c r="L310" s="16"/>
      <c r="M310" s="17"/>
    </row>
    <row r="311" spans="1:13" ht="51" x14ac:dyDescent="0.25">
      <c r="A311" s="16" t="str">
        <f t="shared" si="24"/>
        <v>1</v>
      </c>
      <c r="B311" s="16" t="str">
        <f t="shared" si="25"/>
        <v>3</v>
      </c>
      <c r="C311" s="16" t="str">
        <f t="shared" si="26"/>
        <v>3</v>
      </c>
      <c r="D311" s="16" t="str">
        <f t="shared" si="27"/>
        <v>1</v>
      </c>
      <c r="E311" s="16" t="str">
        <f t="shared" si="28"/>
        <v>02</v>
      </c>
      <c r="F311" s="16" t="str">
        <f t="shared" si="29"/>
        <v>04</v>
      </c>
      <c r="G311" s="57">
        <v>13310204</v>
      </c>
      <c r="H311" s="16" t="s">
        <v>650</v>
      </c>
      <c r="I311" s="17" t="s">
        <v>651</v>
      </c>
      <c r="J311" s="16"/>
      <c r="K311" s="16"/>
      <c r="L311" s="16"/>
      <c r="M311" s="17"/>
    </row>
    <row r="312" spans="1:13" ht="51" x14ac:dyDescent="0.25">
      <c r="A312" s="16" t="str">
        <f t="shared" si="24"/>
        <v>1</v>
      </c>
      <c r="B312" s="16" t="str">
        <f t="shared" si="25"/>
        <v>3</v>
      </c>
      <c r="C312" s="16" t="str">
        <f t="shared" si="26"/>
        <v>3</v>
      </c>
      <c r="D312" s="16" t="str">
        <f t="shared" si="27"/>
        <v>1</v>
      </c>
      <c r="E312" s="16" t="str">
        <f t="shared" si="28"/>
        <v>02</v>
      </c>
      <c r="F312" s="16" t="str">
        <f t="shared" si="29"/>
        <v>05</v>
      </c>
      <c r="G312" s="57">
        <v>13310205</v>
      </c>
      <c r="H312" s="16" t="s">
        <v>274</v>
      </c>
      <c r="I312" s="17" t="s">
        <v>652</v>
      </c>
      <c r="J312" s="16"/>
      <c r="K312" s="16"/>
      <c r="L312" s="16"/>
      <c r="M312" s="17"/>
    </row>
    <row r="313" spans="1:13" ht="25.5" x14ac:dyDescent="0.25">
      <c r="A313" s="16" t="str">
        <f t="shared" si="24"/>
        <v>1</v>
      </c>
      <c r="B313" s="16" t="str">
        <f t="shared" si="25"/>
        <v>3</v>
      </c>
      <c r="C313" s="16" t="str">
        <f t="shared" si="26"/>
        <v>3</v>
      </c>
      <c r="D313" s="16" t="str">
        <f t="shared" si="27"/>
        <v>1</v>
      </c>
      <c r="E313" s="16" t="str">
        <f t="shared" si="28"/>
        <v>02</v>
      </c>
      <c r="F313" s="16" t="str">
        <f t="shared" si="29"/>
        <v>06</v>
      </c>
      <c r="G313" s="57">
        <v>13310206</v>
      </c>
      <c r="H313" s="16" t="s">
        <v>653</v>
      </c>
      <c r="I313" s="17" t="s">
        <v>654</v>
      </c>
      <c r="J313" s="16"/>
      <c r="K313" s="16" t="s">
        <v>655</v>
      </c>
      <c r="L313" s="16" t="s">
        <v>656</v>
      </c>
      <c r="M313" s="17"/>
    </row>
    <row r="314" spans="1:13" ht="38.25" x14ac:dyDescent="0.25">
      <c r="A314" s="16" t="str">
        <f t="shared" si="24"/>
        <v>1</v>
      </c>
      <c r="B314" s="16" t="str">
        <f t="shared" si="25"/>
        <v>3</v>
      </c>
      <c r="C314" s="16" t="str">
        <f t="shared" si="26"/>
        <v>3</v>
      </c>
      <c r="D314" s="16" t="str">
        <f t="shared" si="27"/>
        <v>1</v>
      </c>
      <c r="E314" s="16" t="str">
        <f t="shared" si="28"/>
        <v>02</v>
      </c>
      <c r="F314" s="16" t="str">
        <f t="shared" si="29"/>
        <v>07</v>
      </c>
      <c r="G314" s="57">
        <v>13310207</v>
      </c>
      <c r="H314" s="16" t="s">
        <v>657</v>
      </c>
      <c r="I314" s="17" t="s">
        <v>658</v>
      </c>
      <c r="J314" s="16"/>
      <c r="K314" s="16"/>
      <c r="L314" s="16"/>
      <c r="M314" s="17"/>
    </row>
    <row r="315" spans="1:13" ht="25.5" x14ac:dyDescent="0.25">
      <c r="A315" s="16" t="str">
        <f t="shared" si="24"/>
        <v>1</v>
      </c>
      <c r="B315" s="16" t="str">
        <f t="shared" si="25"/>
        <v>3</v>
      </c>
      <c r="C315" s="16" t="str">
        <f t="shared" si="26"/>
        <v>3</v>
      </c>
      <c r="D315" s="16" t="str">
        <f t="shared" si="27"/>
        <v>1</v>
      </c>
      <c r="E315" s="16" t="str">
        <f t="shared" si="28"/>
        <v>02</v>
      </c>
      <c r="F315" s="16" t="str">
        <f t="shared" si="29"/>
        <v>99</v>
      </c>
      <c r="G315" s="57">
        <v>13310299</v>
      </c>
      <c r="H315" s="16" t="s">
        <v>659</v>
      </c>
      <c r="I315" s="17" t="s">
        <v>660</v>
      </c>
      <c r="J315" s="16"/>
      <c r="K315" s="16"/>
      <c r="L315" s="16"/>
      <c r="M315" s="17"/>
    </row>
    <row r="316" spans="1:13" ht="25.5" x14ac:dyDescent="0.25">
      <c r="A316" s="14" t="str">
        <f t="shared" si="24"/>
        <v>1</v>
      </c>
      <c r="B316" s="14" t="str">
        <f t="shared" si="25"/>
        <v>3</v>
      </c>
      <c r="C316" s="14" t="str">
        <f t="shared" si="26"/>
        <v>3</v>
      </c>
      <c r="D316" s="14" t="str">
        <f t="shared" si="27"/>
        <v>1</v>
      </c>
      <c r="E316" s="14" t="str">
        <f t="shared" si="28"/>
        <v>03</v>
      </c>
      <c r="F316" s="14" t="str">
        <f t="shared" si="29"/>
        <v>00</v>
      </c>
      <c r="G316" s="56">
        <v>13310300</v>
      </c>
      <c r="H316" s="14" t="s">
        <v>661</v>
      </c>
      <c r="I316" s="15" t="s">
        <v>662</v>
      </c>
      <c r="J316" s="14"/>
      <c r="K316" s="14"/>
      <c r="L316" s="14"/>
      <c r="M316" s="14"/>
    </row>
    <row r="317" spans="1:13" ht="25.5" x14ac:dyDescent="0.25">
      <c r="A317" s="14" t="str">
        <f t="shared" si="24"/>
        <v>1</v>
      </c>
      <c r="B317" s="14" t="str">
        <f t="shared" si="25"/>
        <v>3</v>
      </c>
      <c r="C317" s="14" t="str">
        <f t="shared" si="26"/>
        <v>3</v>
      </c>
      <c r="D317" s="14" t="str">
        <f t="shared" si="27"/>
        <v>1</v>
      </c>
      <c r="E317" s="14" t="str">
        <f t="shared" si="28"/>
        <v>99</v>
      </c>
      <c r="F317" s="14" t="str">
        <f t="shared" si="29"/>
        <v>00</v>
      </c>
      <c r="G317" s="56">
        <v>13319900</v>
      </c>
      <c r="H317" s="14" t="s">
        <v>663</v>
      </c>
      <c r="I317" s="15" t="s">
        <v>664</v>
      </c>
      <c r="J317" s="14"/>
      <c r="K317" s="14"/>
      <c r="L317" s="14"/>
      <c r="M317" s="14"/>
    </row>
    <row r="318" spans="1:13" ht="25.5" x14ac:dyDescent="0.25">
      <c r="A318" s="12" t="str">
        <f t="shared" si="24"/>
        <v>1</v>
      </c>
      <c r="B318" s="12" t="str">
        <f t="shared" si="25"/>
        <v>3</v>
      </c>
      <c r="C318" s="12" t="str">
        <f t="shared" si="26"/>
        <v>3</v>
      </c>
      <c r="D318" s="12" t="str">
        <f t="shared" si="27"/>
        <v>2</v>
      </c>
      <c r="E318" s="12" t="str">
        <f t="shared" si="28"/>
        <v>00</v>
      </c>
      <c r="F318" s="12" t="str">
        <f t="shared" si="29"/>
        <v>00</v>
      </c>
      <c r="G318" s="55">
        <v>13320000</v>
      </c>
      <c r="H318" s="12" t="s">
        <v>665</v>
      </c>
      <c r="I318" s="13" t="s">
        <v>666</v>
      </c>
      <c r="J318" s="12"/>
      <c r="K318" s="12"/>
      <c r="L318" s="12"/>
      <c r="M318" s="13"/>
    </row>
    <row r="319" spans="1:13" ht="38.25" x14ac:dyDescent="0.25">
      <c r="A319" s="14" t="str">
        <f t="shared" si="24"/>
        <v>1</v>
      </c>
      <c r="B319" s="14" t="str">
        <f t="shared" si="25"/>
        <v>3</v>
      </c>
      <c r="C319" s="14" t="str">
        <f t="shared" si="26"/>
        <v>3</v>
      </c>
      <c r="D319" s="14" t="str">
        <f t="shared" si="27"/>
        <v>2</v>
      </c>
      <c r="E319" s="14" t="str">
        <f t="shared" si="28"/>
        <v>01</v>
      </c>
      <c r="F319" s="14" t="str">
        <f t="shared" si="29"/>
        <v>00</v>
      </c>
      <c r="G319" s="56">
        <v>13320100</v>
      </c>
      <c r="H319" s="14" t="s">
        <v>667</v>
      </c>
      <c r="I319" s="15" t="s">
        <v>668</v>
      </c>
      <c r="J319" s="14"/>
      <c r="K319" s="14"/>
      <c r="L319" s="14"/>
      <c r="M319" s="14"/>
    </row>
    <row r="320" spans="1:13" ht="25.5" x14ac:dyDescent="0.25">
      <c r="A320" s="16" t="str">
        <f t="shared" si="24"/>
        <v>1</v>
      </c>
      <c r="B320" s="16" t="str">
        <f t="shared" si="25"/>
        <v>3</v>
      </c>
      <c r="C320" s="16" t="str">
        <f t="shared" si="26"/>
        <v>3</v>
      </c>
      <c r="D320" s="16" t="str">
        <f t="shared" si="27"/>
        <v>2</v>
      </c>
      <c r="E320" s="16" t="str">
        <f t="shared" si="28"/>
        <v>01</v>
      </c>
      <c r="F320" s="16" t="str">
        <f t="shared" si="29"/>
        <v>01</v>
      </c>
      <c r="G320" s="57">
        <v>13320101</v>
      </c>
      <c r="H320" s="16" t="s">
        <v>669</v>
      </c>
      <c r="I320" s="17" t="s">
        <v>670</v>
      </c>
      <c r="J320" s="16"/>
      <c r="K320" s="16"/>
      <c r="L320" s="16"/>
      <c r="M320" s="17"/>
    </row>
    <row r="321" spans="1:13" ht="25.5" x14ac:dyDescent="0.25">
      <c r="A321" s="24" t="str">
        <f t="shared" si="24"/>
        <v>1</v>
      </c>
      <c r="B321" s="24" t="str">
        <f t="shared" si="25"/>
        <v>3</v>
      </c>
      <c r="C321" s="24" t="str">
        <f t="shared" si="26"/>
        <v>3</v>
      </c>
      <c r="D321" s="24" t="str">
        <f t="shared" si="27"/>
        <v>2</v>
      </c>
      <c r="E321" s="24" t="str">
        <f t="shared" si="28"/>
        <v>01</v>
      </c>
      <c r="F321" s="24" t="str">
        <f t="shared" si="29"/>
        <v>02</v>
      </c>
      <c r="G321" s="60">
        <v>13320102</v>
      </c>
      <c r="H321" s="24" t="s">
        <v>671</v>
      </c>
      <c r="I321" s="25" t="s">
        <v>672</v>
      </c>
      <c r="J321" s="24"/>
      <c r="K321" s="24"/>
      <c r="L321" s="24"/>
      <c r="M321" s="25"/>
    </row>
    <row r="322" spans="1:13" ht="38.25" x14ac:dyDescent="0.25">
      <c r="A322" s="16" t="str">
        <f t="shared" si="24"/>
        <v>1</v>
      </c>
      <c r="B322" s="16" t="str">
        <f t="shared" si="25"/>
        <v>3</v>
      </c>
      <c r="C322" s="16" t="str">
        <f t="shared" si="26"/>
        <v>3</v>
      </c>
      <c r="D322" s="16" t="str">
        <f t="shared" si="27"/>
        <v>2</v>
      </c>
      <c r="E322" s="16" t="str">
        <f t="shared" si="28"/>
        <v>01</v>
      </c>
      <c r="F322" s="16" t="str">
        <f t="shared" si="29"/>
        <v>03</v>
      </c>
      <c r="G322" s="57">
        <v>13320103</v>
      </c>
      <c r="H322" s="16" t="s">
        <v>673</v>
      </c>
      <c r="I322" s="17" t="s">
        <v>674</v>
      </c>
      <c r="J322" s="16"/>
      <c r="K322" s="16" t="s">
        <v>151</v>
      </c>
      <c r="L322" s="16" t="s">
        <v>675</v>
      </c>
      <c r="M322" s="17"/>
    </row>
    <row r="323" spans="1:13" ht="38.25" x14ac:dyDescent="0.25">
      <c r="A323" s="14" t="str">
        <f t="shared" si="24"/>
        <v>1</v>
      </c>
      <c r="B323" s="14" t="str">
        <f t="shared" si="25"/>
        <v>3</v>
      </c>
      <c r="C323" s="14" t="str">
        <f t="shared" si="26"/>
        <v>3</v>
      </c>
      <c r="D323" s="14" t="str">
        <f t="shared" si="27"/>
        <v>2</v>
      </c>
      <c r="E323" s="14" t="str">
        <f t="shared" si="28"/>
        <v>02</v>
      </c>
      <c r="F323" s="14" t="str">
        <f t="shared" si="29"/>
        <v>00</v>
      </c>
      <c r="G323" s="56">
        <v>13320200</v>
      </c>
      <c r="H323" s="14" t="s">
        <v>676</v>
      </c>
      <c r="I323" s="15" t="s">
        <v>677</v>
      </c>
      <c r="J323" s="14"/>
      <c r="K323" s="14"/>
      <c r="L323" s="14"/>
      <c r="M323" s="14"/>
    </row>
    <row r="324" spans="1:13" ht="25.5" x14ac:dyDescent="0.25">
      <c r="A324" s="14" t="str">
        <f t="shared" ref="A324:A387" si="30">MID(G324,1,1)</f>
        <v>1</v>
      </c>
      <c r="B324" s="14" t="str">
        <f t="shared" ref="B324:B387" si="31">MID(G324,2,1)</f>
        <v>3</v>
      </c>
      <c r="C324" s="14" t="str">
        <f t="shared" ref="C324:C387" si="32">MID(G324,3,1)</f>
        <v>3</v>
      </c>
      <c r="D324" s="14" t="str">
        <f t="shared" ref="D324:D387" si="33">MID(G324,4,1)</f>
        <v>2</v>
      </c>
      <c r="E324" s="14" t="str">
        <f t="shared" ref="E324:E387" si="34">MID(G324,5,2)</f>
        <v>03</v>
      </c>
      <c r="F324" s="14" t="str">
        <f t="shared" ref="F324:F387" si="35">MID(G324,7,2)</f>
        <v>00</v>
      </c>
      <c r="G324" s="56">
        <v>13320300</v>
      </c>
      <c r="H324" s="14" t="s">
        <v>678</v>
      </c>
      <c r="I324" s="15" t="s">
        <v>679</v>
      </c>
      <c r="J324" s="14"/>
      <c r="K324" s="14"/>
      <c r="L324" s="14"/>
      <c r="M324" s="14"/>
    </row>
    <row r="325" spans="1:13" ht="38.25" x14ac:dyDescent="0.25">
      <c r="A325" s="14" t="str">
        <f t="shared" si="30"/>
        <v>1</v>
      </c>
      <c r="B325" s="14" t="str">
        <f t="shared" si="31"/>
        <v>3</v>
      </c>
      <c r="C325" s="14" t="str">
        <f t="shared" si="32"/>
        <v>3</v>
      </c>
      <c r="D325" s="14" t="str">
        <f t="shared" si="33"/>
        <v>2</v>
      </c>
      <c r="E325" s="14" t="str">
        <f t="shared" si="34"/>
        <v>04</v>
      </c>
      <c r="F325" s="14" t="str">
        <f t="shared" si="35"/>
        <v>00</v>
      </c>
      <c r="G325" s="56">
        <v>13320400</v>
      </c>
      <c r="H325" s="14" t="s">
        <v>680</v>
      </c>
      <c r="I325" s="15" t="s">
        <v>681</v>
      </c>
      <c r="J325" s="14"/>
      <c r="K325" s="14"/>
      <c r="L325" s="14"/>
      <c r="M325" s="14"/>
    </row>
    <row r="326" spans="1:13" ht="38.25" x14ac:dyDescent="0.25">
      <c r="A326" s="16" t="str">
        <f t="shared" si="30"/>
        <v>1</v>
      </c>
      <c r="B326" s="16" t="str">
        <f t="shared" si="31"/>
        <v>3</v>
      </c>
      <c r="C326" s="16" t="str">
        <f t="shared" si="32"/>
        <v>3</v>
      </c>
      <c r="D326" s="16" t="str">
        <f t="shared" si="33"/>
        <v>2</v>
      </c>
      <c r="E326" s="16" t="str">
        <f t="shared" si="34"/>
        <v>04</v>
      </c>
      <c r="F326" s="16" t="str">
        <f t="shared" si="35"/>
        <v>01</v>
      </c>
      <c r="G326" s="57">
        <v>13320401</v>
      </c>
      <c r="H326" s="16" t="s">
        <v>682</v>
      </c>
      <c r="I326" s="17" t="s">
        <v>683</v>
      </c>
      <c r="J326" s="16"/>
      <c r="K326" s="16"/>
      <c r="L326" s="16"/>
      <c r="M326" s="17"/>
    </row>
    <row r="327" spans="1:13" ht="38.25" x14ac:dyDescent="0.25">
      <c r="A327" s="16" t="str">
        <f t="shared" si="30"/>
        <v>1</v>
      </c>
      <c r="B327" s="16" t="str">
        <f t="shared" si="31"/>
        <v>3</v>
      </c>
      <c r="C327" s="16" t="str">
        <f t="shared" si="32"/>
        <v>3</v>
      </c>
      <c r="D327" s="16" t="str">
        <f t="shared" si="33"/>
        <v>2</v>
      </c>
      <c r="E327" s="16" t="str">
        <f t="shared" si="34"/>
        <v>04</v>
      </c>
      <c r="F327" s="16" t="str">
        <f t="shared" si="35"/>
        <v>02</v>
      </c>
      <c r="G327" s="57">
        <v>13320402</v>
      </c>
      <c r="H327" s="16" t="s">
        <v>684</v>
      </c>
      <c r="I327" s="17" t="s">
        <v>685</v>
      </c>
      <c r="J327" s="16"/>
      <c r="K327" s="16"/>
      <c r="L327" s="16"/>
      <c r="M327" s="17"/>
    </row>
    <row r="328" spans="1:13" ht="25.5" x14ac:dyDescent="0.25">
      <c r="A328" s="16" t="str">
        <f t="shared" si="30"/>
        <v>1</v>
      </c>
      <c r="B328" s="16" t="str">
        <f t="shared" si="31"/>
        <v>3</v>
      </c>
      <c r="C328" s="16" t="str">
        <f t="shared" si="32"/>
        <v>3</v>
      </c>
      <c r="D328" s="16" t="str">
        <f t="shared" si="33"/>
        <v>2</v>
      </c>
      <c r="E328" s="16" t="str">
        <f t="shared" si="34"/>
        <v>04</v>
      </c>
      <c r="F328" s="16" t="str">
        <f t="shared" si="35"/>
        <v>03</v>
      </c>
      <c r="G328" s="57">
        <v>13320403</v>
      </c>
      <c r="H328" s="16" t="s">
        <v>686</v>
      </c>
      <c r="I328" s="17" t="s">
        <v>687</v>
      </c>
      <c r="J328" s="16"/>
      <c r="K328" s="16"/>
      <c r="L328" s="16"/>
      <c r="M328" s="17"/>
    </row>
    <row r="329" spans="1:13" ht="38.25" x14ac:dyDescent="0.25">
      <c r="A329" s="16" t="str">
        <f t="shared" si="30"/>
        <v>1</v>
      </c>
      <c r="B329" s="16" t="str">
        <f t="shared" si="31"/>
        <v>3</v>
      </c>
      <c r="C329" s="16" t="str">
        <f t="shared" si="32"/>
        <v>3</v>
      </c>
      <c r="D329" s="16" t="str">
        <f t="shared" si="33"/>
        <v>2</v>
      </c>
      <c r="E329" s="16" t="str">
        <f t="shared" si="34"/>
        <v>04</v>
      </c>
      <c r="F329" s="16" t="str">
        <f t="shared" si="35"/>
        <v>04</v>
      </c>
      <c r="G329" s="57">
        <v>13320404</v>
      </c>
      <c r="H329" s="16" t="s">
        <v>688</v>
      </c>
      <c r="I329" s="17" t="s">
        <v>689</v>
      </c>
      <c r="J329" s="16"/>
      <c r="K329" s="16"/>
      <c r="L329" s="16"/>
      <c r="M329" s="17"/>
    </row>
    <row r="330" spans="1:13" ht="25.5" x14ac:dyDescent="0.25">
      <c r="A330" s="16" t="str">
        <f t="shared" si="30"/>
        <v>1</v>
      </c>
      <c r="B330" s="16" t="str">
        <f t="shared" si="31"/>
        <v>3</v>
      </c>
      <c r="C330" s="16" t="str">
        <f t="shared" si="32"/>
        <v>3</v>
      </c>
      <c r="D330" s="16" t="str">
        <f t="shared" si="33"/>
        <v>2</v>
      </c>
      <c r="E330" s="16" t="str">
        <f t="shared" si="34"/>
        <v>04</v>
      </c>
      <c r="F330" s="16" t="str">
        <f t="shared" si="35"/>
        <v>05</v>
      </c>
      <c r="G330" s="57">
        <v>13320405</v>
      </c>
      <c r="H330" s="16" t="s">
        <v>690</v>
      </c>
      <c r="I330" s="17" t="s">
        <v>691</v>
      </c>
      <c r="J330" s="16"/>
      <c r="K330" s="16"/>
      <c r="L330" s="16"/>
      <c r="M330" s="17"/>
    </row>
    <row r="331" spans="1:13" ht="25.5" x14ac:dyDescent="0.25">
      <c r="A331" s="16" t="str">
        <f t="shared" si="30"/>
        <v>1</v>
      </c>
      <c r="B331" s="16" t="str">
        <f t="shared" si="31"/>
        <v>3</v>
      </c>
      <c r="C331" s="16" t="str">
        <f t="shared" si="32"/>
        <v>3</v>
      </c>
      <c r="D331" s="16" t="str">
        <f t="shared" si="33"/>
        <v>2</v>
      </c>
      <c r="E331" s="16" t="str">
        <f t="shared" si="34"/>
        <v>04</v>
      </c>
      <c r="F331" s="16" t="str">
        <f t="shared" si="35"/>
        <v>06</v>
      </c>
      <c r="G331" s="57">
        <v>13320406</v>
      </c>
      <c r="H331" s="16" t="s">
        <v>692</v>
      </c>
      <c r="I331" s="17" t="s">
        <v>693</v>
      </c>
      <c r="J331" s="16"/>
      <c r="K331" s="16"/>
      <c r="L331" s="16"/>
      <c r="M331" s="17"/>
    </row>
    <row r="332" spans="1:13" ht="25.5" x14ac:dyDescent="0.25">
      <c r="A332" s="14" t="str">
        <f t="shared" si="30"/>
        <v>1</v>
      </c>
      <c r="B332" s="14" t="str">
        <f t="shared" si="31"/>
        <v>3</v>
      </c>
      <c r="C332" s="14" t="str">
        <f t="shared" si="32"/>
        <v>3</v>
      </c>
      <c r="D332" s="14" t="str">
        <f t="shared" si="33"/>
        <v>2</v>
      </c>
      <c r="E332" s="14" t="str">
        <f t="shared" si="34"/>
        <v>99</v>
      </c>
      <c r="F332" s="14" t="str">
        <f t="shared" si="35"/>
        <v>00</v>
      </c>
      <c r="G332" s="56">
        <v>13329900</v>
      </c>
      <c r="H332" s="14" t="s">
        <v>694</v>
      </c>
      <c r="I332" s="15" t="s">
        <v>695</v>
      </c>
      <c r="J332" s="14"/>
      <c r="K332" s="14"/>
      <c r="L332" s="14"/>
      <c r="M332" s="14"/>
    </row>
    <row r="333" spans="1:13" ht="25.5" x14ac:dyDescent="0.25">
      <c r="A333" s="12" t="str">
        <f t="shared" si="30"/>
        <v>1</v>
      </c>
      <c r="B333" s="12" t="str">
        <f t="shared" si="31"/>
        <v>3</v>
      </c>
      <c r="C333" s="12" t="str">
        <f t="shared" si="32"/>
        <v>3</v>
      </c>
      <c r="D333" s="12" t="str">
        <f t="shared" si="33"/>
        <v>3</v>
      </c>
      <c r="E333" s="12" t="str">
        <f t="shared" si="34"/>
        <v>00</v>
      </c>
      <c r="F333" s="12" t="str">
        <f t="shared" si="35"/>
        <v>00</v>
      </c>
      <c r="G333" s="55">
        <v>13330000</v>
      </c>
      <c r="H333" s="12" t="s">
        <v>696</v>
      </c>
      <c r="I333" s="13" t="s">
        <v>697</v>
      </c>
      <c r="J333" s="12"/>
      <c r="K333" s="12"/>
      <c r="L333" s="12"/>
      <c r="M333" s="13"/>
    </row>
    <row r="334" spans="1:13" ht="25.5" x14ac:dyDescent="0.25">
      <c r="A334" s="14" t="str">
        <f t="shared" si="30"/>
        <v>1</v>
      </c>
      <c r="B334" s="14" t="str">
        <f t="shared" si="31"/>
        <v>3</v>
      </c>
      <c r="C334" s="14" t="str">
        <f t="shared" si="32"/>
        <v>3</v>
      </c>
      <c r="D334" s="14" t="str">
        <f t="shared" si="33"/>
        <v>3</v>
      </c>
      <c r="E334" s="14" t="str">
        <f t="shared" si="34"/>
        <v>01</v>
      </c>
      <c r="F334" s="14" t="str">
        <f t="shared" si="35"/>
        <v>00</v>
      </c>
      <c r="G334" s="56">
        <v>13330100</v>
      </c>
      <c r="H334" s="14" t="s">
        <v>698</v>
      </c>
      <c r="I334" s="15" t="s">
        <v>699</v>
      </c>
      <c r="J334" s="14"/>
      <c r="K334" s="14"/>
      <c r="L334" s="14"/>
      <c r="M334" s="14"/>
    </row>
    <row r="335" spans="1:13" ht="38.25" x14ac:dyDescent="0.25">
      <c r="A335" s="14" t="str">
        <f t="shared" si="30"/>
        <v>1</v>
      </c>
      <c r="B335" s="14" t="str">
        <f t="shared" si="31"/>
        <v>3</v>
      </c>
      <c r="C335" s="14" t="str">
        <f t="shared" si="32"/>
        <v>3</v>
      </c>
      <c r="D335" s="14" t="str">
        <f t="shared" si="33"/>
        <v>3</v>
      </c>
      <c r="E335" s="14" t="str">
        <f t="shared" si="34"/>
        <v>02</v>
      </c>
      <c r="F335" s="14" t="str">
        <f t="shared" si="35"/>
        <v>00</v>
      </c>
      <c r="G335" s="56">
        <v>13330200</v>
      </c>
      <c r="H335" s="14" t="s">
        <v>700</v>
      </c>
      <c r="I335" s="15" t="s">
        <v>701</v>
      </c>
      <c r="J335" s="14"/>
      <c r="K335" s="14"/>
      <c r="L335" s="14"/>
      <c r="M335" s="14"/>
    </row>
    <row r="336" spans="1:13" ht="25.5" x14ac:dyDescent="0.25">
      <c r="A336" s="14" t="str">
        <f t="shared" si="30"/>
        <v>1</v>
      </c>
      <c r="B336" s="14" t="str">
        <f t="shared" si="31"/>
        <v>3</v>
      </c>
      <c r="C336" s="14" t="str">
        <f t="shared" si="32"/>
        <v>3</v>
      </c>
      <c r="D336" s="14" t="str">
        <f t="shared" si="33"/>
        <v>3</v>
      </c>
      <c r="E336" s="14" t="str">
        <f t="shared" si="34"/>
        <v>03</v>
      </c>
      <c r="F336" s="14" t="str">
        <f t="shared" si="35"/>
        <v>00</v>
      </c>
      <c r="G336" s="56">
        <v>13330300</v>
      </c>
      <c r="H336" s="14" t="s">
        <v>702</v>
      </c>
      <c r="I336" s="15" t="s">
        <v>703</v>
      </c>
      <c r="J336" s="14"/>
      <c r="K336" s="14"/>
      <c r="L336" s="14"/>
      <c r="M336" s="14"/>
    </row>
    <row r="337" spans="1:13" ht="25.5" x14ac:dyDescent="0.25">
      <c r="A337" s="14" t="str">
        <f t="shared" si="30"/>
        <v>1</v>
      </c>
      <c r="B337" s="14" t="str">
        <f t="shared" si="31"/>
        <v>3</v>
      </c>
      <c r="C337" s="14" t="str">
        <f t="shared" si="32"/>
        <v>3</v>
      </c>
      <c r="D337" s="14" t="str">
        <f t="shared" si="33"/>
        <v>3</v>
      </c>
      <c r="E337" s="14" t="str">
        <f t="shared" si="34"/>
        <v>04</v>
      </c>
      <c r="F337" s="14" t="str">
        <f t="shared" si="35"/>
        <v>00</v>
      </c>
      <c r="G337" s="56">
        <v>13330400</v>
      </c>
      <c r="H337" s="14" t="s">
        <v>704</v>
      </c>
      <c r="I337" s="15" t="s">
        <v>705</v>
      </c>
      <c r="J337" s="14"/>
      <c r="K337" s="14"/>
      <c r="L337" s="14"/>
      <c r="M337" s="14"/>
    </row>
    <row r="338" spans="1:13" ht="25.5" x14ac:dyDescent="0.25">
      <c r="A338" s="14" t="str">
        <f t="shared" si="30"/>
        <v>1</v>
      </c>
      <c r="B338" s="14" t="str">
        <f t="shared" si="31"/>
        <v>3</v>
      </c>
      <c r="C338" s="14" t="str">
        <f t="shared" si="32"/>
        <v>3</v>
      </c>
      <c r="D338" s="14" t="str">
        <f t="shared" si="33"/>
        <v>3</v>
      </c>
      <c r="E338" s="14" t="str">
        <f t="shared" si="34"/>
        <v>05</v>
      </c>
      <c r="F338" s="14" t="str">
        <f t="shared" si="35"/>
        <v>00</v>
      </c>
      <c r="G338" s="56">
        <v>13330500</v>
      </c>
      <c r="H338" s="14" t="s">
        <v>706</v>
      </c>
      <c r="I338" s="15" t="s">
        <v>707</v>
      </c>
      <c r="J338" s="14"/>
      <c r="K338" s="14" t="s">
        <v>151</v>
      </c>
      <c r="L338" s="14" t="s">
        <v>708</v>
      </c>
      <c r="M338" s="14"/>
    </row>
    <row r="339" spans="1:13" ht="38.25" x14ac:dyDescent="0.25">
      <c r="A339" s="14" t="str">
        <f t="shared" si="30"/>
        <v>1</v>
      </c>
      <c r="B339" s="14" t="str">
        <f t="shared" si="31"/>
        <v>3</v>
      </c>
      <c r="C339" s="14" t="str">
        <f t="shared" si="32"/>
        <v>3</v>
      </c>
      <c r="D339" s="14" t="str">
        <f t="shared" si="33"/>
        <v>3</v>
      </c>
      <c r="E339" s="14" t="str">
        <f t="shared" si="34"/>
        <v>06</v>
      </c>
      <c r="F339" s="14" t="str">
        <f t="shared" si="35"/>
        <v>00</v>
      </c>
      <c r="G339" s="56">
        <v>13330600</v>
      </c>
      <c r="H339" s="14" t="s">
        <v>709</v>
      </c>
      <c r="I339" s="15" t="s">
        <v>710</v>
      </c>
      <c r="J339" s="14"/>
      <c r="K339" s="14" t="s">
        <v>217</v>
      </c>
      <c r="L339" s="14" t="s">
        <v>711</v>
      </c>
      <c r="M339" s="14"/>
    </row>
    <row r="340" spans="1:13" ht="38.25" x14ac:dyDescent="0.25">
      <c r="A340" s="14" t="str">
        <f t="shared" si="30"/>
        <v>1</v>
      </c>
      <c r="B340" s="14" t="str">
        <f t="shared" si="31"/>
        <v>3</v>
      </c>
      <c r="C340" s="14" t="str">
        <f t="shared" si="32"/>
        <v>3</v>
      </c>
      <c r="D340" s="14" t="str">
        <f t="shared" si="33"/>
        <v>3</v>
      </c>
      <c r="E340" s="14" t="str">
        <f t="shared" si="34"/>
        <v>07</v>
      </c>
      <c r="F340" s="14" t="str">
        <f t="shared" si="35"/>
        <v>00</v>
      </c>
      <c r="G340" s="56">
        <v>13330700</v>
      </c>
      <c r="H340" s="14" t="s">
        <v>712</v>
      </c>
      <c r="I340" s="15" t="s">
        <v>713</v>
      </c>
      <c r="J340" s="14"/>
      <c r="K340" s="14" t="s">
        <v>217</v>
      </c>
      <c r="L340" s="14" t="s">
        <v>711</v>
      </c>
      <c r="M340" s="14"/>
    </row>
    <row r="341" spans="1:13" ht="38.25" x14ac:dyDescent="0.25">
      <c r="A341" s="14" t="str">
        <f t="shared" si="30"/>
        <v>1</v>
      </c>
      <c r="B341" s="14" t="str">
        <f t="shared" si="31"/>
        <v>3</v>
      </c>
      <c r="C341" s="14" t="str">
        <f t="shared" si="32"/>
        <v>3</v>
      </c>
      <c r="D341" s="14" t="str">
        <f t="shared" si="33"/>
        <v>3</v>
      </c>
      <c r="E341" s="14" t="str">
        <f t="shared" si="34"/>
        <v>99</v>
      </c>
      <c r="F341" s="14" t="str">
        <f t="shared" si="35"/>
        <v>00</v>
      </c>
      <c r="G341" s="56">
        <v>13339900</v>
      </c>
      <c r="H341" s="14" t="s">
        <v>714</v>
      </c>
      <c r="I341" s="15" t="s">
        <v>715</v>
      </c>
      <c r="J341" s="14"/>
      <c r="K341" s="14"/>
      <c r="L341" s="14"/>
      <c r="M341" s="14"/>
    </row>
    <row r="342" spans="1:13" ht="25.5" x14ac:dyDescent="0.25">
      <c r="A342" s="12" t="str">
        <f t="shared" si="30"/>
        <v>1</v>
      </c>
      <c r="B342" s="12" t="str">
        <f t="shared" si="31"/>
        <v>3</v>
      </c>
      <c r="C342" s="12" t="str">
        <f t="shared" si="32"/>
        <v>3</v>
      </c>
      <c r="D342" s="12" t="str">
        <f t="shared" si="33"/>
        <v>9</v>
      </c>
      <c r="E342" s="12" t="str">
        <f t="shared" si="34"/>
        <v>00</v>
      </c>
      <c r="F342" s="12" t="str">
        <f t="shared" si="35"/>
        <v>00</v>
      </c>
      <c r="G342" s="55">
        <v>13390000</v>
      </c>
      <c r="H342" s="12" t="s">
        <v>716</v>
      </c>
      <c r="I342" s="13" t="s">
        <v>717</v>
      </c>
      <c r="J342" s="12"/>
      <c r="K342" s="12"/>
      <c r="L342" s="12"/>
      <c r="M342" s="13"/>
    </row>
    <row r="343" spans="1:13" ht="25.5" x14ac:dyDescent="0.25">
      <c r="A343" s="10" t="str">
        <f t="shared" si="30"/>
        <v>1</v>
      </c>
      <c r="B343" s="10" t="str">
        <f t="shared" si="31"/>
        <v>3</v>
      </c>
      <c r="C343" s="10" t="str">
        <f t="shared" si="32"/>
        <v>4</v>
      </c>
      <c r="D343" s="10" t="str">
        <f t="shared" si="33"/>
        <v>0</v>
      </c>
      <c r="E343" s="10" t="str">
        <f t="shared" si="34"/>
        <v>00</v>
      </c>
      <c r="F343" s="10" t="str">
        <f t="shared" si="35"/>
        <v>00</v>
      </c>
      <c r="G343" s="54">
        <v>13400000</v>
      </c>
      <c r="H343" s="10" t="s">
        <v>718</v>
      </c>
      <c r="I343" s="11" t="s">
        <v>719</v>
      </c>
      <c r="J343" s="10"/>
      <c r="K343" s="10"/>
      <c r="L343" s="10"/>
      <c r="M343" s="11"/>
    </row>
    <row r="344" spans="1:13" x14ac:dyDescent="0.25">
      <c r="A344" s="14" t="str">
        <f t="shared" si="30"/>
        <v>1</v>
      </c>
      <c r="B344" s="14" t="str">
        <f t="shared" si="31"/>
        <v>3</v>
      </c>
      <c r="C344" s="14" t="str">
        <f t="shared" si="32"/>
        <v>4</v>
      </c>
      <c r="D344" s="14" t="str">
        <f t="shared" si="33"/>
        <v>0</v>
      </c>
      <c r="E344" s="14" t="str">
        <f t="shared" si="34"/>
        <v>01</v>
      </c>
      <c r="F344" s="14" t="str">
        <f t="shared" si="35"/>
        <v>00</v>
      </c>
      <c r="G344" s="56">
        <v>13400100</v>
      </c>
      <c r="H344" s="14" t="s">
        <v>720</v>
      </c>
      <c r="I344" s="15" t="s">
        <v>721</v>
      </c>
      <c r="J344" s="14"/>
      <c r="K344" s="14"/>
      <c r="L344" s="14"/>
      <c r="M344" s="14"/>
    </row>
    <row r="345" spans="1:13" ht="25.5" x14ac:dyDescent="0.25">
      <c r="A345" s="14" t="str">
        <f t="shared" si="30"/>
        <v>1</v>
      </c>
      <c r="B345" s="14" t="str">
        <f t="shared" si="31"/>
        <v>3</v>
      </c>
      <c r="C345" s="14" t="str">
        <f t="shared" si="32"/>
        <v>4</v>
      </c>
      <c r="D345" s="14" t="str">
        <f t="shared" si="33"/>
        <v>0</v>
      </c>
      <c r="E345" s="14" t="str">
        <f t="shared" si="34"/>
        <v>02</v>
      </c>
      <c r="F345" s="14" t="str">
        <f t="shared" si="35"/>
        <v>00</v>
      </c>
      <c r="G345" s="56">
        <v>13400200</v>
      </c>
      <c r="H345" s="14" t="s">
        <v>722</v>
      </c>
      <c r="I345" s="15" t="s">
        <v>723</v>
      </c>
      <c r="J345" s="14"/>
      <c r="K345" s="14"/>
      <c r="L345" s="14"/>
      <c r="M345" s="14"/>
    </row>
    <row r="346" spans="1:13" x14ac:dyDescent="0.25">
      <c r="A346" s="14" t="str">
        <f t="shared" si="30"/>
        <v>1</v>
      </c>
      <c r="B346" s="14" t="str">
        <f t="shared" si="31"/>
        <v>3</v>
      </c>
      <c r="C346" s="14" t="str">
        <f t="shared" si="32"/>
        <v>4</v>
      </c>
      <c r="D346" s="14" t="str">
        <f t="shared" si="33"/>
        <v>0</v>
      </c>
      <c r="E346" s="14" t="str">
        <f t="shared" si="34"/>
        <v>03</v>
      </c>
      <c r="F346" s="14" t="str">
        <f t="shared" si="35"/>
        <v>00</v>
      </c>
      <c r="G346" s="56">
        <v>13400300</v>
      </c>
      <c r="H346" s="14" t="s">
        <v>724</v>
      </c>
      <c r="I346" s="15" t="s">
        <v>725</v>
      </c>
      <c r="J346" s="14"/>
      <c r="K346" s="14"/>
      <c r="L346" s="14"/>
      <c r="M346" s="14"/>
    </row>
    <row r="347" spans="1:13" ht="25.5" x14ac:dyDescent="0.25">
      <c r="A347" s="26" t="str">
        <f t="shared" si="30"/>
        <v>1</v>
      </c>
      <c r="B347" s="26" t="str">
        <f t="shared" si="31"/>
        <v>3</v>
      </c>
      <c r="C347" s="26" t="str">
        <f t="shared" si="32"/>
        <v>4</v>
      </c>
      <c r="D347" s="26" t="str">
        <f t="shared" si="33"/>
        <v>0</v>
      </c>
      <c r="E347" s="26" t="str">
        <f t="shared" si="34"/>
        <v>04</v>
      </c>
      <c r="F347" s="26" t="str">
        <f t="shared" si="35"/>
        <v>00</v>
      </c>
      <c r="G347" s="61">
        <v>13400400</v>
      </c>
      <c r="H347" s="26" t="s">
        <v>726</v>
      </c>
      <c r="I347" s="27" t="s">
        <v>727</v>
      </c>
      <c r="J347" s="28"/>
      <c r="K347" s="28" t="s">
        <v>494</v>
      </c>
      <c r="L347" s="28" t="s">
        <v>728</v>
      </c>
      <c r="M347" s="28"/>
    </row>
    <row r="348" spans="1:13" ht="38.25" x14ac:dyDescent="0.25">
      <c r="A348" s="26" t="str">
        <f t="shared" si="30"/>
        <v>1</v>
      </c>
      <c r="B348" s="26" t="str">
        <f t="shared" si="31"/>
        <v>3</v>
      </c>
      <c r="C348" s="26" t="str">
        <f t="shared" si="32"/>
        <v>4</v>
      </c>
      <c r="D348" s="26" t="str">
        <f t="shared" si="33"/>
        <v>0</v>
      </c>
      <c r="E348" s="26" t="str">
        <f t="shared" si="34"/>
        <v>05</v>
      </c>
      <c r="F348" s="26" t="str">
        <f t="shared" si="35"/>
        <v>00</v>
      </c>
      <c r="G348" s="61">
        <v>13400500</v>
      </c>
      <c r="H348" s="26" t="s">
        <v>729</v>
      </c>
      <c r="I348" s="27" t="s">
        <v>730</v>
      </c>
      <c r="J348" s="28"/>
      <c r="K348" s="28" t="s">
        <v>494</v>
      </c>
      <c r="L348" s="28" t="s">
        <v>728</v>
      </c>
      <c r="M348" s="28"/>
    </row>
    <row r="349" spans="1:13" ht="63.75" x14ac:dyDescent="0.25">
      <c r="A349" s="29" t="str">
        <f t="shared" si="30"/>
        <v>1</v>
      </c>
      <c r="B349" s="29" t="str">
        <f t="shared" si="31"/>
        <v>3</v>
      </c>
      <c r="C349" s="29" t="str">
        <f t="shared" si="32"/>
        <v>4</v>
      </c>
      <c r="D349" s="29" t="str">
        <f t="shared" si="33"/>
        <v>0</v>
      </c>
      <c r="E349" s="29" t="str">
        <f t="shared" si="34"/>
        <v>05</v>
      </c>
      <c r="F349" s="29" t="str">
        <f t="shared" si="35"/>
        <v>01</v>
      </c>
      <c r="G349" s="62">
        <v>13400501</v>
      </c>
      <c r="H349" s="29" t="s">
        <v>731</v>
      </c>
      <c r="I349" s="30" t="s">
        <v>732</v>
      </c>
      <c r="J349" s="24"/>
      <c r="K349" s="24" t="s">
        <v>494</v>
      </c>
      <c r="L349" s="24" t="s">
        <v>728</v>
      </c>
      <c r="M349" s="25"/>
    </row>
    <row r="350" spans="1:13" ht="63.75" x14ac:dyDescent="0.25">
      <c r="A350" s="29" t="str">
        <f t="shared" si="30"/>
        <v>1</v>
      </c>
      <c r="B350" s="29" t="str">
        <f t="shared" si="31"/>
        <v>3</v>
      </c>
      <c r="C350" s="29" t="str">
        <f t="shared" si="32"/>
        <v>4</v>
      </c>
      <c r="D350" s="29" t="str">
        <f t="shared" si="33"/>
        <v>0</v>
      </c>
      <c r="E350" s="29" t="str">
        <f t="shared" si="34"/>
        <v>05</v>
      </c>
      <c r="F350" s="29" t="str">
        <f t="shared" si="35"/>
        <v>02</v>
      </c>
      <c r="G350" s="62">
        <v>13400502</v>
      </c>
      <c r="H350" s="29" t="s">
        <v>733</v>
      </c>
      <c r="I350" s="30" t="s">
        <v>734</v>
      </c>
      <c r="J350" s="24"/>
      <c r="K350" s="24" t="s">
        <v>494</v>
      </c>
      <c r="L350" s="24" t="s">
        <v>728</v>
      </c>
      <c r="M350" s="25"/>
    </row>
    <row r="351" spans="1:13" ht="38.25" x14ac:dyDescent="0.25">
      <c r="A351" s="29" t="str">
        <f t="shared" si="30"/>
        <v>1</v>
      </c>
      <c r="B351" s="29" t="str">
        <f t="shared" si="31"/>
        <v>3</v>
      </c>
      <c r="C351" s="29" t="str">
        <f t="shared" si="32"/>
        <v>4</v>
      </c>
      <c r="D351" s="29" t="str">
        <f t="shared" si="33"/>
        <v>0</v>
      </c>
      <c r="E351" s="29" t="str">
        <f t="shared" si="34"/>
        <v>05</v>
      </c>
      <c r="F351" s="29" t="str">
        <f t="shared" si="35"/>
        <v>03</v>
      </c>
      <c r="G351" s="62">
        <v>13400503</v>
      </c>
      <c r="H351" s="29" t="s">
        <v>735</v>
      </c>
      <c r="I351" s="30" t="s">
        <v>736</v>
      </c>
      <c r="J351" s="24"/>
      <c r="K351" s="24" t="s">
        <v>494</v>
      </c>
      <c r="L351" s="24" t="s">
        <v>728</v>
      </c>
      <c r="M351" s="25"/>
    </row>
    <row r="352" spans="1:13" ht="38.25" x14ac:dyDescent="0.25">
      <c r="A352" s="26" t="str">
        <f t="shared" si="30"/>
        <v>1</v>
      </c>
      <c r="B352" s="26" t="str">
        <f t="shared" si="31"/>
        <v>3</v>
      </c>
      <c r="C352" s="26" t="str">
        <f t="shared" si="32"/>
        <v>4</v>
      </c>
      <c r="D352" s="26" t="str">
        <f t="shared" si="33"/>
        <v>0</v>
      </c>
      <c r="E352" s="26" t="str">
        <f t="shared" si="34"/>
        <v>06</v>
      </c>
      <c r="F352" s="26" t="str">
        <f t="shared" si="35"/>
        <v>00</v>
      </c>
      <c r="G352" s="61">
        <v>13400600</v>
      </c>
      <c r="H352" s="26" t="s">
        <v>737</v>
      </c>
      <c r="I352" s="27" t="s">
        <v>738</v>
      </c>
      <c r="J352" s="28"/>
      <c r="K352" s="28" t="s">
        <v>494</v>
      </c>
      <c r="L352" s="28" t="s">
        <v>728</v>
      </c>
      <c r="M352" s="28"/>
    </row>
    <row r="353" spans="1:13" ht="38.25" x14ac:dyDescent="0.25">
      <c r="A353" s="26" t="str">
        <f t="shared" si="30"/>
        <v>1</v>
      </c>
      <c r="B353" s="26" t="str">
        <f t="shared" si="31"/>
        <v>3</v>
      </c>
      <c r="C353" s="26" t="str">
        <f t="shared" si="32"/>
        <v>4</v>
      </c>
      <c r="D353" s="26" t="str">
        <f t="shared" si="33"/>
        <v>0</v>
      </c>
      <c r="E353" s="26" t="str">
        <f t="shared" si="34"/>
        <v>07</v>
      </c>
      <c r="F353" s="26" t="str">
        <f t="shared" si="35"/>
        <v>00</v>
      </c>
      <c r="G353" s="61">
        <v>13400700</v>
      </c>
      <c r="H353" s="26" t="s">
        <v>739</v>
      </c>
      <c r="I353" s="27" t="s">
        <v>740</v>
      </c>
      <c r="J353" s="28"/>
      <c r="K353" s="28" t="s">
        <v>494</v>
      </c>
      <c r="L353" s="28" t="s">
        <v>728</v>
      </c>
      <c r="M353" s="28"/>
    </row>
    <row r="354" spans="1:13" ht="63.75" x14ac:dyDescent="0.25">
      <c r="A354" s="29" t="str">
        <f t="shared" si="30"/>
        <v>1</v>
      </c>
      <c r="B354" s="29" t="str">
        <f t="shared" si="31"/>
        <v>3</v>
      </c>
      <c r="C354" s="29" t="str">
        <f t="shared" si="32"/>
        <v>4</v>
      </c>
      <c r="D354" s="29" t="str">
        <f t="shared" si="33"/>
        <v>0</v>
      </c>
      <c r="E354" s="29" t="str">
        <f t="shared" si="34"/>
        <v>07</v>
      </c>
      <c r="F354" s="29" t="str">
        <f t="shared" si="35"/>
        <v>01</v>
      </c>
      <c r="G354" s="62">
        <v>13400701</v>
      </c>
      <c r="H354" s="29" t="s">
        <v>741</v>
      </c>
      <c r="I354" s="30" t="s">
        <v>742</v>
      </c>
      <c r="J354" s="24"/>
      <c r="K354" s="24" t="s">
        <v>494</v>
      </c>
      <c r="L354" s="24" t="s">
        <v>728</v>
      </c>
      <c r="M354" s="25"/>
    </row>
    <row r="355" spans="1:13" ht="63.75" x14ac:dyDescent="0.25">
      <c r="A355" s="29" t="str">
        <f t="shared" si="30"/>
        <v>1</v>
      </c>
      <c r="B355" s="29" t="str">
        <f t="shared" si="31"/>
        <v>3</v>
      </c>
      <c r="C355" s="29" t="str">
        <f t="shared" si="32"/>
        <v>4</v>
      </c>
      <c r="D355" s="29" t="str">
        <f t="shared" si="33"/>
        <v>0</v>
      </c>
      <c r="E355" s="29" t="str">
        <f t="shared" si="34"/>
        <v>07</v>
      </c>
      <c r="F355" s="29" t="str">
        <f t="shared" si="35"/>
        <v>02</v>
      </c>
      <c r="G355" s="62">
        <v>13400702</v>
      </c>
      <c r="H355" s="29" t="s">
        <v>743</v>
      </c>
      <c r="I355" s="30" t="s">
        <v>744</v>
      </c>
      <c r="J355" s="24"/>
      <c r="K355" s="24" t="s">
        <v>494</v>
      </c>
      <c r="L355" s="24" t="s">
        <v>728</v>
      </c>
      <c r="M355" s="25"/>
    </row>
    <row r="356" spans="1:13" ht="38.25" x14ac:dyDescent="0.25">
      <c r="A356" s="29" t="str">
        <f t="shared" si="30"/>
        <v>1</v>
      </c>
      <c r="B356" s="29" t="str">
        <f t="shared" si="31"/>
        <v>3</v>
      </c>
      <c r="C356" s="29" t="str">
        <f t="shared" si="32"/>
        <v>4</v>
      </c>
      <c r="D356" s="29" t="str">
        <f t="shared" si="33"/>
        <v>0</v>
      </c>
      <c r="E356" s="29" t="str">
        <f t="shared" si="34"/>
        <v>07</v>
      </c>
      <c r="F356" s="29" t="str">
        <f t="shared" si="35"/>
        <v>03</v>
      </c>
      <c r="G356" s="62">
        <v>13400703</v>
      </c>
      <c r="H356" s="29" t="s">
        <v>745</v>
      </c>
      <c r="I356" s="30" t="s">
        <v>746</v>
      </c>
      <c r="J356" s="24"/>
      <c r="K356" s="24" t="s">
        <v>494</v>
      </c>
      <c r="L356" s="24" t="s">
        <v>728</v>
      </c>
      <c r="M356" s="25"/>
    </row>
    <row r="357" spans="1:13" ht="25.5" x14ac:dyDescent="0.25">
      <c r="A357" s="26" t="str">
        <f t="shared" si="30"/>
        <v>1</v>
      </c>
      <c r="B357" s="26" t="str">
        <f t="shared" si="31"/>
        <v>3</v>
      </c>
      <c r="C357" s="26" t="str">
        <f t="shared" si="32"/>
        <v>4</v>
      </c>
      <c r="D357" s="26" t="str">
        <f t="shared" si="33"/>
        <v>0</v>
      </c>
      <c r="E357" s="26" t="str">
        <f t="shared" si="34"/>
        <v>08</v>
      </c>
      <c r="F357" s="26" t="str">
        <f t="shared" si="35"/>
        <v>00</v>
      </c>
      <c r="G357" s="61">
        <v>13400800</v>
      </c>
      <c r="H357" s="26" t="s">
        <v>747</v>
      </c>
      <c r="I357" s="27" t="s">
        <v>748</v>
      </c>
      <c r="J357" s="28"/>
      <c r="K357" s="28" t="s">
        <v>494</v>
      </c>
      <c r="L357" s="28" t="s">
        <v>728</v>
      </c>
      <c r="M357" s="28"/>
    </row>
    <row r="358" spans="1:13" ht="51" x14ac:dyDescent="0.25">
      <c r="A358" s="29" t="str">
        <f t="shared" si="30"/>
        <v>1</v>
      </c>
      <c r="B358" s="29" t="str">
        <f t="shared" si="31"/>
        <v>3</v>
      </c>
      <c r="C358" s="29" t="str">
        <f t="shared" si="32"/>
        <v>4</v>
      </c>
      <c r="D358" s="29" t="str">
        <f t="shared" si="33"/>
        <v>0</v>
      </c>
      <c r="E358" s="29" t="str">
        <f t="shared" si="34"/>
        <v>08</v>
      </c>
      <c r="F358" s="29" t="str">
        <f t="shared" si="35"/>
        <v>01</v>
      </c>
      <c r="G358" s="62">
        <v>13400801</v>
      </c>
      <c r="H358" s="29" t="s">
        <v>749</v>
      </c>
      <c r="I358" s="30" t="s">
        <v>750</v>
      </c>
      <c r="J358" s="24"/>
      <c r="K358" s="24" t="s">
        <v>494</v>
      </c>
      <c r="L358" s="24" t="s">
        <v>728</v>
      </c>
      <c r="M358" s="25"/>
    </row>
    <row r="359" spans="1:13" ht="63.75" x14ac:dyDescent="0.25">
      <c r="A359" s="29" t="str">
        <f t="shared" si="30"/>
        <v>1</v>
      </c>
      <c r="B359" s="29" t="str">
        <f t="shared" si="31"/>
        <v>3</v>
      </c>
      <c r="C359" s="29" t="str">
        <f t="shared" si="32"/>
        <v>4</v>
      </c>
      <c r="D359" s="29" t="str">
        <f t="shared" si="33"/>
        <v>0</v>
      </c>
      <c r="E359" s="29" t="str">
        <f t="shared" si="34"/>
        <v>08</v>
      </c>
      <c r="F359" s="29" t="str">
        <f t="shared" si="35"/>
        <v>02</v>
      </c>
      <c r="G359" s="62">
        <v>13400802</v>
      </c>
      <c r="H359" s="29" t="s">
        <v>751</v>
      </c>
      <c r="I359" s="30" t="s">
        <v>752</v>
      </c>
      <c r="J359" s="24"/>
      <c r="K359" s="24" t="s">
        <v>494</v>
      </c>
      <c r="L359" s="24" t="s">
        <v>728</v>
      </c>
      <c r="M359" s="25"/>
    </row>
    <row r="360" spans="1:13" ht="38.25" x14ac:dyDescent="0.25">
      <c r="A360" s="29" t="str">
        <f t="shared" si="30"/>
        <v>1</v>
      </c>
      <c r="B360" s="29" t="str">
        <f t="shared" si="31"/>
        <v>3</v>
      </c>
      <c r="C360" s="29" t="str">
        <f t="shared" si="32"/>
        <v>4</v>
      </c>
      <c r="D360" s="29" t="str">
        <f t="shared" si="33"/>
        <v>0</v>
      </c>
      <c r="E360" s="29" t="str">
        <f t="shared" si="34"/>
        <v>08</v>
      </c>
      <c r="F360" s="29" t="str">
        <f t="shared" si="35"/>
        <v>03</v>
      </c>
      <c r="G360" s="62">
        <v>13400803</v>
      </c>
      <c r="H360" s="29" t="s">
        <v>753</v>
      </c>
      <c r="I360" s="30" t="s">
        <v>754</v>
      </c>
      <c r="J360" s="24"/>
      <c r="K360" s="24" t="s">
        <v>494</v>
      </c>
      <c r="L360" s="24" t="s">
        <v>728</v>
      </c>
      <c r="M360" s="25"/>
    </row>
    <row r="361" spans="1:13" ht="51" x14ac:dyDescent="0.25">
      <c r="A361" s="14" t="str">
        <f t="shared" si="30"/>
        <v>1</v>
      </c>
      <c r="B361" s="14" t="str">
        <f t="shared" si="31"/>
        <v>3</v>
      </c>
      <c r="C361" s="14" t="str">
        <f t="shared" si="32"/>
        <v>4</v>
      </c>
      <c r="D361" s="14" t="str">
        <f t="shared" si="33"/>
        <v>0</v>
      </c>
      <c r="E361" s="14" t="str">
        <f t="shared" si="34"/>
        <v>09</v>
      </c>
      <c r="F361" s="14" t="str">
        <f t="shared" si="35"/>
        <v>00</v>
      </c>
      <c r="G361" s="56">
        <v>13400900</v>
      </c>
      <c r="H361" s="14" t="s">
        <v>755</v>
      </c>
      <c r="I361" s="15" t="s">
        <v>756</v>
      </c>
      <c r="J361" s="14"/>
      <c r="K361" s="14"/>
      <c r="L361" s="14"/>
      <c r="M361" s="14"/>
    </row>
    <row r="362" spans="1:13" ht="25.5" x14ac:dyDescent="0.25">
      <c r="A362" s="26" t="str">
        <f t="shared" si="30"/>
        <v>1</v>
      </c>
      <c r="B362" s="26" t="str">
        <f t="shared" si="31"/>
        <v>3</v>
      </c>
      <c r="C362" s="26" t="str">
        <f t="shared" si="32"/>
        <v>4</v>
      </c>
      <c r="D362" s="26" t="str">
        <f t="shared" si="33"/>
        <v>0</v>
      </c>
      <c r="E362" s="26" t="str">
        <f t="shared" si="34"/>
        <v>10</v>
      </c>
      <c r="F362" s="26" t="str">
        <f t="shared" si="35"/>
        <v>00</v>
      </c>
      <c r="G362" s="61">
        <v>13401000</v>
      </c>
      <c r="H362" s="26" t="s">
        <v>757</v>
      </c>
      <c r="I362" s="27" t="s">
        <v>758</v>
      </c>
      <c r="J362" s="28"/>
      <c r="K362" s="28" t="s">
        <v>494</v>
      </c>
      <c r="L362" s="28" t="s">
        <v>728</v>
      </c>
      <c r="M362" s="28"/>
    </row>
    <row r="363" spans="1:13" ht="38.25" x14ac:dyDescent="0.25">
      <c r="A363" s="29" t="str">
        <f t="shared" si="30"/>
        <v>1</v>
      </c>
      <c r="B363" s="29" t="str">
        <f t="shared" si="31"/>
        <v>3</v>
      </c>
      <c r="C363" s="29" t="str">
        <f t="shared" si="32"/>
        <v>4</v>
      </c>
      <c r="D363" s="29" t="str">
        <f t="shared" si="33"/>
        <v>0</v>
      </c>
      <c r="E363" s="29" t="str">
        <f t="shared" si="34"/>
        <v>10</v>
      </c>
      <c r="F363" s="29" t="str">
        <f t="shared" si="35"/>
        <v>01</v>
      </c>
      <c r="G363" s="62">
        <v>13401001</v>
      </c>
      <c r="H363" s="29" t="s">
        <v>759</v>
      </c>
      <c r="I363" s="30" t="s">
        <v>760</v>
      </c>
      <c r="J363" s="24"/>
      <c r="K363" s="24" t="s">
        <v>494</v>
      </c>
      <c r="L363" s="24" t="s">
        <v>728</v>
      </c>
      <c r="M363" s="25"/>
    </row>
    <row r="364" spans="1:13" ht="38.25" x14ac:dyDescent="0.25">
      <c r="A364" s="29" t="str">
        <f t="shared" si="30"/>
        <v>1</v>
      </c>
      <c r="B364" s="29" t="str">
        <f t="shared" si="31"/>
        <v>3</v>
      </c>
      <c r="C364" s="29" t="str">
        <f t="shared" si="32"/>
        <v>4</v>
      </c>
      <c r="D364" s="29" t="str">
        <f t="shared" si="33"/>
        <v>0</v>
      </c>
      <c r="E364" s="29" t="str">
        <f t="shared" si="34"/>
        <v>10</v>
      </c>
      <c r="F364" s="29" t="str">
        <f t="shared" si="35"/>
        <v>02</v>
      </c>
      <c r="G364" s="62">
        <v>13401002</v>
      </c>
      <c r="H364" s="29" t="s">
        <v>761</v>
      </c>
      <c r="I364" s="30" t="s">
        <v>762</v>
      </c>
      <c r="J364" s="24"/>
      <c r="K364" s="24" t="s">
        <v>494</v>
      </c>
      <c r="L364" s="24" t="s">
        <v>728</v>
      </c>
      <c r="M364" s="25"/>
    </row>
    <row r="365" spans="1:13" ht="51" x14ac:dyDescent="0.25">
      <c r="A365" s="29" t="str">
        <f t="shared" si="30"/>
        <v>1</v>
      </c>
      <c r="B365" s="29" t="str">
        <f t="shared" si="31"/>
        <v>3</v>
      </c>
      <c r="C365" s="29" t="str">
        <f t="shared" si="32"/>
        <v>4</v>
      </c>
      <c r="D365" s="29" t="str">
        <f t="shared" si="33"/>
        <v>0</v>
      </c>
      <c r="E365" s="29" t="str">
        <f t="shared" si="34"/>
        <v>10</v>
      </c>
      <c r="F365" s="29" t="str">
        <f t="shared" si="35"/>
        <v>03</v>
      </c>
      <c r="G365" s="62">
        <v>13401003</v>
      </c>
      <c r="H365" s="29" t="s">
        <v>763</v>
      </c>
      <c r="I365" s="30" t="s">
        <v>764</v>
      </c>
      <c r="J365" s="24"/>
      <c r="K365" s="24" t="s">
        <v>494</v>
      </c>
      <c r="L365" s="24" t="s">
        <v>728</v>
      </c>
      <c r="M365" s="25"/>
    </row>
    <row r="366" spans="1:13" ht="51" x14ac:dyDescent="0.25">
      <c r="A366" s="29" t="str">
        <f t="shared" si="30"/>
        <v>1</v>
      </c>
      <c r="B366" s="29" t="str">
        <f t="shared" si="31"/>
        <v>3</v>
      </c>
      <c r="C366" s="29" t="str">
        <f t="shared" si="32"/>
        <v>4</v>
      </c>
      <c r="D366" s="29" t="str">
        <f t="shared" si="33"/>
        <v>0</v>
      </c>
      <c r="E366" s="29" t="str">
        <f t="shared" si="34"/>
        <v>10</v>
      </c>
      <c r="F366" s="29" t="str">
        <f t="shared" si="35"/>
        <v>04</v>
      </c>
      <c r="G366" s="62">
        <v>13401004</v>
      </c>
      <c r="H366" s="29" t="s">
        <v>765</v>
      </c>
      <c r="I366" s="30" t="s">
        <v>766</v>
      </c>
      <c r="J366" s="24"/>
      <c r="K366" s="24" t="s">
        <v>494</v>
      </c>
      <c r="L366" s="24" t="s">
        <v>728</v>
      </c>
      <c r="M366" s="25"/>
    </row>
    <row r="367" spans="1:13" ht="51" x14ac:dyDescent="0.25">
      <c r="A367" s="29" t="str">
        <f t="shared" si="30"/>
        <v>1</v>
      </c>
      <c r="B367" s="29" t="str">
        <f t="shared" si="31"/>
        <v>3</v>
      </c>
      <c r="C367" s="29" t="str">
        <f t="shared" si="32"/>
        <v>4</v>
      </c>
      <c r="D367" s="29" t="str">
        <f t="shared" si="33"/>
        <v>0</v>
      </c>
      <c r="E367" s="29" t="str">
        <f t="shared" si="34"/>
        <v>10</v>
      </c>
      <c r="F367" s="29" t="str">
        <f t="shared" si="35"/>
        <v>05</v>
      </c>
      <c r="G367" s="62">
        <v>13401005</v>
      </c>
      <c r="H367" s="29" t="s">
        <v>767</v>
      </c>
      <c r="I367" s="30" t="s">
        <v>768</v>
      </c>
      <c r="J367" s="24"/>
      <c r="K367" s="24" t="s">
        <v>494</v>
      </c>
      <c r="L367" s="24" t="s">
        <v>728</v>
      </c>
      <c r="M367" s="25"/>
    </row>
    <row r="368" spans="1:13" x14ac:dyDescent="0.25">
      <c r="A368" s="14" t="str">
        <f t="shared" si="30"/>
        <v>1</v>
      </c>
      <c r="B368" s="14" t="str">
        <f t="shared" si="31"/>
        <v>3</v>
      </c>
      <c r="C368" s="14" t="str">
        <f t="shared" si="32"/>
        <v>4</v>
      </c>
      <c r="D368" s="14" t="str">
        <f t="shared" si="33"/>
        <v>0</v>
      </c>
      <c r="E368" s="14" t="str">
        <f t="shared" si="34"/>
        <v>11</v>
      </c>
      <c r="F368" s="14" t="str">
        <f t="shared" si="35"/>
        <v>00</v>
      </c>
      <c r="G368" s="56">
        <v>13401100</v>
      </c>
      <c r="H368" s="14" t="s">
        <v>769</v>
      </c>
      <c r="I368" s="15" t="s">
        <v>770</v>
      </c>
      <c r="J368" s="14"/>
      <c r="K368" s="14" t="s">
        <v>217</v>
      </c>
      <c r="L368" s="14" t="s">
        <v>771</v>
      </c>
      <c r="M368" s="14"/>
    </row>
    <row r="369" spans="1:13" ht="38.25" x14ac:dyDescent="0.25">
      <c r="A369" s="20" t="str">
        <f t="shared" si="30"/>
        <v>1</v>
      </c>
      <c r="B369" s="20" t="str">
        <f t="shared" si="31"/>
        <v>3</v>
      </c>
      <c r="C369" s="20" t="str">
        <f t="shared" si="32"/>
        <v>4</v>
      </c>
      <c r="D369" s="20" t="str">
        <f t="shared" si="33"/>
        <v>1</v>
      </c>
      <c r="E369" s="20" t="str">
        <f t="shared" si="34"/>
        <v>00</v>
      </c>
      <c r="F369" s="20" t="str">
        <f t="shared" si="35"/>
        <v>00</v>
      </c>
      <c r="G369" s="59">
        <v>13410000</v>
      </c>
      <c r="H369" s="20" t="s">
        <v>772</v>
      </c>
      <c r="I369" s="21" t="s">
        <v>773</v>
      </c>
      <c r="J369" s="22"/>
      <c r="K369" s="22" t="s">
        <v>774</v>
      </c>
      <c r="L369" s="22" t="s">
        <v>775</v>
      </c>
      <c r="M369" s="23"/>
    </row>
    <row r="370" spans="1:13" ht="51" x14ac:dyDescent="0.25">
      <c r="A370" s="26" t="str">
        <f t="shared" si="30"/>
        <v>1</v>
      </c>
      <c r="B370" s="26" t="str">
        <f t="shared" si="31"/>
        <v>3</v>
      </c>
      <c r="C370" s="26" t="str">
        <f t="shared" si="32"/>
        <v>4</v>
      </c>
      <c r="D370" s="26" t="str">
        <f t="shared" si="33"/>
        <v>1</v>
      </c>
      <c r="E370" s="26" t="str">
        <f t="shared" si="34"/>
        <v>10</v>
      </c>
      <c r="F370" s="26" t="str">
        <f t="shared" si="35"/>
        <v>00</v>
      </c>
      <c r="G370" s="61">
        <v>13411000</v>
      </c>
      <c r="H370" s="26" t="s">
        <v>776</v>
      </c>
      <c r="I370" s="27" t="s">
        <v>777</v>
      </c>
      <c r="J370" s="28"/>
      <c r="K370" s="28" t="s">
        <v>774</v>
      </c>
      <c r="L370" s="28" t="s">
        <v>775</v>
      </c>
      <c r="M370" s="28"/>
    </row>
    <row r="371" spans="1:13" ht="51" x14ac:dyDescent="0.25">
      <c r="A371" s="26" t="str">
        <f t="shared" si="30"/>
        <v>1</v>
      </c>
      <c r="B371" s="26" t="str">
        <f t="shared" si="31"/>
        <v>3</v>
      </c>
      <c r="C371" s="26" t="str">
        <f t="shared" si="32"/>
        <v>4</v>
      </c>
      <c r="D371" s="26" t="str">
        <f t="shared" si="33"/>
        <v>1</v>
      </c>
      <c r="E371" s="26" t="str">
        <f t="shared" si="34"/>
        <v>11</v>
      </c>
      <c r="F371" s="26" t="str">
        <f t="shared" si="35"/>
        <v>00</v>
      </c>
      <c r="G371" s="61">
        <v>13411100</v>
      </c>
      <c r="H371" s="26" t="s">
        <v>778</v>
      </c>
      <c r="I371" s="27" t="s">
        <v>779</v>
      </c>
      <c r="J371" s="28"/>
      <c r="K371" s="28" t="s">
        <v>774</v>
      </c>
      <c r="L371" s="28" t="s">
        <v>775</v>
      </c>
      <c r="M371" s="28"/>
    </row>
    <row r="372" spans="1:13" ht="63.75" x14ac:dyDescent="0.25">
      <c r="A372" s="29" t="str">
        <f t="shared" si="30"/>
        <v>1</v>
      </c>
      <c r="B372" s="29" t="str">
        <f t="shared" si="31"/>
        <v>3</v>
      </c>
      <c r="C372" s="29" t="str">
        <f t="shared" si="32"/>
        <v>4</v>
      </c>
      <c r="D372" s="29" t="str">
        <f t="shared" si="33"/>
        <v>1</v>
      </c>
      <c r="E372" s="29" t="str">
        <f t="shared" si="34"/>
        <v>11</v>
      </c>
      <c r="F372" s="29" t="str">
        <f t="shared" si="35"/>
        <v>10</v>
      </c>
      <c r="G372" s="62">
        <v>13411110</v>
      </c>
      <c r="H372" s="29" t="s">
        <v>780</v>
      </c>
      <c r="I372" s="30" t="s">
        <v>781</v>
      </c>
      <c r="J372" s="24"/>
      <c r="K372" s="31" t="s">
        <v>774</v>
      </c>
      <c r="L372" s="31" t="s">
        <v>775</v>
      </c>
      <c r="M372" s="25"/>
    </row>
    <row r="373" spans="1:13" ht="76.5" x14ac:dyDescent="0.25">
      <c r="A373" s="29" t="str">
        <f t="shared" si="30"/>
        <v>1</v>
      </c>
      <c r="B373" s="29" t="str">
        <f t="shared" si="31"/>
        <v>3</v>
      </c>
      <c r="C373" s="29" t="str">
        <f t="shared" si="32"/>
        <v>4</v>
      </c>
      <c r="D373" s="29" t="str">
        <f t="shared" si="33"/>
        <v>1</v>
      </c>
      <c r="E373" s="29" t="str">
        <f t="shared" si="34"/>
        <v>11</v>
      </c>
      <c r="F373" s="29" t="str">
        <f t="shared" si="35"/>
        <v>11</v>
      </c>
      <c r="G373" s="62">
        <v>13411111</v>
      </c>
      <c r="H373" s="29" t="s">
        <v>782</v>
      </c>
      <c r="I373" s="30" t="s">
        <v>783</v>
      </c>
      <c r="J373" s="24"/>
      <c r="K373" s="31" t="s">
        <v>774</v>
      </c>
      <c r="L373" s="31" t="s">
        <v>775</v>
      </c>
      <c r="M373" s="25"/>
    </row>
    <row r="374" spans="1:13" ht="63.75" x14ac:dyDescent="0.25">
      <c r="A374" s="29" t="str">
        <f t="shared" si="30"/>
        <v>1</v>
      </c>
      <c r="B374" s="29" t="str">
        <f t="shared" si="31"/>
        <v>3</v>
      </c>
      <c r="C374" s="29" t="str">
        <f t="shared" si="32"/>
        <v>4</v>
      </c>
      <c r="D374" s="29" t="str">
        <f t="shared" si="33"/>
        <v>1</v>
      </c>
      <c r="E374" s="29" t="str">
        <f t="shared" si="34"/>
        <v>11</v>
      </c>
      <c r="F374" s="29" t="str">
        <f t="shared" si="35"/>
        <v>20</v>
      </c>
      <c r="G374" s="62">
        <v>13411120</v>
      </c>
      <c r="H374" s="29" t="s">
        <v>784</v>
      </c>
      <c r="I374" s="30" t="s">
        <v>785</v>
      </c>
      <c r="J374" s="24"/>
      <c r="K374" s="31" t="s">
        <v>774</v>
      </c>
      <c r="L374" s="31" t="s">
        <v>775</v>
      </c>
      <c r="M374" s="25"/>
    </row>
    <row r="375" spans="1:13" ht="63.75" x14ac:dyDescent="0.25">
      <c r="A375" s="29" t="str">
        <f t="shared" si="30"/>
        <v>1</v>
      </c>
      <c r="B375" s="29" t="str">
        <f t="shared" si="31"/>
        <v>3</v>
      </c>
      <c r="C375" s="29" t="str">
        <f t="shared" si="32"/>
        <v>4</v>
      </c>
      <c r="D375" s="29" t="str">
        <f t="shared" si="33"/>
        <v>1</v>
      </c>
      <c r="E375" s="29" t="str">
        <f t="shared" si="34"/>
        <v>11</v>
      </c>
      <c r="F375" s="29" t="str">
        <f t="shared" si="35"/>
        <v>21</v>
      </c>
      <c r="G375" s="62">
        <v>13411121</v>
      </c>
      <c r="H375" s="29" t="s">
        <v>786</v>
      </c>
      <c r="I375" s="30" t="s">
        <v>787</v>
      </c>
      <c r="J375" s="24"/>
      <c r="K375" s="31" t="s">
        <v>774</v>
      </c>
      <c r="L375" s="31" t="s">
        <v>775</v>
      </c>
      <c r="M375" s="25"/>
    </row>
    <row r="376" spans="1:13" ht="63.75" x14ac:dyDescent="0.25">
      <c r="A376" s="29" t="str">
        <f t="shared" si="30"/>
        <v>1</v>
      </c>
      <c r="B376" s="29" t="str">
        <f t="shared" si="31"/>
        <v>3</v>
      </c>
      <c r="C376" s="29" t="str">
        <f t="shared" si="32"/>
        <v>4</v>
      </c>
      <c r="D376" s="29" t="str">
        <f t="shared" si="33"/>
        <v>1</v>
      </c>
      <c r="E376" s="29" t="str">
        <f t="shared" si="34"/>
        <v>11</v>
      </c>
      <c r="F376" s="29" t="str">
        <f t="shared" si="35"/>
        <v>30</v>
      </c>
      <c r="G376" s="62">
        <v>13411130</v>
      </c>
      <c r="H376" s="29" t="s">
        <v>788</v>
      </c>
      <c r="I376" s="30" t="s">
        <v>789</v>
      </c>
      <c r="J376" s="24"/>
      <c r="K376" s="31" t="s">
        <v>774</v>
      </c>
      <c r="L376" s="31" t="s">
        <v>775</v>
      </c>
      <c r="M376" s="25"/>
    </row>
    <row r="377" spans="1:13" ht="51" x14ac:dyDescent="0.25">
      <c r="A377" s="26" t="str">
        <f t="shared" si="30"/>
        <v>1</v>
      </c>
      <c r="B377" s="26" t="str">
        <f t="shared" si="31"/>
        <v>3</v>
      </c>
      <c r="C377" s="26" t="str">
        <f t="shared" si="32"/>
        <v>4</v>
      </c>
      <c r="D377" s="26" t="str">
        <f t="shared" si="33"/>
        <v>1</v>
      </c>
      <c r="E377" s="26" t="str">
        <f t="shared" si="34"/>
        <v>12</v>
      </c>
      <c r="F377" s="26" t="str">
        <f t="shared" si="35"/>
        <v>00</v>
      </c>
      <c r="G377" s="61">
        <v>13411200</v>
      </c>
      <c r="H377" s="26" t="s">
        <v>790</v>
      </c>
      <c r="I377" s="27" t="s">
        <v>791</v>
      </c>
      <c r="J377" s="28"/>
      <c r="K377" s="28" t="s">
        <v>774</v>
      </c>
      <c r="L377" s="28" t="s">
        <v>775</v>
      </c>
      <c r="M377" s="28"/>
    </row>
    <row r="378" spans="1:13" ht="63.75" x14ac:dyDescent="0.25">
      <c r="A378" s="29" t="str">
        <f t="shared" si="30"/>
        <v>1</v>
      </c>
      <c r="B378" s="29" t="str">
        <f t="shared" si="31"/>
        <v>3</v>
      </c>
      <c r="C378" s="29" t="str">
        <f t="shared" si="32"/>
        <v>4</v>
      </c>
      <c r="D378" s="29" t="str">
        <f t="shared" si="33"/>
        <v>1</v>
      </c>
      <c r="E378" s="29" t="str">
        <f t="shared" si="34"/>
        <v>12</v>
      </c>
      <c r="F378" s="29" t="str">
        <f t="shared" si="35"/>
        <v>10</v>
      </c>
      <c r="G378" s="62">
        <v>13411210</v>
      </c>
      <c r="H378" s="29" t="s">
        <v>792</v>
      </c>
      <c r="I378" s="30" t="s">
        <v>793</v>
      </c>
      <c r="J378" s="24"/>
      <c r="K378" s="31" t="s">
        <v>774</v>
      </c>
      <c r="L378" s="31" t="s">
        <v>775</v>
      </c>
      <c r="M378" s="25"/>
    </row>
    <row r="379" spans="1:13" ht="63.75" x14ac:dyDescent="0.25">
      <c r="A379" s="29" t="str">
        <f t="shared" si="30"/>
        <v>1</v>
      </c>
      <c r="B379" s="29" t="str">
        <f t="shared" si="31"/>
        <v>3</v>
      </c>
      <c r="C379" s="29" t="str">
        <f t="shared" si="32"/>
        <v>4</v>
      </c>
      <c r="D379" s="29" t="str">
        <f t="shared" si="33"/>
        <v>1</v>
      </c>
      <c r="E379" s="29" t="str">
        <f t="shared" si="34"/>
        <v>12</v>
      </c>
      <c r="F379" s="29" t="str">
        <f t="shared" si="35"/>
        <v>11</v>
      </c>
      <c r="G379" s="62">
        <v>13411211</v>
      </c>
      <c r="H379" s="29" t="s">
        <v>794</v>
      </c>
      <c r="I379" s="30" t="s">
        <v>795</v>
      </c>
      <c r="J379" s="24"/>
      <c r="K379" s="31" t="s">
        <v>774</v>
      </c>
      <c r="L379" s="31" t="s">
        <v>775</v>
      </c>
      <c r="M379" s="25"/>
    </row>
    <row r="380" spans="1:13" ht="63.75" x14ac:dyDescent="0.25">
      <c r="A380" s="29" t="str">
        <f t="shared" si="30"/>
        <v>1</v>
      </c>
      <c r="B380" s="29" t="str">
        <f t="shared" si="31"/>
        <v>3</v>
      </c>
      <c r="C380" s="29" t="str">
        <f t="shared" si="32"/>
        <v>4</v>
      </c>
      <c r="D380" s="29" t="str">
        <f t="shared" si="33"/>
        <v>1</v>
      </c>
      <c r="E380" s="29" t="str">
        <f t="shared" si="34"/>
        <v>12</v>
      </c>
      <c r="F380" s="29" t="str">
        <f t="shared" si="35"/>
        <v>12</v>
      </c>
      <c r="G380" s="62">
        <v>13411212</v>
      </c>
      <c r="H380" s="29" t="s">
        <v>796</v>
      </c>
      <c r="I380" s="30" t="s">
        <v>797</v>
      </c>
      <c r="J380" s="24"/>
      <c r="K380" s="31" t="s">
        <v>774</v>
      </c>
      <c r="L380" s="31" t="s">
        <v>775</v>
      </c>
      <c r="M380" s="25"/>
    </row>
    <row r="381" spans="1:13" ht="63.75" x14ac:dyDescent="0.25">
      <c r="A381" s="29" t="str">
        <f t="shared" si="30"/>
        <v>1</v>
      </c>
      <c r="B381" s="29" t="str">
        <f t="shared" si="31"/>
        <v>3</v>
      </c>
      <c r="C381" s="29" t="str">
        <f t="shared" si="32"/>
        <v>4</v>
      </c>
      <c r="D381" s="29" t="str">
        <f t="shared" si="33"/>
        <v>1</v>
      </c>
      <c r="E381" s="29" t="str">
        <f t="shared" si="34"/>
        <v>12</v>
      </c>
      <c r="F381" s="29" t="str">
        <f t="shared" si="35"/>
        <v>20</v>
      </c>
      <c r="G381" s="62">
        <v>13411220</v>
      </c>
      <c r="H381" s="29" t="s">
        <v>798</v>
      </c>
      <c r="I381" s="30" t="s">
        <v>799</v>
      </c>
      <c r="J381" s="24"/>
      <c r="K381" s="31" t="s">
        <v>774</v>
      </c>
      <c r="L381" s="31" t="s">
        <v>775</v>
      </c>
      <c r="M381" s="25"/>
    </row>
    <row r="382" spans="1:13" ht="63.75" x14ac:dyDescent="0.25">
      <c r="A382" s="29" t="str">
        <f t="shared" si="30"/>
        <v>1</v>
      </c>
      <c r="B382" s="29" t="str">
        <f t="shared" si="31"/>
        <v>3</v>
      </c>
      <c r="C382" s="29" t="str">
        <f t="shared" si="32"/>
        <v>4</v>
      </c>
      <c r="D382" s="29" t="str">
        <f t="shared" si="33"/>
        <v>1</v>
      </c>
      <c r="E382" s="29" t="str">
        <f t="shared" si="34"/>
        <v>12</v>
      </c>
      <c r="F382" s="29" t="str">
        <f t="shared" si="35"/>
        <v>21</v>
      </c>
      <c r="G382" s="62">
        <v>13411221</v>
      </c>
      <c r="H382" s="29" t="s">
        <v>800</v>
      </c>
      <c r="I382" s="30" t="s">
        <v>801</v>
      </c>
      <c r="J382" s="24"/>
      <c r="K382" s="31" t="s">
        <v>774</v>
      </c>
      <c r="L382" s="31" t="s">
        <v>775</v>
      </c>
      <c r="M382" s="25"/>
    </row>
    <row r="383" spans="1:13" ht="63.75" x14ac:dyDescent="0.25">
      <c r="A383" s="29" t="str">
        <f t="shared" si="30"/>
        <v>1</v>
      </c>
      <c r="B383" s="29" t="str">
        <f t="shared" si="31"/>
        <v>3</v>
      </c>
      <c r="C383" s="29" t="str">
        <f t="shared" si="32"/>
        <v>4</v>
      </c>
      <c r="D383" s="29" t="str">
        <f t="shared" si="33"/>
        <v>1</v>
      </c>
      <c r="E383" s="29" t="str">
        <f t="shared" si="34"/>
        <v>12</v>
      </c>
      <c r="F383" s="29" t="str">
        <f t="shared" si="35"/>
        <v>22</v>
      </c>
      <c r="G383" s="62">
        <v>13411222</v>
      </c>
      <c r="H383" s="29" t="s">
        <v>802</v>
      </c>
      <c r="I383" s="30" t="s">
        <v>803</v>
      </c>
      <c r="J383" s="24"/>
      <c r="K383" s="31" t="s">
        <v>774</v>
      </c>
      <c r="L383" s="31" t="s">
        <v>775</v>
      </c>
      <c r="M383" s="25"/>
    </row>
    <row r="384" spans="1:13" ht="63.75" x14ac:dyDescent="0.25">
      <c r="A384" s="29" t="str">
        <f t="shared" si="30"/>
        <v>1</v>
      </c>
      <c r="B384" s="29" t="str">
        <f t="shared" si="31"/>
        <v>3</v>
      </c>
      <c r="C384" s="29" t="str">
        <f t="shared" si="32"/>
        <v>4</v>
      </c>
      <c r="D384" s="29" t="str">
        <f t="shared" si="33"/>
        <v>1</v>
      </c>
      <c r="E384" s="29" t="str">
        <f t="shared" si="34"/>
        <v>12</v>
      </c>
      <c r="F384" s="29" t="str">
        <f t="shared" si="35"/>
        <v>30</v>
      </c>
      <c r="G384" s="62">
        <v>13411230</v>
      </c>
      <c r="H384" s="29" t="s">
        <v>804</v>
      </c>
      <c r="I384" s="30" t="s">
        <v>805</v>
      </c>
      <c r="J384" s="24"/>
      <c r="K384" s="31" t="s">
        <v>774</v>
      </c>
      <c r="L384" s="31" t="s">
        <v>775</v>
      </c>
      <c r="M384" s="25"/>
    </row>
    <row r="385" spans="1:13" ht="51" x14ac:dyDescent="0.25">
      <c r="A385" s="26" t="str">
        <f t="shared" si="30"/>
        <v>1</v>
      </c>
      <c r="B385" s="26" t="str">
        <f t="shared" si="31"/>
        <v>3</v>
      </c>
      <c r="C385" s="26" t="str">
        <f t="shared" si="32"/>
        <v>4</v>
      </c>
      <c r="D385" s="26" t="str">
        <f t="shared" si="33"/>
        <v>1</v>
      </c>
      <c r="E385" s="26" t="str">
        <f t="shared" si="34"/>
        <v>20</v>
      </c>
      <c r="F385" s="26" t="str">
        <f t="shared" si="35"/>
        <v>00</v>
      </c>
      <c r="G385" s="61">
        <v>13412000</v>
      </c>
      <c r="H385" s="26" t="s">
        <v>806</v>
      </c>
      <c r="I385" s="27" t="s">
        <v>807</v>
      </c>
      <c r="J385" s="28"/>
      <c r="K385" s="28" t="s">
        <v>774</v>
      </c>
      <c r="L385" s="28" t="s">
        <v>775</v>
      </c>
      <c r="M385" s="28"/>
    </row>
    <row r="386" spans="1:13" ht="51" x14ac:dyDescent="0.25">
      <c r="A386" s="26" t="str">
        <f t="shared" si="30"/>
        <v>1</v>
      </c>
      <c r="B386" s="26" t="str">
        <f t="shared" si="31"/>
        <v>3</v>
      </c>
      <c r="C386" s="26" t="str">
        <f t="shared" si="32"/>
        <v>4</v>
      </c>
      <c r="D386" s="26" t="str">
        <f t="shared" si="33"/>
        <v>1</v>
      </c>
      <c r="E386" s="26" t="str">
        <f t="shared" si="34"/>
        <v>22</v>
      </c>
      <c r="F386" s="26" t="str">
        <f t="shared" si="35"/>
        <v>00</v>
      </c>
      <c r="G386" s="61">
        <v>13412200</v>
      </c>
      <c r="H386" s="26" t="s">
        <v>808</v>
      </c>
      <c r="I386" s="27" t="s">
        <v>809</v>
      </c>
      <c r="J386" s="28"/>
      <c r="K386" s="28" t="s">
        <v>774</v>
      </c>
      <c r="L386" s="28" t="s">
        <v>775</v>
      </c>
      <c r="M386" s="28"/>
    </row>
    <row r="387" spans="1:13" ht="63.75" x14ac:dyDescent="0.25">
      <c r="A387" s="29" t="str">
        <f t="shared" si="30"/>
        <v>1</v>
      </c>
      <c r="B387" s="29" t="str">
        <f t="shared" si="31"/>
        <v>3</v>
      </c>
      <c r="C387" s="29" t="str">
        <f t="shared" si="32"/>
        <v>4</v>
      </c>
      <c r="D387" s="29" t="str">
        <f t="shared" si="33"/>
        <v>1</v>
      </c>
      <c r="E387" s="29" t="str">
        <f t="shared" si="34"/>
        <v>22</v>
      </c>
      <c r="F387" s="29" t="str">
        <f t="shared" si="35"/>
        <v>10</v>
      </c>
      <c r="G387" s="62">
        <v>13412210</v>
      </c>
      <c r="H387" s="29" t="s">
        <v>810</v>
      </c>
      <c r="I387" s="30" t="s">
        <v>811</v>
      </c>
      <c r="J387" s="24"/>
      <c r="K387" s="31" t="s">
        <v>774</v>
      </c>
      <c r="L387" s="31" t="s">
        <v>775</v>
      </c>
      <c r="M387" s="25"/>
    </row>
    <row r="388" spans="1:13" ht="63.75" x14ac:dyDescent="0.25">
      <c r="A388" s="29" t="str">
        <f t="shared" ref="A388:A451" si="36">MID(G388,1,1)</f>
        <v>1</v>
      </c>
      <c r="B388" s="29" t="str">
        <f t="shared" ref="B388:B451" si="37">MID(G388,2,1)</f>
        <v>3</v>
      </c>
      <c r="C388" s="29" t="str">
        <f t="shared" ref="C388:C451" si="38">MID(G388,3,1)</f>
        <v>4</v>
      </c>
      <c r="D388" s="29" t="str">
        <f t="shared" ref="D388:D451" si="39">MID(G388,4,1)</f>
        <v>1</v>
      </c>
      <c r="E388" s="29" t="str">
        <f t="shared" ref="E388:E451" si="40">MID(G388,5,2)</f>
        <v>22</v>
      </c>
      <c r="F388" s="29" t="str">
        <f t="shared" ref="F388:F451" si="41">MID(G388,7,2)</f>
        <v>11</v>
      </c>
      <c r="G388" s="62">
        <v>13412211</v>
      </c>
      <c r="H388" s="29" t="s">
        <v>812</v>
      </c>
      <c r="I388" s="30" t="s">
        <v>813</v>
      </c>
      <c r="J388" s="24"/>
      <c r="K388" s="31" t="s">
        <v>774</v>
      </c>
      <c r="L388" s="31" t="s">
        <v>775</v>
      </c>
      <c r="M388" s="25"/>
    </row>
    <row r="389" spans="1:13" ht="63.75" x14ac:dyDescent="0.25">
      <c r="A389" s="29" t="str">
        <f t="shared" si="36"/>
        <v>1</v>
      </c>
      <c r="B389" s="29" t="str">
        <f t="shared" si="37"/>
        <v>3</v>
      </c>
      <c r="C389" s="29" t="str">
        <f t="shared" si="38"/>
        <v>4</v>
      </c>
      <c r="D389" s="29" t="str">
        <f t="shared" si="39"/>
        <v>1</v>
      </c>
      <c r="E389" s="29" t="str">
        <f t="shared" si="40"/>
        <v>22</v>
      </c>
      <c r="F389" s="29" t="str">
        <f t="shared" si="41"/>
        <v>12</v>
      </c>
      <c r="G389" s="62">
        <v>13412212</v>
      </c>
      <c r="H389" s="29" t="s">
        <v>814</v>
      </c>
      <c r="I389" s="30" t="s">
        <v>815</v>
      </c>
      <c r="J389" s="24"/>
      <c r="K389" s="31" t="s">
        <v>774</v>
      </c>
      <c r="L389" s="31" t="s">
        <v>775</v>
      </c>
      <c r="M389" s="25"/>
    </row>
    <row r="390" spans="1:13" ht="63.75" x14ac:dyDescent="0.25">
      <c r="A390" s="29" t="str">
        <f t="shared" si="36"/>
        <v>1</v>
      </c>
      <c r="B390" s="29" t="str">
        <f t="shared" si="37"/>
        <v>3</v>
      </c>
      <c r="C390" s="29" t="str">
        <f t="shared" si="38"/>
        <v>4</v>
      </c>
      <c r="D390" s="29" t="str">
        <f t="shared" si="39"/>
        <v>1</v>
      </c>
      <c r="E390" s="29" t="str">
        <f t="shared" si="40"/>
        <v>22</v>
      </c>
      <c r="F390" s="29" t="str">
        <f t="shared" si="41"/>
        <v>20</v>
      </c>
      <c r="G390" s="62">
        <v>13412220</v>
      </c>
      <c r="H390" s="29" t="s">
        <v>816</v>
      </c>
      <c r="I390" s="30" t="s">
        <v>817</v>
      </c>
      <c r="J390" s="24"/>
      <c r="K390" s="31" t="s">
        <v>774</v>
      </c>
      <c r="L390" s="31" t="s">
        <v>775</v>
      </c>
      <c r="M390" s="25"/>
    </row>
    <row r="391" spans="1:13" ht="63.75" x14ac:dyDescent="0.25">
      <c r="A391" s="29" t="str">
        <f t="shared" si="36"/>
        <v>1</v>
      </c>
      <c r="B391" s="29" t="str">
        <f t="shared" si="37"/>
        <v>3</v>
      </c>
      <c r="C391" s="29" t="str">
        <f t="shared" si="38"/>
        <v>4</v>
      </c>
      <c r="D391" s="29" t="str">
        <f t="shared" si="39"/>
        <v>1</v>
      </c>
      <c r="E391" s="29" t="str">
        <f t="shared" si="40"/>
        <v>22</v>
      </c>
      <c r="F391" s="29" t="str">
        <f t="shared" si="41"/>
        <v>21</v>
      </c>
      <c r="G391" s="62">
        <v>13412221</v>
      </c>
      <c r="H391" s="29" t="s">
        <v>818</v>
      </c>
      <c r="I391" s="30" t="s">
        <v>819</v>
      </c>
      <c r="J391" s="24"/>
      <c r="K391" s="31" t="s">
        <v>774</v>
      </c>
      <c r="L391" s="31" t="s">
        <v>775</v>
      </c>
      <c r="M391" s="25"/>
    </row>
    <row r="392" spans="1:13" ht="63.75" x14ac:dyDescent="0.25">
      <c r="A392" s="29" t="str">
        <f t="shared" si="36"/>
        <v>1</v>
      </c>
      <c r="B392" s="29" t="str">
        <f t="shared" si="37"/>
        <v>3</v>
      </c>
      <c r="C392" s="29" t="str">
        <f t="shared" si="38"/>
        <v>4</v>
      </c>
      <c r="D392" s="29" t="str">
        <f t="shared" si="39"/>
        <v>1</v>
      </c>
      <c r="E392" s="29" t="str">
        <f t="shared" si="40"/>
        <v>22</v>
      </c>
      <c r="F392" s="29" t="str">
        <f t="shared" si="41"/>
        <v>22</v>
      </c>
      <c r="G392" s="62">
        <v>13412222</v>
      </c>
      <c r="H392" s="29" t="s">
        <v>820</v>
      </c>
      <c r="I392" s="30" t="s">
        <v>821</v>
      </c>
      <c r="J392" s="24"/>
      <c r="K392" s="31" t="s">
        <v>774</v>
      </c>
      <c r="L392" s="31" t="s">
        <v>775</v>
      </c>
      <c r="M392" s="25"/>
    </row>
    <row r="393" spans="1:13" ht="63.75" x14ac:dyDescent="0.25">
      <c r="A393" s="29" t="str">
        <f t="shared" si="36"/>
        <v>1</v>
      </c>
      <c r="B393" s="29" t="str">
        <f t="shared" si="37"/>
        <v>3</v>
      </c>
      <c r="C393" s="29" t="str">
        <f t="shared" si="38"/>
        <v>4</v>
      </c>
      <c r="D393" s="29" t="str">
        <f t="shared" si="39"/>
        <v>1</v>
      </c>
      <c r="E393" s="29" t="str">
        <f t="shared" si="40"/>
        <v>22</v>
      </c>
      <c r="F393" s="29" t="str">
        <f t="shared" si="41"/>
        <v>30</v>
      </c>
      <c r="G393" s="62">
        <v>13412230</v>
      </c>
      <c r="H393" s="29" t="s">
        <v>822</v>
      </c>
      <c r="I393" s="30" t="s">
        <v>823</v>
      </c>
      <c r="J393" s="24"/>
      <c r="K393" s="31" t="s">
        <v>774</v>
      </c>
      <c r="L393" s="31" t="s">
        <v>775</v>
      </c>
      <c r="M393" s="25"/>
    </row>
    <row r="394" spans="1:13" ht="38.25" x14ac:dyDescent="0.25">
      <c r="A394" s="20" t="str">
        <f t="shared" si="36"/>
        <v>1</v>
      </c>
      <c r="B394" s="20" t="str">
        <f t="shared" si="37"/>
        <v>3</v>
      </c>
      <c r="C394" s="20" t="str">
        <f t="shared" si="38"/>
        <v>4</v>
      </c>
      <c r="D394" s="20" t="str">
        <f t="shared" si="39"/>
        <v>2</v>
      </c>
      <c r="E394" s="20" t="str">
        <f t="shared" si="40"/>
        <v>00</v>
      </c>
      <c r="F394" s="20" t="str">
        <f t="shared" si="41"/>
        <v>00</v>
      </c>
      <c r="G394" s="59">
        <v>13420000</v>
      </c>
      <c r="H394" s="20" t="s">
        <v>824</v>
      </c>
      <c r="I394" s="21" t="s">
        <v>825</v>
      </c>
      <c r="J394" s="22"/>
      <c r="K394" s="22" t="s">
        <v>774</v>
      </c>
      <c r="L394" s="22" t="s">
        <v>775</v>
      </c>
      <c r="M394" s="23"/>
    </row>
    <row r="395" spans="1:13" ht="51" x14ac:dyDescent="0.25">
      <c r="A395" s="29" t="str">
        <f t="shared" si="36"/>
        <v>1</v>
      </c>
      <c r="B395" s="29" t="str">
        <f t="shared" si="37"/>
        <v>3</v>
      </c>
      <c r="C395" s="29" t="str">
        <f t="shared" si="38"/>
        <v>4</v>
      </c>
      <c r="D395" s="29" t="str">
        <f t="shared" si="39"/>
        <v>2</v>
      </c>
      <c r="E395" s="29" t="str">
        <f t="shared" si="40"/>
        <v>00</v>
      </c>
      <c r="F395" s="29" t="str">
        <f t="shared" si="41"/>
        <v>10</v>
      </c>
      <c r="G395" s="62">
        <v>13420010</v>
      </c>
      <c r="H395" s="29" t="s">
        <v>826</v>
      </c>
      <c r="I395" s="30" t="s">
        <v>827</v>
      </c>
      <c r="J395" s="24"/>
      <c r="K395" s="31" t="s">
        <v>774</v>
      </c>
      <c r="L395" s="31" t="s">
        <v>775</v>
      </c>
      <c r="M395" s="25"/>
    </row>
    <row r="396" spans="1:13" ht="51" x14ac:dyDescent="0.25">
      <c r="A396" s="29" t="str">
        <f t="shared" si="36"/>
        <v>1</v>
      </c>
      <c r="B396" s="29" t="str">
        <f t="shared" si="37"/>
        <v>3</v>
      </c>
      <c r="C396" s="29" t="str">
        <f t="shared" si="38"/>
        <v>4</v>
      </c>
      <c r="D396" s="29" t="str">
        <f t="shared" si="39"/>
        <v>2</v>
      </c>
      <c r="E396" s="29" t="str">
        <f t="shared" si="40"/>
        <v>00</v>
      </c>
      <c r="F396" s="29" t="str">
        <f t="shared" si="41"/>
        <v>11</v>
      </c>
      <c r="G396" s="62">
        <v>13420011</v>
      </c>
      <c r="H396" s="29" t="s">
        <v>828</v>
      </c>
      <c r="I396" s="30" t="s">
        <v>829</v>
      </c>
      <c r="J396" s="24"/>
      <c r="K396" s="31" t="s">
        <v>774</v>
      </c>
      <c r="L396" s="31" t="s">
        <v>775</v>
      </c>
      <c r="M396" s="25"/>
    </row>
    <row r="397" spans="1:13" ht="51" x14ac:dyDescent="0.25">
      <c r="A397" s="29" t="str">
        <f t="shared" si="36"/>
        <v>1</v>
      </c>
      <c r="B397" s="29" t="str">
        <f t="shared" si="37"/>
        <v>3</v>
      </c>
      <c r="C397" s="29" t="str">
        <f t="shared" si="38"/>
        <v>4</v>
      </c>
      <c r="D397" s="29" t="str">
        <f t="shared" si="39"/>
        <v>2</v>
      </c>
      <c r="E397" s="29" t="str">
        <f t="shared" si="40"/>
        <v>00</v>
      </c>
      <c r="F397" s="29" t="str">
        <f t="shared" si="41"/>
        <v>12</v>
      </c>
      <c r="G397" s="62">
        <v>13420012</v>
      </c>
      <c r="H397" s="29" t="s">
        <v>830</v>
      </c>
      <c r="I397" s="30" t="s">
        <v>831</v>
      </c>
      <c r="J397" s="24"/>
      <c r="K397" s="31" t="s">
        <v>774</v>
      </c>
      <c r="L397" s="31" t="s">
        <v>775</v>
      </c>
      <c r="M397" s="25"/>
    </row>
    <row r="398" spans="1:13" ht="38.25" x14ac:dyDescent="0.25">
      <c r="A398" s="12" t="str">
        <f t="shared" si="36"/>
        <v>1</v>
      </c>
      <c r="B398" s="12" t="str">
        <f t="shared" si="37"/>
        <v>3</v>
      </c>
      <c r="C398" s="12" t="str">
        <f t="shared" si="38"/>
        <v>4</v>
      </c>
      <c r="D398" s="12" t="str">
        <f t="shared" si="39"/>
        <v>3</v>
      </c>
      <c r="E398" s="12" t="str">
        <f t="shared" si="40"/>
        <v>00</v>
      </c>
      <c r="F398" s="12" t="str">
        <f t="shared" si="41"/>
        <v>00</v>
      </c>
      <c r="G398" s="55">
        <v>13430000</v>
      </c>
      <c r="H398" s="12" t="s">
        <v>832</v>
      </c>
      <c r="I398" s="13" t="s">
        <v>833</v>
      </c>
      <c r="J398" s="12"/>
      <c r="K398" s="12" t="s">
        <v>217</v>
      </c>
      <c r="L398" s="12" t="s">
        <v>834</v>
      </c>
      <c r="M398" s="13"/>
    </row>
    <row r="399" spans="1:13" ht="25.5" x14ac:dyDescent="0.25">
      <c r="A399" s="14" t="str">
        <f t="shared" si="36"/>
        <v>1</v>
      </c>
      <c r="B399" s="14" t="str">
        <f t="shared" si="37"/>
        <v>3</v>
      </c>
      <c r="C399" s="14" t="str">
        <f t="shared" si="38"/>
        <v>4</v>
      </c>
      <c r="D399" s="14" t="str">
        <f t="shared" si="39"/>
        <v>3</v>
      </c>
      <c r="E399" s="14" t="str">
        <f t="shared" si="40"/>
        <v>10</v>
      </c>
      <c r="F399" s="14" t="str">
        <f t="shared" si="41"/>
        <v>00</v>
      </c>
      <c r="G399" s="56">
        <v>13431000</v>
      </c>
      <c r="H399" s="14" t="s">
        <v>835</v>
      </c>
      <c r="I399" s="15" t="s">
        <v>836</v>
      </c>
      <c r="J399" s="14"/>
      <c r="K399" s="14" t="s">
        <v>217</v>
      </c>
      <c r="L399" s="14" t="s">
        <v>834</v>
      </c>
      <c r="M399" s="14"/>
    </row>
    <row r="400" spans="1:13" ht="38.25" x14ac:dyDescent="0.25">
      <c r="A400" s="14" t="str">
        <f t="shared" si="36"/>
        <v>1</v>
      </c>
      <c r="B400" s="14" t="str">
        <f t="shared" si="37"/>
        <v>3</v>
      </c>
      <c r="C400" s="14" t="str">
        <f t="shared" si="38"/>
        <v>4</v>
      </c>
      <c r="D400" s="14" t="str">
        <f t="shared" si="39"/>
        <v>3</v>
      </c>
      <c r="E400" s="14" t="str">
        <f t="shared" si="40"/>
        <v>11</v>
      </c>
      <c r="F400" s="14" t="str">
        <f t="shared" si="41"/>
        <v>00</v>
      </c>
      <c r="G400" s="56">
        <v>13431100</v>
      </c>
      <c r="H400" s="14" t="s">
        <v>837</v>
      </c>
      <c r="I400" s="15" t="s">
        <v>838</v>
      </c>
      <c r="J400" s="14"/>
      <c r="K400" s="14" t="s">
        <v>217</v>
      </c>
      <c r="L400" s="14" t="s">
        <v>834</v>
      </c>
      <c r="M400" s="14"/>
    </row>
    <row r="401" spans="1:13" ht="38.25" x14ac:dyDescent="0.25">
      <c r="A401" s="14" t="str">
        <f t="shared" si="36"/>
        <v>1</v>
      </c>
      <c r="B401" s="14" t="str">
        <f t="shared" si="37"/>
        <v>3</v>
      </c>
      <c r="C401" s="14" t="str">
        <f t="shared" si="38"/>
        <v>4</v>
      </c>
      <c r="D401" s="14" t="str">
        <f t="shared" si="39"/>
        <v>3</v>
      </c>
      <c r="E401" s="14" t="str">
        <f t="shared" si="40"/>
        <v>12</v>
      </c>
      <c r="F401" s="14" t="str">
        <f t="shared" si="41"/>
        <v>00</v>
      </c>
      <c r="G401" s="56">
        <v>13431200</v>
      </c>
      <c r="H401" s="14" t="s">
        <v>839</v>
      </c>
      <c r="I401" s="15" t="s">
        <v>840</v>
      </c>
      <c r="J401" s="14"/>
      <c r="K401" s="14" t="s">
        <v>217</v>
      </c>
      <c r="L401" s="14" t="s">
        <v>834</v>
      </c>
      <c r="M401" s="14"/>
    </row>
    <row r="402" spans="1:13" ht="51" x14ac:dyDescent="0.25">
      <c r="A402" s="24" t="str">
        <f t="shared" si="36"/>
        <v>1</v>
      </c>
      <c r="B402" s="24" t="str">
        <f t="shared" si="37"/>
        <v>3</v>
      </c>
      <c r="C402" s="24" t="str">
        <f t="shared" si="38"/>
        <v>4</v>
      </c>
      <c r="D402" s="24" t="str">
        <f t="shared" si="39"/>
        <v>3</v>
      </c>
      <c r="E402" s="24" t="str">
        <f t="shared" si="40"/>
        <v>12</v>
      </c>
      <c r="F402" s="24" t="str">
        <f t="shared" si="41"/>
        <v>10</v>
      </c>
      <c r="G402" s="60">
        <v>13431210</v>
      </c>
      <c r="H402" s="24" t="s">
        <v>841</v>
      </c>
      <c r="I402" s="25" t="s">
        <v>842</v>
      </c>
      <c r="J402" s="24"/>
      <c r="K402" s="31" t="s">
        <v>217</v>
      </c>
      <c r="L402" s="31" t="s">
        <v>834</v>
      </c>
      <c r="M402" s="25"/>
    </row>
    <row r="403" spans="1:13" ht="51" x14ac:dyDescent="0.25">
      <c r="A403" s="24" t="str">
        <f t="shared" si="36"/>
        <v>1</v>
      </c>
      <c r="B403" s="24" t="str">
        <f t="shared" si="37"/>
        <v>3</v>
      </c>
      <c r="C403" s="24" t="str">
        <f t="shared" si="38"/>
        <v>4</v>
      </c>
      <c r="D403" s="24" t="str">
        <f t="shared" si="39"/>
        <v>3</v>
      </c>
      <c r="E403" s="24" t="str">
        <f t="shared" si="40"/>
        <v>12</v>
      </c>
      <c r="F403" s="24" t="str">
        <f t="shared" si="41"/>
        <v>20</v>
      </c>
      <c r="G403" s="60">
        <v>13431220</v>
      </c>
      <c r="H403" s="24" t="s">
        <v>843</v>
      </c>
      <c r="I403" s="25" t="s">
        <v>844</v>
      </c>
      <c r="J403" s="24"/>
      <c r="K403" s="31" t="s">
        <v>217</v>
      </c>
      <c r="L403" s="31" t="s">
        <v>834</v>
      </c>
      <c r="M403" s="25"/>
    </row>
    <row r="404" spans="1:13" ht="25.5" x14ac:dyDescent="0.25">
      <c r="A404" s="14" t="str">
        <f t="shared" si="36"/>
        <v>1</v>
      </c>
      <c r="B404" s="14" t="str">
        <f t="shared" si="37"/>
        <v>3</v>
      </c>
      <c r="C404" s="14" t="str">
        <f t="shared" si="38"/>
        <v>4</v>
      </c>
      <c r="D404" s="14" t="str">
        <f t="shared" si="39"/>
        <v>3</v>
      </c>
      <c r="E404" s="14" t="str">
        <f t="shared" si="40"/>
        <v>20</v>
      </c>
      <c r="F404" s="14" t="str">
        <f t="shared" si="41"/>
        <v>00</v>
      </c>
      <c r="G404" s="56">
        <v>13432000</v>
      </c>
      <c r="H404" s="14" t="s">
        <v>845</v>
      </c>
      <c r="I404" s="15" t="s">
        <v>846</v>
      </c>
      <c r="J404" s="14"/>
      <c r="K404" s="14" t="s">
        <v>217</v>
      </c>
      <c r="L404" s="14" t="s">
        <v>834</v>
      </c>
      <c r="M404" s="14"/>
    </row>
    <row r="405" spans="1:13" ht="38.25" x14ac:dyDescent="0.25">
      <c r="A405" s="14" t="str">
        <f t="shared" si="36"/>
        <v>1</v>
      </c>
      <c r="B405" s="14" t="str">
        <f t="shared" si="37"/>
        <v>3</v>
      </c>
      <c r="C405" s="14" t="str">
        <f t="shared" si="38"/>
        <v>4</v>
      </c>
      <c r="D405" s="14" t="str">
        <f t="shared" si="39"/>
        <v>3</v>
      </c>
      <c r="E405" s="14" t="str">
        <f t="shared" si="40"/>
        <v>21</v>
      </c>
      <c r="F405" s="14" t="str">
        <f t="shared" si="41"/>
        <v>00</v>
      </c>
      <c r="G405" s="56">
        <v>13432100</v>
      </c>
      <c r="H405" s="14" t="s">
        <v>847</v>
      </c>
      <c r="I405" s="15" t="s">
        <v>848</v>
      </c>
      <c r="J405" s="14"/>
      <c r="K405" s="14" t="s">
        <v>217</v>
      </c>
      <c r="L405" s="14" t="s">
        <v>834</v>
      </c>
      <c r="M405" s="14"/>
    </row>
    <row r="406" spans="1:13" ht="38.25" x14ac:dyDescent="0.25">
      <c r="A406" s="14" t="str">
        <f t="shared" si="36"/>
        <v>1</v>
      </c>
      <c r="B406" s="14" t="str">
        <f t="shared" si="37"/>
        <v>3</v>
      </c>
      <c r="C406" s="14" t="str">
        <f t="shared" si="38"/>
        <v>4</v>
      </c>
      <c r="D406" s="14" t="str">
        <f t="shared" si="39"/>
        <v>3</v>
      </c>
      <c r="E406" s="14" t="str">
        <f t="shared" si="40"/>
        <v>22</v>
      </c>
      <c r="F406" s="14" t="str">
        <f t="shared" si="41"/>
        <v>00</v>
      </c>
      <c r="G406" s="56">
        <v>13432200</v>
      </c>
      <c r="H406" s="14" t="s">
        <v>849</v>
      </c>
      <c r="I406" s="15" t="s">
        <v>850</v>
      </c>
      <c r="J406" s="14"/>
      <c r="K406" s="14" t="s">
        <v>217</v>
      </c>
      <c r="L406" s="14" t="s">
        <v>834</v>
      </c>
      <c r="M406" s="14"/>
    </row>
    <row r="407" spans="1:13" ht="51" x14ac:dyDescent="0.25">
      <c r="A407" s="24" t="str">
        <f t="shared" si="36"/>
        <v>1</v>
      </c>
      <c r="B407" s="24" t="str">
        <f t="shared" si="37"/>
        <v>3</v>
      </c>
      <c r="C407" s="24" t="str">
        <f t="shared" si="38"/>
        <v>4</v>
      </c>
      <c r="D407" s="24" t="str">
        <f t="shared" si="39"/>
        <v>3</v>
      </c>
      <c r="E407" s="24" t="str">
        <f t="shared" si="40"/>
        <v>22</v>
      </c>
      <c r="F407" s="24" t="str">
        <f t="shared" si="41"/>
        <v>10</v>
      </c>
      <c r="G407" s="60">
        <v>13432210</v>
      </c>
      <c r="H407" s="24" t="s">
        <v>851</v>
      </c>
      <c r="I407" s="25" t="s">
        <v>852</v>
      </c>
      <c r="J407" s="24"/>
      <c r="K407" s="31" t="s">
        <v>217</v>
      </c>
      <c r="L407" s="31" t="s">
        <v>834</v>
      </c>
      <c r="M407" s="25"/>
    </row>
    <row r="408" spans="1:13" ht="51" x14ac:dyDescent="0.25">
      <c r="A408" s="24" t="str">
        <f t="shared" si="36"/>
        <v>1</v>
      </c>
      <c r="B408" s="24" t="str">
        <f t="shared" si="37"/>
        <v>3</v>
      </c>
      <c r="C408" s="24" t="str">
        <f t="shared" si="38"/>
        <v>4</v>
      </c>
      <c r="D408" s="24" t="str">
        <f t="shared" si="39"/>
        <v>3</v>
      </c>
      <c r="E408" s="24" t="str">
        <f t="shared" si="40"/>
        <v>22</v>
      </c>
      <c r="F408" s="24" t="str">
        <f t="shared" si="41"/>
        <v>20</v>
      </c>
      <c r="G408" s="60">
        <v>13432220</v>
      </c>
      <c r="H408" s="24" t="s">
        <v>853</v>
      </c>
      <c r="I408" s="25" t="s">
        <v>854</v>
      </c>
      <c r="J408" s="24"/>
      <c r="K408" s="31" t="s">
        <v>217</v>
      </c>
      <c r="L408" s="31" t="s">
        <v>834</v>
      </c>
      <c r="M408" s="25"/>
    </row>
    <row r="409" spans="1:13" ht="38.25" x14ac:dyDescent="0.25">
      <c r="A409" s="12" t="str">
        <f t="shared" si="36"/>
        <v>1</v>
      </c>
      <c r="B409" s="12" t="str">
        <f t="shared" si="37"/>
        <v>3</v>
      </c>
      <c r="C409" s="12" t="str">
        <f t="shared" si="38"/>
        <v>4</v>
      </c>
      <c r="D409" s="12" t="str">
        <f t="shared" si="39"/>
        <v>4</v>
      </c>
      <c r="E409" s="12" t="str">
        <f t="shared" si="40"/>
        <v>00</v>
      </c>
      <c r="F409" s="12" t="str">
        <f t="shared" si="41"/>
        <v>00</v>
      </c>
      <c r="G409" s="55">
        <v>13440000</v>
      </c>
      <c r="H409" s="12" t="s">
        <v>855</v>
      </c>
      <c r="I409" s="13" t="s">
        <v>773</v>
      </c>
      <c r="J409" s="12"/>
      <c r="K409" s="12" t="s">
        <v>217</v>
      </c>
      <c r="L409" s="12" t="s">
        <v>856</v>
      </c>
      <c r="M409" s="13"/>
    </row>
    <row r="410" spans="1:13" ht="38.25" x14ac:dyDescent="0.25">
      <c r="A410" s="14" t="str">
        <f t="shared" si="36"/>
        <v>1</v>
      </c>
      <c r="B410" s="14" t="str">
        <f t="shared" si="37"/>
        <v>3</v>
      </c>
      <c r="C410" s="14" t="str">
        <f t="shared" si="38"/>
        <v>4</v>
      </c>
      <c r="D410" s="14" t="str">
        <f t="shared" si="39"/>
        <v>4</v>
      </c>
      <c r="E410" s="14" t="str">
        <f t="shared" si="40"/>
        <v>11</v>
      </c>
      <c r="F410" s="14" t="str">
        <f t="shared" si="41"/>
        <v>00</v>
      </c>
      <c r="G410" s="56">
        <v>13441100</v>
      </c>
      <c r="H410" s="14" t="s">
        <v>857</v>
      </c>
      <c r="I410" s="15" t="s">
        <v>858</v>
      </c>
      <c r="J410" s="14"/>
      <c r="K410" s="14" t="s">
        <v>217</v>
      </c>
      <c r="L410" s="14" t="s">
        <v>856</v>
      </c>
      <c r="M410" s="14"/>
    </row>
    <row r="411" spans="1:13" ht="38.25" x14ac:dyDescent="0.25">
      <c r="A411" s="14" t="str">
        <f t="shared" si="36"/>
        <v>1</v>
      </c>
      <c r="B411" s="14" t="str">
        <f t="shared" si="37"/>
        <v>3</v>
      </c>
      <c r="C411" s="14" t="str">
        <f t="shared" si="38"/>
        <v>4</v>
      </c>
      <c r="D411" s="14" t="str">
        <f t="shared" si="39"/>
        <v>4</v>
      </c>
      <c r="E411" s="14" t="str">
        <f t="shared" si="40"/>
        <v>12</v>
      </c>
      <c r="F411" s="14" t="str">
        <f t="shared" si="41"/>
        <v>00</v>
      </c>
      <c r="G411" s="56">
        <v>13441200</v>
      </c>
      <c r="H411" s="14" t="s">
        <v>859</v>
      </c>
      <c r="I411" s="15" t="s">
        <v>860</v>
      </c>
      <c r="J411" s="14"/>
      <c r="K411" s="14" t="s">
        <v>217</v>
      </c>
      <c r="L411" s="14" t="s">
        <v>856</v>
      </c>
      <c r="M411" s="14"/>
    </row>
    <row r="412" spans="1:13" ht="76.5" x14ac:dyDescent="0.25">
      <c r="A412" s="16" t="str">
        <f t="shared" si="36"/>
        <v>1</v>
      </c>
      <c r="B412" s="16" t="str">
        <f t="shared" si="37"/>
        <v>3</v>
      </c>
      <c r="C412" s="16" t="str">
        <f t="shared" si="38"/>
        <v>4</v>
      </c>
      <c r="D412" s="16" t="str">
        <f t="shared" si="39"/>
        <v>4</v>
      </c>
      <c r="E412" s="16" t="str">
        <f t="shared" si="40"/>
        <v>12</v>
      </c>
      <c r="F412" s="16" t="str">
        <f t="shared" si="41"/>
        <v>11</v>
      </c>
      <c r="G412" s="57">
        <v>13441211</v>
      </c>
      <c r="H412" s="16" t="s">
        <v>861</v>
      </c>
      <c r="I412" s="17" t="s">
        <v>862</v>
      </c>
      <c r="J412" s="16"/>
      <c r="K412" s="16" t="s">
        <v>217</v>
      </c>
      <c r="L412" s="16" t="s">
        <v>856</v>
      </c>
      <c r="M412" s="17"/>
    </row>
    <row r="413" spans="1:13" ht="102" x14ac:dyDescent="0.25">
      <c r="A413" s="16" t="str">
        <f t="shared" si="36"/>
        <v>1</v>
      </c>
      <c r="B413" s="16" t="str">
        <f t="shared" si="37"/>
        <v>3</v>
      </c>
      <c r="C413" s="16" t="str">
        <f t="shared" si="38"/>
        <v>4</v>
      </c>
      <c r="D413" s="16" t="str">
        <f t="shared" si="39"/>
        <v>4</v>
      </c>
      <c r="E413" s="16" t="str">
        <f t="shared" si="40"/>
        <v>12</v>
      </c>
      <c r="F413" s="16" t="str">
        <f t="shared" si="41"/>
        <v>12</v>
      </c>
      <c r="G413" s="57">
        <v>13441212</v>
      </c>
      <c r="H413" s="16" t="s">
        <v>863</v>
      </c>
      <c r="I413" s="17" t="s">
        <v>864</v>
      </c>
      <c r="J413" s="16"/>
      <c r="K413" s="16" t="s">
        <v>217</v>
      </c>
      <c r="L413" s="16" t="s">
        <v>856</v>
      </c>
      <c r="M413" s="17"/>
    </row>
    <row r="414" spans="1:13" ht="63.75" x14ac:dyDescent="0.25">
      <c r="A414" s="16" t="str">
        <f t="shared" si="36"/>
        <v>1</v>
      </c>
      <c r="B414" s="16" t="str">
        <f t="shared" si="37"/>
        <v>3</v>
      </c>
      <c r="C414" s="16" t="str">
        <f t="shared" si="38"/>
        <v>4</v>
      </c>
      <c r="D414" s="16" t="str">
        <f t="shared" si="39"/>
        <v>4</v>
      </c>
      <c r="E414" s="16" t="str">
        <f t="shared" si="40"/>
        <v>12</v>
      </c>
      <c r="F414" s="16" t="str">
        <f t="shared" si="41"/>
        <v>20</v>
      </c>
      <c r="G414" s="57">
        <v>13441220</v>
      </c>
      <c r="H414" s="16" t="s">
        <v>865</v>
      </c>
      <c r="I414" s="17" t="s">
        <v>866</v>
      </c>
      <c r="J414" s="16"/>
      <c r="K414" s="16" t="s">
        <v>217</v>
      </c>
      <c r="L414" s="16" t="s">
        <v>856</v>
      </c>
      <c r="M414" s="17"/>
    </row>
    <row r="415" spans="1:13" ht="38.25" x14ac:dyDescent="0.25">
      <c r="A415" s="14" t="str">
        <f t="shared" si="36"/>
        <v>1</v>
      </c>
      <c r="B415" s="14" t="str">
        <f t="shared" si="37"/>
        <v>3</v>
      </c>
      <c r="C415" s="14" t="str">
        <f t="shared" si="38"/>
        <v>4</v>
      </c>
      <c r="D415" s="14" t="str">
        <f t="shared" si="39"/>
        <v>4</v>
      </c>
      <c r="E415" s="14" t="str">
        <f t="shared" si="40"/>
        <v>21</v>
      </c>
      <c r="F415" s="14" t="str">
        <f t="shared" si="41"/>
        <v>00</v>
      </c>
      <c r="G415" s="56">
        <v>13442100</v>
      </c>
      <c r="H415" s="14" t="s">
        <v>867</v>
      </c>
      <c r="I415" s="15" t="s">
        <v>868</v>
      </c>
      <c r="J415" s="14"/>
      <c r="K415" s="14" t="s">
        <v>217</v>
      </c>
      <c r="L415" s="14" t="s">
        <v>856</v>
      </c>
      <c r="M415" s="14"/>
    </row>
    <row r="416" spans="1:13" ht="38.25" x14ac:dyDescent="0.25">
      <c r="A416" s="14" t="str">
        <f t="shared" si="36"/>
        <v>1</v>
      </c>
      <c r="B416" s="14" t="str">
        <f t="shared" si="37"/>
        <v>3</v>
      </c>
      <c r="C416" s="14" t="str">
        <f t="shared" si="38"/>
        <v>4</v>
      </c>
      <c r="D416" s="14" t="str">
        <f t="shared" si="39"/>
        <v>4</v>
      </c>
      <c r="E416" s="14" t="str">
        <f t="shared" si="40"/>
        <v>22</v>
      </c>
      <c r="F416" s="14" t="str">
        <f t="shared" si="41"/>
        <v>00</v>
      </c>
      <c r="G416" s="56">
        <v>13442200</v>
      </c>
      <c r="H416" s="14" t="s">
        <v>869</v>
      </c>
      <c r="I416" s="15" t="s">
        <v>870</v>
      </c>
      <c r="J416" s="14"/>
      <c r="K416" s="14" t="s">
        <v>217</v>
      </c>
      <c r="L416" s="14" t="s">
        <v>856</v>
      </c>
      <c r="M416" s="14"/>
    </row>
    <row r="417" spans="1:13" ht="63.75" x14ac:dyDescent="0.25">
      <c r="A417" s="16" t="str">
        <f t="shared" si="36"/>
        <v>1</v>
      </c>
      <c r="B417" s="16" t="str">
        <f t="shared" si="37"/>
        <v>3</v>
      </c>
      <c r="C417" s="16" t="str">
        <f t="shared" si="38"/>
        <v>4</v>
      </c>
      <c r="D417" s="16" t="str">
        <f t="shared" si="39"/>
        <v>4</v>
      </c>
      <c r="E417" s="16" t="str">
        <f t="shared" si="40"/>
        <v>22</v>
      </c>
      <c r="F417" s="16" t="str">
        <f t="shared" si="41"/>
        <v>11</v>
      </c>
      <c r="G417" s="57">
        <v>13442211</v>
      </c>
      <c r="H417" s="16" t="s">
        <v>871</v>
      </c>
      <c r="I417" s="17" t="s">
        <v>872</v>
      </c>
      <c r="J417" s="16"/>
      <c r="K417" s="16" t="s">
        <v>217</v>
      </c>
      <c r="L417" s="16" t="s">
        <v>856</v>
      </c>
      <c r="M417" s="17"/>
    </row>
    <row r="418" spans="1:13" ht="102" x14ac:dyDescent="0.25">
      <c r="A418" s="16" t="str">
        <f t="shared" si="36"/>
        <v>1</v>
      </c>
      <c r="B418" s="16" t="str">
        <f t="shared" si="37"/>
        <v>3</v>
      </c>
      <c r="C418" s="16" t="str">
        <f t="shared" si="38"/>
        <v>4</v>
      </c>
      <c r="D418" s="16" t="str">
        <f t="shared" si="39"/>
        <v>4</v>
      </c>
      <c r="E418" s="16" t="str">
        <f t="shared" si="40"/>
        <v>22</v>
      </c>
      <c r="F418" s="16" t="str">
        <f t="shared" si="41"/>
        <v>12</v>
      </c>
      <c r="G418" s="57">
        <v>13442212</v>
      </c>
      <c r="H418" s="16" t="s">
        <v>873</v>
      </c>
      <c r="I418" s="17" t="s">
        <v>874</v>
      </c>
      <c r="J418" s="16"/>
      <c r="K418" s="16" t="s">
        <v>217</v>
      </c>
      <c r="L418" s="16" t="s">
        <v>856</v>
      </c>
      <c r="M418" s="17"/>
    </row>
    <row r="419" spans="1:13" ht="63.75" x14ac:dyDescent="0.25">
      <c r="A419" s="16" t="str">
        <f t="shared" si="36"/>
        <v>1</v>
      </c>
      <c r="B419" s="16" t="str">
        <f t="shared" si="37"/>
        <v>3</v>
      </c>
      <c r="C419" s="16" t="str">
        <f t="shared" si="38"/>
        <v>4</v>
      </c>
      <c r="D419" s="16" t="str">
        <f t="shared" si="39"/>
        <v>4</v>
      </c>
      <c r="E419" s="16" t="str">
        <f t="shared" si="40"/>
        <v>22</v>
      </c>
      <c r="F419" s="16" t="str">
        <f t="shared" si="41"/>
        <v>20</v>
      </c>
      <c r="G419" s="57">
        <v>13442220</v>
      </c>
      <c r="H419" s="16" t="s">
        <v>875</v>
      </c>
      <c r="I419" s="17" t="s">
        <v>876</v>
      </c>
      <c r="J419" s="16"/>
      <c r="K419" s="16" t="s">
        <v>217</v>
      </c>
      <c r="L419" s="16" t="s">
        <v>856</v>
      </c>
      <c r="M419" s="17"/>
    </row>
    <row r="420" spans="1:13" ht="63.75" x14ac:dyDescent="0.25">
      <c r="A420" s="14" t="str">
        <f t="shared" si="36"/>
        <v>1</v>
      </c>
      <c r="B420" s="14" t="str">
        <f t="shared" si="37"/>
        <v>3</v>
      </c>
      <c r="C420" s="14" t="str">
        <f t="shared" si="38"/>
        <v>4</v>
      </c>
      <c r="D420" s="14" t="str">
        <f t="shared" si="39"/>
        <v>4</v>
      </c>
      <c r="E420" s="14" t="str">
        <f t="shared" si="40"/>
        <v>31</v>
      </c>
      <c r="F420" s="14" t="str">
        <f t="shared" si="41"/>
        <v>00</v>
      </c>
      <c r="G420" s="56">
        <v>13443100</v>
      </c>
      <c r="H420" s="14" t="s">
        <v>877</v>
      </c>
      <c r="I420" s="15" t="s">
        <v>878</v>
      </c>
      <c r="J420" s="14"/>
      <c r="K420" s="14" t="s">
        <v>217</v>
      </c>
      <c r="L420" s="14" t="s">
        <v>856</v>
      </c>
      <c r="M420" s="14"/>
    </row>
    <row r="421" spans="1:13" ht="63.75" x14ac:dyDescent="0.25">
      <c r="A421" s="14" t="str">
        <f t="shared" si="36"/>
        <v>1</v>
      </c>
      <c r="B421" s="14" t="str">
        <f t="shared" si="37"/>
        <v>3</v>
      </c>
      <c r="C421" s="14" t="str">
        <f t="shared" si="38"/>
        <v>4</v>
      </c>
      <c r="D421" s="14" t="str">
        <f t="shared" si="39"/>
        <v>4</v>
      </c>
      <c r="E421" s="14" t="str">
        <f t="shared" si="40"/>
        <v>32</v>
      </c>
      <c r="F421" s="14" t="str">
        <f t="shared" si="41"/>
        <v>00</v>
      </c>
      <c r="G421" s="56">
        <v>13443200</v>
      </c>
      <c r="H421" s="14" t="s">
        <v>879</v>
      </c>
      <c r="I421" s="15" t="s">
        <v>880</v>
      </c>
      <c r="J421" s="14"/>
      <c r="K421" s="14" t="s">
        <v>217</v>
      </c>
      <c r="L421" s="14" t="s">
        <v>856</v>
      </c>
      <c r="M421" s="14"/>
    </row>
    <row r="422" spans="1:13" ht="102" x14ac:dyDescent="0.25">
      <c r="A422" s="16" t="str">
        <f t="shared" si="36"/>
        <v>1</v>
      </c>
      <c r="B422" s="16" t="str">
        <f t="shared" si="37"/>
        <v>3</v>
      </c>
      <c r="C422" s="16" t="str">
        <f t="shared" si="38"/>
        <v>4</v>
      </c>
      <c r="D422" s="16" t="str">
        <f t="shared" si="39"/>
        <v>4</v>
      </c>
      <c r="E422" s="16" t="str">
        <f t="shared" si="40"/>
        <v>32</v>
      </c>
      <c r="F422" s="16" t="str">
        <f t="shared" si="41"/>
        <v>11</v>
      </c>
      <c r="G422" s="57">
        <v>13443211</v>
      </c>
      <c r="H422" s="16" t="s">
        <v>881</v>
      </c>
      <c r="I422" s="17" t="s">
        <v>882</v>
      </c>
      <c r="J422" s="16"/>
      <c r="K422" s="16" t="s">
        <v>217</v>
      </c>
      <c r="L422" s="16" t="s">
        <v>856</v>
      </c>
      <c r="M422" s="17"/>
    </row>
    <row r="423" spans="1:13" ht="140.25" x14ac:dyDescent="0.25">
      <c r="A423" s="16" t="str">
        <f t="shared" si="36"/>
        <v>1</v>
      </c>
      <c r="B423" s="16" t="str">
        <f t="shared" si="37"/>
        <v>3</v>
      </c>
      <c r="C423" s="16" t="str">
        <f t="shared" si="38"/>
        <v>4</v>
      </c>
      <c r="D423" s="16" t="str">
        <f t="shared" si="39"/>
        <v>4</v>
      </c>
      <c r="E423" s="16" t="str">
        <f t="shared" si="40"/>
        <v>32</v>
      </c>
      <c r="F423" s="16" t="str">
        <f t="shared" si="41"/>
        <v>12</v>
      </c>
      <c r="G423" s="57">
        <v>13443212</v>
      </c>
      <c r="H423" s="16" t="s">
        <v>883</v>
      </c>
      <c r="I423" s="17" t="s">
        <v>884</v>
      </c>
      <c r="J423" s="16"/>
      <c r="K423" s="16" t="s">
        <v>217</v>
      </c>
      <c r="L423" s="16" t="s">
        <v>856</v>
      </c>
      <c r="M423" s="17"/>
    </row>
    <row r="424" spans="1:13" ht="76.5" x14ac:dyDescent="0.25">
      <c r="A424" s="16" t="str">
        <f t="shared" si="36"/>
        <v>1</v>
      </c>
      <c r="B424" s="16" t="str">
        <f t="shared" si="37"/>
        <v>3</v>
      </c>
      <c r="C424" s="16" t="str">
        <f t="shared" si="38"/>
        <v>4</v>
      </c>
      <c r="D424" s="16" t="str">
        <f t="shared" si="39"/>
        <v>4</v>
      </c>
      <c r="E424" s="16" t="str">
        <f t="shared" si="40"/>
        <v>32</v>
      </c>
      <c r="F424" s="16" t="str">
        <f t="shared" si="41"/>
        <v>20</v>
      </c>
      <c r="G424" s="57">
        <v>13443220</v>
      </c>
      <c r="H424" s="16" t="s">
        <v>885</v>
      </c>
      <c r="I424" s="17" t="s">
        <v>886</v>
      </c>
      <c r="J424" s="16"/>
      <c r="K424" s="16" t="s">
        <v>217</v>
      </c>
      <c r="L424" s="16" t="s">
        <v>856</v>
      </c>
      <c r="M424" s="17"/>
    </row>
    <row r="425" spans="1:13" ht="38.25" x14ac:dyDescent="0.25">
      <c r="A425" s="10" t="str">
        <f t="shared" si="36"/>
        <v>1</v>
      </c>
      <c r="B425" s="10" t="str">
        <f t="shared" si="37"/>
        <v>3</v>
      </c>
      <c r="C425" s="10" t="str">
        <f t="shared" si="38"/>
        <v>5</v>
      </c>
      <c r="D425" s="10" t="str">
        <f t="shared" si="39"/>
        <v>0</v>
      </c>
      <c r="E425" s="10" t="str">
        <f t="shared" si="40"/>
        <v>00</v>
      </c>
      <c r="F425" s="10" t="str">
        <f t="shared" si="41"/>
        <v>00</v>
      </c>
      <c r="G425" s="54">
        <v>13500000</v>
      </c>
      <c r="H425" s="10" t="s">
        <v>784</v>
      </c>
      <c r="I425" s="11" t="s">
        <v>887</v>
      </c>
      <c r="J425" s="10"/>
      <c r="K425" s="10"/>
      <c r="L425" s="10"/>
      <c r="M425" s="11"/>
    </row>
    <row r="426" spans="1:13" ht="25.5" x14ac:dyDescent="0.25">
      <c r="A426" s="12" t="str">
        <f t="shared" si="36"/>
        <v>1</v>
      </c>
      <c r="B426" s="12" t="str">
        <f t="shared" si="37"/>
        <v>3</v>
      </c>
      <c r="C426" s="12" t="str">
        <f t="shared" si="38"/>
        <v>5</v>
      </c>
      <c r="D426" s="12" t="str">
        <f t="shared" si="39"/>
        <v>1</v>
      </c>
      <c r="E426" s="12" t="str">
        <f t="shared" si="40"/>
        <v>00</v>
      </c>
      <c r="F426" s="12" t="str">
        <f t="shared" si="41"/>
        <v>00</v>
      </c>
      <c r="G426" s="55">
        <v>13510000</v>
      </c>
      <c r="H426" s="12" t="s">
        <v>888</v>
      </c>
      <c r="I426" s="13" t="s">
        <v>889</v>
      </c>
      <c r="J426" s="12"/>
      <c r="K426" s="12"/>
      <c r="L426" s="12"/>
      <c r="M426" s="13"/>
    </row>
    <row r="427" spans="1:13" ht="25.5" x14ac:dyDescent="0.25">
      <c r="A427" s="14" t="str">
        <f t="shared" si="36"/>
        <v>1</v>
      </c>
      <c r="B427" s="14" t="str">
        <f t="shared" si="37"/>
        <v>3</v>
      </c>
      <c r="C427" s="14" t="str">
        <f t="shared" si="38"/>
        <v>5</v>
      </c>
      <c r="D427" s="14" t="str">
        <f t="shared" si="39"/>
        <v>1</v>
      </c>
      <c r="E427" s="14" t="str">
        <f t="shared" si="40"/>
        <v>01</v>
      </c>
      <c r="F427" s="14" t="str">
        <f t="shared" si="41"/>
        <v>00</v>
      </c>
      <c r="G427" s="56">
        <v>13510100</v>
      </c>
      <c r="H427" s="14" t="s">
        <v>890</v>
      </c>
      <c r="I427" s="15" t="s">
        <v>891</v>
      </c>
      <c r="J427" s="14"/>
      <c r="K427" s="14"/>
      <c r="L427" s="14"/>
      <c r="M427" s="14"/>
    </row>
    <row r="428" spans="1:13" ht="51" x14ac:dyDescent="0.25">
      <c r="A428" s="14" t="str">
        <f t="shared" si="36"/>
        <v>1</v>
      </c>
      <c r="B428" s="14" t="str">
        <f t="shared" si="37"/>
        <v>3</v>
      </c>
      <c r="C428" s="14" t="str">
        <f t="shared" si="38"/>
        <v>5</v>
      </c>
      <c r="D428" s="14" t="str">
        <f t="shared" si="39"/>
        <v>1</v>
      </c>
      <c r="E428" s="14" t="str">
        <f t="shared" si="40"/>
        <v>02</v>
      </c>
      <c r="F428" s="14" t="str">
        <f t="shared" si="41"/>
        <v>00</v>
      </c>
      <c r="G428" s="56">
        <v>13510200</v>
      </c>
      <c r="H428" s="14" t="s">
        <v>892</v>
      </c>
      <c r="I428" s="15" t="s">
        <v>893</v>
      </c>
      <c r="J428" s="14"/>
      <c r="K428" s="14"/>
      <c r="L428" s="14"/>
      <c r="M428" s="14"/>
    </row>
    <row r="429" spans="1:13" ht="38.25" x14ac:dyDescent="0.25">
      <c r="A429" s="14" t="str">
        <f t="shared" si="36"/>
        <v>1</v>
      </c>
      <c r="B429" s="14" t="str">
        <f t="shared" si="37"/>
        <v>3</v>
      </c>
      <c r="C429" s="14" t="str">
        <f t="shared" si="38"/>
        <v>5</v>
      </c>
      <c r="D429" s="14" t="str">
        <f t="shared" si="39"/>
        <v>1</v>
      </c>
      <c r="E429" s="14" t="str">
        <f t="shared" si="40"/>
        <v>03</v>
      </c>
      <c r="F429" s="14" t="str">
        <f t="shared" si="41"/>
        <v>00</v>
      </c>
      <c r="G429" s="56">
        <v>13510300</v>
      </c>
      <c r="H429" s="14" t="s">
        <v>894</v>
      </c>
      <c r="I429" s="15" t="s">
        <v>891</v>
      </c>
      <c r="J429" s="14"/>
      <c r="K429" s="14"/>
      <c r="L429" s="14"/>
      <c r="M429" s="14"/>
    </row>
    <row r="430" spans="1:13" ht="51" x14ac:dyDescent="0.25">
      <c r="A430" s="14" t="str">
        <f t="shared" si="36"/>
        <v>1</v>
      </c>
      <c r="B430" s="14" t="str">
        <f t="shared" si="37"/>
        <v>3</v>
      </c>
      <c r="C430" s="14" t="str">
        <f t="shared" si="38"/>
        <v>5</v>
      </c>
      <c r="D430" s="14" t="str">
        <f t="shared" si="39"/>
        <v>1</v>
      </c>
      <c r="E430" s="14" t="str">
        <f t="shared" si="40"/>
        <v>04</v>
      </c>
      <c r="F430" s="14" t="str">
        <f t="shared" si="41"/>
        <v>00</v>
      </c>
      <c r="G430" s="56">
        <v>13510400</v>
      </c>
      <c r="H430" s="14" t="s">
        <v>895</v>
      </c>
      <c r="I430" s="15" t="s">
        <v>893</v>
      </c>
      <c r="J430" s="14"/>
      <c r="K430" s="14"/>
      <c r="L430" s="14"/>
      <c r="M430" s="14"/>
    </row>
    <row r="431" spans="1:13" ht="38.25" x14ac:dyDescent="0.25">
      <c r="A431" s="12" t="str">
        <f t="shared" si="36"/>
        <v>1</v>
      </c>
      <c r="B431" s="12" t="str">
        <f t="shared" si="37"/>
        <v>3</v>
      </c>
      <c r="C431" s="12" t="str">
        <f t="shared" si="38"/>
        <v>5</v>
      </c>
      <c r="D431" s="12" t="str">
        <f t="shared" si="39"/>
        <v>2</v>
      </c>
      <c r="E431" s="12" t="str">
        <f t="shared" si="40"/>
        <v>00</v>
      </c>
      <c r="F431" s="12" t="str">
        <f t="shared" si="41"/>
        <v>00</v>
      </c>
      <c r="G431" s="55">
        <v>13520000</v>
      </c>
      <c r="H431" s="12" t="s">
        <v>896</v>
      </c>
      <c r="I431" s="13" t="s">
        <v>897</v>
      </c>
      <c r="J431" s="12"/>
      <c r="K431" s="12"/>
      <c r="L431" s="12"/>
      <c r="M431" s="13"/>
    </row>
    <row r="432" spans="1:13" ht="25.5" x14ac:dyDescent="0.25">
      <c r="A432" s="10" t="str">
        <f t="shared" si="36"/>
        <v>1</v>
      </c>
      <c r="B432" s="10" t="str">
        <f t="shared" si="37"/>
        <v>3</v>
      </c>
      <c r="C432" s="10" t="str">
        <f t="shared" si="38"/>
        <v>6</v>
      </c>
      <c r="D432" s="10" t="str">
        <f t="shared" si="39"/>
        <v>0</v>
      </c>
      <c r="E432" s="10" t="str">
        <f t="shared" si="40"/>
        <v>00</v>
      </c>
      <c r="F432" s="10" t="str">
        <f t="shared" si="41"/>
        <v>00</v>
      </c>
      <c r="G432" s="54">
        <v>13600000</v>
      </c>
      <c r="H432" s="10" t="s">
        <v>898</v>
      </c>
      <c r="I432" s="11" t="s">
        <v>899</v>
      </c>
      <c r="J432" s="10"/>
      <c r="K432" s="10"/>
      <c r="L432" s="10"/>
      <c r="M432" s="11"/>
    </row>
    <row r="433" spans="1:13" ht="25.5" x14ac:dyDescent="0.25">
      <c r="A433" s="12" t="str">
        <f t="shared" si="36"/>
        <v>1</v>
      </c>
      <c r="B433" s="12" t="str">
        <f t="shared" si="37"/>
        <v>3</v>
      </c>
      <c r="C433" s="12" t="str">
        <f t="shared" si="38"/>
        <v>6</v>
      </c>
      <c r="D433" s="12" t="str">
        <f t="shared" si="39"/>
        <v>1</v>
      </c>
      <c r="E433" s="12" t="str">
        <f t="shared" si="40"/>
        <v>00</v>
      </c>
      <c r="F433" s="12" t="str">
        <f t="shared" si="41"/>
        <v>00</v>
      </c>
      <c r="G433" s="55">
        <v>13610000</v>
      </c>
      <c r="H433" s="12" t="s">
        <v>900</v>
      </c>
      <c r="I433" s="13" t="s">
        <v>901</v>
      </c>
      <c r="J433" s="12"/>
      <c r="K433" s="12"/>
      <c r="L433" s="12"/>
      <c r="M433" s="13"/>
    </row>
    <row r="434" spans="1:13" ht="38.25" x14ac:dyDescent="0.25">
      <c r="A434" s="14" t="str">
        <f t="shared" si="36"/>
        <v>1</v>
      </c>
      <c r="B434" s="14" t="str">
        <f t="shared" si="37"/>
        <v>3</v>
      </c>
      <c r="C434" s="14" t="str">
        <f t="shared" si="38"/>
        <v>6</v>
      </c>
      <c r="D434" s="14" t="str">
        <f t="shared" si="39"/>
        <v>1</v>
      </c>
      <c r="E434" s="14" t="str">
        <f t="shared" si="40"/>
        <v>01</v>
      </c>
      <c r="F434" s="14" t="str">
        <f t="shared" si="41"/>
        <v>00</v>
      </c>
      <c r="G434" s="56">
        <v>13610100</v>
      </c>
      <c r="H434" s="14" t="s">
        <v>902</v>
      </c>
      <c r="I434" s="15" t="s">
        <v>903</v>
      </c>
      <c r="J434" s="14"/>
      <c r="K434" s="14"/>
      <c r="L434" s="14"/>
      <c r="M434" s="14"/>
    </row>
    <row r="435" spans="1:13" ht="38.25" x14ac:dyDescent="0.25">
      <c r="A435" s="14" t="str">
        <f t="shared" si="36"/>
        <v>1</v>
      </c>
      <c r="B435" s="14" t="str">
        <f t="shared" si="37"/>
        <v>3</v>
      </c>
      <c r="C435" s="14" t="str">
        <f t="shared" si="38"/>
        <v>6</v>
      </c>
      <c r="D435" s="14" t="str">
        <f t="shared" si="39"/>
        <v>1</v>
      </c>
      <c r="E435" s="14" t="str">
        <f t="shared" si="40"/>
        <v>02</v>
      </c>
      <c r="F435" s="14" t="str">
        <f t="shared" si="41"/>
        <v>00</v>
      </c>
      <c r="G435" s="56">
        <v>13610200</v>
      </c>
      <c r="H435" s="14" t="s">
        <v>904</v>
      </c>
      <c r="I435" s="15" t="s">
        <v>905</v>
      </c>
      <c r="J435" s="14"/>
      <c r="K435" s="14"/>
      <c r="L435" s="14"/>
      <c r="M435" s="14"/>
    </row>
    <row r="436" spans="1:13" ht="38.25" x14ac:dyDescent="0.25">
      <c r="A436" s="14" t="str">
        <f t="shared" si="36"/>
        <v>1</v>
      </c>
      <c r="B436" s="14" t="str">
        <f t="shared" si="37"/>
        <v>3</v>
      </c>
      <c r="C436" s="14" t="str">
        <f t="shared" si="38"/>
        <v>6</v>
      </c>
      <c r="D436" s="14" t="str">
        <f t="shared" si="39"/>
        <v>1</v>
      </c>
      <c r="E436" s="14" t="str">
        <f t="shared" si="40"/>
        <v>03</v>
      </c>
      <c r="F436" s="14" t="str">
        <f t="shared" si="41"/>
        <v>00</v>
      </c>
      <c r="G436" s="56">
        <v>13610300</v>
      </c>
      <c r="H436" s="14" t="s">
        <v>906</v>
      </c>
      <c r="I436" s="15" t="s">
        <v>907</v>
      </c>
      <c r="J436" s="14"/>
      <c r="K436" s="14"/>
      <c r="L436" s="14"/>
      <c r="M436" s="14"/>
    </row>
    <row r="437" spans="1:13" x14ac:dyDescent="0.25">
      <c r="A437" s="10" t="str">
        <f t="shared" si="36"/>
        <v>1</v>
      </c>
      <c r="B437" s="10" t="str">
        <f t="shared" si="37"/>
        <v>3</v>
      </c>
      <c r="C437" s="10" t="str">
        <f t="shared" si="38"/>
        <v>9</v>
      </c>
      <c r="D437" s="10" t="str">
        <f t="shared" si="39"/>
        <v>0</v>
      </c>
      <c r="E437" s="10" t="str">
        <f t="shared" si="40"/>
        <v>00</v>
      </c>
      <c r="F437" s="10" t="str">
        <f t="shared" si="41"/>
        <v>00</v>
      </c>
      <c r="G437" s="54">
        <v>13900000</v>
      </c>
      <c r="H437" s="10" t="s">
        <v>908</v>
      </c>
      <c r="I437" s="11" t="s">
        <v>909</v>
      </c>
      <c r="J437" s="10"/>
      <c r="K437" s="10"/>
      <c r="L437" s="10"/>
      <c r="M437" s="11"/>
    </row>
    <row r="438" spans="1:13" ht="63.75" x14ac:dyDescent="0.25">
      <c r="A438" s="8" t="str">
        <f t="shared" si="36"/>
        <v>1</v>
      </c>
      <c r="B438" s="8" t="str">
        <f t="shared" si="37"/>
        <v>4</v>
      </c>
      <c r="C438" s="8" t="str">
        <f t="shared" si="38"/>
        <v>0</v>
      </c>
      <c r="D438" s="8" t="str">
        <f t="shared" si="39"/>
        <v>0</v>
      </c>
      <c r="E438" s="8" t="str">
        <f t="shared" si="40"/>
        <v>00</v>
      </c>
      <c r="F438" s="8" t="str">
        <f t="shared" si="41"/>
        <v>00</v>
      </c>
      <c r="G438" s="53">
        <v>14000000</v>
      </c>
      <c r="H438" s="8" t="s">
        <v>910</v>
      </c>
      <c r="I438" s="9" t="s">
        <v>911</v>
      </c>
      <c r="J438" s="8"/>
      <c r="K438" s="8"/>
      <c r="L438" s="8"/>
      <c r="M438" s="9"/>
    </row>
    <row r="439" spans="1:13" ht="25.5" x14ac:dyDescent="0.25">
      <c r="A439" s="10" t="str">
        <f t="shared" si="36"/>
        <v>1</v>
      </c>
      <c r="B439" s="10" t="str">
        <f t="shared" si="37"/>
        <v>4</v>
      </c>
      <c r="C439" s="10" t="str">
        <f t="shared" si="38"/>
        <v>1</v>
      </c>
      <c r="D439" s="10" t="str">
        <f t="shared" si="39"/>
        <v>0</v>
      </c>
      <c r="E439" s="10" t="str">
        <f t="shared" si="40"/>
        <v>00</v>
      </c>
      <c r="F439" s="10" t="str">
        <f t="shared" si="41"/>
        <v>00</v>
      </c>
      <c r="G439" s="54">
        <v>14100000</v>
      </c>
      <c r="H439" s="10" t="s">
        <v>912</v>
      </c>
      <c r="I439" s="11" t="s">
        <v>913</v>
      </c>
      <c r="J439" s="10"/>
      <c r="K439" s="10"/>
      <c r="L439" s="10"/>
      <c r="M439" s="11"/>
    </row>
    <row r="440" spans="1:13" ht="76.5" x14ac:dyDescent="0.25">
      <c r="A440" s="10" t="str">
        <f t="shared" si="36"/>
        <v>1</v>
      </c>
      <c r="B440" s="10" t="str">
        <f t="shared" si="37"/>
        <v>4</v>
      </c>
      <c r="C440" s="10" t="str">
        <f t="shared" si="38"/>
        <v>2</v>
      </c>
      <c r="D440" s="10" t="str">
        <f t="shared" si="39"/>
        <v>0</v>
      </c>
      <c r="E440" s="10" t="str">
        <f t="shared" si="40"/>
        <v>00</v>
      </c>
      <c r="F440" s="10" t="str">
        <f t="shared" si="41"/>
        <v>00</v>
      </c>
      <c r="G440" s="54">
        <v>14200000</v>
      </c>
      <c r="H440" s="10" t="s">
        <v>914</v>
      </c>
      <c r="I440" s="11" t="s">
        <v>915</v>
      </c>
      <c r="J440" s="10"/>
      <c r="K440" s="10"/>
      <c r="L440" s="10"/>
      <c r="M440" s="11"/>
    </row>
    <row r="441" spans="1:13" x14ac:dyDescent="0.25">
      <c r="A441" s="10" t="str">
        <f t="shared" si="36"/>
        <v>1</v>
      </c>
      <c r="B441" s="10" t="str">
        <f t="shared" si="37"/>
        <v>4</v>
      </c>
      <c r="C441" s="10" t="str">
        <f t="shared" si="38"/>
        <v>9</v>
      </c>
      <c r="D441" s="10" t="str">
        <f t="shared" si="39"/>
        <v>0</v>
      </c>
      <c r="E441" s="10" t="str">
        <f t="shared" si="40"/>
        <v>00</v>
      </c>
      <c r="F441" s="10" t="str">
        <f t="shared" si="41"/>
        <v>00</v>
      </c>
      <c r="G441" s="54">
        <v>14900000</v>
      </c>
      <c r="H441" s="10" t="s">
        <v>916</v>
      </c>
      <c r="I441" s="11" t="s">
        <v>917</v>
      </c>
      <c r="J441" s="10"/>
      <c r="K441" s="10"/>
      <c r="L441" s="10"/>
      <c r="M441" s="11"/>
    </row>
    <row r="442" spans="1:13" ht="25.5" x14ac:dyDescent="0.25">
      <c r="A442" s="8" t="str">
        <f t="shared" si="36"/>
        <v>1</v>
      </c>
      <c r="B442" s="8" t="str">
        <f t="shared" si="37"/>
        <v>5</v>
      </c>
      <c r="C442" s="8" t="str">
        <f t="shared" si="38"/>
        <v>0</v>
      </c>
      <c r="D442" s="8" t="str">
        <f t="shared" si="39"/>
        <v>0</v>
      </c>
      <c r="E442" s="8" t="str">
        <f t="shared" si="40"/>
        <v>00</v>
      </c>
      <c r="F442" s="8" t="str">
        <f t="shared" si="41"/>
        <v>00</v>
      </c>
      <c r="G442" s="53">
        <v>15000000</v>
      </c>
      <c r="H442" s="8" t="s">
        <v>918</v>
      </c>
      <c r="I442" s="9" t="s">
        <v>919</v>
      </c>
      <c r="J442" s="8"/>
      <c r="K442" s="8"/>
      <c r="L442" s="8"/>
      <c r="M442" s="9"/>
    </row>
    <row r="443" spans="1:13" ht="25.5" x14ac:dyDescent="0.25">
      <c r="A443" s="10" t="str">
        <f t="shared" si="36"/>
        <v>1</v>
      </c>
      <c r="B443" s="10" t="str">
        <f t="shared" si="37"/>
        <v>5</v>
      </c>
      <c r="C443" s="10" t="str">
        <f t="shared" si="38"/>
        <v>1</v>
      </c>
      <c r="D443" s="10" t="str">
        <f t="shared" si="39"/>
        <v>0</v>
      </c>
      <c r="E443" s="10" t="str">
        <f t="shared" si="40"/>
        <v>00</v>
      </c>
      <c r="F443" s="10" t="str">
        <f t="shared" si="41"/>
        <v>00</v>
      </c>
      <c r="G443" s="54">
        <v>15100000</v>
      </c>
      <c r="H443" s="10" t="s">
        <v>920</v>
      </c>
      <c r="I443" s="11" t="s">
        <v>921</v>
      </c>
      <c r="J443" s="10"/>
      <c r="K443" s="10"/>
      <c r="L443" s="10"/>
      <c r="M443" s="11"/>
    </row>
    <row r="444" spans="1:13" x14ac:dyDescent="0.25">
      <c r="A444" s="10" t="str">
        <f t="shared" si="36"/>
        <v>1</v>
      </c>
      <c r="B444" s="10" t="str">
        <f t="shared" si="37"/>
        <v>5</v>
      </c>
      <c r="C444" s="10" t="str">
        <f t="shared" si="38"/>
        <v>2</v>
      </c>
      <c r="D444" s="10" t="str">
        <f t="shared" si="39"/>
        <v>0</v>
      </c>
      <c r="E444" s="10" t="str">
        <f t="shared" si="40"/>
        <v>00</v>
      </c>
      <c r="F444" s="10" t="str">
        <f t="shared" si="41"/>
        <v>00</v>
      </c>
      <c r="G444" s="54">
        <v>15200000</v>
      </c>
      <c r="H444" s="10" t="s">
        <v>922</v>
      </c>
      <c r="I444" s="11" t="s">
        <v>923</v>
      </c>
      <c r="J444" s="10"/>
      <c r="K444" s="10"/>
      <c r="L444" s="10"/>
      <c r="M444" s="11"/>
    </row>
    <row r="445" spans="1:13" x14ac:dyDescent="0.25">
      <c r="A445" s="14" t="str">
        <f t="shared" si="36"/>
        <v>1</v>
      </c>
      <c r="B445" s="14" t="str">
        <f t="shared" si="37"/>
        <v>5</v>
      </c>
      <c r="C445" s="14" t="str">
        <f t="shared" si="38"/>
        <v>2</v>
      </c>
      <c r="D445" s="14" t="str">
        <f t="shared" si="39"/>
        <v>0</v>
      </c>
      <c r="E445" s="14" t="str">
        <f t="shared" si="40"/>
        <v>12</v>
      </c>
      <c r="F445" s="14" t="str">
        <f t="shared" si="41"/>
        <v>00</v>
      </c>
      <c r="G445" s="56">
        <v>15201200</v>
      </c>
      <c r="H445" s="14" t="s">
        <v>924</v>
      </c>
      <c r="I445" s="15" t="s">
        <v>925</v>
      </c>
      <c r="J445" s="14"/>
      <c r="K445" s="14"/>
      <c r="L445" s="14"/>
      <c r="M445" s="14"/>
    </row>
    <row r="446" spans="1:13" x14ac:dyDescent="0.25">
      <c r="A446" s="14" t="str">
        <f t="shared" si="36"/>
        <v>1</v>
      </c>
      <c r="B446" s="14" t="str">
        <f t="shared" si="37"/>
        <v>5</v>
      </c>
      <c r="C446" s="14" t="str">
        <f t="shared" si="38"/>
        <v>2</v>
      </c>
      <c r="D446" s="14" t="str">
        <f t="shared" si="39"/>
        <v>0</v>
      </c>
      <c r="E446" s="14" t="str">
        <f t="shared" si="40"/>
        <v>20</v>
      </c>
      <c r="F446" s="14" t="str">
        <f t="shared" si="41"/>
        <v>00</v>
      </c>
      <c r="G446" s="56">
        <v>15202000</v>
      </c>
      <c r="H446" s="14" t="s">
        <v>926</v>
      </c>
      <c r="I446" s="15" t="s">
        <v>927</v>
      </c>
      <c r="J446" s="14"/>
      <c r="K446" s="14"/>
      <c r="L446" s="14"/>
      <c r="M446" s="14"/>
    </row>
    <row r="447" spans="1:13" ht="25.5" x14ac:dyDescent="0.25">
      <c r="A447" s="14" t="str">
        <f t="shared" si="36"/>
        <v>1</v>
      </c>
      <c r="B447" s="14" t="str">
        <f t="shared" si="37"/>
        <v>5</v>
      </c>
      <c r="C447" s="14" t="str">
        <f t="shared" si="38"/>
        <v>2</v>
      </c>
      <c r="D447" s="14" t="str">
        <f t="shared" si="39"/>
        <v>0</v>
      </c>
      <c r="E447" s="14" t="str">
        <f t="shared" si="40"/>
        <v>21</v>
      </c>
      <c r="F447" s="14" t="str">
        <f t="shared" si="41"/>
        <v>00</v>
      </c>
      <c r="G447" s="56">
        <v>15202100</v>
      </c>
      <c r="H447" s="14" t="s">
        <v>928</v>
      </c>
      <c r="I447" s="15" t="s">
        <v>929</v>
      </c>
      <c r="J447" s="14"/>
      <c r="K447" s="14"/>
      <c r="L447" s="14"/>
      <c r="M447" s="14"/>
    </row>
    <row r="448" spans="1:13" ht="25.5" x14ac:dyDescent="0.25">
      <c r="A448" s="16" t="str">
        <f t="shared" si="36"/>
        <v>1</v>
      </c>
      <c r="B448" s="16" t="str">
        <f t="shared" si="37"/>
        <v>5</v>
      </c>
      <c r="C448" s="16" t="str">
        <f t="shared" si="38"/>
        <v>2</v>
      </c>
      <c r="D448" s="16" t="str">
        <f t="shared" si="39"/>
        <v>0</v>
      </c>
      <c r="E448" s="16" t="str">
        <f t="shared" si="40"/>
        <v>21</v>
      </c>
      <c r="F448" s="16" t="str">
        <f t="shared" si="41"/>
        <v>01</v>
      </c>
      <c r="G448" s="57">
        <v>15202101</v>
      </c>
      <c r="H448" s="16" t="s">
        <v>930</v>
      </c>
      <c r="I448" s="17" t="s">
        <v>931</v>
      </c>
      <c r="J448" s="16"/>
      <c r="K448" s="16"/>
      <c r="L448" s="16"/>
      <c r="M448" s="17"/>
    </row>
    <row r="449" spans="1:13" ht="25.5" x14ac:dyDescent="0.25">
      <c r="A449" s="16" t="str">
        <f t="shared" si="36"/>
        <v>1</v>
      </c>
      <c r="B449" s="16" t="str">
        <f t="shared" si="37"/>
        <v>5</v>
      </c>
      <c r="C449" s="16" t="str">
        <f t="shared" si="38"/>
        <v>2</v>
      </c>
      <c r="D449" s="16" t="str">
        <f t="shared" si="39"/>
        <v>0</v>
      </c>
      <c r="E449" s="16" t="str">
        <f t="shared" si="40"/>
        <v>21</v>
      </c>
      <c r="F449" s="16" t="str">
        <f t="shared" si="41"/>
        <v>02</v>
      </c>
      <c r="G449" s="57">
        <v>15202102</v>
      </c>
      <c r="H449" s="16" t="s">
        <v>932</v>
      </c>
      <c r="I449" s="17" t="s">
        <v>933</v>
      </c>
      <c r="J449" s="16"/>
      <c r="K449" s="16"/>
      <c r="L449" s="16"/>
      <c r="M449" s="17"/>
    </row>
    <row r="450" spans="1:13" ht="25.5" x14ac:dyDescent="0.25">
      <c r="A450" s="14" t="str">
        <f t="shared" si="36"/>
        <v>1</v>
      </c>
      <c r="B450" s="14" t="str">
        <f t="shared" si="37"/>
        <v>5</v>
      </c>
      <c r="C450" s="14" t="str">
        <f t="shared" si="38"/>
        <v>2</v>
      </c>
      <c r="D450" s="14" t="str">
        <f t="shared" si="39"/>
        <v>0</v>
      </c>
      <c r="E450" s="14" t="str">
        <f t="shared" si="40"/>
        <v>22</v>
      </c>
      <c r="F450" s="14" t="str">
        <f t="shared" si="41"/>
        <v>00</v>
      </c>
      <c r="G450" s="56">
        <v>15202200</v>
      </c>
      <c r="H450" s="14" t="s">
        <v>934</v>
      </c>
      <c r="I450" s="15" t="s">
        <v>935</v>
      </c>
      <c r="J450" s="14"/>
      <c r="K450" s="14"/>
      <c r="L450" s="14"/>
      <c r="M450" s="14"/>
    </row>
    <row r="451" spans="1:13" ht="25.5" x14ac:dyDescent="0.25">
      <c r="A451" s="14" t="str">
        <f t="shared" si="36"/>
        <v>1</v>
      </c>
      <c r="B451" s="14" t="str">
        <f t="shared" si="37"/>
        <v>5</v>
      </c>
      <c r="C451" s="14" t="str">
        <f t="shared" si="38"/>
        <v>2</v>
      </c>
      <c r="D451" s="14" t="str">
        <f t="shared" si="39"/>
        <v>0</v>
      </c>
      <c r="E451" s="14" t="str">
        <f t="shared" si="40"/>
        <v>26</v>
      </c>
      <c r="F451" s="14" t="str">
        <f t="shared" si="41"/>
        <v>00</v>
      </c>
      <c r="G451" s="56">
        <v>15202600</v>
      </c>
      <c r="H451" s="14" t="s">
        <v>936</v>
      </c>
      <c r="I451" s="15" t="s">
        <v>937</v>
      </c>
      <c r="J451" s="14"/>
      <c r="K451" s="14"/>
      <c r="L451" s="14"/>
      <c r="M451" s="14"/>
    </row>
    <row r="452" spans="1:13" ht="25.5" x14ac:dyDescent="0.25">
      <c r="A452" s="14" t="str">
        <f t="shared" ref="A452:A515" si="42">MID(G452,1,1)</f>
        <v>1</v>
      </c>
      <c r="B452" s="14" t="str">
        <f t="shared" ref="B452:B515" si="43">MID(G452,2,1)</f>
        <v>5</v>
      </c>
      <c r="C452" s="14" t="str">
        <f t="shared" ref="C452:C515" si="44">MID(G452,3,1)</f>
        <v>2</v>
      </c>
      <c r="D452" s="14" t="str">
        <f t="shared" ref="D452:D515" si="45">MID(G452,4,1)</f>
        <v>0</v>
      </c>
      <c r="E452" s="14" t="str">
        <f t="shared" ref="E452:E515" si="46">MID(G452,5,2)</f>
        <v>27</v>
      </c>
      <c r="F452" s="14" t="str">
        <f t="shared" ref="F452:F515" si="47">MID(G452,7,2)</f>
        <v>00</v>
      </c>
      <c r="G452" s="56">
        <v>15202700</v>
      </c>
      <c r="H452" s="14" t="s">
        <v>938</v>
      </c>
      <c r="I452" s="15" t="s">
        <v>939</v>
      </c>
      <c r="J452" s="14"/>
      <c r="K452" s="14"/>
      <c r="L452" s="14"/>
      <c r="M452" s="14"/>
    </row>
    <row r="453" spans="1:13" x14ac:dyDescent="0.25">
      <c r="A453" s="14" t="str">
        <f t="shared" si="42"/>
        <v>1</v>
      </c>
      <c r="B453" s="14" t="str">
        <f t="shared" si="43"/>
        <v>5</v>
      </c>
      <c r="C453" s="14" t="str">
        <f t="shared" si="44"/>
        <v>2</v>
      </c>
      <c r="D453" s="14" t="str">
        <f t="shared" si="45"/>
        <v>0</v>
      </c>
      <c r="E453" s="14" t="str">
        <f t="shared" si="46"/>
        <v>28</v>
      </c>
      <c r="F453" s="14" t="str">
        <f t="shared" si="47"/>
        <v>00</v>
      </c>
      <c r="G453" s="56">
        <v>15202800</v>
      </c>
      <c r="H453" s="14" t="s">
        <v>940</v>
      </c>
      <c r="I453" s="15" t="s">
        <v>941</v>
      </c>
      <c r="J453" s="14"/>
      <c r="K453" s="14"/>
      <c r="L453" s="14"/>
      <c r="M453" s="14"/>
    </row>
    <row r="454" spans="1:13" x14ac:dyDescent="0.25">
      <c r="A454" s="14" t="str">
        <f t="shared" si="42"/>
        <v>1</v>
      </c>
      <c r="B454" s="14" t="str">
        <f t="shared" si="43"/>
        <v>5</v>
      </c>
      <c r="C454" s="14" t="str">
        <f t="shared" si="44"/>
        <v>2</v>
      </c>
      <c r="D454" s="14" t="str">
        <f t="shared" si="45"/>
        <v>0</v>
      </c>
      <c r="E454" s="14" t="str">
        <f t="shared" si="46"/>
        <v>29</v>
      </c>
      <c r="F454" s="14" t="str">
        <f t="shared" si="47"/>
        <v>00</v>
      </c>
      <c r="G454" s="56">
        <v>15202900</v>
      </c>
      <c r="H454" s="14" t="s">
        <v>942</v>
      </c>
      <c r="I454" s="15" t="s">
        <v>943</v>
      </c>
      <c r="J454" s="14"/>
      <c r="K454" s="14"/>
      <c r="L454" s="14"/>
      <c r="M454" s="14"/>
    </row>
    <row r="455" spans="1:13" ht="25.5" x14ac:dyDescent="0.25">
      <c r="A455" s="14" t="str">
        <f t="shared" si="42"/>
        <v>1</v>
      </c>
      <c r="B455" s="14" t="str">
        <f t="shared" si="43"/>
        <v>5</v>
      </c>
      <c r="C455" s="14" t="str">
        <f t="shared" si="44"/>
        <v>2</v>
      </c>
      <c r="D455" s="14" t="str">
        <f t="shared" si="45"/>
        <v>0</v>
      </c>
      <c r="E455" s="14" t="str">
        <f t="shared" si="46"/>
        <v>30</v>
      </c>
      <c r="F455" s="14" t="str">
        <f t="shared" si="47"/>
        <v>00</v>
      </c>
      <c r="G455" s="56">
        <v>15203000</v>
      </c>
      <c r="H455" s="14" t="s">
        <v>944</v>
      </c>
      <c r="I455" s="15" t="s">
        <v>945</v>
      </c>
      <c r="J455" s="14"/>
      <c r="K455" s="14"/>
      <c r="L455" s="14"/>
      <c r="M455" s="14"/>
    </row>
    <row r="456" spans="1:13" ht="25.5" x14ac:dyDescent="0.25">
      <c r="A456" s="14" t="str">
        <f t="shared" si="42"/>
        <v>1</v>
      </c>
      <c r="B456" s="14" t="str">
        <f t="shared" si="43"/>
        <v>5</v>
      </c>
      <c r="C456" s="14" t="str">
        <f t="shared" si="44"/>
        <v>2</v>
      </c>
      <c r="D456" s="14" t="str">
        <f t="shared" si="45"/>
        <v>0</v>
      </c>
      <c r="E456" s="14" t="str">
        <f t="shared" si="46"/>
        <v>99</v>
      </c>
      <c r="F456" s="14" t="str">
        <f t="shared" si="47"/>
        <v>00</v>
      </c>
      <c r="G456" s="56">
        <v>15209900</v>
      </c>
      <c r="H456" s="14" t="s">
        <v>946</v>
      </c>
      <c r="I456" s="15" t="s">
        <v>947</v>
      </c>
      <c r="J456" s="14"/>
      <c r="K456" s="14"/>
      <c r="L456" s="14"/>
      <c r="M456" s="14"/>
    </row>
    <row r="457" spans="1:13" ht="51" x14ac:dyDescent="0.25">
      <c r="A457" s="10" t="str">
        <f t="shared" si="42"/>
        <v>1</v>
      </c>
      <c r="B457" s="10" t="str">
        <f t="shared" si="43"/>
        <v>5</v>
      </c>
      <c r="C457" s="10" t="str">
        <f t="shared" si="44"/>
        <v>3</v>
      </c>
      <c r="D457" s="10" t="str">
        <f t="shared" si="45"/>
        <v>0</v>
      </c>
      <c r="E457" s="10" t="str">
        <f t="shared" si="46"/>
        <v>00</v>
      </c>
      <c r="F457" s="10" t="str">
        <f t="shared" si="47"/>
        <v>00</v>
      </c>
      <c r="G457" s="54">
        <v>15300000</v>
      </c>
      <c r="H457" s="10" t="s">
        <v>948</v>
      </c>
      <c r="I457" s="11" t="s">
        <v>949</v>
      </c>
      <c r="J457" s="10"/>
      <c r="K457" s="10"/>
      <c r="L457" s="10"/>
      <c r="M457" s="11"/>
    </row>
    <row r="458" spans="1:13" x14ac:dyDescent="0.25">
      <c r="A458" s="10" t="str">
        <f t="shared" si="42"/>
        <v>1</v>
      </c>
      <c r="B458" s="10" t="str">
        <f t="shared" si="43"/>
        <v>5</v>
      </c>
      <c r="C458" s="10" t="str">
        <f t="shared" si="44"/>
        <v>9</v>
      </c>
      <c r="D458" s="10" t="str">
        <f t="shared" si="45"/>
        <v>0</v>
      </c>
      <c r="E458" s="10" t="str">
        <f t="shared" si="46"/>
        <v>00</v>
      </c>
      <c r="F458" s="10" t="str">
        <f t="shared" si="47"/>
        <v>00</v>
      </c>
      <c r="G458" s="54">
        <v>15900000</v>
      </c>
      <c r="H458" s="10" t="s">
        <v>950</v>
      </c>
      <c r="I458" s="11" t="s">
        <v>951</v>
      </c>
      <c r="J458" s="10"/>
      <c r="K458" s="10"/>
      <c r="L458" s="10"/>
      <c r="M458" s="11"/>
    </row>
    <row r="459" spans="1:13" ht="25.5" x14ac:dyDescent="0.25">
      <c r="A459" s="8" t="str">
        <f t="shared" si="42"/>
        <v>1</v>
      </c>
      <c r="B459" s="8" t="str">
        <f t="shared" si="43"/>
        <v>6</v>
      </c>
      <c r="C459" s="8" t="str">
        <f t="shared" si="44"/>
        <v>0</v>
      </c>
      <c r="D459" s="8" t="str">
        <f t="shared" si="45"/>
        <v>0</v>
      </c>
      <c r="E459" s="8" t="str">
        <f t="shared" si="46"/>
        <v>00</v>
      </c>
      <c r="F459" s="8" t="str">
        <f t="shared" si="47"/>
        <v>00</v>
      </c>
      <c r="G459" s="53">
        <v>16000000</v>
      </c>
      <c r="H459" s="8" t="s">
        <v>952</v>
      </c>
      <c r="I459" s="9" t="s">
        <v>953</v>
      </c>
      <c r="J459" s="8"/>
      <c r="K459" s="8"/>
      <c r="L459" s="8"/>
      <c r="M459" s="9"/>
    </row>
    <row r="460" spans="1:13" ht="63.75" x14ac:dyDescent="0.25">
      <c r="A460" s="14" t="str">
        <f t="shared" si="42"/>
        <v>1</v>
      </c>
      <c r="B460" s="14" t="str">
        <f t="shared" si="43"/>
        <v>6</v>
      </c>
      <c r="C460" s="14" t="str">
        <f t="shared" si="44"/>
        <v>0</v>
      </c>
      <c r="D460" s="14" t="str">
        <f t="shared" si="45"/>
        <v>0</v>
      </c>
      <c r="E460" s="14" t="str">
        <f t="shared" si="46"/>
        <v>01</v>
      </c>
      <c r="F460" s="14" t="str">
        <f t="shared" si="47"/>
        <v>00</v>
      </c>
      <c r="G460" s="56">
        <v>16000100</v>
      </c>
      <c r="H460" s="14" t="s">
        <v>954</v>
      </c>
      <c r="I460" s="15" t="s">
        <v>955</v>
      </c>
      <c r="J460" s="14"/>
      <c r="K460" s="14"/>
      <c r="L460" s="14"/>
      <c r="M460" s="14"/>
    </row>
    <row r="461" spans="1:13" ht="25.5" x14ac:dyDescent="0.25">
      <c r="A461" s="16" t="str">
        <f t="shared" si="42"/>
        <v>1</v>
      </c>
      <c r="B461" s="16" t="str">
        <f t="shared" si="43"/>
        <v>6</v>
      </c>
      <c r="C461" s="16" t="str">
        <f t="shared" si="44"/>
        <v>0</v>
      </c>
      <c r="D461" s="16" t="str">
        <f t="shared" si="45"/>
        <v>0</v>
      </c>
      <c r="E461" s="16" t="str">
        <f t="shared" si="46"/>
        <v>01</v>
      </c>
      <c r="F461" s="16" t="str">
        <f t="shared" si="47"/>
        <v>01</v>
      </c>
      <c r="G461" s="57">
        <v>16000101</v>
      </c>
      <c r="H461" s="16" t="s">
        <v>956</v>
      </c>
      <c r="I461" s="17" t="s">
        <v>957</v>
      </c>
      <c r="J461" s="16"/>
      <c r="K461" s="16"/>
      <c r="L461" s="16"/>
      <c r="M461" s="17"/>
    </row>
    <row r="462" spans="1:13" ht="38.25" x14ac:dyDescent="0.25">
      <c r="A462" s="16" t="str">
        <f t="shared" si="42"/>
        <v>1</v>
      </c>
      <c r="B462" s="16" t="str">
        <f t="shared" si="43"/>
        <v>6</v>
      </c>
      <c r="C462" s="16" t="str">
        <f t="shared" si="44"/>
        <v>0</v>
      </c>
      <c r="D462" s="16" t="str">
        <f t="shared" si="45"/>
        <v>0</v>
      </c>
      <c r="E462" s="16" t="str">
        <f t="shared" si="46"/>
        <v>01</v>
      </c>
      <c r="F462" s="16" t="str">
        <f t="shared" si="47"/>
        <v>02</v>
      </c>
      <c r="G462" s="57">
        <v>16000102</v>
      </c>
      <c r="H462" s="16" t="s">
        <v>958</v>
      </c>
      <c r="I462" s="17" t="s">
        <v>959</v>
      </c>
      <c r="J462" s="16"/>
      <c r="K462" s="16"/>
      <c r="L462" s="16"/>
      <c r="M462" s="17"/>
    </row>
    <row r="463" spans="1:13" ht="38.25" x14ac:dyDescent="0.25">
      <c r="A463" s="16" t="str">
        <f t="shared" si="42"/>
        <v>1</v>
      </c>
      <c r="B463" s="16" t="str">
        <f t="shared" si="43"/>
        <v>6</v>
      </c>
      <c r="C463" s="16" t="str">
        <f t="shared" si="44"/>
        <v>0</v>
      </c>
      <c r="D463" s="16" t="str">
        <f t="shared" si="45"/>
        <v>0</v>
      </c>
      <c r="E463" s="16" t="str">
        <f t="shared" si="46"/>
        <v>01</v>
      </c>
      <c r="F463" s="16" t="str">
        <f t="shared" si="47"/>
        <v>03</v>
      </c>
      <c r="G463" s="57">
        <v>16000103</v>
      </c>
      <c r="H463" s="16" t="s">
        <v>960</v>
      </c>
      <c r="I463" s="17" t="s">
        <v>961</v>
      </c>
      <c r="J463" s="16"/>
      <c r="K463" s="16"/>
      <c r="L463" s="16"/>
      <c r="M463" s="17"/>
    </row>
    <row r="464" spans="1:13" ht="25.5" x14ac:dyDescent="0.25">
      <c r="A464" s="16" t="str">
        <f t="shared" si="42"/>
        <v>1</v>
      </c>
      <c r="B464" s="16" t="str">
        <f t="shared" si="43"/>
        <v>6</v>
      </c>
      <c r="C464" s="16" t="str">
        <f t="shared" si="44"/>
        <v>0</v>
      </c>
      <c r="D464" s="16" t="str">
        <f t="shared" si="45"/>
        <v>0</v>
      </c>
      <c r="E464" s="16" t="str">
        <f t="shared" si="46"/>
        <v>01</v>
      </c>
      <c r="F464" s="16" t="str">
        <f t="shared" si="47"/>
        <v>06</v>
      </c>
      <c r="G464" s="57">
        <v>16000106</v>
      </c>
      <c r="H464" s="16" t="s">
        <v>962</v>
      </c>
      <c r="I464" s="17" t="s">
        <v>963</v>
      </c>
      <c r="J464" s="16"/>
      <c r="K464" s="16"/>
      <c r="L464" s="16"/>
      <c r="M464" s="17"/>
    </row>
    <row r="465" spans="1:13" ht="38.25" x14ac:dyDescent="0.25">
      <c r="A465" s="16" t="str">
        <f t="shared" si="42"/>
        <v>1</v>
      </c>
      <c r="B465" s="16" t="str">
        <f t="shared" si="43"/>
        <v>6</v>
      </c>
      <c r="C465" s="16" t="str">
        <f t="shared" si="44"/>
        <v>0</v>
      </c>
      <c r="D465" s="16" t="str">
        <f t="shared" si="45"/>
        <v>0</v>
      </c>
      <c r="E465" s="16" t="str">
        <f t="shared" si="46"/>
        <v>01</v>
      </c>
      <c r="F465" s="16" t="str">
        <f t="shared" si="47"/>
        <v>08</v>
      </c>
      <c r="G465" s="57">
        <v>16000108</v>
      </c>
      <c r="H465" s="16" t="s">
        <v>964</v>
      </c>
      <c r="I465" s="17" t="s">
        <v>965</v>
      </c>
      <c r="J465" s="16"/>
      <c r="K465" s="16"/>
      <c r="L465" s="16"/>
      <c r="M465" s="17"/>
    </row>
    <row r="466" spans="1:13" ht="38.25" x14ac:dyDescent="0.25">
      <c r="A466" s="16" t="str">
        <f t="shared" si="42"/>
        <v>1</v>
      </c>
      <c r="B466" s="16" t="str">
        <f t="shared" si="43"/>
        <v>6</v>
      </c>
      <c r="C466" s="16" t="str">
        <f t="shared" si="44"/>
        <v>0</v>
      </c>
      <c r="D466" s="16" t="str">
        <f t="shared" si="45"/>
        <v>0</v>
      </c>
      <c r="E466" s="16" t="str">
        <f t="shared" si="46"/>
        <v>01</v>
      </c>
      <c r="F466" s="16" t="str">
        <f t="shared" si="47"/>
        <v>09</v>
      </c>
      <c r="G466" s="57">
        <v>16000109</v>
      </c>
      <c r="H466" s="16" t="s">
        <v>966</v>
      </c>
      <c r="I466" s="17" t="s">
        <v>967</v>
      </c>
      <c r="J466" s="16"/>
      <c r="K466" s="16"/>
      <c r="L466" s="16"/>
      <c r="M466" s="17"/>
    </row>
    <row r="467" spans="1:13" ht="25.5" x14ac:dyDescent="0.25">
      <c r="A467" s="16" t="str">
        <f t="shared" si="42"/>
        <v>1</v>
      </c>
      <c r="B467" s="16" t="str">
        <f t="shared" si="43"/>
        <v>6</v>
      </c>
      <c r="C467" s="16" t="str">
        <f t="shared" si="44"/>
        <v>0</v>
      </c>
      <c r="D467" s="16" t="str">
        <f t="shared" si="45"/>
        <v>0</v>
      </c>
      <c r="E467" s="16" t="str">
        <f t="shared" si="46"/>
        <v>01</v>
      </c>
      <c r="F467" s="16" t="str">
        <f t="shared" si="47"/>
        <v>10</v>
      </c>
      <c r="G467" s="57">
        <v>16000110</v>
      </c>
      <c r="H467" s="16" t="s">
        <v>968</v>
      </c>
      <c r="I467" s="17" t="s">
        <v>969</v>
      </c>
      <c r="J467" s="16"/>
      <c r="K467" s="16"/>
      <c r="L467" s="16"/>
      <c r="M467" s="17"/>
    </row>
    <row r="468" spans="1:13" x14ac:dyDescent="0.25">
      <c r="A468" s="16" t="str">
        <f t="shared" si="42"/>
        <v>1</v>
      </c>
      <c r="B468" s="16" t="str">
        <f t="shared" si="43"/>
        <v>6</v>
      </c>
      <c r="C468" s="16" t="str">
        <f t="shared" si="44"/>
        <v>0</v>
      </c>
      <c r="D468" s="16" t="str">
        <f t="shared" si="45"/>
        <v>0</v>
      </c>
      <c r="E468" s="16" t="str">
        <f t="shared" si="46"/>
        <v>01</v>
      </c>
      <c r="F468" s="16" t="str">
        <f t="shared" si="47"/>
        <v>99</v>
      </c>
      <c r="G468" s="57">
        <v>16000199</v>
      </c>
      <c r="H468" s="16" t="s">
        <v>970</v>
      </c>
      <c r="I468" s="17" t="s">
        <v>971</v>
      </c>
      <c r="J468" s="16"/>
      <c r="K468" s="16"/>
      <c r="L468" s="16"/>
      <c r="M468" s="17"/>
    </row>
    <row r="469" spans="1:13" ht="38.25" x14ac:dyDescent="0.25">
      <c r="A469" s="14" t="str">
        <f t="shared" si="42"/>
        <v>1</v>
      </c>
      <c r="B469" s="14" t="str">
        <f t="shared" si="43"/>
        <v>6</v>
      </c>
      <c r="C469" s="14" t="str">
        <f t="shared" si="44"/>
        <v>0</v>
      </c>
      <c r="D469" s="14" t="str">
        <f t="shared" si="45"/>
        <v>0</v>
      </c>
      <c r="E469" s="14" t="str">
        <f t="shared" si="46"/>
        <v>02</v>
      </c>
      <c r="F469" s="14" t="str">
        <f t="shared" si="47"/>
        <v>00</v>
      </c>
      <c r="G469" s="56">
        <v>16000200</v>
      </c>
      <c r="H469" s="14" t="s">
        <v>972</v>
      </c>
      <c r="I469" s="15" t="s">
        <v>973</v>
      </c>
      <c r="J469" s="14"/>
      <c r="K469" s="14"/>
      <c r="L469" s="14"/>
      <c r="M469" s="14"/>
    </row>
    <row r="470" spans="1:13" ht="25.5" x14ac:dyDescent="0.25">
      <c r="A470" s="16" t="str">
        <f t="shared" si="42"/>
        <v>1</v>
      </c>
      <c r="B470" s="16" t="str">
        <f t="shared" si="43"/>
        <v>6</v>
      </c>
      <c r="C470" s="16" t="str">
        <f t="shared" si="44"/>
        <v>0</v>
      </c>
      <c r="D470" s="16" t="str">
        <f t="shared" si="45"/>
        <v>0</v>
      </c>
      <c r="E470" s="16" t="str">
        <f t="shared" si="46"/>
        <v>02</v>
      </c>
      <c r="F470" s="16" t="str">
        <f t="shared" si="47"/>
        <v>01</v>
      </c>
      <c r="G470" s="57">
        <v>16000201</v>
      </c>
      <c r="H470" s="16" t="s">
        <v>974</v>
      </c>
      <c r="I470" s="17" t="s">
        <v>975</v>
      </c>
      <c r="J470" s="16"/>
      <c r="K470" s="16"/>
      <c r="L470" s="16"/>
      <c r="M470" s="17"/>
    </row>
    <row r="471" spans="1:13" ht="25.5" x14ac:dyDescent="0.25">
      <c r="A471" s="16" t="str">
        <f t="shared" si="42"/>
        <v>1</v>
      </c>
      <c r="B471" s="16" t="str">
        <f t="shared" si="43"/>
        <v>6</v>
      </c>
      <c r="C471" s="16" t="str">
        <f t="shared" si="44"/>
        <v>0</v>
      </c>
      <c r="D471" s="16" t="str">
        <f t="shared" si="45"/>
        <v>0</v>
      </c>
      <c r="E471" s="16" t="str">
        <f t="shared" si="46"/>
        <v>02</v>
      </c>
      <c r="F471" s="16" t="str">
        <f t="shared" si="47"/>
        <v>03</v>
      </c>
      <c r="G471" s="57">
        <v>16000203</v>
      </c>
      <c r="H471" s="16" t="s">
        <v>976</v>
      </c>
      <c r="I471" s="17" t="s">
        <v>977</v>
      </c>
      <c r="J471" s="16"/>
      <c r="K471" s="16"/>
      <c r="L471" s="16"/>
      <c r="M471" s="17"/>
    </row>
    <row r="472" spans="1:13" x14ac:dyDescent="0.25">
      <c r="A472" s="16" t="str">
        <f t="shared" si="42"/>
        <v>1</v>
      </c>
      <c r="B472" s="16" t="str">
        <f t="shared" si="43"/>
        <v>6</v>
      </c>
      <c r="C472" s="16" t="str">
        <f t="shared" si="44"/>
        <v>0</v>
      </c>
      <c r="D472" s="16" t="str">
        <f t="shared" si="45"/>
        <v>0</v>
      </c>
      <c r="E472" s="16" t="str">
        <f t="shared" si="46"/>
        <v>02</v>
      </c>
      <c r="F472" s="16" t="str">
        <f t="shared" si="47"/>
        <v>05</v>
      </c>
      <c r="G472" s="57">
        <v>16000205</v>
      </c>
      <c r="H472" s="16" t="s">
        <v>978</v>
      </c>
      <c r="I472" s="17" t="s">
        <v>979</v>
      </c>
      <c r="J472" s="16"/>
      <c r="K472" s="16"/>
      <c r="L472" s="16"/>
      <c r="M472" s="17"/>
    </row>
    <row r="473" spans="1:13" ht="38.25" x14ac:dyDescent="0.25">
      <c r="A473" s="16" t="str">
        <f t="shared" si="42"/>
        <v>1</v>
      </c>
      <c r="B473" s="16" t="str">
        <f t="shared" si="43"/>
        <v>6</v>
      </c>
      <c r="C473" s="16" t="str">
        <f t="shared" si="44"/>
        <v>0</v>
      </c>
      <c r="D473" s="16" t="str">
        <f t="shared" si="45"/>
        <v>0</v>
      </c>
      <c r="E473" s="16" t="str">
        <f t="shared" si="46"/>
        <v>02</v>
      </c>
      <c r="F473" s="16" t="str">
        <f t="shared" si="47"/>
        <v>06</v>
      </c>
      <c r="G473" s="57">
        <v>16000206</v>
      </c>
      <c r="H473" s="16" t="s">
        <v>980</v>
      </c>
      <c r="I473" s="17" t="s">
        <v>981</v>
      </c>
      <c r="J473" s="16"/>
      <c r="K473" s="16"/>
      <c r="L473" s="16"/>
      <c r="M473" s="17"/>
    </row>
    <row r="474" spans="1:13" ht="38.25" x14ac:dyDescent="0.25">
      <c r="A474" s="16" t="str">
        <f t="shared" si="42"/>
        <v>1</v>
      </c>
      <c r="B474" s="16" t="str">
        <f t="shared" si="43"/>
        <v>6</v>
      </c>
      <c r="C474" s="16" t="str">
        <f t="shared" si="44"/>
        <v>0</v>
      </c>
      <c r="D474" s="16" t="str">
        <f t="shared" si="45"/>
        <v>0</v>
      </c>
      <c r="E474" s="16" t="str">
        <f t="shared" si="46"/>
        <v>02</v>
      </c>
      <c r="F474" s="16" t="str">
        <f t="shared" si="47"/>
        <v>11</v>
      </c>
      <c r="G474" s="57">
        <v>16000211</v>
      </c>
      <c r="H474" s="16" t="s">
        <v>982</v>
      </c>
      <c r="I474" s="17" t="s">
        <v>983</v>
      </c>
      <c r="J474" s="16"/>
      <c r="K474" s="16"/>
      <c r="L474" s="16"/>
      <c r="M474" s="17"/>
    </row>
    <row r="475" spans="1:13" ht="38.25" x14ac:dyDescent="0.25">
      <c r="A475" s="16" t="str">
        <f t="shared" si="42"/>
        <v>1</v>
      </c>
      <c r="B475" s="16" t="str">
        <f t="shared" si="43"/>
        <v>6</v>
      </c>
      <c r="C475" s="16" t="str">
        <f t="shared" si="44"/>
        <v>0</v>
      </c>
      <c r="D475" s="16" t="str">
        <f t="shared" si="45"/>
        <v>0</v>
      </c>
      <c r="E475" s="16" t="str">
        <f t="shared" si="46"/>
        <v>02</v>
      </c>
      <c r="F475" s="16" t="str">
        <f t="shared" si="47"/>
        <v>12</v>
      </c>
      <c r="G475" s="57">
        <v>16000212</v>
      </c>
      <c r="H475" s="16" t="s">
        <v>984</v>
      </c>
      <c r="I475" s="17" t="s">
        <v>985</v>
      </c>
      <c r="J475" s="16"/>
      <c r="K475" s="16"/>
      <c r="L475" s="16"/>
      <c r="M475" s="17"/>
    </row>
    <row r="476" spans="1:13" x14ac:dyDescent="0.25">
      <c r="A476" s="16" t="str">
        <f t="shared" si="42"/>
        <v>1</v>
      </c>
      <c r="B476" s="16" t="str">
        <f t="shared" si="43"/>
        <v>6</v>
      </c>
      <c r="C476" s="16" t="str">
        <f t="shared" si="44"/>
        <v>0</v>
      </c>
      <c r="D476" s="16" t="str">
        <f t="shared" si="45"/>
        <v>0</v>
      </c>
      <c r="E476" s="16" t="str">
        <f t="shared" si="46"/>
        <v>02</v>
      </c>
      <c r="F476" s="16" t="str">
        <f t="shared" si="47"/>
        <v>99</v>
      </c>
      <c r="G476" s="57">
        <v>16000299</v>
      </c>
      <c r="H476" s="16" t="s">
        <v>986</v>
      </c>
      <c r="I476" s="17" t="s">
        <v>987</v>
      </c>
      <c r="J476" s="16"/>
      <c r="K476" s="16"/>
      <c r="L476" s="16"/>
      <c r="M476" s="17"/>
    </row>
    <row r="477" spans="1:13" x14ac:dyDescent="0.25">
      <c r="A477" s="14" t="str">
        <f t="shared" si="42"/>
        <v>1</v>
      </c>
      <c r="B477" s="14" t="str">
        <f t="shared" si="43"/>
        <v>6</v>
      </c>
      <c r="C477" s="14" t="str">
        <f t="shared" si="44"/>
        <v>0</v>
      </c>
      <c r="D477" s="14" t="str">
        <f t="shared" si="45"/>
        <v>0</v>
      </c>
      <c r="E477" s="14" t="str">
        <f t="shared" si="46"/>
        <v>03</v>
      </c>
      <c r="F477" s="14" t="str">
        <f t="shared" si="47"/>
        <v>00</v>
      </c>
      <c r="G477" s="56">
        <v>16000300</v>
      </c>
      <c r="H477" s="14" t="s">
        <v>988</v>
      </c>
      <c r="I477" s="15" t="s">
        <v>989</v>
      </c>
      <c r="J477" s="14"/>
      <c r="K477" s="14"/>
      <c r="L477" s="14"/>
      <c r="M477" s="14"/>
    </row>
    <row r="478" spans="1:13" ht="25.5" x14ac:dyDescent="0.25">
      <c r="A478" s="16" t="str">
        <f t="shared" si="42"/>
        <v>1</v>
      </c>
      <c r="B478" s="16" t="str">
        <f t="shared" si="43"/>
        <v>6</v>
      </c>
      <c r="C478" s="16" t="str">
        <f t="shared" si="44"/>
        <v>0</v>
      </c>
      <c r="D478" s="16" t="str">
        <f t="shared" si="45"/>
        <v>0</v>
      </c>
      <c r="E478" s="16" t="str">
        <f t="shared" si="46"/>
        <v>03</v>
      </c>
      <c r="F478" s="16" t="str">
        <f t="shared" si="47"/>
        <v>01</v>
      </c>
      <c r="G478" s="57">
        <v>16000301</v>
      </c>
      <c r="H478" s="16" t="s">
        <v>990</v>
      </c>
      <c r="I478" s="17" t="s">
        <v>991</v>
      </c>
      <c r="J478" s="16"/>
      <c r="K478" s="16"/>
      <c r="L478" s="16"/>
      <c r="M478" s="17"/>
    </row>
    <row r="479" spans="1:13" x14ac:dyDescent="0.25">
      <c r="A479" s="16" t="str">
        <f t="shared" si="42"/>
        <v>1</v>
      </c>
      <c r="B479" s="16" t="str">
        <f t="shared" si="43"/>
        <v>6</v>
      </c>
      <c r="C479" s="16" t="str">
        <f t="shared" si="44"/>
        <v>0</v>
      </c>
      <c r="D479" s="16" t="str">
        <f t="shared" si="45"/>
        <v>0</v>
      </c>
      <c r="E479" s="16" t="str">
        <f t="shared" si="46"/>
        <v>03</v>
      </c>
      <c r="F479" s="16" t="str">
        <f t="shared" si="47"/>
        <v>02</v>
      </c>
      <c r="G479" s="57">
        <v>16000302</v>
      </c>
      <c r="H479" s="16" t="s">
        <v>992</v>
      </c>
      <c r="I479" s="17" t="s">
        <v>993</v>
      </c>
      <c r="J479" s="16"/>
      <c r="K479" s="16"/>
      <c r="L479" s="16"/>
      <c r="M479" s="17"/>
    </row>
    <row r="480" spans="1:13" ht="25.5" x14ac:dyDescent="0.25">
      <c r="A480" s="16" t="str">
        <f t="shared" si="42"/>
        <v>1</v>
      </c>
      <c r="B480" s="16" t="str">
        <f t="shared" si="43"/>
        <v>6</v>
      </c>
      <c r="C480" s="16" t="str">
        <f t="shared" si="44"/>
        <v>0</v>
      </c>
      <c r="D480" s="16" t="str">
        <f t="shared" si="45"/>
        <v>0</v>
      </c>
      <c r="E480" s="16" t="str">
        <f t="shared" si="46"/>
        <v>03</v>
      </c>
      <c r="F480" s="16" t="str">
        <f t="shared" si="47"/>
        <v>03</v>
      </c>
      <c r="G480" s="57">
        <v>16000303</v>
      </c>
      <c r="H480" s="16" t="s">
        <v>994</v>
      </c>
      <c r="I480" s="17" t="s">
        <v>995</v>
      </c>
      <c r="J480" s="16"/>
      <c r="K480" s="16"/>
      <c r="L480" s="16"/>
      <c r="M480" s="17"/>
    </row>
    <row r="481" spans="1:13" ht="25.5" x14ac:dyDescent="0.25">
      <c r="A481" s="16" t="str">
        <f t="shared" si="42"/>
        <v>1</v>
      </c>
      <c r="B481" s="16" t="str">
        <f t="shared" si="43"/>
        <v>6</v>
      </c>
      <c r="C481" s="16" t="str">
        <f t="shared" si="44"/>
        <v>0</v>
      </c>
      <c r="D481" s="16" t="str">
        <f t="shared" si="45"/>
        <v>0</v>
      </c>
      <c r="E481" s="16" t="str">
        <f t="shared" si="46"/>
        <v>03</v>
      </c>
      <c r="F481" s="16" t="str">
        <f t="shared" si="47"/>
        <v>04</v>
      </c>
      <c r="G481" s="57">
        <v>16000304</v>
      </c>
      <c r="H481" s="16" t="s">
        <v>996</v>
      </c>
      <c r="I481" s="17" t="s">
        <v>997</v>
      </c>
      <c r="J481" s="16"/>
      <c r="K481" s="16"/>
      <c r="L481" s="16"/>
      <c r="M481" s="17"/>
    </row>
    <row r="482" spans="1:13" ht="25.5" x14ac:dyDescent="0.25">
      <c r="A482" s="16" t="str">
        <f t="shared" si="42"/>
        <v>1</v>
      </c>
      <c r="B482" s="16" t="str">
        <f t="shared" si="43"/>
        <v>6</v>
      </c>
      <c r="C482" s="16" t="str">
        <f t="shared" si="44"/>
        <v>0</v>
      </c>
      <c r="D482" s="16" t="str">
        <f t="shared" si="45"/>
        <v>0</v>
      </c>
      <c r="E482" s="16" t="str">
        <f t="shared" si="46"/>
        <v>03</v>
      </c>
      <c r="F482" s="16" t="str">
        <f t="shared" si="47"/>
        <v>05</v>
      </c>
      <c r="G482" s="57">
        <v>16000305</v>
      </c>
      <c r="H482" s="16" t="s">
        <v>998</v>
      </c>
      <c r="I482" s="17" t="s">
        <v>999</v>
      </c>
      <c r="J482" s="16"/>
      <c r="K482" s="16"/>
      <c r="L482" s="16"/>
      <c r="M482" s="17"/>
    </row>
    <row r="483" spans="1:13" x14ac:dyDescent="0.25">
      <c r="A483" s="16" t="str">
        <f t="shared" si="42"/>
        <v>1</v>
      </c>
      <c r="B483" s="16" t="str">
        <f t="shared" si="43"/>
        <v>6</v>
      </c>
      <c r="C483" s="16" t="str">
        <f t="shared" si="44"/>
        <v>0</v>
      </c>
      <c r="D483" s="16" t="str">
        <f t="shared" si="45"/>
        <v>0</v>
      </c>
      <c r="E483" s="16" t="str">
        <f t="shared" si="46"/>
        <v>03</v>
      </c>
      <c r="F483" s="16" t="str">
        <f t="shared" si="47"/>
        <v>06</v>
      </c>
      <c r="G483" s="57">
        <v>16000306</v>
      </c>
      <c r="H483" s="16" t="s">
        <v>1000</v>
      </c>
      <c r="I483" s="17" t="s">
        <v>1001</v>
      </c>
      <c r="J483" s="16"/>
      <c r="K483" s="16"/>
      <c r="L483" s="16"/>
      <c r="M483" s="17"/>
    </row>
    <row r="484" spans="1:13" x14ac:dyDescent="0.25">
      <c r="A484" s="16" t="str">
        <f t="shared" si="42"/>
        <v>1</v>
      </c>
      <c r="B484" s="16" t="str">
        <f t="shared" si="43"/>
        <v>6</v>
      </c>
      <c r="C484" s="16" t="str">
        <f t="shared" si="44"/>
        <v>0</v>
      </c>
      <c r="D484" s="16" t="str">
        <f t="shared" si="45"/>
        <v>0</v>
      </c>
      <c r="E484" s="16" t="str">
        <f t="shared" si="46"/>
        <v>03</v>
      </c>
      <c r="F484" s="16" t="str">
        <f t="shared" si="47"/>
        <v>99</v>
      </c>
      <c r="G484" s="57">
        <v>16000399</v>
      </c>
      <c r="H484" s="16" t="s">
        <v>1002</v>
      </c>
      <c r="I484" s="17" t="s">
        <v>1003</v>
      </c>
      <c r="J484" s="16"/>
      <c r="K484" s="16"/>
      <c r="L484" s="16"/>
      <c r="M484" s="17"/>
    </row>
    <row r="485" spans="1:13" ht="38.25" x14ac:dyDescent="0.25">
      <c r="A485" s="14" t="str">
        <f t="shared" si="42"/>
        <v>1</v>
      </c>
      <c r="B485" s="14" t="str">
        <f t="shared" si="43"/>
        <v>6</v>
      </c>
      <c r="C485" s="14" t="str">
        <f t="shared" si="44"/>
        <v>0</v>
      </c>
      <c r="D485" s="14" t="str">
        <f t="shared" si="45"/>
        <v>0</v>
      </c>
      <c r="E485" s="14" t="str">
        <f t="shared" si="46"/>
        <v>04</v>
      </c>
      <c r="F485" s="14" t="str">
        <f t="shared" si="47"/>
        <v>00</v>
      </c>
      <c r="G485" s="56">
        <v>16000400</v>
      </c>
      <c r="H485" s="14" t="s">
        <v>1004</v>
      </c>
      <c r="I485" s="15" t="s">
        <v>1005</v>
      </c>
      <c r="J485" s="14"/>
      <c r="K485" s="14"/>
      <c r="L485" s="14"/>
      <c r="M485" s="14"/>
    </row>
    <row r="486" spans="1:13" x14ac:dyDescent="0.25">
      <c r="A486" s="16" t="str">
        <f t="shared" si="42"/>
        <v>1</v>
      </c>
      <c r="B486" s="16" t="str">
        <f t="shared" si="43"/>
        <v>6</v>
      </c>
      <c r="C486" s="16" t="str">
        <f t="shared" si="44"/>
        <v>0</v>
      </c>
      <c r="D486" s="16" t="str">
        <f t="shared" si="45"/>
        <v>0</v>
      </c>
      <c r="E486" s="16" t="str">
        <f t="shared" si="46"/>
        <v>04</v>
      </c>
      <c r="F486" s="16" t="str">
        <f t="shared" si="47"/>
        <v>01</v>
      </c>
      <c r="G486" s="57">
        <v>16000401</v>
      </c>
      <c r="H486" s="16" t="s">
        <v>1006</v>
      </c>
      <c r="I486" s="17" t="s">
        <v>1007</v>
      </c>
      <c r="J486" s="16"/>
      <c r="K486" s="16"/>
      <c r="L486" s="16"/>
      <c r="M486" s="17"/>
    </row>
    <row r="487" spans="1:13" x14ac:dyDescent="0.25">
      <c r="A487" s="16" t="str">
        <f t="shared" si="42"/>
        <v>1</v>
      </c>
      <c r="B487" s="16" t="str">
        <f t="shared" si="43"/>
        <v>6</v>
      </c>
      <c r="C487" s="16" t="str">
        <f t="shared" si="44"/>
        <v>0</v>
      </c>
      <c r="D487" s="16" t="str">
        <f t="shared" si="45"/>
        <v>0</v>
      </c>
      <c r="E487" s="16" t="str">
        <f t="shared" si="46"/>
        <v>04</v>
      </c>
      <c r="F487" s="16" t="str">
        <f t="shared" si="47"/>
        <v>02</v>
      </c>
      <c r="G487" s="57">
        <v>16000402</v>
      </c>
      <c r="H487" s="16" t="s">
        <v>1008</v>
      </c>
      <c r="I487" s="17" t="s">
        <v>1009</v>
      </c>
      <c r="J487" s="16"/>
      <c r="K487" s="16"/>
      <c r="L487" s="16"/>
      <c r="M487" s="17"/>
    </row>
    <row r="488" spans="1:13" ht="25.5" x14ac:dyDescent="0.25">
      <c r="A488" s="16" t="str">
        <f t="shared" si="42"/>
        <v>1</v>
      </c>
      <c r="B488" s="16" t="str">
        <f t="shared" si="43"/>
        <v>6</v>
      </c>
      <c r="C488" s="16" t="str">
        <f t="shared" si="44"/>
        <v>0</v>
      </c>
      <c r="D488" s="16" t="str">
        <f t="shared" si="45"/>
        <v>0</v>
      </c>
      <c r="E488" s="16" t="str">
        <f t="shared" si="46"/>
        <v>04</v>
      </c>
      <c r="F488" s="16" t="str">
        <f t="shared" si="47"/>
        <v>03</v>
      </c>
      <c r="G488" s="57">
        <v>16000403</v>
      </c>
      <c r="H488" s="16" t="s">
        <v>1010</v>
      </c>
      <c r="I488" s="17" t="s">
        <v>1011</v>
      </c>
      <c r="J488" s="16"/>
      <c r="K488" s="16"/>
      <c r="L488" s="16"/>
      <c r="M488" s="17"/>
    </row>
    <row r="489" spans="1:13" ht="38.25" x14ac:dyDescent="0.25">
      <c r="A489" s="14" t="str">
        <f t="shared" si="42"/>
        <v>1</v>
      </c>
      <c r="B489" s="14" t="str">
        <f t="shared" si="43"/>
        <v>6</v>
      </c>
      <c r="C489" s="14" t="str">
        <f t="shared" si="44"/>
        <v>0</v>
      </c>
      <c r="D489" s="14" t="str">
        <f t="shared" si="45"/>
        <v>0</v>
      </c>
      <c r="E489" s="14" t="str">
        <f t="shared" si="46"/>
        <v>05</v>
      </c>
      <c r="F489" s="14" t="str">
        <f t="shared" si="47"/>
        <v>00</v>
      </c>
      <c r="G489" s="56">
        <v>16000500</v>
      </c>
      <c r="H489" s="14" t="s">
        <v>1012</v>
      </c>
      <c r="I489" s="15" t="s">
        <v>1013</v>
      </c>
      <c r="J489" s="14"/>
      <c r="K489" s="14"/>
      <c r="L489" s="14"/>
      <c r="M489" s="14"/>
    </row>
    <row r="490" spans="1:13" x14ac:dyDescent="0.25">
      <c r="A490" s="16" t="str">
        <f t="shared" si="42"/>
        <v>1</v>
      </c>
      <c r="B490" s="16" t="str">
        <f t="shared" si="43"/>
        <v>6</v>
      </c>
      <c r="C490" s="16" t="str">
        <f t="shared" si="44"/>
        <v>0</v>
      </c>
      <c r="D490" s="16" t="str">
        <f t="shared" si="45"/>
        <v>0</v>
      </c>
      <c r="E490" s="16" t="str">
        <f t="shared" si="46"/>
        <v>05</v>
      </c>
      <c r="F490" s="16" t="str">
        <f t="shared" si="47"/>
        <v>01</v>
      </c>
      <c r="G490" s="57">
        <v>16000501</v>
      </c>
      <c r="H490" s="16" t="s">
        <v>1014</v>
      </c>
      <c r="I490" s="17" t="s">
        <v>1015</v>
      </c>
      <c r="J490" s="16"/>
      <c r="K490" s="16"/>
      <c r="L490" s="16"/>
      <c r="M490" s="17"/>
    </row>
    <row r="491" spans="1:13" ht="38.25" x14ac:dyDescent="0.25">
      <c r="A491" s="16" t="str">
        <f t="shared" si="42"/>
        <v>1</v>
      </c>
      <c r="B491" s="16" t="str">
        <f t="shared" si="43"/>
        <v>6</v>
      </c>
      <c r="C491" s="16" t="str">
        <f t="shared" si="44"/>
        <v>0</v>
      </c>
      <c r="D491" s="16" t="str">
        <f t="shared" si="45"/>
        <v>0</v>
      </c>
      <c r="E491" s="16" t="str">
        <f t="shared" si="46"/>
        <v>05</v>
      </c>
      <c r="F491" s="16" t="str">
        <f t="shared" si="47"/>
        <v>02</v>
      </c>
      <c r="G491" s="57">
        <v>16000502</v>
      </c>
      <c r="H491" s="16" t="s">
        <v>1016</v>
      </c>
      <c r="I491" s="17" t="s">
        <v>1017</v>
      </c>
      <c r="J491" s="16"/>
      <c r="K491" s="16"/>
      <c r="L491" s="16"/>
      <c r="M491" s="17"/>
    </row>
    <row r="492" spans="1:13" x14ac:dyDescent="0.25">
      <c r="A492" s="16" t="str">
        <f t="shared" si="42"/>
        <v>1</v>
      </c>
      <c r="B492" s="16" t="str">
        <f t="shared" si="43"/>
        <v>6</v>
      </c>
      <c r="C492" s="16" t="str">
        <f t="shared" si="44"/>
        <v>0</v>
      </c>
      <c r="D492" s="16" t="str">
        <f t="shared" si="45"/>
        <v>0</v>
      </c>
      <c r="E492" s="16" t="str">
        <f t="shared" si="46"/>
        <v>05</v>
      </c>
      <c r="F492" s="16" t="str">
        <f t="shared" si="47"/>
        <v>03</v>
      </c>
      <c r="G492" s="57">
        <v>16000503</v>
      </c>
      <c r="H492" s="16" t="s">
        <v>1018</v>
      </c>
      <c r="I492" s="17" t="s">
        <v>1019</v>
      </c>
      <c r="J492" s="16"/>
      <c r="K492" s="16"/>
      <c r="L492" s="16"/>
      <c r="M492" s="17"/>
    </row>
    <row r="493" spans="1:13" ht="38.25" x14ac:dyDescent="0.25">
      <c r="A493" s="16" t="str">
        <f t="shared" si="42"/>
        <v>1</v>
      </c>
      <c r="B493" s="16" t="str">
        <f t="shared" si="43"/>
        <v>6</v>
      </c>
      <c r="C493" s="16" t="str">
        <f t="shared" si="44"/>
        <v>0</v>
      </c>
      <c r="D493" s="16" t="str">
        <f t="shared" si="45"/>
        <v>0</v>
      </c>
      <c r="E493" s="16" t="str">
        <f t="shared" si="46"/>
        <v>05</v>
      </c>
      <c r="F493" s="16" t="str">
        <f t="shared" si="47"/>
        <v>05</v>
      </c>
      <c r="G493" s="57">
        <v>16000505</v>
      </c>
      <c r="H493" s="16" t="s">
        <v>1020</v>
      </c>
      <c r="I493" s="17" t="s">
        <v>1021</v>
      </c>
      <c r="J493" s="16"/>
      <c r="K493" s="16"/>
      <c r="L493" s="16"/>
      <c r="M493" s="17"/>
    </row>
    <row r="494" spans="1:13" x14ac:dyDescent="0.25">
      <c r="A494" s="16" t="str">
        <f t="shared" si="42"/>
        <v>1</v>
      </c>
      <c r="B494" s="16" t="str">
        <f t="shared" si="43"/>
        <v>6</v>
      </c>
      <c r="C494" s="16" t="str">
        <f t="shared" si="44"/>
        <v>0</v>
      </c>
      <c r="D494" s="16" t="str">
        <f t="shared" si="45"/>
        <v>0</v>
      </c>
      <c r="E494" s="16" t="str">
        <f t="shared" si="46"/>
        <v>05</v>
      </c>
      <c r="F494" s="16" t="str">
        <f t="shared" si="47"/>
        <v>10</v>
      </c>
      <c r="G494" s="57">
        <v>16000510</v>
      </c>
      <c r="H494" s="16" t="s">
        <v>1022</v>
      </c>
      <c r="I494" s="17" t="s">
        <v>1023</v>
      </c>
      <c r="J494" s="16"/>
      <c r="K494" s="16"/>
      <c r="L494" s="16"/>
      <c r="M494" s="17"/>
    </row>
    <row r="495" spans="1:13" x14ac:dyDescent="0.25">
      <c r="A495" s="16" t="str">
        <f t="shared" si="42"/>
        <v>1</v>
      </c>
      <c r="B495" s="16" t="str">
        <f t="shared" si="43"/>
        <v>6</v>
      </c>
      <c r="C495" s="16" t="str">
        <f t="shared" si="44"/>
        <v>0</v>
      </c>
      <c r="D495" s="16" t="str">
        <f t="shared" si="45"/>
        <v>0</v>
      </c>
      <c r="E495" s="16" t="str">
        <f t="shared" si="46"/>
        <v>05</v>
      </c>
      <c r="F495" s="16" t="str">
        <f t="shared" si="47"/>
        <v>99</v>
      </c>
      <c r="G495" s="57">
        <v>16000599</v>
      </c>
      <c r="H495" s="16" t="s">
        <v>1024</v>
      </c>
      <c r="I495" s="17" t="s">
        <v>1025</v>
      </c>
      <c r="J495" s="16"/>
      <c r="K495" s="16"/>
      <c r="L495" s="16"/>
      <c r="M495" s="17"/>
    </row>
    <row r="496" spans="1:13" ht="25.5" x14ac:dyDescent="0.25">
      <c r="A496" s="14" t="str">
        <f t="shared" si="42"/>
        <v>1</v>
      </c>
      <c r="B496" s="14" t="str">
        <f t="shared" si="43"/>
        <v>6</v>
      </c>
      <c r="C496" s="14" t="str">
        <f t="shared" si="44"/>
        <v>0</v>
      </c>
      <c r="D496" s="14" t="str">
        <f t="shared" si="45"/>
        <v>0</v>
      </c>
      <c r="E496" s="14" t="str">
        <f t="shared" si="46"/>
        <v>06</v>
      </c>
      <c r="F496" s="14" t="str">
        <f t="shared" si="47"/>
        <v>00</v>
      </c>
      <c r="G496" s="56">
        <v>16000600</v>
      </c>
      <c r="H496" s="14" t="s">
        <v>1026</v>
      </c>
      <c r="I496" s="15" t="s">
        <v>1027</v>
      </c>
      <c r="J496" s="14"/>
      <c r="K496" s="14"/>
      <c r="L496" s="14"/>
      <c r="M496" s="14"/>
    </row>
    <row r="497" spans="1:13" ht="25.5" x14ac:dyDescent="0.25">
      <c r="A497" s="14" t="str">
        <f t="shared" si="42"/>
        <v>1</v>
      </c>
      <c r="B497" s="14" t="str">
        <f t="shared" si="43"/>
        <v>6</v>
      </c>
      <c r="C497" s="14" t="str">
        <f t="shared" si="44"/>
        <v>0</v>
      </c>
      <c r="D497" s="14" t="str">
        <f t="shared" si="45"/>
        <v>0</v>
      </c>
      <c r="E497" s="14" t="str">
        <f t="shared" si="46"/>
        <v>07</v>
      </c>
      <c r="F497" s="14" t="str">
        <f t="shared" si="47"/>
        <v>00</v>
      </c>
      <c r="G497" s="56">
        <v>16000700</v>
      </c>
      <c r="H497" s="14" t="s">
        <v>1028</v>
      </c>
      <c r="I497" s="15" t="s">
        <v>1029</v>
      </c>
      <c r="J497" s="14"/>
      <c r="K497" s="14"/>
      <c r="L497" s="14"/>
      <c r="M497" s="14"/>
    </row>
    <row r="498" spans="1:13" ht="25.5" x14ac:dyDescent="0.25">
      <c r="A498" s="14" t="str">
        <f t="shared" si="42"/>
        <v>1</v>
      </c>
      <c r="B498" s="14" t="str">
        <f t="shared" si="43"/>
        <v>6</v>
      </c>
      <c r="C498" s="14" t="str">
        <f t="shared" si="44"/>
        <v>0</v>
      </c>
      <c r="D498" s="14" t="str">
        <f t="shared" si="45"/>
        <v>0</v>
      </c>
      <c r="E498" s="14" t="str">
        <f t="shared" si="46"/>
        <v>08</v>
      </c>
      <c r="F498" s="14" t="str">
        <f t="shared" si="47"/>
        <v>00</v>
      </c>
      <c r="G498" s="56">
        <v>16000800</v>
      </c>
      <c r="H498" s="14" t="s">
        <v>1030</v>
      </c>
      <c r="I498" s="15" t="s">
        <v>1031</v>
      </c>
      <c r="J498" s="14"/>
      <c r="K498" s="14"/>
      <c r="L498" s="14"/>
      <c r="M498" s="14"/>
    </row>
    <row r="499" spans="1:13" ht="25.5" x14ac:dyDescent="0.25">
      <c r="A499" s="14" t="str">
        <f t="shared" si="42"/>
        <v>1</v>
      </c>
      <c r="B499" s="14" t="str">
        <f t="shared" si="43"/>
        <v>6</v>
      </c>
      <c r="C499" s="14" t="str">
        <f t="shared" si="44"/>
        <v>0</v>
      </c>
      <c r="D499" s="14" t="str">
        <f t="shared" si="45"/>
        <v>0</v>
      </c>
      <c r="E499" s="14" t="str">
        <f t="shared" si="46"/>
        <v>09</v>
      </c>
      <c r="F499" s="14" t="str">
        <f t="shared" si="47"/>
        <v>00</v>
      </c>
      <c r="G499" s="56">
        <v>16000900</v>
      </c>
      <c r="H499" s="14" t="s">
        <v>1032</v>
      </c>
      <c r="I499" s="15" t="s">
        <v>1033</v>
      </c>
      <c r="J499" s="14"/>
      <c r="K499" s="14"/>
      <c r="L499" s="14"/>
      <c r="M499" s="14"/>
    </row>
    <row r="500" spans="1:13" x14ac:dyDescent="0.25">
      <c r="A500" s="14" t="str">
        <f t="shared" si="42"/>
        <v>1</v>
      </c>
      <c r="B500" s="14" t="str">
        <f t="shared" si="43"/>
        <v>6</v>
      </c>
      <c r="C500" s="14" t="str">
        <f t="shared" si="44"/>
        <v>0</v>
      </c>
      <c r="D500" s="14" t="str">
        <f t="shared" si="45"/>
        <v>0</v>
      </c>
      <c r="E500" s="14" t="str">
        <f t="shared" si="46"/>
        <v>10</v>
      </c>
      <c r="F500" s="14" t="str">
        <f t="shared" si="47"/>
        <v>00</v>
      </c>
      <c r="G500" s="56">
        <v>16001000</v>
      </c>
      <c r="H500" s="14" t="s">
        <v>1034</v>
      </c>
      <c r="I500" s="15" t="s">
        <v>1035</v>
      </c>
      <c r="J500" s="14"/>
      <c r="K500" s="14"/>
      <c r="L500" s="14"/>
      <c r="M500" s="14"/>
    </row>
    <row r="501" spans="1:13" ht="25.5" x14ac:dyDescent="0.25">
      <c r="A501" s="14" t="str">
        <f t="shared" si="42"/>
        <v>1</v>
      </c>
      <c r="B501" s="14" t="str">
        <f t="shared" si="43"/>
        <v>6</v>
      </c>
      <c r="C501" s="14" t="str">
        <f t="shared" si="44"/>
        <v>0</v>
      </c>
      <c r="D501" s="14" t="str">
        <f t="shared" si="45"/>
        <v>0</v>
      </c>
      <c r="E501" s="14" t="str">
        <f t="shared" si="46"/>
        <v>11</v>
      </c>
      <c r="F501" s="14" t="str">
        <f t="shared" si="47"/>
        <v>00</v>
      </c>
      <c r="G501" s="56">
        <v>16001100</v>
      </c>
      <c r="H501" s="14" t="s">
        <v>1036</v>
      </c>
      <c r="I501" s="15" t="s">
        <v>1037</v>
      </c>
      <c r="J501" s="14"/>
      <c r="K501" s="14"/>
      <c r="L501" s="14"/>
      <c r="M501" s="14"/>
    </row>
    <row r="502" spans="1:13" ht="25.5" x14ac:dyDescent="0.25">
      <c r="A502" s="16" t="str">
        <f t="shared" si="42"/>
        <v>1</v>
      </c>
      <c r="B502" s="16" t="str">
        <f t="shared" si="43"/>
        <v>6</v>
      </c>
      <c r="C502" s="16" t="str">
        <f t="shared" si="44"/>
        <v>0</v>
      </c>
      <c r="D502" s="16" t="str">
        <f t="shared" si="45"/>
        <v>0</v>
      </c>
      <c r="E502" s="16" t="str">
        <f t="shared" si="46"/>
        <v>11</v>
      </c>
      <c r="F502" s="16" t="str">
        <f t="shared" si="47"/>
        <v>01</v>
      </c>
      <c r="G502" s="57">
        <v>16001101</v>
      </c>
      <c r="H502" s="16" t="s">
        <v>1038</v>
      </c>
      <c r="I502" s="17" t="s">
        <v>1039</v>
      </c>
      <c r="J502" s="16"/>
      <c r="K502" s="16"/>
      <c r="L502" s="16"/>
      <c r="M502" s="17"/>
    </row>
    <row r="503" spans="1:13" ht="25.5" x14ac:dyDescent="0.25">
      <c r="A503" s="16" t="str">
        <f t="shared" si="42"/>
        <v>1</v>
      </c>
      <c r="B503" s="16" t="str">
        <f t="shared" si="43"/>
        <v>6</v>
      </c>
      <c r="C503" s="16" t="str">
        <f t="shared" si="44"/>
        <v>0</v>
      </c>
      <c r="D503" s="16" t="str">
        <f t="shared" si="45"/>
        <v>0</v>
      </c>
      <c r="E503" s="16" t="str">
        <f t="shared" si="46"/>
        <v>11</v>
      </c>
      <c r="F503" s="16" t="str">
        <f t="shared" si="47"/>
        <v>02</v>
      </c>
      <c r="G503" s="57">
        <v>16001102</v>
      </c>
      <c r="H503" s="16" t="s">
        <v>1040</v>
      </c>
      <c r="I503" s="17" t="s">
        <v>1041</v>
      </c>
      <c r="J503" s="16"/>
      <c r="K503" s="16"/>
      <c r="L503" s="16"/>
      <c r="M503" s="17"/>
    </row>
    <row r="504" spans="1:13" ht="25.5" x14ac:dyDescent="0.25">
      <c r="A504" s="16" t="str">
        <f t="shared" si="42"/>
        <v>1</v>
      </c>
      <c r="B504" s="16" t="str">
        <f t="shared" si="43"/>
        <v>6</v>
      </c>
      <c r="C504" s="16" t="str">
        <f t="shared" si="44"/>
        <v>0</v>
      </c>
      <c r="D504" s="16" t="str">
        <f t="shared" si="45"/>
        <v>0</v>
      </c>
      <c r="E504" s="16" t="str">
        <f t="shared" si="46"/>
        <v>11</v>
      </c>
      <c r="F504" s="16" t="str">
        <f t="shared" si="47"/>
        <v>03</v>
      </c>
      <c r="G504" s="57">
        <v>16001103</v>
      </c>
      <c r="H504" s="16" t="s">
        <v>1042</v>
      </c>
      <c r="I504" s="17" t="s">
        <v>1043</v>
      </c>
      <c r="J504" s="16"/>
      <c r="K504" s="16"/>
      <c r="L504" s="16"/>
      <c r="M504" s="17"/>
    </row>
    <row r="505" spans="1:13" x14ac:dyDescent="0.25">
      <c r="A505" s="16" t="str">
        <f t="shared" si="42"/>
        <v>1</v>
      </c>
      <c r="B505" s="16" t="str">
        <f t="shared" si="43"/>
        <v>6</v>
      </c>
      <c r="C505" s="16" t="str">
        <f t="shared" si="44"/>
        <v>0</v>
      </c>
      <c r="D505" s="16" t="str">
        <f t="shared" si="45"/>
        <v>0</v>
      </c>
      <c r="E505" s="16" t="str">
        <f t="shared" si="46"/>
        <v>11</v>
      </c>
      <c r="F505" s="16" t="str">
        <f t="shared" si="47"/>
        <v>04</v>
      </c>
      <c r="G505" s="57">
        <v>16001104</v>
      </c>
      <c r="H505" s="16" t="s">
        <v>1044</v>
      </c>
      <c r="I505" s="17" t="s">
        <v>1045</v>
      </c>
      <c r="J505" s="16"/>
      <c r="K505" s="16"/>
      <c r="L505" s="16"/>
      <c r="M505" s="17"/>
    </row>
    <row r="506" spans="1:13" x14ac:dyDescent="0.25">
      <c r="A506" s="16" t="str">
        <f t="shared" si="42"/>
        <v>1</v>
      </c>
      <c r="B506" s="16" t="str">
        <f t="shared" si="43"/>
        <v>6</v>
      </c>
      <c r="C506" s="16" t="str">
        <f t="shared" si="44"/>
        <v>0</v>
      </c>
      <c r="D506" s="16" t="str">
        <f t="shared" si="45"/>
        <v>0</v>
      </c>
      <c r="E506" s="16" t="str">
        <f t="shared" si="46"/>
        <v>11</v>
      </c>
      <c r="F506" s="16" t="str">
        <f t="shared" si="47"/>
        <v>05</v>
      </c>
      <c r="G506" s="57">
        <v>16001105</v>
      </c>
      <c r="H506" s="16" t="s">
        <v>1046</v>
      </c>
      <c r="I506" s="17" t="s">
        <v>1047</v>
      </c>
      <c r="J506" s="16"/>
      <c r="K506" s="16"/>
      <c r="L506" s="16"/>
      <c r="M506" s="17"/>
    </row>
    <row r="507" spans="1:13" ht="25.5" x14ac:dyDescent="0.25">
      <c r="A507" s="16" t="str">
        <f t="shared" si="42"/>
        <v>1</v>
      </c>
      <c r="B507" s="16" t="str">
        <f t="shared" si="43"/>
        <v>6</v>
      </c>
      <c r="C507" s="16" t="str">
        <f t="shared" si="44"/>
        <v>0</v>
      </c>
      <c r="D507" s="16" t="str">
        <f t="shared" si="45"/>
        <v>0</v>
      </c>
      <c r="E507" s="16" t="str">
        <f t="shared" si="46"/>
        <v>11</v>
      </c>
      <c r="F507" s="16" t="str">
        <f t="shared" si="47"/>
        <v>99</v>
      </c>
      <c r="G507" s="57">
        <v>16001199</v>
      </c>
      <c r="H507" s="16" t="s">
        <v>1048</v>
      </c>
      <c r="I507" s="17" t="s">
        <v>1049</v>
      </c>
      <c r="J507" s="16"/>
      <c r="K507" s="16"/>
      <c r="L507" s="16"/>
      <c r="M507" s="17"/>
    </row>
    <row r="508" spans="1:13" x14ac:dyDescent="0.25">
      <c r="A508" s="14" t="str">
        <f t="shared" si="42"/>
        <v>1</v>
      </c>
      <c r="B508" s="14" t="str">
        <f t="shared" si="43"/>
        <v>6</v>
      </c>
      <c r="C508" s="14" t="str">
        <f t="shared" si="44"/>
        <v>0</v>
      </c>
      <c r="D508" s="14" t="str">
        <f t="shared" si="45"/>
        <v>0</v>
      </c>
      <c r="E508" s="14" t="str">
        <f t="shared" si="46"/>
        <v>12</v>
      </c>
      <c r="F508" s="14" t="str">
        <f t="shared" si="47"/>
        <v>00</v>
      </c>
      <c r="G508" s="56">
        <v>16001200</v>
      </c>
      <c r="H508" s="14" t="s">
        <v>1050</v>
      </c>
      <c r="I508" s="15" t="s">
        <v>1051</v>
      </c>
      <c r="J508" s="14"/>
      <c r="K508" s="14"/>
      <c r="L508" s="14"/>
      <c r="M508" s="14"/>
    </row>
    <row r="509" spans="1:13" ht="51" x14ac:dyDescent="0.25">
      <c r="A509" s="14" t="str">
        <f t="shared" si="42"/>
        <v>1</v>
      </c>
      <c r="B509" s="14" t="str">
        <f t="shared" si="43"/>
        <v>6</v>
      </c>
      <c r="C509" s="14" t="str">
        <f t="shared" si="44"/>
        <v>0</v>
      </c>
      <c r="D509" s="14" t="str">
        <f t="shared" si="45"/>
        <v>0</v>
      </c>
      <c r="E509" s="14" t="str">
        <f t="shared" si="46"/>
        <v>13</v>
      </c>
      <c r="F509" s="14" t="str">
        <f t="shared" si="47"/>
        <v>00</v>
      </c>
      <c r="G509" s="56">
        <v>16001300</v>
      </c>
      <c r="H509" s="14" t="s">
        <v>1052</v>
      </c>
      <c r="I509" s="15" t="s">
        <v>1053</v>
      </c>
      <c r="J509" s="14"/>
      <c r="K509" s="14"/>
      <c r="L509" s="14"/>
      <c r="M509" s="14"/>
    </row>
    <row r="510" spans="1:13" ht="25.5" x14ac:dyDescent="0.25">
      <c r="A510" s="16" t="str">
        <f t="shared" si="42"/>
        <v>1</v>
      </c>
      <c r="B510" s="16" t="str">
        <f t="shared" si="43"/>
        <v>6</v>
      </c>
      <c r="C510" s="16" t="str">
        <f t="shared" si="44"/>
        <v>0</v>
      </c>
      <c r="D510" s="16" t="str">
        <f t="shared" si="45"/>
        <v>0</v>
      </c>
      <c r="E510" s="16" t="str">
        <f t="shared" si="46"/>
        <v>13</v>
      </c>
      <c r="F510" s="16" t="str">
        <f t="shared" si="47"/>
        <v>01</v>
      </c>
      <c r="G510" s="57">
        <v>16001301</v>
      </c>
      <c r="H510" s="16" t="s">
        <v>1054</v>
      </c>
      <c r="I510" s="17" t="s">
        <v>1055</v>
      </c>
      <c r="J510" s="16"/>
      <c r="K510" s="16"/>
      <c r="L510" s="16"/>
      <c r="M510" s="17"/>
    </row>
    <row r="511" spans="1:13" x14ac:dyDescent="0.25">
      <c r="A511" s="16" t="str">
        <f t="shared" si="42"/>
        <v>1</v>
      </c>
      <c r="B511" s="16" t="str">
        <f t="shared" si="43"/>
        <v>6</v>
      </c>
      <c r="C511" s="16" t="str">
        <f t="shared" si="44"/>
        <v>0</v>
      </c>
      <c r="D511" s="16" t="str">
        <f t="shared" si="45"/>
        <v>0</v>
      </c>
      <c r="E511" s="16" t="str">
        <f t="shared" si="46"/>
        <v>13</v>
      </c>
      <c r="F511" s="16" t="str">
        <f t="shared" si="47"/>
        <v>02</v>
      </c>
      <c r="G511" s="57">
        <v>16001302</v>
      </c>
      <c r="H511" s="16" t="s">
        <v>1056</v>
      </c>
      <c r="I511" s="17" t="s">
        <v>1057</v>
      </c>
      <c r="J511" s="16"/>
      <c r="K511" s="16"/>
      <c r="L511" s="16"/>
      <c r="M511" s="17"/>
    </row>
    <row r="512" spans="1:13" x14ac:dyDescent="0.25">
      <c r="A512" s="16" t="str">
        <f t="shared" si="42"/>
        <v>1</v>
      </c>
      <c r="B512" s="16" t="str">
        <f t="shared" si="43"/>
        <v>6</v>
      </c>
      <c r="C512" s="16" t="str">
        <f t="shared" si="44"/>
        <v>0</v>
      </c>
      <c r="D512" s="16" t="str">
        <f t="shared" si="45"/>
        <v>0</v>
      </c>
      <c r="E512" s="16" t="str">
        <f t="shared" si="46"/>
        <v>13</v>
      </c>
      <c r="F512" s="16" t="str">
        <f t="shared" si="47"/>
        <v>03</v>
      </c>
      <c r="G512" s="57">
        <v>16001303</v>
      </c>
      <c r="H512" s="16" t="s">
        <v>1058</v>
      </c>
      <c r="I512" s="17" t="s">
        <v>1059</v>
      </c>
      <c r="J512" s="16"/>
      <c r="K512" s="16"/>
      <c r="L512" s="16"/>
      <c r="M512" s="17"/>
    </row>
    <row r="513" spans="1:13" x14ac:dyDescent="0.25">
      <c r="A513" s="16" t="str">
        <f t="shared" si="42"/>
        <v>1</v>
      </c>
      <c r="B513" s="16" t="str">
        <f t="shared" si="43"/>
        <v>6</v>
      </c>
      <c r="C513" s="16" t="str">
        <f t="shared" si="44"/>
        <v>0</v>
      </c>
      <c r="D513" s="16" t="str">
        <f t="shared" si="45"/>
        <v>0</v>
      </c>
      <c r="E513" s="16" t="str">
        <f t="shared" si="46"/>
        <v>13</v>
      </c>
      <c r="F513" s="16" t="str">
        <f t="shared" si="47"/>
        <v>04</v>
      </c>
      <c r="G513" s="57">
        <v>16001304</v>
      </c>
      <c r="H513" s="16" t="s">
        <v>1060</v>
      </c>
      <c r="I513" s="17" t="s">
        <v>1061</v>
      </c>
      <c r="J513" s="16"/>
      <c r="K513" s="16"/>
      <c r="L513" s="16"/>
      <c r="M513" s="17"/>
    </row>
    <row r="514" spans="1:13" x14ac:dyDescent="0.25">
      <c r="A514" s="16" t="str">
        <f t="shared" si="42"/>
        <v>1</v>
      </c>
      <c r="B514" s="16" t="str">
        <f t="shared" si="43"/>
        <v>6</v>
      </c>
      <c r="C514" s="16" t="str">
        <f t="shared" si="44"/>
        <v>0</v>
      </c>
      <c r="D514" s="16" t="str">
        <f t="shared" si="45"/>
        <v>0</v>
      </c>
      <c r="E514" s="16" t="str">
        <f t="shared" si="46"/>
        <v>13</v>
      </c>
      <c r="F514" s="16" t="str">
        <f t="shared" si="47"/>
        <v>05</v>
      </c>
      <c r="G514" s="57">
        <v>16001305</v>
      </c>
      <c r="H514" s="16" t="s">
        <v>1062</v>
      </c>
      <c r="I514" s="17" t="s">
        <v>1063</v>
      </c>
      <c r="J514" s="16"/>
      <c r="K514" s="16"/>
      <c r="L514" s="16"/>
      <c r="M514" s="17"/>
    </row>
    <row r="515" spans="1:13" x14ac:dyDescent="0.25">
      <c r="A515" s="16" t="str">
        <f t="shared" si="42"/>
        <v>1</v>
      </c>
      <c r="B515" s="16" t="str">
        <f t="shared" si="43"/>
        <v>6</v>
      </c>
      <c r="C515" s="16" t="str">
        <f t="shared" si="44"/>
        <v>0</v>
      </c>
      <c r="D515" s="16" t="str">
        <f t="shared" si="45"/>
        <v>0</v>
      </c>
      <c r="E515" s="16" t="str">
        <f t="shared" si="46"/>
        <v>13</v>
      </c>
      <c r="F515" s="16" t="str">
        <f t="shared" si="47"/>
        <v>06</v>
      </c>
      <c r="G515" s="57">
        <v>16001306</v>
      </c>
      <c r="H515" s="16" t="s">
        <v>1064</v>
      </c>
      <c r="I515" s="17" t="s">
        <v>1065</v>
      </c>
      <c r="J515" s="16"/>
      <c r="K515" s="16"/>
      <c r="L515" s="16"/>
      <c r="M515" s="17"/>
    </row>
    <row r="516" spans="1:13" ht="25.5" x14ac:dyDescent="0.25">
      <c r="A516" s="16" t="str">
        <f t="shared" ref="A516:A579" si="48">MID(G516,1,1)</f>
        <v>1</v>
      </c>
      <c r="B516" s="16" t="str">
        <f t="shared" ref="B516:B579" si="49">MID(G516,2,1)</f>
        <v>6</v>
      </c>
      <c r="C516" s="16" t="str">
        <f t="shared" ref="C516:C579" si="50">MID(G516,3,1)</f>
        <v>0</v>
      </c>
      <c r="D516" s="16" t="str">
        <f t="shared" ref="D516:D579" si="51">MID(G516,4,1)</f>
        <v>0</v>
      </c>
      <c r="E516" s="16" t="str">
        <f t="shared" ref="E516:E579" si="52">MID(G516,5,2)</f>
        <v>13</v>
      </c>
      <c r="F516" s="16" t="str">
        <f t="shared" ref="F516:F579" si="53">MID(G516,7,2)</f>
        <v>07</v>
      </c>
      <c r="G516" s="57">
        <v>16001307</v>
      </c>
      <c r="H516" s="16" t="s">
        <v>1066</v>
      </c>
      <c r="I516" s="17" t="s">
        <v>1067</v>
      </c>
      <c r="J516" s="16"/>
      <c r="K516" s="16"/>
      <c r="L516" s="16"/>
      <c r="M516" s="17"/>
    </row>
    <row r="517" spans="1:13" x14ac:dyDescent="0.25">
      <c r="A517" s="16" t="str">
        <f t="shared" si="48"/>
        <v>1</v>
      </c>
      <c r="B517" s="16" t="str">
        <f t="shared" si="49"/>
        <v>6</v>
      </c>
      <c r="C517" s="16" t="str">
        <f t="shared" si="50"/>
        <v>0</v>
      </c>
      <c r="D517" s="16" t="str">
        <f t="shared" si="51"/>
        <v>0</v>
      </c>
      <c r="E517" s="16" t="str">
        <f t="shared" si="52"/>
        <v>13</v>
      </c>
      <c r="F517" s="16" t="str">
        <f t="shared" si="53"/>
        <v>99</v>
      </c>
      <c r="G517" s="57">
        <v>16001399</v>
      </c>
      <c r="H517" s="16" t="s">
        <v>1068</v>
      </c>
      <c r="I517" s="17" t="s">
        <v>1069</v>
      </c>
      <c r="J517" s="16"/>
      <c r="K517" s="16"/>
      <c r="L517" s="16"/>
      <c r="M517" s="17"/>
    </row>
    <row r="518" spans="1:13" ht="38.25" x14ac:dyDescent="0.25">
      <c r="A518" s="14" t="str">
        <f t="shared" si="48"/>
        <v>1</v>
      </c>
      <c r="B518" s="14" t="str">
        <f t="shared" si="49"/>
        <v>6</v>
      </c>
      <c r="C518" s="14" t="str">
        <f t="shared" si="50"/>
        <v>0</v>
      </c>
      <c r="D518" s="14" t="str">
        <f t="shared" si="51"/>
        <v>0</v>
      </c>
      <c r="E518" s="14" t="str">
        <f t="shared" si="52"/>
        <v>14</v>
      </c>
      <c r="F518" s="14" t="str">
        <f t="shared" si="53"/>
        <v>00</v>
      </c>
      <c r="G518" s="56">
        <v>16001400</v>
      </c>
      <c r="H518" s="14" t="s">
        <v>1070</v>
      </c>
      <c r="I518" s="15" t="s">
        <v>1071</v>
      </c>
      <c r="J518" s="14"/>
      <c r="K518" s="14"/>
      <c r="L518" s="14"/>
      <c r="M518" s="14"/>
    </row>
    <row r="519" spans="1:13" ht="25.5" x14ac:dyDescent="0.25">
      <c r="A519" s="14" t="str">
        <f t="shared" si="48"/>
        <v>1</v>
      </c>
      <c r="B519" s="14" t="str">
        <f t="shared" si="49"/>
        <v>6</v>
      </c>
      <c r="C519" s="14" t="str">
        <f t="shared" si="50"/>
        <v>0</v>
      </c>
      <c r="D519" s="14" t="str">
        <f t="shared" si="51"/>
        <v>0</v>
      </c>
      <c r="E519" s="14" t="str">
        <f t="shared" si="52"/>
        <v>15</v>
      </c>
      <c r="F519" s="14" t="str">
        <f t="shared" si="53"/>
        <v>00</v>
      </c>
      <c r="G519" s="56">
        <v>16001500</v>
      </c>
      <c r="H519" s="14" t="s">
        <v>1072</v>
      </c>
      <c r="I519" s="15" t="s">
        <v>1073</v>
      </c>
      <c r="J519" s="14"/>
      <c r="K519" s="14"/>
      <c r="L519" s="14"/>
      <c r="M519" s="14"/>
    </row>
    <row r="520" spans="1:13" ht="51" x14ac:dyDescent="0.25">
      <c r="A520" s="14" t="str">
        <f t="shared" si="48"/>
        <v>1</v>
      </c>
      <c r="B520" s="14" t="str">
        <f t="shared" si="49"/>
        <v>6</v>
      </c>
      <c r="C520" s="14" t="str">
        <f t="shared" si="50"/>
        <v>0</v>
      </c>
      <c r="D520" s="14" t="str">
        <f t="shared" si="51"/>
        <v>0</v>
      </c>
      <c r="E520" s="14" t="str">
        <f t="shared" si="52"/>
        <v>16</v>
      </c>
      <c r="F520" s="14" t="str">
        <f t="shared" si="53"/>
        <v>00</v>
      </c>
      <c r="G520" s="56">
        <v>16001600</v>
      </c>
      <c r="H520" s="14" t="s">
        <v>1074</v>
      </c>
      <c r="I520" s="15" t="s">
        <v>1075</v>
      </c>
      <c r="J520" s="14"/>
      <c r="K520" s="14"/>
      <c r="L520" s="14"/>
      <c r="M520" s="14"/>
    </row>
    <row r="521" spans="1:13" x14ac:dyDescent="0.25">
      <c r="A521" s="14" t="str">
        <f t="shared" si="48"/>
        <v>1</v>
      </c>
      <c r="B521" s="14" t="str">
        <f t="shared" si="49"/>
        <v>6</v>
      </c>
      <c r="C521" s="14" t="str">
        <f t="shared" si="50"/>
        <v>0</v>
      </c>
      <c r="D521" s="14" t="str">
        <f t="shared" si="51"/>
        <v>0</v>
      </c>
      <c r="E521" s="14" t="str">
        <f t="shared" si="52"/>
        <v>17</v>
      </c>
      <c r="F521" s="14" t="str">
        <f t="shared" si="53"/>
        <v>00</v>
      </c>
      <c r="G521" s="56">
        <v>16001700</v>
      </c>
      <c r="H521" s="14" t="s">
        <v>1076</v>
      </c>
      <c r="I521" s="15" t="s">
        <v>1077</v>
      </c>
      <c r="J521" s="14"/>
      <c r="K521" s="14"/>
      <c r="L521" s="14"/>
      <c r="M521" s="14"/>
    </row>
    <row r="522" spans="1:13" ht="63.75" x14ac:dyDescent="0.25">
      <c r="A522" s="14" t="str">
        <f t="shared" si="48"/>
        <v>1</v>
      </c>
      <c r="B522" s="14" t="str">
        <f t="shared" si="49"/>
        <v>6</v>
      </c>
      <c r="C522" s="14" t="str">
        <f t="shared" si="50"/>
        <v>0</v>
      </c>
      <c r="D522" s="14" t="str">
        <f t="shared" si="51"/>
        <v>0</v>
      </c>
      <c r="E522" s="14" t="str">
        <f t="shared" si="52"/>
        <v>18</v>
      </c>
      <c r="F522" s="14" t="str">
        <f t="shared" si="53"/>
        <v>00</v>
      </c>
      <c r="G522" s="56">
        <v>16001800</v>
      </c>
      <c r="H522" s="14" t="s">
        <v>1078</v>
      </c>
      <c r="I522" s="15" t="s">
        <v>1079</v>
      </c>
      <c r="J522" s="14"/>
      <c r="K522" s="14"/>
      <c r="L522" s="14"/>
      <c r="M522" s="14"/>
    </row>
    <row r="523" spans="1:13" ht="38.25" x14ac:dyDescent="0.25">
      <c r="A523" s="14" t="str">
        <f t="shared" si="48"/>
        <v>1</v>
      </c>
      <c r="B523" s="14" t="str">
        <f t="shared" si="49"/>
        <v>6</v>
      </c>
      <c r="C523" s="14" t="str">
        <f t="shared" si="50"/>
        <v>0</v>
      </c>
      <c r="D523" s="14" t="str">
        <f t="shared" si="51"/>
        <v>0</v>
      </c>
      <c r="E523" s="14" t="str">
        <f t="shared" si="52"/>
        <v>19</v>
      </c>
      <c r="F523" s="14" t="str">
        <f t="shared" si="53"/>
        <v>00</v>
      </c>
      <c r="G523" s="56">
        <v>16001900</v>
      </c>
      <c r="H523" s="14" t="s">
        <v>1080</v>
      </c>
      <c r="I523" s="15" t="s">
        <v>1081</v>
      </c>
      <c r="J523" s="14"/>
      <c r="K523" s="14"/>
      <c r="L523" s="14"/>
      <c r="M523" s="14"/>
    </row>
    <row r="524" spans="1:13" ht="38.25" x14ac:dyDescent="0.25">
      <c r="A524" s="14" t="str">
        <f t="shared" si="48"/>
        <v>1</v>
      </c>
      <c r="B524" s="14" t="str">
        <f t="shared" si="49"/>
        <v>6</v>
      </c>
      <c r="C524" s="14" t="str">
        <f t="shared" si="50"/>
        <v>0</v>
      </c>
      <c r="D524" s="14" t="str">
        <f t="shared" si="51"/>
        <v>0</v>
      </c>
      <c r="E524" s="14" t="str">
        <f t="shared" si="52"/>
        <v>20</v>
      </c>
      <c r="F524" s="14" t="str">
        <f t="shared" si="53"/>
        <v>00</v>
      </c>
      <c r="G524" s="56">
        <v>16002000</v>
      </c>
      <c r="H524" s="14" t="s">
        <v>1082</v>
      </c>
      <c r="I524" s="15" t="s">
        <v>1083</v>
      </c>
      <c r="J524" s="14"/>
      <c r="K524" s="14"/>
      <c r="L524" s="14"/>
      <c r="M524" s="14"/>
    </row>
    <row r="525" spans="1:13" ht="38.25" x14ac:dyDescent="0.25">
      <c r="A525" s="16" t="str">
        <f t="shared" si="48"/>
        <v>1</v>
      </c>
      <c r="B525" s="16" t="str">
        <f t="shared" si="49"/>
        <v>6</v>
      </c>
      <c r="C525" s="16" t="str">
        <f t="shared" si="50"/>
        <v>0</v>
      </c>
      <c r="D525" s="16" t="str">
        <f t="shared" si="51"/>
        <v>0</v>
      </c>
      <c r="E525" s="16" t="str">
        <f t="shared" si="52"/>
        <v>20</v>
      </c>
      <c r="F525" s="16" t="str">
        <f t="shared" si="53"/>
        <v>01</v>
      </c>
      <c r="G525" s="57">
        <v>16002001</v>
      </c>
      <c r="H525" s="16" t="s">
        <v>1084</v>
      </c>
      <c r="I525" s="17" t="s">
        <v>1085</v>
      </c>
      <c r="J525" s="16"/>
      <c r="K525" s="16" t="s">
        <v>151</v>
      </c>
      <c r="L525" s="16" t="s">
        <v>1086</v>
      </c>
      <c r="M525" s="17"/>
    </row>
    <row r="526" spans="1:13" ht="51" x14ac:dyDescent="0.25">
      <c r="A526" s="16" t="str">
        <f t="shared" si="48"/>
        <v>1</v>
      </c>
      <c r="B526" s="16" t="str">
        <f t="shared" si="49"/>
        <v>6</v>
      </c>
      <c r="C526" s="16" t="str">
        <f t="shared" si="50"/>
        <v>0</v>
      </c>
      <c r="D526" s="16" t="str">
        <f t="shared" si="51"/>
        <v>0</v>
      </c>
      <c r="E526" s="16" t="str">
        <f t="shared" si="52"/>
        <v>20</v>
      </c>
      <c r="F526" s="16" t="str">
        <f t="shared" si="53"/>
        <v>02</v>
      </c>
      <c r="G526" s="57">
        <v>16002002</v>
      </c>
      <c r="H526" s="16" t="s">
        <v>1087</v>
      </c>
      <c r="I526" s="17" t="s">
        <v>1088</v>
      </c>
      <c r="J526" s="16"/>
      <c r="K526" s="16" t="s">
        <v>151</v>
      </c>
      <c r="L526" s="16" t="s">
        <v>1086</v>
      </c>
      <c r="M526" s="17"/>
    </row>
    <row r="527" spans="1:13" ht="38.25" x14ac:dyDescent="0.25">
      <c r="A527" s="14" t="str">
        <f t="shared" si="48"/>
        <v>1</v>
      </c>
      <c r="B527" s="14" t="str">
        <f t="shared" si="49"/>
        <v>6</v>
      </c>
      <c r="C527" s="14" t="str">
        <f t="shared" si="50"/>
        <v>0</v>
      </c>
      <c r="D527" s="14" t="str">
        <f t="shared" si="51"/>
        <v>0</v>
      </c>
      <c r="E527" s="14" t="str">
        <f t="shared" si="52"/>
        <v>21</v>
      </c>
      <c r="F527" s="14" t="str">
        <f t="shared" si="53"/>
        <v>00</v>
      </c>
      <c r="G527" s="56">
        <v>16002100</v>
      </c>
      <c r="H527" s="14" t="s">
        <v>1089</v>
      </c>
      <c r="I527" s="15" t="s">
        <v>1090</v>
      </c>
      <c r="J527" s="14"/>
      <c r="K527" s="14"/>
      <c r="L527" s="14"/>
      <c r="M527" s="14"/>
    </row>
    <row r="528" spans="1:13" x14ac:dyDescent="0.25">
      <c r="A528" s="14" t="str">
        <f t="shared" si="48"/>
        <v>1</v>
      </c>
      <c r="B528" s="14" t="str">
        <f t="shared" si="49"/>
        <v>6</v>
      </c>
      <c r="C528" s="14" t="str">
        <f t="shared" si="50"/>
        <v>0</v>
      </c>
      <c r="D528" s="14" t="str">
        <f t="shared" si="51"/>
        <v>0</v>
      </c>
      <c r="E528" s="14" t="str">
        <f t="shared" si="52"/>
        <v>22</v>
      </c>
      <c r="F528" s="14" t="str">
        <f t="shared" si="53"/>
        <v>00</v>
      </c>
      <c r="G528" s="56">
        <v>16002200</v>
      </c>
      <c r="H528" s="14" t="s">
        <v>1091</v>
      </c>
      <c r="I528" s="15" t="s">
        <v>1092</v>
      </c>
      <c r="J528" s="14"/>
      <c r="K528" s="14"/>
      <c r="L528" s="14"/>
      <c r="M528" s="14"/>
    </row>
    <row r="529" spans="1:13" ht="25.5" x14ac:dyDescent="0.25">
      <c r="A529" s="14" t="str">
        <f t="shared" si="48"/>
        <v>1</v>
      </c>
      <c r="B529" s="14" t="str">
        <f t="shared" si="49"/>
        <v>6</v>
      </c>
      <c r="C529" s="14" t="str">
        <f t="shared" si="50"/>
        <v>0</v>
      </c>
      <c r="D529" s="14" t="str">
        <f t="shared" si="51"/>
        <v>0</v>
      </c>
      <c r="E529" s="14" t="str">
        <f t="shared" si="52"/>
        <v>23</v>
      </c>
      <c r="F529" s="14" t="str">
        <f t="shared" si="53"/>
        <v>00</v>
      </c>
      <c r="G529" s="56">
        <v>16002300</v>
      </c>
      <c r="H529" s="14" t="s">
        <v>1093</v>
      </c>
      <c r="I529" s="15" t="s">
        <v>1094</v>
      </c>
      <c r="J529" s="14"/>
      <c r="K529" s="14"/>
      <c r="L529" s="14"/>
      <c r="M529" s="14"/>
    </row>
    <row r="530" spans="1:13" x14ac:dyDescent="0.25">
      <c r="A530" s="16" t="str">
        <f t="shared" si="48"/>
        <v>1</v>
      </c>
      <c r="B530" s="16" t="str">
        <f t="shared" si="49"/>
        <v>6</v>
      </c>
      <c r="C530" s="16" t="str">
        <f t="shared" si="50"/>
        <v>0</v>
      </c>
      <c r="D530" s="16" t="str">
        <f t="shared" si="51"/>
        <v>0</v>
      </c>
      <c r="E530" s="16" t="str">
        <f t="shared" si="52"/>
        <v>23</v>
      </c>
      <c r="F530" s="16" t="str">
        <f t="shared" si="53"/>
        <v>01</v>
      </c>
      <c r="G530" s="57">
        <v>16002301</v>
      </c>
      <c r="H530" s="16" t="s">
        <v>1095</v>
      </c>
      <c r="I530" s="17" t="s">
        <v>1096</v>
      </c>
      <c r="J530" s="16"/>
      <c r="K530" s="16"/>
      <c r="L530" s="16"/>
      <c r="M530" s="17"/>
    </row>
    <row r="531" spans="1:13" x14ac:dyDescent="0.25">
      <c r="A531" s="16" t="str">
        <f t="shared" si="48"/>
        <v>1</v>
      </c>
      <c r="B531" s="16" t="str">
        <f t="shared" si="49"/>
        <v>6</v>
      </c>
      <c r="C531" s="16" t="str">
        <f t="shared" si="50"/>
        <v>0</v>
      </c>
      <c r="D531" s="16" t="str">
        <f t="shared" si="51"/>
        <v>0</v>
      </c>
      <c r="E531" s="16" t="str">
        <f t="shared" si="52"/>
        <v>23</v>
      </c>
      <c r="F531" s="16" t="str">
        <f t="shared" si="53"/>
        <v>02</v>
      </c>
      <c r="G531" s="57">
        <v>16002302</v>
      </c>
      <c r="H531" s="16" t="s">
        <v>1097</v>
      </c>
      <c r="I531" s="17" t="s">
        <v>1098</v>
      </c>
      <c r="J531" s="16"/>
      <c r="K531" s="16"/>
      <c r="L531" s="16"/>
      <c r="M531" s="17"/>
    </row>
    <row r="532" spans="1:13" x14ac:dyDescent="0.25">
      <c r="A532" s="16" t="str">
        <f t="shared" si="48"/>
        <v>1</v>
      </c>
      <c r="B532" s="16" t="str">
        <f t="shared" si="49"/>
        <v>6</v>
      </c>
      <c r="C532" s="16" t="str">
        <f t="shared" si="50"/>
        <v>0</v>
      </c>
      <c r="D532" s="16" t="str">
        <f t="shared" si="51"/>
        <v>0</v>
      </c>
      <c r="E532" s="16" t="str">
        <f t="shared" si="52"/>
        <v>23</v>
      </c>
      <c r="F532" s="16" t="str">
        <f t="shared" si="53"/>
        <v>03</v>
      </c>
      <c r="G532" s="57">
        <v>16002303</v>
      </c>
      <c r="H532" s="16" t="s">
        <v>1099</v>
      </c>
      <c r="I532" s="17" t="s">
        <v>1100</v>
      </c>
      <c r="J532" s="16"/>
      <c r="K532" s="16"/>
      <c r="L532" s="16"/>
      <c r="M532" s="17"/>
    </row>
    <row r="533" spans="1:13" ht="25.5" x14ac:dyDescent="0.25">
      <c r="A533" s="16" t="str">
        <f t="shared" si="48"/>
        <v>1</v>
      </c>
      <c r="B533" s="16" t="str">
        <f t="shared" si="49"/>
        <v>6</v>
      </c>
      <c r="C533" s="16" t="str">
        <f t="shared" si="50"/>
        <v>0</v>
      </c>
      <c r="D533" s="16" t="str">
        <f t="shared" si="51"/>
        <v>0</v>
      </c>
      <c r="E533" s="16" t="str">
        <f t="shared" si="52"/>
        <v>23</v>
      </c>
      <c r="F533" s="16" t="str">
        <f t="shared" si="53"/>
        <v>04</v>
      </c>
      <c r="G533" s="57">
        <v>16002304</v>
      </c>
      <c r="H533" s="16" t="s">
        <v>1101</v>
      </c>
      <c r="I533" s="17" t="s">
        <v>1102</v>
      </c>
      <c r="J533" s="16"/>
      <c r="K533" s="16"/>
      <c r="L533" s="16"/>
      <c r="M533" s="17"/>
    </row>
    <row r="534" spans="1:13" ht="25.5" x14ac:dyDescent="0.25">
      <c r="A534" s="16" t="str">
        <f t="shared" si="48"/>
        <v>1</v>
      </c>
      <c r="B534" s="16" t="str">
        <f t="shared" si="49"/>
        <v>6</v>
      </c>
      <c r="C534" s="16" t="str">
        <f t="shared" si="50"/>
        <v>0</v>
      </c>
      <c r="D534" s="16" t="str">
        <f t="shared" si="51"/>
        <v>0</v>
      </c>
      <c r="E534" s="16" t="str">
        <f t="shared" si="52"/>
        <v>23</v>
      </c>
      <c r="F534" s="16" t="str">
        <f t="shared" si="53"/>
        <v>05</v>
      </c>
      <c r="G534" s="57">
        <v>16002305</v>
      </c>
      <c r="H534" s="16" t="s">
        <v>1103</v>
      </c>
      <c r="I534" s="17" t="s">
        <v>1104</v>
      </c>
      <c r="J534" s="16"/>
      <c r="K534" s="16"/>
      <c r="L534" s="16"/>
      <c r="M534" s="17"/>
    </row>
    <row r="535" spans="1:13" x14ac:dyDescent="0.25">
      <c r="A535" s="16" t="str">
        <f t="shared" si="48"/>
        <v>1</v>
      </c>
      <c r="B535" s="16" t="str">
        <f t="shared" si="49"/>
        <v>6</v>
      </c>
      <c r="C535" s="16" t="str">
        <f t="shared" si="50"/>
        <v>0</v>
      </c>
      <c r="D535" s="16" t="str">
        <f t="shared" si="51"/>
        <v>0</v>
      </c>
      <c r="E535" s="16" t="str">
        <f t="shared" si="52"/>
        <v>23</v>
      </c>
      <c r="F535" s="16" t="str">
        <f t="shared" si="53"/>
        <v>06</v>
      </c>
      <c r="G535" s="57">
        <v>16002306</v>
      </c>
      <c r="H535" s="16" t="s">
        <v>1105</v>
      </c>
      <c r="I535" s="17" t="s">
        <v>1106</v>
      </c>
      <c r="J535" s="16"/>
      <c r="K535" s="16"/>
      <c r="L535" s="16"/>
      <c r="M535" s="17"/>
    </row>
    <row r="536" spans="1:13" ht="25.5" x14ac:dyDescent="0.25">
      <c r="A536" s="16" t="str">
        <f t="shared" si="48"/>
        <v>1</v>
      </c>
      <c r="B536" s="16" t="str">
        <f t="shared" si="49"/>
        <v>6</v>
      </c>
      <c r="C536" s="16" t="str">
        <f t="shared" si="50"/>
        <v>0</v>
      </c>
      <c r="D536" s="16" t="str">
        <f t="shared" si="51"/>
        <v>0</v>
      </c>
      <c r="E536" s="16" t="str">
        <f t="shared" si="52"/>
        <v>23</v>
      </c>
      <c r="F536" s="16" t="str">
        <f t="shared" si="53"/>
        <v>07</v>
      </c>
      <c r="G536" s="57">
        <v>16002307</v>
      </c>
      <c r="H536" s="16" t="s">
        <v>1107</v>
      </c>
      <c r="I536" s="17" t="s">
        <v>1108</v>
      </c>
      <c r="J536" s="16"/>
      <c r="K536" s="16"/>
      <c r="L536" s="16"/>
      <c r="M536" s="17"/>
    </row>
    <row r="537" spans="1:13" x14ac:dyDescent="0.25">
      <c r="A537" s="16" t="str">
        <f t="shared" si="48"/>
        <v>1</v>
      </c>
      <c r="B537" s="16" t="str">
        <f t="shared" si="49"/>
        <v>6</v>
      </c>
      <c r="C537" s="16" t="str">
        <f t="shared" si="50"/>
        <v>0</v>
      </c>
      <c r="D537" s="16" t="str">
        <f t="shared" si="51"/>
        <v>0</v>
      </c>
      <c r="E537" s="16" t="str">
        <f t="shared" si="52"/>
        <v>23</v>
      </c>
      <c r="F537" s="16" t="str">
        <f t="shared" si="53"/>
        <v>08</v>
      </c>
      <c r="G537" s="57">
        <v>16002308</v>
      </c>
      <c r="H537" s="16" t="s">
        <v>1109</v>
      </c>
      <c r="I537" s="17" t="s">
        <v>1110</v>
      </c>
      <c r="J537" s="16"/>
      <c r="K537" s="16"/>
      <c r="L537" s="16"/>
      <c r="M537" s="17"/>
    </row>
    <row r="538" spans="1:13" ht="25.5" x14ac:dyDescent="0.25">
      <c r="A538" s="16" t="str">
        <f t="shared" si="48"/>
        <v>1</v>
      </c>
      <c r="B538" s="16" t="str">
        <f t="shared" si="49"/>
        <v>6</v>
      </c>
      <c r="C538" s="16" t="str">
        <f t="shared" si="50"/>
        <v>0</v>
      </c>
      <c r="D538" s="16" t="str">
        <f t="shared" si="51"/>
        <v>0</v>
      </c>
      <c r="E538" s="16" t="str">
        <f t="shared" si="52"/>
        <v>23</v>
      </c>
      <c r="F538" s="16" t="str">
        <f t="shared" si="53"/>
        <v>99</v>
      </c>
      <c r="G538" s="57">
        <v>16002399</v>
      </c>
      <c r="H538" s="16" t="s">
        <v>1111</v>
      </c>
      <c r="I538" s="17" t="s">
        <v>1112</v>
      </c>
      <c r="J538" s="16"/>
      <c r="K538" s="16"/>
      <c r="L538" s="16"/>
      <c r="M538" s="17"/>
    </row>
    <row r="539" spans="1:13" x14ac:dyDescent="0.25">
      <c r="A539" s="14" t="str">
        <f t="shared" si="48"/>
        <v>1</v>
      </c>
      <c r="B539" s="14" t="str">
        <f t="shared" si="49"/>
        <v>6</v>
      </c>
      <c r="C539" s="14" t="str">
        <f t="shared" si="50"/>
        <v>0</v>
      </c>
      <c r="D539" s="14" t="str">
        <f t="shared" si="51"/>
        <v>0</v>
      </c>
      <c r="E539" s="14" t="str">
        <f t="shared" si="52"/>
        <v>24</v>
      </c>
      <c r="F539" s="14" t="str">
        <f t="shared" si="53"/>
        <v>00</v>
      </c>
      <c r="G539" s="56">
        <v>16002400</v>
      </c>
      <c r="H539" s="14" t="s">
        <v>1113</v>
      </c>
      <c r="I539" s="15" t="s">
        <v>1114</v>
      </c>
      <c r="J539" s="14"/>
      <c r="K539" s="14"/>
      <c r="L539" s="14"/>
      <c r="M539" s="14"/>
    </row>
    <row r="540" spans="1:13" ht="25.5" x14ac:dyDescent="0.25">
      <c r="A540" s="14" t="str">
        <f t="shared" si="48"/>
        <v>1</v>
      </c>
      <c r="B540" s="14" t="str">
        <f t="shared" si="49"/>
        <v>6</v>
      </c>
      <c r="C540" s="14" t="str">
        <f t="shared" si="50"/>
        <v>0</v>
      </c>
      <c r="D540" s="14" t="str">
        <f t="shared" si="51"/>
        <v>0</v>
      </c>
      <c r="E540" s="14" t="str">
        <f t="shared" si="52"/>
        <v>25</v>
      </c>
      <c r="F540" s="14" t="str">
        <f t="shared" si="53"/>
        <v>00</v>
      </c>
      <c r="G540" s="56">
        <v>16002500</v>
      </c>
      <c r="H540" s="14" t="s">
        <v>1115</v>
      </c>
      <c r="I540" s="15" t="s">
        <v>1116</v>
      </c>
      <c r="J540" s="14"/>
      <c r="K540" s="14"/>
      <c r="L540" s="14"/>
      <c r="M540" s="14"/>
    </row>
    <row r="541" spans="1:13" ht="25.5" x14ac:dyDescent="0.25">
      <c r="A541" s="14" t="str">
        <f t="shared" si="48"/>
        <v>1</v>
      </c>
      <c r="B541" s="14" t="str">
        <f t="shared" si="49"/>
        <v>6</v>
      </c>
      <c r="C541" s="14" t="str">
        <f t="shared" si="50"/>
        <v>0</v>
      </c>
      <c r="D541" s="14" t="str">
        <f t="shared" si="51"/>
        <v>0</v>
      </c>
      <c r="E541" s="14" t="str">
        <f t="shared" si="52"/>
        <v>26</v>
      </c>
      <c r="F541" s="14" t="str">
        <f t="shared" si="53"/>
        <v>00</v>
      </c>
      <c r="G541" s="56">
        <v>16002600</v>
      </c>
      <c r="H541" s="14" t="s">
        <v>1117</v>
      </c>
      <c r="I541" s="15" t="s">
        <v>1118</v>
      </c>
      <c r="J541" s="14"/>
      <c r="K541" s="14"/>
      <c r="L541" s="14"/>
      <c r="M541" s="14"/>
    </row>
    <row r="542" spans="1:13" ht="25.5" x14ac:dyDescent="0.25">
      <c r="A542" s="14" t="str">
        <f t="shared" si="48"/>
        <v>1</v>
      </c>
      <c r="B542" s="14" t="str">
        <f t="shared" si="49"/>
        <v>6</v>
      </c>
      <c r="C542" s="14" t="str">
        <f t="shared" si="50"/>
        <v>0</v>
      </c>
      <c r="D542" s="14" t="str">
        <f t="shared" si="51"/>
        <v>0</v>
      </c>
      <c r="E542" s="14" t="str">
        <f t="shared" si="52"/>
        <v>27</v>
      </c>
      <c r="F542" s="14" t="str">
        <f t="shared" si="53"/>
        <v>00</v>
      </c>
      <c r="G542" s="56">
        <v>16002700</v>
      </c>
      <c r="H542" s="14" t="s">
        <v>1119</v>
      </c>
      <c r="I542" s="15" t="s">
        <v>1120</v>
      </c>
      <c r="J542" s="14"/>
      <c r="K542" s="14"/>
      <c r="L542" s="14"/>
      <c r="M542" s="14"/>
    </row>
    <row r="543" spans="1:13" ht="25.5" x14ac:dyDescent="0.25">
      <c r="A543" s="14" t="str">
        <f t="shared" si="48"/>
        <v>1</v>
      </c>
      <c r="B543" s="14" t="str">
        <f t="shared" si="49"/>
        <v>6</v>
      </c>
      <c r="C543" s="14" t="str">
        <f t="shared" si="50"/>
        <v>0</v>
      </c>
      <c r="D543" s="14" t="str">
        <f t="shared" si="51"/>
        <v>0</v>
      </c>
      <c r="E543" s="14" t="str">
        <f t="shared" si="52"/>
        <v>28</v>
      </c>
      <c r="F543" s="14" t="str">
        <f t="shared" si="53"/>
        <v>00</v>
      </c>
      <c r="G543" s="56">
        <v>16002800</v>
      </c>
      <c r="H543" s="14" t="s">
        <v>1121</v>
      </c>
      <c r="I543" s="15" t="s">
        <v>1122</v>
      </c>
      <c r="J543" s="14"/>
      <c r="K543" s="14"/>
      <c r="L543" s="14"/>
      <c r="M543" s="14"/>
    </row>
    <row r="544" spans="1:13" ht="25.5" x14ac:dyDescent="0.25">
      <c r="A544" s="14" t="str">
        <f t="shared" si="48"/>
        <v>1</v>
      </c>
      <c r="B544" s="14" t="str">
        <f t="shared" si="49"/>
        <v>6</v>
      </c>
      <c r="C544" s="14" t="str">
        <f t="shared" si="50"/>
        <v>0</v>
      </c>
      <c r="D544" s="14" t="str">
        <f t="shared" si="51"/>
        <v>0</v>
      </c>
      <c r="E544" s="14" t="str">
        <f t="shared" si="52"/>
        <v>29</v>
      </c>
      <c r="F544" s="14" t="str">
        <f t="shared" si="53"/>
        <v>00</v>
      </c>
      <c r="G544" s="56">
        <v>16002900</v>
      </c>
      <c r="H544" s="14" t="s">
        <v>1123</v>
      </c>
      <c r="I544" s="15" t="s">
        <v>1124</v>
      </c>
      <c r="J544" s="14"/>
      <c r="K544" s="14"/>
      <c r="L544" s="14"/>
      <c r="M544" s="14"/>
    </row>
    <row r="545" spans="1:13" ht="38.25" x14ac:dyDescent="0.25">
      <c r="A545" s="14" t="str">
        <f t="shared" si="48"/>
        <v>1</v>
      </c>
      <c r="B545" s="14" t="str">
        <f t="shared" si="49"/>
        <v>6</v>
      </c>
      <c r="C545" s="14" t="str">
        <f t="shared" si="50"/>
        <v>0</v>
      </c>
      <c r="D545" s="14" t="str">
        <f t="shared" si="51"/>
        <v>0</v>
      </c>
      <c r="E545" s="14" t="str">
        <f t="shared" si="52"/>
        <v>30</v>
      </c>
      <c r="F545" s="14" t="str">
        <f t="shared" si="53"/>
        <v>00</v>
      </c>
      <c r="G545" s="56">
        <v>16003000</v>
      </c>
      <c r="H545" s="14" t="s">
        <v>1125</v>
      </c>
      <c r="I545" s="15" t="s">
        <v>1126</v>
      </c>
      <c r="J545" s="14"/>
      <c r="K545" s="14"/>
      <c r="L545" s="14"/>
      <c r="M545" s="14"/>
    </row>
    <row r="546" spans="1:13" ht="38.25" x14ac:dyDescent="0.25">
      <c r="A546" s="14" t="str">
        <f t="shared" si="48"/>
        <v>1</v>
      </c>
      <c r="B546" s="14" t="str">
        <f t="shared" si="49"/>
        <v>6</v>
      </c>
      <c r="C546" s="14" t="str">
        <f t="shared" si="50"/>
        <v>0</v>
      </c>
      <c r="D546" s="14" t="str">
        <f t="shared" si="51"/>
        <v>0</v>
      </c>
      <c r="E546" s="14" t="str">
        <f t="shared" si="52"/>
        <v>31</v>
      </c>
      <c r="F546" s="14" t="str">
        <f t="shared" si="53"/>
        <v>00</v>
      </c>
      <c r="G546" s="56">
        <v>16003100</v>
      </c>
      <c r="H546" s="14" t="s">
        <v>1127</v>
      </c>
      <c r="I546" s="15" t="s">
        <v>1128</v>
      </c>
      <c r="J546" s="14"/>
      <c r="K546" s="14"/>
      <c r="L546" s="14"/>
      <c r="M546" s="14"/>
    </row>
    <row r="547" spans="1:13" ht="38.25" x14ac:dyDescent="0.25">
      <c r="A547" s="16" t="str">
        <f t="shared" si="48"/>
        <v>1</v>
      </c>
      <c r="B547" s="16" t="str">
        <f t="shared" si="49"/>
        <v>6</v>
      </c>
      <c r="C547" s="16" t="str">
        <f t="shared" si="50"/>
        <v>0</v>
      </c>
      <c r="D547" s="16" t="str">
        <f t="shared" si="51"/>
        <v>0</v>
      </c>
      <c r="E547" s="16" t="str">
        <f t="shared" si="52"/>
        <v>31</v>
      </c>
      <c r="F547" s="16" t="str">
        <f t="shared" si="53"/>
        <v>01</v>
      </c>
      <c r="G547" s="57">
        <v>16003101</v>
      </c>
      <c r="H547" s="16" t="s">
        <v>1129</v>
      </c>
      <c r="I547" s="17" t="s">
        <v>1130</v>
      </c>
      <c r="J547" s="16"/>
      <c r="K547" s="16"/>
      <c r="L547" s="16"/>
      <c r="M547" s="17"/>
    </row>
    <row r="548" spans="1:13" ht="25.5" x14ac:dyDescent="0.25">
      <c r="A548" s="16" t="str">
        <f t="shared" si="48"/>
        <v>1</v>
      </c>
      <c r="B548" s="16" t="str">
        <f t="shared" si="49"/>
        <v>6</v>
      </c>
      <c r="C548" s="16" t="str">
        <f t="shared" si="50"/>
        <v>0</v>
      </c>
      <c r="D548" s="16" t="str">
        <f t="shared" si="51"/>
        <v>0</v>
      </c>
      <c r="E548" s="16" t="str">
        <f t="shared" si="52"/>
        <v>31</v>
      </c>
      <c r="F548" s="16" t="str">
        <f t="shared" si="53"/>
        <v>02</v>
      </c>
      <c r="G548" s="57">
        <v>16003102</v>
      </c>
      <c r="H548" s="16" t="s">
        <v>1131</v>
      </c>
      <c r="I548" s="17" t="s">
        <v>1132</v>
      </c>
      <c r="J548" s="16"/>
      <c r="K548" s="16" t="s">
        <v>655</v>
      </c>
      <c r="L548" s="16" t="s">
        <v>1133</v>
      </c>
      <c r="M548" s="17"/>
    </row>
    <row r="549" spans="1:13" ht="38.25" x14ac:dyDescent="0.25">
      <c r="A549" s="16" t="str">
        <f t="shared" si="48"/>
        <v>1</v>
      </c>
      <c r="B549" s="16" t="str">
        <f t="shared" si="49"/>
        <v>6</v>
      </c>
      <c r="C549" s="16" t="str">
        <f t="shared" si="50"/>
        <v>0</v>
      </c>
      <c r="D549" s="16" t="str">
        <f t="shared" si="51"/>
        <v>0</v>
      </c>
      <c r="E549" s="16" t="str">
        <f t="shared" si="52"/>
        <v>31</v>
      </c>
      <c r="F549" s="16" t="str">
        <f t="shared" si="53"/>
        <v>03</v>
      </c>
      <c r="G549" s="57">
        <v>16003103</v>
      </c>
      <c r="H549" s="16" t="s">
        <v>1134</v>
      </c>
      <c r="I549" s="17" t="s">
        <v>1135</v>
      </c>
      <c r="J549" s="16"/>
      <c r="K549" s="16"/>
      <c r="L549" s="16"/>
      <c r="M549" s="17"/>
    </row>
    <row r="550" spans="1:13" x14ac:dyDescent="0.25">
      <c r="A550" s="14" t="str">
        <f t="shared" si="48"/>
        <v>1</v>
      </c>
      <c r="B550" s="14" t="str">
        <f t="shared" si="49"/>
        <v>6</v>
      </c>
      <c r="C550" s="14" t="str">
        <f t="shared" si="50"/>
        <v>0</v>
      </c>
      <c r="D550" s="14" t="str">
        <f t="shared" si="51"/>
        <v>0</v>
      </c>
      <c r="E550" s="14" t="str">
        <f t="shared" si="52"/>
        <v>32</v>
      </c>
      <c r="F550" s="14" t="str">
        <f t="shared" si="53"/>
        <v>00</v>
      </c>
      <c r="G550" s="56">
        <v>16003200</v>
      </c>
      <c r="H550" s="14" t="s">
        <v>1136</v>
      </c>
      <c r="I550" s="15" t="s">
        <v>1137</v>
      </c>
      <c r="J550" s="14"/>
      <c r="K550" s="14"/>
      <c r="L550" s="14"/>
      <c r="M550" s="14"/>
    </row>
    <row r="551" spans="1:13" ht="51" x14ac:dyDescent="0.25">
      <c r="A551" s="14" t="str">
        <f t="shared" si="48"/>
        <v>1</v>
      </c>
      <c r="B551" s="14" t="str">
        <f t="shared" si="49"/>
        <v>6</v>
      </c>
      <c r="C551" s="14" t="str">
        <f t="shared" si="50"/>
        <v>0</v>
      </c>
      <c r="D551" s="14" t="str">
        <f t="shared" si="51"/>
        <v>0</v>
      </c>
      <c r="E551" s="14" t="str">
        <f t="shared" si="52"/>
        <v>33</v>
      </c>
      <c r="F551" s="14" t="str">
        <f t="shared" si="53"/>
        <v>00</v>
      </c>
      <c r="G551" s="56">
        <v>16003300</v>
      </c>
      <c r="H551" s="14" t="s">
        <v>1138</v>
      </c>
      <c r="I551" s="15" t="s">
        <v>1139</v>
      </c>
      <c r="J551" s="14"/>
      <c r="K551" s="14"/>
      <c r="L551" s="14"/>
      <c r="M551" s="14"/>
    </row>
    <row r="552" spans="1:13" ht="25.5" x14ac:dyDescent="0.25">
      <c r="A552" s="16" t="str">
        <f t="shared" si="48"/>
        <v>1</v>
      </c>
      <c r="B552" s="16" t="str">
        <f t="shared" si="49"/>
        <v>6</v>
      </c>
      <c r="C552" s="16" t="str">
        <f t="shared" si="50"/>
        <v>0</v>
      </c>
      <c r="D552" s="16" t="str">
        <f t="shared" si="51"/>
        <v>0</v>
      </c>
      <c r="E552" s="16" t="str">
        <f t="shared" si="52"/>
        <v>33</v>
      </c>
      <c r="F552" s="16" t="str">
        <f t="shared" si="53"/>
        <v>01</v>
      </c>
      <c r="G552" s="57">
        <v>16003301</v>
      </c>
      <c r="H552" s="16" t="s">
        <v>1140</v>
      </c>
      <c r="I552" s="17" t="s">
        <v>1141</v>
      </c>
      <c r="J552" s="16"/>
      <c r="K552" s="16"/>
      <c r="L552" s="16"/>
      <c r="M552" s="17"/>
    </row>
    <row r="553" spans="1:13" ht="38.25" x14ac:dyDescent="0.25">
      <c r="A553" s="16" t="str">
        <f t="shared" si="48"/>
        <v>1</v>
      </c>
      <c r="B553" s="16" t="str">
        <f t="shared" si="49"/>
        <v>6</v>
      </c>
      <c r="C553" s="16" t="str">
        <f t="shared" si="50"/>
        <v>0</v>
      </c>
      <c r="D553" s="16" t="str">
        <f t="shared" si="51"/>
        <v>0</v>
      </c>
      <c r="E553" s="16" t="str">
        <f t="shared" si="52"/>
        <v>33</v>
      </c>
      <c r="F553" s="16" t="str">
        <f t="shared" si="53"/>
        <v>02</v>
      </c>
      <c r="G553" s="57">
        <v>16003302</v>
      </c>
      <c r="H553" s="16" t="s">
        <v>1142</v>
      </c>
      <c r="I553" s="17" t="s">
        <v>1143</v>
      </c>
      <c r="J553" s="16"/>
      <c r="K553" s="16"/>
      <c r="L553" s="16"/>
      <c r="M553" s="17"/>
    </row>
    <row r="554" spans="1:13" ht="38.25" x14ac:dyDescent="0.25">
      <c r="A554" s="14" t="str">
        <f t="shared" si="48"/>
        <v>1</v>
      </c>
      <c r="B554" s="14" t="str">
        <f t="shared" si="49"/>
        <v>6</v>
      </c>
      <c r="C554" s="14" t="str">
        <f t="shared" si="50"/>
        <v>0</v>
      </c>
      <c r="D554" s="14" t="str">
        <f t="shared" si="51"/>
        <v>0</v>
      </c>
      <c r="E554" s="14" t="str">
        <f t="shared" si="52"/>
        <v>34</v>
      </c>
      <c r="F554" s="14" t="str">
        <f t="shared" si="53"/>
        <v>00</v>
      </c>
      <c r="G554" s="56">
        <v>16003400</v>
      </c>
      <c r="H554" s="14" t="s">
        <v>1144</v>
      </c>
      <c r="I554" s="15" t="s">
        <v>1145</v>
      </c>
      <c r="J554" s="14"/>
      <c r="K554" s="14"/>
      <c r="L554" s="14"/>
      <c r="M554" s="14"/>
    </row>
    <row r="555" spans="1:13" ht="25.5" x14ac:dyDescent="0.25">
      <c r="A555" s="14" t="str">
        <f t="shared" si="48"/>
        <v>1</v>
      </c>
      <c r="B555" s="14" t="str">
        <f t="shared" si="49"/>
        <v>6</v>
      </c>
      <c r="C555" s="14" t="str">
        <f t="shared" si="50"/>
        <v>0</v>
      </c>
      <c r="D555" s="14" t="str">
        <f t="shared" si="51"/>
        <v>0</v>
      </c>
      <c r="E555" s="14" t="str">
        <f t="shared" si="52"/>
        <v>35</v>
      </c>
      <c r="F555" s="14" t="str">
        <f t="shared" si="53"/>
        <v>00</v>
      </c>
      <c r="G555" s="56">
        <v>16003500</v>
      </c>
      <c r="H555" s="14" t="s">
        <v>1146</v>
      </c>
      <c r="I555" s="15" t="s">
        <v>1147</v>
      </c>
      <c r="J555" s="14"/>
      <c r="K555" s="14"/>
      <c r="L555" s="14"/>
      <c r="M555" s="14"/>
    </row>
    <row r="556" spans="1:13" ht="25.5" x14ac:dyDescent="0.25">
      <c r="A556" s="14" t="str">
        <f t="shared" si="48"/>
        <v>1</v>
      </c>
      <c r="B556" s="14" t="str">
        <f t="shared" si="49"/>
        <v>6</v>
      </c>
      <c r="C556" s="14" t="str">
        <f t="shared" si="50"/>
        <v>0</v>
      </c>
      <c r="D556" s="14" t="str">
        <f t="shared" si="51"/>
        <v>0</v>
      </c>
      <c r="E556" s="14" t="str">
        <f t="shared" si="52"/>
        <v>36</v>
      </c>
      <c r="F556" s="14" t="str">
        <f t="shared" si="53"/>
        <v>00</v>
      </c>
      <c r="G556" s="56">
        <v>16003600</v>
      </c>
      <c r="H556" s="14" t="s">
        <v>1148</v>
      </c>
      <c r="I556" s="15" t="s">
        <v>1149</v>
      </c>
      <c r="J556" s="14"/>
      <c r="K556" s="14"/>
      <c r="L556" s="14"/>
      <c r="M556" s="14"/>
    </row>
    <row r="557" spans="1:13" ht="25.5" x14ac:dyDescent="0.25">
      <c r="A557" s="16" t="str">
        <f t="shared" si="48"/>
        <v>1</v>
      </c>
      <c r="B557" s="16" t="str">
        <f t="shared" si="49"/>
        <v>6</v>
      </c>
      <c r="C557" s="16" t="str">
        <f t="shared" si="50"/>
        <v>0</v>
      </c>
      <c r="D557" s="16" t="str">
        <f t="shared" si="51"/>
        <v>0</v>
      </c>
      <c r="E557" s="16" t="str">
        <f t="shared" si="52"/>
        <v>36</v>
      </c>
      <c r="F557" s="16" t="str">
        <f t="shared" si="53"/>
        <v>01</v>
      </c>
      <c r="G557" s="57">
        <v>16003601</v>
      </c>
      <c r="H557" s="16" t="s">
        <v>1150</v>
      </c>
      <c r="I557" s="17" t="s">
        <v>1151</v>
      </c>
      <c r="J557" s="16"/>
      <c r="K557" s="16"/>
      <c r="L557" s="16"/>
      <c r="M557" s="17"/>
    </row>
    <row r="558" spans="1:13" ht="25.5" x14ac:dyDescent="0.25">
      <c r="A558" s="16" t="str">
        <f t="shared" si="48"/>
        <v>1</v>
      </c>
      <c r="B558" s="16" t="str">
        <f t="shared" si="49"/>
        <v>6</v>
      </c>
      <c r="C558" s="16" t="str">
        <f t="shared" si="50"/>
        <v>0</v>
      </c>
      <c r="D558" s="16" t="str">
        <f t="shared" si="51"/>
        <v>0</v>
      </c>
      <c r="E558" s="16" t="str">
        <f t="shared" si="52"/>
        <v>36</v>
      </c>
      <c r="F558" s="16" t="str">
        <f t="shared" si="53"/>
        <v>02</v>
      </c>
      <c r="G558" s="57">
        <v>16003602</v>
      </c>
      <c r="H558" s="16" t="s">
        <v>1152</v>
      </c>
      <c r="I558" s="17" t="s">
        <v>1153</v>
      </c>
      <c r="J558" s="16"/>
      <c r="K558" s="16"/>
      <c r="L558" s="16"/>
      <c r="M558" s="17"/>
    </row>
    <row r="559" spans="1:13" x14ac:dyDescent="0.25">
      <c r="A559" s="14" t="str">
        <f t="shared" si="48"/>
        <v>1</v>
      </c>
      <c r="B559" s="14" t="str">
        <f t="shared" si="49"/>
        <v>6</v>
      </c>
      <c r="C559" s="14" t="str">
        <f t="shared" si="50"/>
        <v>0</v>
      </c>
      <c r="D559" s="14" t="str">
        <f t="shared" si="51"/>
        <v>0</v>
      </c>
      <c r="E559" s="14" t="str">
        <f t="shared" si="52"/>
        <v>37</v>
      </c>
      <c r="F559" s="14" t="str">
        <f t="shared" si="53"/>
        <v>00</v>
      </c>
      <c r="G559" s="56">
        <v>16003700</v>
      </c>
      <c r="H559" s="14" t="s">
        <v>1154</v>
      </c>
      <c r="I559" s="15" t="s">
        <v>1155</v>
      </c>
      <c r="J559" s="14"/>
      <c r="K559" s="14"/>
      <c r="L559" s="14"/>
      <c r="M559" s="14"/>
    </row>
    <row r="560" spans="1:13" ht="25.5" x14ac:dyDescent="0.25">
      <c r="A560" s="16" t="str">
        <f t="shared" si="48"/>
        <v>1</v>
      </c>
      <c r="B560" s="16" t="str">
        <f t="shared" si="49"/>
        <v>6</v>
      </c>
      <c r="C560" s="16" t="str">
        <f t="shared" si="50"/>
        <v>0</v>
      </c>
      <c r="D560" s="16" t="str">
        <f t="shared" si="51"/>
        <v>0</v>
      </c>
      <c r="E560" s="16" t="str">
        <f t="shared" si="52"/>
        <v>37</v>
      </c>
      <c r="F560" s="16" t="str">
        <f t="shared" si="53"/>
        <v>01</v>
      </c>
      <c r="G560" s="57">
        <v>16003701</v>
      </c>
      <c r="H560" s="16" t="s">
        <v>1156</v>
      </c>
      <c r="I560" s="17" t="s">
        <v>1157</v>
      </c>
      <c r="J560" s="16"/>
      <c r="K560" s="16"/>
      <c r="L560" s="16"/>
      <c r="M560" s="17"/>
    </row>
    <row r="561" spans="1:13" ht="25.5" x14ac:dyDescent="0.25">
      <c r="A561" s="16" t="str">
        <f t="shared" si="48"/>
        <v>1</v>
      </c>
      <c r="B561" s="16" t="str">
        <f t="shared" si="49"/>
        <v>6</v>
      </c>
      <c r="C561" s="16" t="str">
        <f t="shared" si="50"/>
        <v>0</v>
      </c>
      <c r="D561" s="16" t="str">
        <f t="shared" si="51"/>
        <v>0</v>
      </c>
      <c r="E561" s="16" t="str">
        <f t="shared" si="52"/>
        <v>37</v>
      </c>
      <c r="F561" s="16" t="str">
        <f t="shared" si="53"/>
        <v>02</v>
      </c>
      <c r="G561" s="57">
        <v>16003702</v>
      </c>
      <c r="H561" s="16" t="s">
        <v>1158</v>
      </c>
      <c r="I561" s="17" t="s">
        <v>1159</v>
      </c>
      <c r="J561" s="16"/>
      <c r="K561" s="16"/>
      <c r="L561" s="16"/>
      <c r="M561" s="17"/>
    </row>
    <row r="562" spans="1:13" ht="25.5" x14ac:dyDescent="0.25">
      <c r="A562" s="16" t="str">
        <f t="shared" si="48"/>
        <v>1</v>
      </c>
      <c r="B562" s="16" t="str">
        <f t="shared" si="49"/>
        <v>6</v>
      </c>
      <c r="C562" s="16" t="str">
        <f t="shared" si="50"/>
        <v>0</v>
      </c>
      <c r="D562" s="16" t="str">
        <f t="shared" si="51"/>
        <v>0</v>
      </c>
      <c r="E562" s="16" t="str">
        <f t="shared" si="52"/>
        <v>37</v>
      </c>
      <c r="F562" s="16" t="str">
        <f t="shared" si="53"/>
        <v>03</v>
      </c>
      <c r="G562" s="57">
        <v>16003703</v>
      </c>
      <c r="H562" s="16" t="s">
        <v>1160</v>
      </c>
      <c r="I562" s="17" t="s">
        <v>1161</v>
      </c>
      <c r="J562" s="16"/>
      <c r="K562" s="16"/>
      <c r="L562" s="16"/>
      <c r="M562" s="17"/>
    </row>
    <row r="563" spans="1:13" ht="25.5" x14ac:dyDescent="0.25">
      <c r="A563" s="18" t="str">
        <f t="shared" si="48"/>
        <v>1</v>
      </c>
      <c r="B563" s="18" t="str">
        <f t="shared" si="49"/>
        <v>6</v>
      </c>
      <c r="C563" s="18" t="str">
        <f t="shared" si="50"/>
        <v>0</v>
      </c>
      <c r="D563" s="18" t="str">
        <f t="shared" si="51"/>
        <v>0</v>
      </c>
      <c r="E563" s="18" t="str">
        <f t="shared" si="52"/>
        <v>37</v>
      </c>
      <c r="F563" s="18" t="str">
        <f t="shared" si="53"/>
        <v>04</v>
      </c>
      <c r="G563" s="58">
        <v>16003704</v>
      </c>
      <c r="H563" s="18" t="s">
        <v>1162</v>
      </c>
      <c r="I563" s="19" t="s">
        <v>1163</v>
      </c>
      <c r="J563" s="16"/>
      <c r="K563" s="16" t="s">
        <v>494</v>
      </c>
      <c r="L563" s="16" t="s">
        <v>1164</v>
      </c>
      <c r="M563" s="17"/>
    </row>
    <row r="564" spans="1:13" ht="25.5" x14ac:dyDescent="0.25">
      <c r="A564" s="16" t="str">
        <f t="shared" si="48"/>
        <v>1</v>
      </c>
      <c r="B564" s="16" t="str">
        <f t="shared" si="49"/>
        <v>6</v>
      </c>
      <c r="C564" s="16" t="str">
        <f t="shared" si="50"/>
        <v>0</v>
      </c>
      <c r="D564" s="16" t="str">
        <f t="shared" si="51"/>
        <v>0</v>
      </c>
      <c r="E564" s="16" t="str">
        <f t="shared" si="52"/>
        <v>37</v>
      </c>
      <c r="F564" s="16" t="str">
        <f t="shared" si="53"/>
        <v>05</v>
      </c>
      <c r="G564" s="57">
        <v>16003705</v>
      </c>
      <c r="H564" s="16" t="s">
        <v>1165</v>
      </c>
      <c r="I564" s="17" t="s">
        <v>1166</v>
      </c>
      <c r="J564" s="16"/>
      <c r="K564" s="16"/>
      <c r="L564" s="16"/>
      <c r="M564" s="17"/>
    </row>
    <row r="565" spans="1:13" ht="25.5" x14ac:dyDescent="0.25">
      <c r="A565" s="14" t="str">
        <f t="shared" si="48"/>
        <v>1</v>
      </c>
      <c r="B565" s="14" t="str">
        <f t="shared" si="49"/>
        <v>6</v>
      </c>
      <c r="C565" s="14" t="str">
        <f t="shared" si="50"/>
        <v>0</v>
      </c>
      <c r="D565" s="14" t="str">
        <f t="shared" si="51"/>
        <v>0</v>
      </c>
      <c r="E565" s="14" t="str">
        <f t="shared" si="52"/>
        <v>38</v>
      </c>
      <c r="F565" s="14" t="str">
        <f t="shared" si="53"/>
        <v>00</v>
      </c>
      <c r="G565" s="56">
        <v>16003800</v>
      </c>
      <c r="H565" s="14" t="s">
        <v>1167</v>
      </c>
      <c r="I565" s="15" t="s">
        <v>1168</v>
      </c>
      <c r="J565" s="14"/>
      <c r="K565" s="14"/>
      <c r="L565" s="14"/>
      <c r="M565" s="14"/>
    </row>
    <row r="566" spans="1:13" x14ac:dyDescent="0.25">
      <c r="A566" s="14" t="str">
        <f t="shared" si="48"/>
        <v>1</v>
      </c>
      <c r="B566" s="14" t="str">
        <f t="shared" si="49"/>
        <v>6</v>
      </c>
      <c r="C566" s="14" t="str">
        <f t="shared" si="50"/>
        <v>0</v>
      </c>
      <c r="D566" s="14" t="str">
        <f t="shared" si="51"/>
        <v>0</v>
      </c>
      <c r="E566" s="14" t="str">
        <f t="shared" si="52"/>
        <v>39</v>
      </c>
      <c r="F566" s="14" t="str">
        <f t="shared" si="53"/>
        <v>00</v>
      </c>
      <c r="G566" s="56">
        <v>16003900</v>
      </c>
      <c r="H566" s="14" t="s">
        <v>1169</v>
      </c>
      <c r="I566" s="15" t="s">
        <v>1170</v>
      </c>
      <c r="J566" s="14"/>
      <c r="K566" s="14"/>
      <c r="L566" s="14"/>
      <c r="M566" s="14"/>
    </row>
    <row r="567" spans="1:13" ht="25.5" x14ac:dyDescent="0.25">
      <c r="A567" s="14" t="str">
        <f t="shared" si="48"/>
        <v>1</v>
      </c>
      <c r="B567" s="14" t="str">
        <f t="shared" si="49"/>
        <v>6</v>
      </c>
      <c r="C567" s="14" t="str">
        <f t="shared" si="50"/>
        <v>0</v>
      </c>
      <c r="D567" s="14" t="str">
        <f t="shared" si="51"/>
        <v>0</v>
      </c>
      <c r="E567" s="14" t="str">
        <f t="shared" si="52"/>
        <v>40</v>
      </c>
      <c r="F567" s="14" t="str">
        <f t="shared" si="53"/>
        <v>00</v>
      </c>
      <c r="G567" s="56">
        <v>16004000</v>
      </c>
      <c r="H567" s="14" t="s">
        <v>1171</v>
      </c>
      <c r="I567" s="15" t="s">
        <v>1172</v>
      </c>
      <c r="J567" s="14"/>
      <c r="K567" s="14"/>
      <c r="L567" s="14"/>
      <c r="M567" s="14"/>
    </row>
    <row r="568" spans="1:13" ht="25.5" x14ac:dyDescent="0.25">
      <c r="A568" s="14" t="str">
        <f t="shared" si="48"/>
        <v>1</v>
      </c>
      <c r="B568" s="14" t="str">
        <f t="shared" si="49"/>
        <v>6</v>
      </c>
      <c r="C568" s="14" t="str">
        <f t="shared" si="50"/>
        <v>0</v>
      </c>
      <c r="D568" s="14" t="str">
        <f t="shared" si="51"/>
        <v>0</v>
      </c>
      <c r="E568" s="14" t="str">
        <f t="shared" si="52"/>
        <v>41</v>
      </c>
      <c r="F568" s="14" t="str">
        <f t="shared" si="53"/>
        <v>00</v>
      </c>
      <c r="G568" s="56">
        <v>16004100</v>
      </c>
      <c r="H568" s="14" t="s">
        <v>1173</v>
      </c>
      <c r="I568" s="15" t="s">
        <v>1174</v>
      </c>
      <c r="J568" s="14"/>
      <c r="K568" s="14"/>
      <c r="L568" s="14"/>
      <c r="M568" s="14"/>
    </row>
    <row r="569" spans="1:13" ht="25.5" x14ac:dyDescent="0.25">
      <c r="A569" s="14" t="str">
        <f t="shared" si="48"/>
        <v>1</v>
      </c>
      <c r="B569" s="14" t="str">
        <f t="shared" si="49"/>
        <v>6</v>
      </c>
      <c r="C569" s="14" t="str">
        <f t="shared" si="50"/>
        <v>0</v>
      </c>
      <c r="D569" s="14" t="str">
        <f t="shared" si="51"/>
        <v>0</v>
      </c>
      <c r="E569" s="14" t="str">
        <f t="shared" si="52"/>
        <v>42</v>
      </c>
      <c r="F569" s="14" t="str">
        <f t="shared" si="53"/>
        <v>00</v>
      </c>
      <c r="G569" s="56">
        <v>16004200</v>
      </c>
      <c r="H569" s="14" t="s">
        <v>1175</v>
      </c>
      <c r="I569" s="15" t="s">
        <v>1176</v>
      </c>
      <c r="J569" s="14"/>
      <c r="K569" s="14"/>
      <c r="L569" s="14"/>
      <c r="M569" s="14"/>
    </row>
    <row r="570" spans="1:13" ht="25.5" x14ac:dyDescent="0.25">
      <c r="A570" s="14" t="str">
        <f t="shared" si="48"/>
        <v>1</v>
      </c>
      <c r="B570" s="14" t="str">
        <f t="shared" si="49"/>
        <v>6</v>
      </c>
      <c r="C570" s="14" t="str">
        <f t="shared" si="50"/>
        <v>0</v>
      </c>
      <c r="D570" s="14" t="str">
        <f t="shared" si="51"/>
        <v>0</v>
      </c>
      <c r="E570" s="14" t="str">
        <f t="shared" si="52"/>
        <v>43</v>
      </c>
      <c r="F570" s="14" t="str">
        <f t="shared" si="53"/>
        <v>00</v>
      </c>
      <c r="G570" s="56">
        <v>16004300</v>
      </c>
      <c r="H570" s="14" t="s">
        <v>1177</v>
      </c>
      <c r="I570" s="15" t="s">
        <v>1178</v>
      </c>
      <c r="J570" s="14"/>
      <c r="K570" s="14"/>
      <c r="L570" s="14"/>
      <c r="M570" s="14"/>
    </row>
    <row r="571" spans="1:13" x14ac:dyDescent="0.25">
      <c r="A571" s="14" t="str">
        <f t="shared" si="48"/>
        <v>1</v>
      </c>
      <c r="B571" s="14" t="str">
        <f t="shared" si="49"/>
        <v>6</v>
      </c>
      <c r="C571" s="14" t="str">
        <f t="shared" si="50"/>
        <v>0</v>
      </c>
      <c r="D571" s="14" t="str">
        <f t="shared" si="51"/>
        <v>0</v>
      </c>
      <c r="E571" s="14" t="str">
        <f t="shared" si="52"/>
        <v>44</v>
      </c>
      <c r="F571" s="14" t="str">
        <f t="shared" si="53"/>
        <v>00</v>
      </c>
      <c r="G571" s="56">
        <v>16004400</v>
      </c>
      <c r="H571" s="14" t="s">
        <v>1179</v>
      </c>
      <c r="I571" s="15" t="s">
        <v>1180</v>
      </c>
      <c r="J571" s="14"/>
      <c r="K571" s="14"/>
      <c r="L571" s="14"/>
      <c r="M571" s="14"/>
    </row>
    <row r="572" spans="1:13" ht="25.5" x14ac:dyDescent="0.25">
      <c r="A572" s="14" t="str">
        <f t="shared" si="48"/>
        <v>1</v>
      </c>
      <c r="B572" s="14" t="str">
        <f t="shared" si="49"/>
        <v>6</v>
      </c>
      <c r="C572" s="14" t="str">
        <f t="shared" si="50"/>
        <v>0</v>
      </c>
      <c r="D572" s="14" t="str">
        <f t="shared" si="51"/>
        <v>0</v>
      </c>
      <c r="E572" s="14" t="str">
        <f t="shared" si="52"/>
        <v>45</v>
      </c>
      <c r="F572" s="14" t="str">
        <f t="shared" si="53"/>
        <v>00</v>
      </c>
      <c r="G572" s="56">
        <v>16004500</v>
      </c>
      <c r="H572" s="14" t="s">
        <v>1181</v>
      </c>
      <c r="I572" s="15" t="s">
        <v>1182</v>
      </c>
      <c r="J572" s="14"/>
      <c r="K572" s="14"/>
      <c r="L572" s="14"/>
      <c r="M572" s="14"/>
    </row>
    <row r="573" spans="1:13" x14ac:dyDescent="0.25">
      <c r="A573" s="14" t="str">
        <f t="shared" si="48"/>
        <v>1</v>
      </c>
      <c r="B573" s="14" t="str">
        <f t="shared" si="49"/>
        <v>6</v>
      </c>
      <c r="C573" s="14" t="str">
        <f t="shared" si="50"/>
        <v>0</v>
      </c>
      <c r="D573" s="14" t="str">
        <f t="shared" si="51"/>
        <v>0</v>
      </c>
      <c r="E573" s="14" t="str">
        <f t="shared" si="52"/>
        <v>46</v>
      </c>
      <c r="F573" s="14" t="str">
        <f t="shared" si="53"/>
        <v>00</v>
      </c>
      <c r="G573" s="56">
        <v>16004600</v>
      </c>
      <c r="H573" s="14" t="s">
        <v>1183</v>
      </c>
      <c r="I573" s="15" t="s">
        <v>1184</v>
      </c>
      <c r="J573" s="14"/>
      <c r="K573" s="14"/>
      <c r="L573" s="14"/>
      <c r="M573" s="14"/>
    </row>
    <row r="574" spans="1:13" ht="25.5" x14ac:dyDescent="0.25">
      <c r="A574" s="14" t="str">
        <f t="shared" si="48"/>
        <v>1</v>
      </c>
      <c r="B574" s="14" t="str">
        <f t="shared" si="49"/>
        <v>6</v>
      </c>
      <c r="C574" s="14" t="str">
        <f t="shared" si="50"/>
        <v>0</v>
      </c>
      <c r="D574" s="14" t="str">
        <f t="shared" si="51"/>
        <v>0</v>
      </c>
      <c r="E574" s="14" t="str">
        <f t="shared" si="52"/>
        <v>47</v>
      </c>
      <c r="F574" s="14" t="str">
        <f t="shared" si="53"/>
        <v>00</v>
      </c>
      <c r="G574" s="56">
        <v>16004700</v>
      </c>
      <c r="H574" s="14" t="s">
        <v>1185</v>
      </c>
      <c r="I574" s="15" t="s">
        <v>1186</v>
      </c>
      <c r="J574" s="14"/>
      <c r="K574" s="14"/>
      <c r="L574" s="14"/>
      <c r="M574" s="14"/>
    </row>
    <row r="575" spans="1:13" x14ac:dyDescent="0.25">
      <c r="A575" s="14" t="str">
        <f t="shared" si="48"/>
        <v>1</v>
      </c>
      <c r="B575" s="14" t="str">
        <f t="shared" si="49"/>
        <v>6</v>
      </c>
      <c r="C575" s="14" t="str">
        <f t="shared" si="50"/>
        <v>0</v>
      </c>
      <c r="D575" s="14" t="str">
        <f t="shared" si="51"/>
        <v>0</v>
      </c>
      <c r="E575" s="14" t="str">
        <f t="shared" si="52"/>
        <v>48</v>
      </c>
      <c r="F575" s="14" t="str">
        <f t="shared" si="53"/>
        <v>00</v>
      </c>
      <c r="G575" s="56">
        <v>16004800</v>
      </c>
      <c r="H575" s="14" t="s">
        <v>1187</v>
      </c>
      <c r="I575" s="15" t="s">
        <v>1188</v>
      </c>
      <c r="J575" s="14"/>
      <c r="K575" s="14"/>
      <c r="L575" s="14"/>
      <c r="M575" s="14"/>
    </row>
    <row r="576" spans="1:13" ht="25.5" x14ac:dyDescent="0.25">
      <c r="A576" s="14" t="str">
        <f t="shared" si="48"/>
        <v>1</v>
      </c>
      <c r="B576" s="14" t="str">
        <f t="shared" si="49"/>
        <v>6</v>
      </c>
      <c r="C576" s="14" t="str">
        <f t="shared" si="50"/>
        <v>0</v>
      </c>
      <c r="D576" s="14" t="str">
        <f t="shared" si="51"/>
        <v>0</v>
      </c>
      <c r="E576" s="14" t="str">
        <f t="shared" si="52"/>
        <v>50</v>
      </c>
      <c r="F576" s="14" t="str">
        <f t="shared" si="53"/>
        <v>00</v>
      </c>
      <c r="G576" s="56">
        <v>16005000</v>
      </c>
      <c r="H576" s="14" t="s">
        <v>1189</v>
      </c>
      <c r="I576" s="15" t="s">
        <v>1190</v>
      </c>
      <c r="J576" s="14"/>
      <c r="K576" s="14"/>
      <c r="L576" s="14"/>
      <c r="M576" s="14"/>
    </row>
    <row r="577" spans="1:13" ht="51" x14ac:dyDescent="0.25">
      <c r="A577" s="14" t="str">
        <f t="shared" si="48"/>
        <v>1</v>
      </c>
      <c r="B577" s="14" t="str">
        <f t="shared" si="49"/>
        <v>6</v>
      </c>
      <c r="C577" s="14" t="str">
        <f t="shared" si="50"/>
        <v>0</v>
      </c>
      <c r="D577" s="14" t="str">
        <f t="shared" si="51"/>
        <v>0</v>
      </c>
      <c r="E577" s="14" t="str">
        <f t="shared" si="52"/>
        <v>51</v>
      </c>
      <c r="F577" s="14" t="str">
        <f t="shared" si="53"/>
        <v>00</v>
      </c>
      <c r="G577" s="56">
        <v>16005100</v>
      </c>
      <c r="H577" s="14" t="s">
        <v>1191</v>
      </c>
      <c r="I577" s="15" t="s">
        <v>1192</v>
      </c>
      <c r="J577" s="14"/>
      <c r="K577" s="14"/>
      <c r="L577" s="14"/>
      <c r="M577" s="14"/>
    </row>
    <row r="578" spans="1:13" ht="38.25" x14ac:dyDescent="0.25">
      <c r="A578" s="16" t="str">
        <f t="shared" si="48"/>
        <v>1</v>
      </c>
      <c r="B578" s="16" t="str">
        <f t="shared" si="49"/>
        <v>6</v>
      </c>
      <c r="C578" s="16" t="str">
        <f t="shared" si="50"/>
        <v>0</v>
      </c>
      <c r="D578" s="16" t="str">
        <f t="shared" si="51"/>
        <v>0</v>
      </c>
      <c r="E578" s="16" t="str">
        <f t="shared" si="52"/>
        <v>51</v>
      </c>
      <c r="F578" s="16" t="str">
        <f t="shared" si="53"/>
        <v>01</v>
      </c>
      <c r="G578" s="57">
        <v>16005101</v>
      </c>
      <c r="H578" s="16" t="s">
        <v>1193</v>
      </c>
      <c r="I578" s="17" t="s">
        <v>1194</v>
      </c>
      <c r="J578" s="16"/>
      <c r="K578" s="16"/>
      <c r="L578" s="16"/>
      <c r="M578" s="17"/>
    </row>
    <row r="579" spans="1:13" ht="51" x14ac:dyDescent="0.25">
      <c r="A579" s="16" t="str">
        <f t="shared" si="48"/>
        <v>1</v>
      </c>
      <c r="B579" s="16" t="str">
        <f t="shared" si="49"/>
        <v>6</v>
      </c>
      <c r="C579" s="16" t="str">
        <f t="shared" si="50"/>
        <v>0</v>
      </c>
      <c r="D579" s="16" t="str">
        <f t="shared" si="51"/>
        <v>0</v>
      </c>
      <c r="E579" s="16" t="str">
        <f t="shared" si="52"/>
        <v>51</v>
      </c>
      <c r="F579" s="16" t="str">
        <f t="shared" si="53"/>
        <v>02</v>
      </c>
      <c r="G579" s="57">
        <v>16005102</v>
      </c>
      <c r="H579" s="16" t="s">
        <v>1195</v>
      </c>
      <c r="I579" s="17" t="s">
        <v>1196</v>
      </c>
      <c r="J579" s="16"/>
      <c r="K579" s="16"/>
      <c r="L579" s="16"/>
      <c r="M579" s="17"/>
    </row>
    <row r="580" spans="1:13" ht="25.5" x14ac:dyDescent="0.25">
      <c r="A580" s="14" t="str">
        <f t="shared" ref="A580:A643" si="54">MID(G580,1,1)</f>
        <v>1</v>
      </c>
      <c r="B580" s="14" t="str">
        <f t="shared" ref="B580:B643" si="55">MID(G580,2,1)</f>
        <v>6</v>
      </c>
      <c r="C580" s="14" t="str">
        <f t="shared" ref="C580:C643" si="56">MID(G580,3,1)</f>
        <v>0</v>
      </c>
      <c r="D580" s="14" t="str">
        <f t="shared" ref="D580:D643" si="57">MID(G580,4,1)</f>
        <v>0</v>
      </c>
      <c r="E580" s="14" t="str">
        <f t="shared" ref="E580:E643" si="58">MID(G580,5,2)</f>
        <v>56</v>
      </c>
      <c r="F580" s="14" t="str">
        <f t="shared" ref="F580:F643" si="59">MID(G580,7,2)</f>
        <v>00</v>
      </c>
      <c r="G580" s="56">
        <v>16005600</v>
      </c>
      <c r="H580" s="14" t="s">
        <v>1197</v>
      </c>
      <c r="I580" s="15" t="s">
        <v>1198</v>
      </c>
      <c r="J580" s="14"/>
      <c r="K580" s="14"/>
      <c r="L580" s="14"/>
      <c r="M580" s="14"/>
    </row>
    <row r="581" spans="1:13" ht="38.25" x14ac:dyDescent="0.25">
      <c r="A581" s="14" t="str">
        <f t="shared" si="54"/>
        <v>1</v>
      </c>
      <c r="B581" s="14" t="str">
        <f t="shared" si="55"/>
        <v>6</v>
      </c>
      <c r="C581" s="14" t="str">
        <f t="shared" si="56"/>
        <v>0</v>
      </c>
      <c r="D581" s="14" t="str">
        <f t="shared" si="57"/>
        <v>0</v>
      </c>
      <c r="E581" s="14" t="str">
        <f t="shared" si="58"/>
        <v>60</v>
      </c>
      <c r="F581" s="14" t="str">
        <f t="shared" si="59"/>
        <v>00</v>
      </c>
      <c r="G581" s="56">
        <v>16006000</v>
      </c>
      <c r="H581" s="14" t="s">
        <v>1199</v>
      </c>
      <c r="I581" s="15" t="s">
        <v>1200</v>
      </c>
      <c r="J581" s="14"/>
      <c r="K581" s="14"/>
      <c r="L581" s="14"/>
      <c r="M581" s="14"/>
    </row>
    <row r="582" spans="1:13" ht="25.5" x14ac:dyDescent="0.25">
      <c r="A582" s="16" t="str">
        <f t="shared" si="54"/>
        <v>1</v>
      </c>
      <c r="B582" s="16" t="str">
        <f t="shared" si="55"/>
        <v>6</v>
      </c>
      <c r="C582" s="16" t="str">
        <f t="shared" si="56"/>
        <v>0</v>
      </c>
      <c r="D582" s="16" t="str">
        <f t="shared" si="57"/>
        <v>0</v>
      </c>
      <c r="E582" s="16" t="str">
        <f t="shared" si="58"/>
        <v>60</v>
      </c>
      <c r="F582" s="16" t="str">
        <f t="shared" si="59"/>
        <v>01</v>
      </c>
      <c r="G582" s="57">
        <v>16006001</v>
      </c>
      <c r="H582" s="16" t="s">
        <v>1201</v>
      </c>
      <c r="I582" s="17" t="s">
        <v>1202</v>
      </c>
      <c r="J582" s="16"/>
      <c r="K582" s="16"/>
      <c r="L582" s="16"/>
      <c r="M582" s="17"/>
    </row>
    <row r="583" spans="1:13" ht="25.5" x14ac:dyDescent="0.25">
      <c r="A583" s="16" t="str">
        <f t="shared" si="54"/>
        <v>1</v>
      </c>
      <c r="B583" s="16" t="str">
        <f t="shared" si="55"/>
        <v>6</v>
      </c>
      <c r="C583" s="16" t="str">
        <f t="shared" si="56"/>
        <v>0</v>
      </c>
      <c r="D583" s="16" t="str">
        <f t="shared" si="57"/>
        <v>0</v>
      </c>
      <c r="E583" s="16" t="str">
        <f t="shared" si="58"/>
        <v>60</v>
      </c>
      <c r="F583" s="16" t="str">
        <f t="shared" si="59"/>
        <v>02</v>
      </c>
      <c r="G583" s="57">
        <v>16006002</v>
      </c>
      <c r="H583" s="16" t="s">
        <v>1203</v>
      </c>
      <c r="I583" s="17" t="s">
        <v>1204</v>
      </c>
      <c r="J583" s="16"/>
      <c r="K583" s="16"/>
      <c r="L583" s="16"/>
      <c r="M583" s="17"/>
    </row>
    <row r="584" spans="1:13" ht="38.25" x14ac:dyDescent="0.25">
      <c r="A584" s="14" t="str">
        <f t="shared" si="54"/>
        <v>1</v>
      </c>
      <c r="B584" s="14" t="str">
        <f t="shared" si="55"/>
        <v>6</v>
      </c>
      <c r="C584" s="14" t="str">
        <f t="shared" si="56"/>
        <v>0</v>
      </c>
      <c r="D584" s="14" t="str">
        <f t="shared" si="57"/>
        <v>0</v>
      </c>
      <c r="E584" s="14" t="str">
        <f t="shared" si="58"/>
        <v>70</v>
      </c>
      <c r="F584" s="14" t="str">
        <f t="shared" si="59"/>
        <v>00</v>
      </c>
      <c r="G584" s="56">
        <v>16007000</v>
      </c>
      <c r="H584" s="14" t="s">
        <v>1205</v>
      </c>
      <c r="I584" s="15" t="s">
        <v>1206</v>
      </c>
      <c r="J584" s="14"/>
      <c r="K584" s="14"/>
      <c r="L584" s="14"/>
      <c r="M584" s="14"/>
    </row>
    <row r="585" spans="1:13" ht="38.25" x14ac:dyDescent="0.25">
      <c r="A585" s="16" t="str">
        <f t="shared" si="54"/>
        <v>1</v>
      </c>
      <c r="B585" s="16" t="str">
        <f t="shared" si="55"/>
        <v>6</v>
      </c>
      <c r="C585" s="16" t="str">
        <f t="shared" si="56"/>
        <v>0</v>
      </c>
      <c r="D585" s="16" t="str">
        <f t="shared" si="57"/>
        <v>0</v>
      </c>
      <c r="E585" s="16" t="str">
        <f t="shared" si="58"/>
        <v>70</v>
      </c>
      <c r="F585" s="16" t="str">
        <f t="shared" si="59"/>
        <v>01</v>
      </c>
      <c r="G585" s="57">
        <v>16007001</v>
      </c>
      <c r="H585" s="16" t="s">
        <v>1207</v>
      </c>
      <c r="I585" s="17" t="s">
        <v>1208</v>
      </c>
      <c r="J585" s="16"/>
      <c r="K585" s="16"/>
      <c r="L585" s="16"/>
      <c r="M585" s="17"/>
    </row>
    <row r="586" spans="1:13" ht="51" x14ac:dyDescent="0.25">
      <c r="A586" s="16" t="str">
        <f t="shared" si="54"/>
        <v>1</v>
      </c>
      <c r="B586" s="16" t="str">
        <f t="shared" si="55"/>
        <v>6</v>
      </c>
      <c r="C586" s="16" t="str">
        <f t="shared" si="56"/>
        <v>0</v>
      </c>
      <c r="D586" s="16" t="str">
        <f t="shared" si="57"/>
        <v>0</v>
      </c>
      <c r="E586" s="16" t="str">
        <f t="shared" si="58"/>
        <v>70</v>
      </c>
      <c r="F586" s="16" t="str">
        <f t="shared" si="59"/>
        <v>02</v>
      </c>
      <c r="G586" s="57">
        <v>16007002</v>
      </c>
      <c r="H586" s="16" t="s">
        <v>1209</v>
      </c>
      <c r="I586" s="17" t="s">
        <v>1210</v>
      </c>
      <c r="J586" s="16"/>
      <c r="K586" s="16"/>
      <c r="L586" s="16"/>
      <c r="M586" s="17"/>
    </row>
    <row r="587" spans="1:13" x14ac:dyDescent="0.25">
      <c r="A587" s="14" t="str">
        <f t="shared" si="54"/>
        <v>1</v>
      </c>
      <c r="B587" s="14" t="str">
        <f t="shared" si="55"/>
        <v>6</v>
      </c>
      <c r="C587" s="14" t="str">
        <f t="shared" si="56"/>
        <v>0</v>
      </c>
      <c r="D587" s="14" t="str">
        <f t="shared" si="57"/>
        <v>0</v>
      </c>
      <c r="E587" s="14" t="str">
        <f t="shared" si="58"/>
        <v>99</v>
      </c>
      <c r="F587" s="14" t="str">
        <f t="shared" si="59"/>
        <v>00</v>
      </c>
      <c r="G587" s="56">
        <v>16009900</v>
      </c>
      <c r="H587" s="14" t="s">
        <v>1211</v>
      </c>
      <c r="I587" s="15" t="s">
        <v>1212</v>
      </c>
      <c r="J587" s="14"/>
      <c r="K587" s="14"/>
      <c r="L587" s="14"/>
      <c r="M587" s="14"/>
    </row>
    <row r="588" spans="1:13" x14ac:dyDescent="0.25">
      <c r="A588" s="8" t="str">
        <f t="shared" si="54"/>
        <v>1</v>
      </c>
      <c r="B588" s="8" t="str">
        <f t="shared" si="55"/>
        <v>7</v>
      </c>
      <c r="C588" s="8" t="str">
        <f t="shared" si="56"/>
        <v>0</v>
      </c>
      <c r="D588" s="8" t="str">
        <f t="shared" si="57"/>
        <v>0</v>
      </c>
      <c r="E588" s="8" t="str">
        <f t="shared" si="58"/>
        <v>00</v>
      </c>
      <c r="F588" s="8" t="str">
        <f t="shared" si="59"/>
        <v>00</v>
      </c>
      <c r="G588" s="53">
        <v>17000000</v>
      </c>
      <c r="H588" s="8" t="s">
        <v>1213</v>
      </c>
      <c r="I588" s="9" t="s">
        <v>1214</v>
      </c>
      <c r="J588" s="8"/>
      <c r="K588" s="8"/>
      <c r="L588" s="8"/>
      <c r="M588" s="9"/>
    </row>
    <row r="589" spans="1:13" x14ac:dyDescent="0.25">
      <c r="A589" s="10" t="str">
        <f t="shared" si="54"/>
        <v>1</v>
      </c>
      <c r="B589" s="10" t="str">
        <f t="shared" si="55"/>
        <v>7</v>
      </c>
      <c r="C589" s="10" t="str">
        <f t="shared" si="56"/>
        <v>2</v>
      </c>
      <c r="D589" s="10" t="str">
        <f t="shared" si="57"/>
        <v>0</v>
      </c>
      <c r="E589" s="10" t="str">
        <f t="shared" si="58"/>
        <v>00</v>
      </c>
      <c r="F589" s="10" t="str">
        <f t="shared" si="59"/>
        <v>00</v>
      </c>
      <c r="G589" s="54">
        <v>17200000</v>
      </c>
      <c r="H589" s="10" t="s">
        <v>1215</v>
      </c>
      <c r="I589" s="11" t="s">
        <v>1216</v>
      </c>
      <c r="J589" s="10"/>
      <c r="K589" s="10"/>
      <c r="L589" s="10"/>
      <c r="M589" s="11"/>
    </row>
    <row r="590" spans="1:13" x14ac:dyDescent="0.25">
      <c r="A590" s="12" t="str">
        <f t="shared" si="54"/>
        <v>1</v>
      </c>
      <c r="B590" s="12" t="str">
        <f t="shared" si="55"/>
        <v>7</v>
      </c>
      <c r="C590" s="12" t="str">
        <f t="shared" si="56"/>
        <v>2</v>
      </c>
      <c r="D590" s="12" t="str">
        <f t="shared" si="57"/>
        <v>1</v>
      </c>
      <c r="E590" s="12" t="str">
        <f t="shared" si="58"/>
        <v>00</v>
      </c>
      <c r="F590" s="12" t="str">
        <f t="shared" si="59"/>
        <v>00</v>
      </c>
      <c r="G590" s="55">
        <v>17210000</v>
      </c>
      <c r="H590" s="12" t="s">
        <v>1217</v>
      </c>
      <c r="I590" s="13" t="s">
        <v>1218</v>
      </c>
      <c r="J590" s="12"/>
      <c r="K590" s="12"/>
      <c r="L590" s="12"/>
      <c r="M590" s="13"/>
    </row>
    <row r="591" spans="1:13" x14ac:dyDescent="0.25">
      <c r="A591" s="14" t="str">
        <f t="shared" si="54"/>
        <v>1</v>
      </c>
      <c r="B591" s="14" t="str">
        <f t="shared" si="55"/>
        <v>7</v>
      </c>
      <c r="C591" s="14" t="str">
        <f t="shared" si="56"/>
        <v>2</v>
      </c>
      <c r="D591" s="14" t="str">
        <f t="shared" si="57"/>
        <v>1</v>
      </c>
      <c r="E591" s="14" t="str">
        <f t="shared" si="58"/>
        <v>01</v>
      </c>
      <c r="F591" s="14" t="str">
        <f t="shared" si="59"/>
        <v>00</v>
      </c>
      <c r="G591" s="56">
        <v>17210100</v>
      </c>
      <c r="H591" s="14" t="s">
        <v>1219</v>
      </c>
      <c r="I591" s="15" t="s">
        <v>1220</v>
      </c>
      <c r="J591" s="14"/>
      <c r="K591" s="14"/>
      <c r="L591" s="14"/>
      <c r="M591" s="14"/>
    </row>
    <row r="592" spans="1:13" ht="25.5" x14ac:dyDescent="0.25">
      <c r="A592" s="16" t="str">
        <f t="shared" si="54"/>
        <v>1</v>
      </c>
      <c r="B592" s="16" t="str">
        <f t="shared" si="55"/>
        <v>7</v>
      </c>
      <c r="C592" s="16" t="str">
        <f t="shared" si="56"/>
        <v>2</v>
      </c>
      <c r="D592" s="16" t="str">
        <f t="shared" si="57"/>
        <v>1</v>
      </c>
      <c r="E592" s="16" t="str">
        <f t="shared" si="58"/>
        <v>01</v>
      </c>
      <c r="F592" s="16" t="str">
        <f t="shared" si="59"/>
        <v>01</v>
      </c>
      <c r="G592" s="57">
        <v>17210101</v>
      </c>
      <c r="H592" s="16" t="s">
        <v>1221</v>
      </c>
      <c r="I592" s="17" t="s">
        <v>1222</v>
      </c>
      <c r="J592" s="16"/>
      <c r="K592" s="16"/>
      <c r="L592" s="16"/>
      <c r="M592" s="17"/>
    </row>
    <row r="593" spans="1:13" ht="25.5" x14ac:dyDescent="0.25">
      <c r="A593" s="16" t="str">
        <f t="shared" si="54"/>
        <v>1</v>
      </c>
      <c r="B593" s="16" t="str">
        <f t="shared" si="55"/>
        <v>7</v>
      </c>
      <c r="C593" s="16" t="str">
        <f t="shared" si="56"/>
        <v>2</v>
      </c>
      <c r="D593" s="16" t="str">
        <f t="shared" si="57"/>
        <v>1</v>
      </c>
      <c r="E593" s="16" t="str">
        <f t="shared" si="58"/>
        <v>01</v>
      </c>
      <c r="F593" s="16" t="str">
        <f t="shared" si="59"/>
        <v>02</v>
      </c>
      <c r="G593" s="57">
        <v>17210102</v>
      </c>
      <c r="H593" s="16" t="s">
        <v>1223</v>
      </c>
      <c r="I593" s="17" t="s">
        <v>1224</v>
      </c>
      <c r="J593" s="16"/>
      <c r="K593" s="16" t="s">
        <v>151</v>
      </c>
      <c r="L593" s="16" t="s">
        <v>1225</v>
      </c>
      <c r="M593" s="17"/>
    </row>
    <row r="594" spans="1:13" ht="38.25" x14ac:dyDescent="0.25">
      <c r="A594" s="16" t="str">
        <f t="shared" si="54"/>
        <v>1</v>
      </c>
      <c r="B594" s="16" t="str">
        <f t="shared" si="55"/>
        <v>7</v>
      </c>
      <c r="C594" s="16" t="str">
        <f t="shared" si="56"/>
        <v>2</v>
      </c>
      <c r="D594" s="16" t="str">
        <f t="shared" si="57"/>
        <v>1</v>
      </c>
      <c r="E594" s="16" t="str">
        <f t="shared" si="58"/>
        <v>01</v>
      </c>
      <c r="F594" s="16" t="str">
        <f t="shared" si="59"/>
        <v>03</v>
      </c>
      <c r="G594" s="57">
        <v>17210103</v>
      </c>
      <c r="H594" s="16" t="s">
        <v>1226</v>
      </c>
      <c r="I594" s="17" t="s">
        <v>1227</v>
      </c>
      <c r="J594" s="16"/>
      <c r="K594" s="16" t="s">
        <v>151</v>
      </c>
      <c r="L594" s="16" t="s">
        <v>1228</v>
      </c>
      <c r="M594" s="17"/>
    </row>
    <row r="595" spans="1:13" ht="38.25" x14ac:dyDescent="0.25">
      <c r="A595" s="16" t="str">
        <f t="shared" si="54"/>
        <v>1</v>
      </c>
      <c r="B595" s="16" t="str">
        <f t="shared" si="55"/>
        <v>7</v>
      </c>
      <c r="C595" s="16" t="str">
        <f t="shared" si="56"/>
        <v>2</v>
      </c>
      <c r="D595" s="16" t="str">
        <f t="shared" si="57"/>
        <v>1</v>
      </c>
      <c r="E595" s="16" t="str">
        <f t="shared" si="58"/>
        <v>01</v>
      </c>
      <c r="F595" s="16" t="str">
        <f t="shared" si="59"/>
        <v>04</v>
      </c>
      <c r="G595" s="57">
        <v>17210104</v>
      </c>
      <c r="H595" s="16" t="s">
        <v>1229</v>
      </c>
      <c r="I595" s="17" t="s">
        <v>1230</v>
      </c>
      <c r="J595" s="16"/>
      <c r="K595" s="16" t="s">
        <v>217</v>
      </c>
      <c r="L595" s="16" t="s">
        <v>1231</v>
      </c>
      <c r="M595" s="17"/>
    </row>
    <row r="596" spans="1:13" ht="25.5" x14ac:dyDescent="0.25">
      <c r="A596" s="16" t="str">
        <f t="shared" si="54"/>
        <v>1</v>
      </c>
      <c r="B596" s="16" t="str">
        <f t="shared" si="55"/>
        <v>7</v>
      </c>
      <c r="C596" s="16" t="str">
        <f t="shared" si="56"/>
        <v>2</v>
      </c>
      <c r="D596" s="16" t="str">
        <f t="shared" si="57"/>
        <v>1</v>
      </c>
      <c r="E596" s="16" t="str">
        <f t="shared" si="58"/>
        <v>01</v>
      </c>
      <c r="F596" s="16" t="str">
        <f t="shared" si="59"/>
        <v>05</v>
      </c>
      <c r="G596" s="57">
        <v>17210105</v>
      </c>
      <c r="H596" s="16" t="s">
        <v>1232</v>
      </c>
      <c r="I596" s="17" t="s">
        <v>1233</v>
      </c>
      <c r="J596" s="16"/>
      <c r="K596" s="16"/>
      <c r="L596" s="16"/>
      <c r="M596" s="17"/>
    </row>
    <row r="597" spans="1:13" ht="38.25" x14ac:dyDescent="0.25">
      <c r="A597" s="16" t="str">
        <f t="shared" si="54"/>
        <v>1</v>
      </c>
      <c r="B597" s="16" t="str">
        <f t="shared" si="55"/>
        <v>7</v>
      </c>
      <c r="C597" s="16" t="str">
        <f t="shared" si="56"/>
        <v>2</v>
      </c>
      <c r="D597" s="16" t="str">
        <f t="shared" si="57"/>
        <v>1</v>
      </c>
      <c r="E597" s="16" t="str">
        <f t="shared" si="58"/>
        <v>01</v>
      </c>
      <c r="F597" s="16" t="str">
        <f t="shared" si="59"/>
        <v>12</v>
      </c>
      <c r="G597" s="57">
        <v>17210112</v>
      </c>
      <c r="H597" s="16" t="s">
        <v>1234</v>
      </c>
      <c r="I597" s="17" t="s">
        <v>1235</v>
      </c>
      <c r="J597" s="16"/>
      <c r="K597" s="16"/>
      <c r="L597" s="16"/>
      <c r="M597" s="17"/>
    </row>
    <row r="598" spans="1:13" ht="25.5" x14ac:dyDescent="0.25">
      <c r="A598" s="16" t="str">
        <f t="shared" si="54"/>
        <v>1</v>
      </c>
      <c r="B598" s="16" t="str">
        <f t="shared" si="55"/>
        <v>7</v>
      </c>
      <c r="C598" s="16" t="str">
        <f t="shared" si="56"/>
        <v>2</v>
      </c>
      <c r="D598" s="16" t="str">
        <f t="shared" si="57"/>
        <v>1</v>
      </c>
      <c r="E598" s="16" t="str">
        <f t="shared" si="58"/>
        <v>01</v>
      </c>
      <c r="F598" s="16" t="str">
        <f t="shared" si="59"/>
        <v>13</v>
      </c>
      <c r="G598" s="57">
        <v>17210113</v>
      </c>
      <c r="H598" s="16" t="s">
        <v>1236</v>
      </c>
      <c r="I598" s="17" t="s">
        <v>1237</v>
      </c>
      <c r="J598" s="16"/>
      <c r="K598" s="16"/>
      <c r="L598" s="16"/>
      <c r="M598" s="17"/>
    </row>
    <row r="599" spans="1:13" ht="51" x14ac:dyDescent="0.25">
      <c r="A599" s="16" t="str">
        <f t="shared" si="54"/>
        <v>1</v>
      </c>
      <c r="B599" s="16" t="str">
        <f t="shared" si="55"/>
        <v>7</v>
      </c>
      <c r="C599" s="16" t="str">
        <f t="shared" si="56"/>
        <v>2</v>
      </c>
      <c r="D599" s="16" t="str">
        <f t="shared" si="57"/>
        <v>1</v>
      </c>
      <c r="E599" s="16" t="str">
        <f t="shared" si="58"/>
        <v>01</v>
      </c>
      <c r="F599" s="16" t="str">
        <f t="shared" si="59"/>
        <v>32</v>
      </c>
      <c r="G599" s="57">
        <v>17210132</v>
      </c>
      <c r="H599" s="16" t="s">
        <v>1238</v>
      </c>
      <c r="I599" s="17" t="s">
        <v>1239</v>
      </c>
      <c r="J599" s="16"/>
      <c r="K599" s="16"/>
      <c r="L599" s="16"/>
      <c r="M599" s="17"/>
    </row>
    <row r="600" spans="1:13" ht="25.5" x14ac:dyDescent="0.25">
      <c r="A600" s="14" t="str">
        <f t="shared" si="54"/>
        <v>1</v>
      </c>
      <c r="B600" s="14" t="str">
        <f t="shared" si="55"/>
        <v>7</v>
      </c>
      <c r="C600" s="14" t="str">
        <f t="shared" si="56"/>
        <v>2</v>
      </c>
      <c r="D600" s="14" t="str">
        <f t="shared" si="57"/>
        <v>1</v>
      </c>
      <c r="E600" s="14" t="str">
        <f t="shared" si="58"/>
        <v>22</v>
      </c>
      <c r="F600" s="14" t="str">
        <f t="shared" si="59"/>
        <v>00</v>
      </c>
      <c r="G600" s="56">
        <v>17212200</v>
      </c>
      <c r="H600" s="14" t="s">
        <v>1240</v>
      </c>
      <c r="I600" s="15" t="s">
        <v>1241</v>
      </c>
      <c r="J600" s="14"/>
      <c r="K600" s="14"/>
      <c r="L600" s="14"/>
      <c r="M600" s="14"/>
    </row>
    <row r="601" spans="1:13" ht="25.5" x14ac:dyDescent="0.25">
      <c r="A601" s="16" t="str">
        <f t="shared" si="54"/>
        <v>1</v>
      </c>
      <c r="B601" s="16" t="str">
        <f t="shared" si="55"/>
        <v>7</v>
      </c>
      <c r="C601" s="16" t="str">
        <f t="shared" si="56"/>
        <v>2</v>
      </c>
      <c r="D601" s="16" t="str">
        <f t="shared" si="57"/>
        <v>1</v>
      </c>
      <c r="E601" s="16" t="str">
        <f t="shared" si="58"/>
        <v>22</v>
      </c>
      <c r="F601" s="16" t="str">
        <f t="shared" si="59"/>
        <v>11</v>
      </c>
      <c r="G601" s="57">
        <v>17212211</v>
      </c>
      <c r="H601" s="16" t="s">
        <v>1242</v>
      </c>
      <c r="I601" s="17" t="s">
        <v>1243</v>
      </c>
      <c r="J601" s="16"/>
      <c r="K601" s="16"/>
      <c r="L601" s="16"/>
      <c r="M601" s="17"/>
    </row>
    <row r="602" spans="1:13" ht="25.5" x14ac:dyDescent="0.25">
      <c r="A602" s="16" t="str">
        <f t="shared" si="54"/>
        <v>1</v>
      </c>
      <c r="B602" s="16" t="str">
        <f t="shared" si="55"/>
        <v>7</v>
      </c>
      <c r="C602" s="16" t="str">
        <f t="shared" si="56"/>
        <v>2</v>
      </c>
      <c r="D602" s="16" t="str">
        <f t="shared" si="57"/>
        <v>1</v>
      </c>
      <c r="E602" s="16" t="str">
        <f t="shared" si="58"/>
        <v>22</v>
      </c>
      <c r="F602" s="16" t="str">
        <f t="shared" si="59"/>
        <v>20</v>
      </c>
      <c r="G602" s="57">
        <v>17212220</v>
      </c>
      <c r="H602" s="16" t="s">
        <v>1244</v>
      </c>
      <c r="I602" s="17" t="s">
        <v>1245</v>
      </c>
      <c r="J602" s="16"/>
      <c r="K602" s="16"/>
      <c r="L602" s="16"/>
      <c r="M602" s="17"/>
    </row>
    <row r="603" spans="1:13" ht="38.25" x14ac:dyDescent="0.25">
      <c r="A603" s="16" t="str">
        <f t="shared" si="54"/>
        <v>1</v>
      </c>
      <c r="B603" s="16" t="str">
        <f t="shared" si="55"/>
        <v>7</v>
      </c>
      <c r="C603" s="16" t="str">
        <f t="shared" si="56"/>
        <v>2</v>
      </c>
      <c r="D603" s="16" t="str">
        <f t="shared" si="57"/>
        <v>1</v>
      </c>
      <c r="E603" s="16" t="str">
        <f t="shared" si="58"/>
        <v>22</v>
      </c>
      <c r="F603" s="16" t="str">
        <f t="shared" si="59"/>
        <v>30</v>
      </c>
      <c r="G603" s="57">
        <v>17212230</v>
      </c>
      <c r="H603" s="16" t="s">
        <v>1246</v>
      </c>
      <c r="I603" s="17" t="s">
        <v>1247</v>
      </c>
      <c r="J603" s="16"/>
      <c r="K603" s="16"/>
      <c r="L603" s="16"/>
      <c r="M603" s="17"/>
    </row>
    <row r="604" spans="1:13" ht="38.25" x14ac:dyDescent="0.25">
      <c r="A604" s="16" t="str">
        <f t="shared" si="54"/>
        <v>1</v>
      </c>
      <c r="B604" s="16" t="str">
        <f t="shared" si="55"/>
        <v>7</v>
      </c>
      <c r="C604" s="16" t="str">
        <f t="shared" si="56"/>
        <v>2</v>
      </c>
      <c r="D604" s="16" t="str">
        <f t="shared" si="57"/>
        <v>1</v>
      </c>
      <c r="E604" s="16" t="str">
        <f t="shared" si="58"/>
        <v>22</v>
      </c>
      <c r="F604" s="16" t="str">
        <f t="shared" si="59"/>
        <v>40</v>
      </c>
      <c r="G604" s="57">
        <v>17212240</v>
      </c>
      <c r="H604" s="16" t="s">
        <v>1248</v>
      </c>
      <c r="I604" s="17" t="s">
        <v>1249</v>
      </c>
      <c r="J604" s="16"/>
      <c r="K604" s="16"/>
      <c r="L604" s="16"/>
      <c r="M604" s="17"/>
    </row>
    <row r="605" spans="1:13" ht="25.5" x14ac:dyDescent="0.25">
      <c r="A605" s="16" t="str">
        <f t="shared" si="54"/>
        <v>1</v>
      </c>
      <c r="B605" s="16" t="str">
        <f t="shared" si="55"/>
        <v>7</v>
      </c>
      <c r="C605" s="16" t="str">
        <f t="shared" si="56"/>
        <v>2</v>
      </c>
      <c r="D605" s="16" t="str">
        <f t="shared" si="57"/>
        <v>1</v>
      </c>
      <c r="E605" s="16" t="str">
        <f t="shared" si="58"/>
        <v>22</v>
      </c>
      <c r="F605" s="16" t="str">
        <f t="shared" si="59"/>
        <v>50</v>
      </c>
      <c r="G605" s="57">
        <v>17212250</v>
      </c>
      <c r="H605" s="16" t="s">
        <v>1250</v>
      </c>
      <c r="I605" s="17" t="s">
        <v>1251</v>
      </c>
      <c r="J605" s="16"/>
      <c r="K605" s="16"/>
      <c r="L605" s="16"/>
      <c r="M605" s="17"/>
    </row>
    <row r="606" spans="1:13" ht="25.5" x14ac:dyDescent="0.25">
      <c r="A606" s="16" t="str">
        <f t="shared" si="54"/>
        <v>1</v>
      </c>
      <c r="B606" s="16" t="str">
        <f t="shared" si="55"/>
        <v>7</v>
      </c>
      <c r="C606" s="16" t="str">
        <f t="shared" si="56"/>
        <v>2</v>
      </c>
      <c r="D606" s="16" t="str">
        <f t="shared" si="57"/>
        <v>1</v>
      </c>
      <c r="E606" s="16" t="str">
        <f t="shared" si="58"/>
        <v>22</v>
      </c>
      <c r="F606" s="16" t="str">
        <f t="shared" si="59"/>
        <v>70</v>
      </c>
      <c r="G606" s="57">
        <v>17212270</v>
      </c>
      <c r="H606" s="16" t="s">
        <v>1252</v>
      </c>
      <c r="I606" s="17" t="s">
        <v>1253</v>
      </c>
      <c r="J606" s="16"/>
      <c r="K606" s="16"/>
      <c r="L606" s="16"/>
      <c r="M606" s="17"/>
    </row>
    <row r="607" spans="1:13" ht="38.25" x14ac:dyDescent="0.25">
      <c r="A607" s="16" t="str">
        <f t="shared" si="54"/>
        <v>1</v>
      </c>
      <c r="B607" s="16" t="str">
        <f t="shared" si="55"/>
        <v>7</v>
      </c>
      <c r="C607" s="16" t="str">
        <f t="shared" si="56"/>
        <v>2</v>
      </c>
      <c r="D607" s="16" t="str">
        <f t="shared" si="57"/>
        <v>1</v>
      </c>
      <c r="E607" s="16" t="str">
        <f t="shared" si="58"/>
        <v>22</v>
      </c>
      <c r="F607" s="16" t="str">
        <f t="shared" si="59"/>
        <v>90</v>
      </c>
      <c r="G607" s="57">
        <v>17212290</v>
      </c>
      <c r="H607" s="16" t="s">
        <v>1254</v>
      </c>
      <c r="I607" s="17" t="s">
        <v>1255</v>
      </c>
      <c r="J607" s="16"/>
      <c r="K607" s="16"/>
      <c r="L607" s="16"/>
      <c r="M607" s="17"/>
    </row>
    <row r="608" spans="1:13" ht="51" x14ac:dyDescent="0.25">
      <c r="A608" s="14" t="str">
        <f t="shared" si="54"/>
        <v>1</v>
      </c>
      <c r="B608" s="14" t="str">
        <f t="shared" si="55"/>
        <v>7</v>
      </c>
      <c r="C608" s="14" t="str">
        <f t="shared" si="56"/>
        <v>2</v>
      </c>
      <c r="D608" s="14" t="str">
        <f t="shared" si="57"/>
        <v>1</v>
      </c>
      <c r="E608" s="14" t="str">
        <f t="shared" si="58"/>
        <v>33</v>
      </c>
      <c r="F608" s="14" t="str">
        <f t="shared" si="59"/>
        <v>00</v>
      </c>
      <c r="G608" s="56">
        <v>17213300</v>
      </c>
      <c r="H608" s="14" t="s">
        <v>1256</v>
      </c>
      <c r="I608" s="15" t="s">
        <v>1257</v>
      </c>
      <c r="J608" s="14"/>
      <c r="K608" s="14"/>
      <c r="L608" s="14"/>
      <c r="M608" s="14"/>
    </row>
    <row r="609" spans="1:13" ht="25.5" x14ac:dyDescent="0.25">
      <c r="A609" s="14" t="str">
        <f t="shared" si="54"/>
        <v>1</v>
      </c>
      <c r="B609" s="14" t="str">
        <f t="shared" si="55"/>
        <v>7</v>
      </c>
      <c r="C609" s="14" t="str">
        <f t="shared" si="56"/>
        <v>2</v>
      </c>
      <c r="D609" s="14" t="str">
        <f t="shared" si="57"/>
        <v>1</v>
      </c>
      <c r="E609" s="14" t="str">
        <f t="shared" si="58"/>
        <v>34</v>
      </c>
      <c r="F609" s="14" t="str">
        <f t="shared" si="59"/>
        <v>00</v>
      </c>
      <c r="G609" s="56">
        <v>17213400</v>
      </c>
      <c r="H609" s="14" t="s">
        <v>1258</v>
      </c>
      <c r="I609" s="15" t="s">
        <v>1259</v>
      </c>
      <c r="J609" s="14"/>
      <c r="K609" s="14"/>
      <c r="L609" s="14"/>
      <c r="M609" s="14"/>
    </row>
    <row r="610" spans="1:13" ht="38.25" x14ac:dyDescent="0.25">
      <c r="A610" s="14" t="str">
        <f t="shared" si="54"/>
        <v>1</v>
      </c>
      <c r="B610" s="14" t="str">
        <f t="shared" si="55"/>
        <v>7</v>
      </c>
      <c r="C610" s="14" t="str">
        <f t="shared" si="56"/>
        <v>2</v>
      </c>
      <c r="D610" s="14" t="str">
        <f t="shared" si="57"/>
        <v>1</v>
      </c>
      <c r="E610" s="14" t="str">
        <f t="shared" si="58"/>
        <v>35</v>
      </c>
      <c r="F610" s="14" t="str">
        <f t="shared" si="59"/>
        <v>00</v>
      </c>
      <c r="G610" s="56">
        <v>17213500</v>
      </c>
      <c r="H610" s="14" t="s">
        <v>1260</v>
      </c>
      <c r="I610" s="15" t="s">
        <v>1259</v>
      </c>
      <c r="J610" s="14"/>
      <c r="K610" s="14"/>
      <c r="L610" s="14"/>
      <c r="M610" s="14"/>
    </row>
    <row r="611" spans="1:13" x14ac:dyDescent="0.25">
      <c r="A611" s="16" t="str">
        <f t="shared" si="54"/>
        <v>1</v>
      </c>
      <c r="B611" s="16" t="str">
        <f t="shared" si="55"/>
        <v>7</v>
      </c>
      <c r="C611" s="16" t="str">
        <f t="shared" si="56"/>
        <v>2</v>
      </c>
      <c r="D611" s="16" t="str">
        <f t="shared" si="57"/>
        <v>1</v>
      </c>
      <c r="E611" s="16" t="str">
        <f t="shared" si="58"/>
        <v>35</v>
      </c>
      <c r="F611" s="16" t="str">
        <f t="shared" si="59"/>
        <v>01</v>
      </c>
      <c r="G611" s="57">
        <v>17213501</v>
      </c>
      <c r="H611" s="16" t="s">
        <v>1262</v>
      </c>
      <c r="I611" s="17" t="s">
        <v>1263</v>
      </c>
      <c r="J611" s="16"/>
      <c r="K611" s="16"/>
      <c r="L611" s="16"/>
      <c r="M611" s="17"/>
    </row>
    <row r="612" spans="1:13" ht="38.25" x14ac:dyDescent="0.25">
      <c r="A612" s="16" t="str">
        <f t="shared" si="54"/>
        <v>1</v>
      </c>
      <c r="B612" s="16" t="str">
        <f t="shared" si="55"/>
        <v>7</v>
      </c>
      <c r="C612" s="16" t="str">
        <f t="shared" si="56"/>
        <v>2</v>
      </c>
      <c r="D612" s="16" t="str">
        <f t="shared" si="57"/>
        <v>1</v>
      </c>
      <c r="E612" s="16" t="str">
        <f t="shared" si="58"/>
        <v>35</v>
      </c>
      <c r="F612" s="16" t="str">
        <f t="shared" si="59"/>
        <v>02</v>
      </c>
      <c r="G612" s="57">
        <v>17213502</v>
      </c>
      <c r="H612" s="16" t="s">
        <v>1264</v>
      </c>
      <c r="I612" s="17" t="s">
        <v>1265</v>
      </c>
      <c r="J612" s="16"/>
      <c r="K612" s="16"/>
      <c r="L612" s="16"/>
      <c r="M612" s="17"/>
    </row>
    <row r="613" spans="1:13" ht="38.25" x14ac:dyDescent="0.25">
      <c r="A613" s="16" t="str">
        <f t="shared" si="54"/>
        <v>1</v>
      </c>
      <c r="B613" s="16" t="str">
        <f t="shared" si="55"/>
        <v>7</v>
      </c>
      <c r="C613" s="16" t="str">
        <f t="shared" si="56"/>
        <v>2</v>
      </c>
      <c r="D613" s="16" t="str">
        <f t="shared" si="57"/>
        <v>1</v>
      </c>
      <c r="E613" s="16" t="str">
        <f t="shared" si="58"/>
        <v>35</v>
      </c>
      <c r="F613" s="16" t="str">
        <f t="shared" si="59"/>
        <v>03</v>
      </c>
      <c r="G613" s="57">
        <v>17213503</v>
      </c>
      <c r="H613" s="16" t="s">
        <v>1266</v>
      </c>
      <c r="I613" s="17" t="s">
        <v>1267</v>
      </c>
      <c r="J613" s="16"/>
      <c r="K613" s="16"/>
      <c r="L613" s="16"/>
      <c r="M613" s="17"/>
    </row>
    <row r="614" spans="1:13" ht="38.25" x14ac:dyDescent="0.25">
      <c r="A614" s="16" t="str">
        <f t="shared" si="54"/>
        <v>1</v>
      </c>
      <c r="B614" s="16" t="str">
        <f t="shared" si="55"/>
        <v>7</v>
      </c>
      <c r="C614" s="16" t="str">
        <f t="shared" si="56"/>
        <v>2</v>
      </c>
      <c r="D614" s="16" t="str">
        <f t="shared" si="57"/>
        <v>1</v>
      </c>
      <c r="E614" s="16" t="str">
        <f t="shared" si="58"/>
        <v>35</v>
      </c>
      <c r="F614" s="16" t="str">
        <f t="shared" si="59"/>
        <v>04</v>
      </c>
      <c r="G614" s="57">
        <v>17213504</v>
      </c>
      <c r="H614" s="16" t="s">
        <v>1268</v>
      </c>
      <c r="I614" s="17" t="s">
        <v>1269</v>
      </c>
      <c r="J614" s="16"/>
      <c r="K614" s="16"/>
      <c r="L614" s="16"/>
      <c r="M614" s="17"/>
    </row>
    <row r="615" spans="1:13" ht="38.25" x14ac:dyDescent="0.25">
      <c r="A615" s="16" t="str">
        <f t="shared" si="54"/>
        <v>1</v>
      </c>
      <c r="B615" s="16" t="str">
        <f t="shared" si="55"/>
        <v>7</v>
      </c>
      <c r="C615" s="16" t="str">
        <f t="shared" si="56"/>
        <v>2</v>
      </c>
      <c r="D615" s="16" t="str">
        <f t="shared" si="57"/>
        <v>1</v>
      </c>
      <c r="E615" s="16" t="str">
        <f t="shared" si="58"/>
        <v>35</v>
      </c>
      <c r="F615" s="16" t="str">
        <f t="shared" si="59"/>
        <v>99</v>
      </c>
      <c r="G615" s="57">
        <v>17213599</v>
      </c>
      <c r="H615" s="16" t="s">
        <v>1270</v>
      </c>
      <c r="I615" s="17" t="s">
        <v>1271</v>
      </c>
      <c r="J615" s="16"/>
      <c r="K615" s="16"/>
      <c r="L615" s="16"/>
      <c r="M615" s="17"/>
    </row>
    <row r="616" spans="1:13" ht="38.25" x14ac:dyDescent="0.25">
      <c r="A616" s="14" t="str">
        <f t="shared" si="54"/>
        <v>1</v>
      </c>
      <c r="B616" s="14" t="str">
        <f t="shared" si="55"/>
        <v>7</v>
      </c>
      <c r="C616" s="14" t="str">
        <f t="shared" si="56"/>
        <v>2</v>
      </c>
      <c r="D616" s="14" t="str">
        <f t="shared" si="57"/>
        <v>1</v>
      </c>
      <c r="E616" s="14" t="str">
        <f t="shared" si="58"/>
        <v>36</v>
      </c>
      <c r="F616" s="14" t="str">
        <f t="shared" si="59"/>
        <v>00</v>
      </c>
      <c r="G616" s="56">
        <v>17213600</v>
      </c>
      <c r="H616" s="14" t="s">
        <v>1272</v>
      </c>
      <c r="I616" s="15" t="s">
        <v>1273</v>
      </c>
      <c r="J616" s="14"/>
      <c r="K616" s="14"/>
      <c r="L616" s="14"/>
      <c r="M616" s="14"/>
    </row>
    <row r="617" spans="1:13" x14ac:dyDescent="0.25">
      <c r="A617" s="32" t="str">
        <f t="shared" si="54"/>
        <v>1</v>
      </c>
      <c r="B617" s="32" t="str">
        <f t="shared" si="55"/>
        <v>7</v>
      </c>
      <c r="C617" s="32" t="str">
        <f t="shared" si="56"/>
        <v>2</v>
      </c>
      <c r="D617" s="32" t="str">
        <f t="shared" si="57"/>
        <v>1</v>
      </c>
      <c r="E617" s="32" t="str">
        <f t="shared" si="58"/>
        <v>37</v>
      </c>
      <c r="F617" s="32" t="str">
        <f t="shared" si="59"/>
        <v>00</v>
      </c>
      <c r="G617" s="63">
        <v>17213700</v>
      </c>
      <c r="H617" s="32" t="s">
        <v>1274</v>
      </c>
      <c r="I617" s="33" t="s">
        <v>1275</v>
      </c>
      <c r="J617" s="34"/>
      <c r="K617" s="34"/>
      <c r="L617" s="34"/>
      <c r="M617" s="34"/>
    </row>
    <row r="618" spans="1:13" ht="25.5" x14ac:dyDescent="0.25">
      <c r="A618" s="14" t="str">
        <f t="shared" si="54"/>
        <v>1</v>
      </c>
      <c r="B618" s="14" t="str">
        <f t="shared" si="55"/>
        <v>7</v>
      </c>
      <c r="C618" s="14" t="str">
        <f t="shared" si="56"/>
        <v>2</v>
      </c>
      <c r="D618" s="14" t="str">
        <f t="shared" si="57"/>
        <v>1</v>
      </c>
      <c r="E618" s="14" t="str">
        <f t="shared" si="58"/>
        <v>37</v>
      </c>
      <c r="F618" s="14" t="str">
        <f t="shared" si="59"/>
        <v>00</v>
      </c>
      <c r="G618" s="56">
        <v>17213700</v>
      </c>
      <c r="H618" s="14" t="s">
        <v>1276</v>
      </c>
      <c r="I618" s="15" t="s">
        <v>1275</v>
      </c>
      <c r="J618" s="14"/>
      <c r="K618" s="14"/>
      <c r="L618" s="14"/>
      <c r="M618" s="14"/>
    </row>
    <row r="619" spans="1:13" x14ac:dyDescent="0.25">
      <c r="A619" s="14" t="str">
        <f t="shared" si="54"/>
        <v>1</v>
      </c>
      <c r="B619" s="14" t="str">
        <f t="shared" si="55"/>
        <v>7</v>
      </c>
      <c r="C619" s="14" t="str">
        <f t="shared" si="56"/>
        <v>2</v>
      </c>
      <c r="D619" s="14" t="str">
        <f t="shared" si="57"/>
        <v>1</v>
      </c>
      <c r="E619" s="14" t="str">
        <f t="shared" si="58"/>
        <v>99</v>
      </c>
      <c r="F619" s="14" t="str">
        <f t="shared" si="59"/>
        <v>00</v>
      </c>
      <c r="G619" s="56">
        <v>17219900</v>
      </c>
      <c r="H619" s="14" t="s">
        <v>1277</v>
      </c>
      <c r="I619" s="15" t="s">
        <v>1278</v>
      </c>
      <c r="J619" s="14"/>
      <c r="K619" s="14"/>
      <c r="L619" s="14"/>
      <c r="M619" s="14"/>
    </row>
    <row r="620" spans="1:13" ht="25.5" x14ac:dyDescent="0.25">
      <c r="A620" s="12" t="str">
        <f t="shared" si="54"/>
        <v>1</v>
      </c>
      <c r="B620" s="12" t="str">
        <f t="shared" si="55"/>
        <v>7</v>
      </c>
      <c r="C620" s="12" t="str">
        <f t="shared" si="56"/>
        <v>2</v>
      </c>
      <c r="D620" s="12" t="str">
        <f t="shared" si="57"/>
        <v>2</v>
      </c>
      <c r="E620" s="12" t="str">
        <f t="shared" si="58"/>
        <v>00</v>
      </c>
      <c r="F620" s="12" t="str">
        <f t="shared" si="59"/>
        <v>00</v>
      </c>
      <c r="G620" s="55">
        <v>17220000</v>
      </c>
      <c r="H620" s="12" t="s">
        <v>1279</v>
      </c>
      <c r="I620" s="13" t="s">
        <v>1280</v>
      </c>
      <c r="J620" s="12"/>
      <c r="K620" s="12"/>
      <c r="L620" s="12"/>
      <c r="M620" s="13"/>
    </row>
    <row r="621" spans="1:13" ht="51" x14ac:dyDescent="0.25">
      <c r="A621" s="14" t="str">
        <f t="shared" si="54"/>
        <v>1</v>
      </c>
      <c r="B621" s="14" t="str">
        <f t="shared" si="55"/>
        <v>7</v>
      </c>
      <c r="C621" s="14" t="str">
        <f t="shared" si="56"/>
        <v>2</v>
      </c>
      <c r="D621" s="14" t="str">
        <f t="shared" si="57"/>
        <v>2</v>
      </c>
      <c r="E621" s="14" t="str">
        <f t="shared" si="58"/>
        <v>01</v>
      </c>
      <c r="F621" s="14" t="str">
        <f t="shared" si="59"/>
        <v>00</v>
      </c>
      <c r="G621" s="56">
        <v>17220100</v>
      </c>
      <c r="H621" s="14" t="s">
        <v>1281</v>
      </c>
      <c r="I621" s="15" t="s">
        <v>1282</v>
      </c>
      <c r="J621" s="14"/>
      <c r="K621" s="14"/>
      <c r="L621" s="14"/>
      <c r="M621" s="14"/>
    </row>
    <row r="622" spans="1:13" ht="25.5" x14ac:dyDescent="0.25">
      <c r="A622" s="16" t="str">
        <f t="shared" si="54"/>
        <v>1</v>
      </c>
      <c r="B622" s="16" t="str">
        <f t="shared" si="55"/>
        <v>7</v>
      </c>
      <c r="C622" s="16" t="str">
        <f t="shared" si="56"/>
        <v>2</v>
      </c>
      <c r="D622" s="16" t="str">
        <f t="shared" si="57"/>
        <v>2</v>
      </c>
      <c r="E622" s="16" t="str">
        <f t="shared" si="58"/>
        <v>01</v>
      </c>
      <c r="F622" s="16" t="str">
        <f t="shared" si="59"/>
        <v>01</v>
      </c>
      <c r="G622" s="57">
        <v>17220101</v>
      </c>
      <c r="H622" s="16" t="s">
        <v>1283</v>
      </c>
      <c r="I622" s="17" t="s">
        <v>1284</v>
      </c>
      <c r="J622" s="16"/>
      <c r="K622" s="16"/>
      <c r="L622" s="16"/>
      <c r="M622" s="17"/>
    </row>
    <row r="623" spans="1:13" ht="25.5" x14ac:dyDescent="0.25">
      <c r="A623" s="16" t="str">
        <f t="shared" si="54"/>
        <v>1</v>
      </c>
      <c r="B623" s="16" t="str">
        <f t="shared" si="55"/>
        <v>7</v>
      </c>
      <c r="C623" s="16" t="str">
        <f t="shared" si="56"/>
        <v>2</v>
      </c>
      <c r="D623" s="16" t="str">
        <f t="shared" si="57"/>
        <v>2</v>
      </c>
      <c r="E623" s="16" t="str">
        <f t="shared" si="58"/>
        <v>01</v>
      </c>
      <c r="F623" s="16" t="str">
        <f t="shared" si="59"/>
        <v>02</v>
      </c>
      <c r="G623" s="57">
        <v>17220102</v>
      </c>
      <c r="H623" s="16" t="s">
        <v>1285</v>
      </c>
      <c r="I623" s="17" t="s">
        <v>1286</v>
      </c>
      <c r="J623" s="16"/>
      <c r="K623" s="16"/>
      <c r="L623" s="16"/>
      <c r="M623" s="17"/>
    </row>
    <row r="624" spans="1:13" ht="25.5" x14ac:dyDescent="0.25">
      <c r="A624" s="35" t="str">
        <f t="shared" si="54"/>
        <v>1</v>
      </c>
      <c r="B624" s="35" t="str">
        <f t="shared" si="55"/>
        <v>7</v>
      </c>
      <c r="C624" s="35" t="str">
        <f t="shared" si="56"/>
        <v>2</v>
      </c>
      <c r="D624" s="35" t="str">
        <f t="shared" si="57"/>
        <v>2</v>
      </c>
      <c r="E624" s="35" t="str">
        <f t="shared" si="58"/>
        <v>01</v>
      </c>
      <c r="F624" s="35" t="str">
        <f t="shared" si="59"/>
        <v>04</v>
      </c>
      <c r="G624" s="64">
        <v>17220104</v>
      </c>
      <c r="H624" s="35" t="s">
        <v>1287</v>
      </c>
      <c r="I624" s="36" t="s">
        <v>1288</v>
      </c>
      <c r="J624" s="37"/>
      <c r="K624" s="37"/>
      <c r="L624" s="37"/>
      <c r="M624" s="38"/>
    </row>
    <row r="625" spans="1:13" ht="25.5" x14ac:dyDescent="0.25">
      <c r="A625" s="16" t="str">
        <f t="shared" si="54"/>
        <v>1</v>
      </c>
      <c r="B625" s="16" t="str">
        <f t="shared" si="55"/>
        <v>7</v>
      </c>
      <c r="C625" s="16" t="str">
        <f t="shared" si="56"/>
        <v>2</v>
      </c>
      <c r="D625" s="16" t="str">
        <f t="shared" si="57"/>
        <v>2</v>
      </c>
      <c r="E625" s="16" t="str">
        <f t="shared" si="58"/>
        <v>01</v>
      </c>
      <c r="F625" s="16" t="str">
        <f t="shared" si="59"/>
        <v>04</v>
      </c>
      <c r="G625" s="60">
        <v>17220104</v>
      </c>
      <c r="H625" s="24" t="s">
        <v>1289</v>
      </c>
      <c r="I625" s="25" t="s">
        <v>1290</v>
      </c>
      <c r="J625" s="24"/>
      <c r="K625" s="24"/>
      <c r="L625" s="24"/>
      <c r="M625" s="25"/>
    </row>
    <row r="626" spans="1:13" ht="25.5" x14ac:dyDescent="0.25">
      <c r="A626" s="16" t="str">
        <f t="shared" si="54"/>
        <v>1</v>
      </c>
      <c r="B626" s="16" t="str">
        <f t="shared" si="55"/>
        <v>7</v>
      </c>
      <c r="C626" s="16" t="str">
        <f t="shared" si="56"/>
        <v>2</v>
      </c>
      <c r="D626" s="16" t="str">
        <f t="shared" si="57"/>
        <v>2</v>
      </c>
      <c r="E626" s="16" t="str">
        <f t="shared" si="58"/>
        <v>01</v>
      </c>
      <c r="F626" s="16" t="str">
        <f t="shared" si="59"/>
        <v>13</v>
      </c>
      <c r="G626" s="57">
        <v>17220113</v>
      </c>
      <c r="H626" s="16" t="s">
        <v>1236</v>
      </c>
      <c r="I626" s="17" t="s">
        <v>1291</v>
      </c>
      <c r="J626" s="16"/>
      <c r="K626" s="16"/>
      <c r="L626" s="16"/>
      <c r="M626" s="17"/>
    </row>
    <row r="627" spans="1:13" ht="25.5" x14ac:dyDescent="0.25">
      <c r="A627" s="16" t="str">
        <f t="shared" si="54"/>
        <v>1</v>
      </c>
      <c r="B627" s="16" t="str">
        <f t="shared" si="55"/>
        <v>7</v>
      </c>
      <c r="C627" s="16" t="str">
        <f t="shared" si="56"/>
        <v>2</v>
      </c>
      <c r="D627" s="16" t="str">
        <f t="shared" si="57"/>
        <v>2</v>
      </c>
      <c r="E627" s="16" t="str">
        <f t="shared" si="58"/>
        <v>01</v>
      </c>
      <c r="F627" s="16" t="str">
        <f t="shared" si="59"/>
        <v>99</v>
      </c>
      <c r="G627" s="57">
        <v>17220199</v>
      </c>
      <c r="H627" s="16" t="s">
        <v>1292</v>
      </c>
      <c r="I627" s="17" t="s">
        <v>1293</v>
      </c>
      <c r="J627" s="16"/>
      <c r="K627" s="16"/>
      <c r="L627" s="16"/>
      <c r="M627" s="17"/>
    </row>
    <row r="628" spans="1:13" x14ac:dyDescent="0.25">
      <c r="A628" s="14" t="str">
        <f t="shared" si="54"/>
        <v>1</v>
      </c>
      <c r="B628" s="14" t="str">
        <f t="shared" si="55"/>
        <v>7</v>
      </c>
      <c r="C628" s="14" t="str">
        <f t="shared" si="56"/>
        <v>2</v>
      </c>
      <c r="D628" s="14" t="str">
        <f t="shared" si="57"/>
        <v>2</v>
      </c>
      <c r="E628" s="14" t="str">
        <f t="shared" si="58"/>
        <v>09</v>
      </c>
      <c r="F628" s="14" t="str">
        <f t="shared" si="59"/>
        <v>00</v>
      </c>
      <c r="G628" s="56">
        <v>17220900</v>
      </c>
      <c r="H628" s="14" t="s">
        <v>1294</v>
      </c>
      <c r="I628" s="15" t="s">
        <v>1295</v>
      </c>
      <c r="J628" s="14"/>
      <c r="K628" s="14"/>
      <c r="L628" s="14"/>
      <c r="M628" s="14"/>
    </row>
    <row r="629" spans="1:13" ht="25.5" x14ac:dyDescent="0.25">
      <c r="A629" s="14" t="str">
        <f t="shared" si="54"/>
        <v>1</v>
      </c>
      <c r="B629" s="14" t="str">
        <f t="shared" si="55"/>
        <v>7</v>
      </c>
      <c r="C629" s="14" t="str">
        <f t="shared" si="56"/>
        <v>2</v>
      </c>
      <c r="D629" s="14" t="str">
        <f t="shared" si="57"/>
        <v>2</v>
      </c>
      <c r="E629" s="14" t="str">
        <f t="shared" si="58"/>
        <v>22</v>
      </c>
      <c r="F629" s="14" t="str">
        <f t="shared" si="59"/>
        <v>00</v>
      </c>
      <c r="G629" s="56">
        <v>17222200</v>
      </c>
      <c r="H629" s="14" t="s">
        <v>1296</v>
      </c>
      <c r="I629" s="15" t="s">
        <v>1297</v>
      </c>
      <c r="J629" s="14"/>
      <c r="K629" s="14"/>
      <c r="L629" s="14"/>
      <c r="M629" s="14"/>
    </row>
    <row r="630" spans="1:13" ht="25.5" x14ac:dyDescent="0.25">
      <c r="A630" s="16" t="str">
        <f t="shared" si="54"/>
        <v>1</v>
      </c>
      <c r="B630" s="16" t="str">
        <f t="shared" si="55"/>
        <v>7</v>
      </c>
      <c r="C630" s="16" t="str">
        <f t="shared" si="56"/>
        <v>2</v>
      </c>
      <c r="D630" s="16" t="str">
        <f t="shared" si="57"/>
        <v>2</v>
      </c>
      <c r="E630" s="16" t="str">
        <f t="shared" si="58"/>
        <v>22</v>
      </c>
      <c r="F630" s="16" t="str">
        <f t="shared" si="59"/>
        <v>11</v>
      </c>
      <c r="G630" s="57">
        <v>17222211</v>
      </c>
      <c r="H630" s="16" t="s">
        <v>1242</v>
      </c>
      <c r="I630" s="17" t="s">
        <v>1298</v>
      </c>
      <c r="J630" s="16"/>
      <c r="K630" s="16"/>
      <c r="L630" s="16"/>
      <c r="M630" s="17"/>
    </row>
    <row r="631" spans="1:13" ht="25.5" x14ac:dyDescent="0.25">
      <c r="A631" s="16" t="str">
        <f t="shared" si="54"/>
        <v>1</v>
      </c>
      <c r="B631" s="16" t="str">
        <f t="shared" si="55"/>
        <v>7</v>
      </c>
      <c r="C631" s="16" t="str">
        <f t="shared" si="56"/>
        <v>2</v>
      </c>
      <c r="D631" s="16" t="str">
        <f t="shared" si="57"/>
        <v>2</v>
      </c>
      <c r="E631" s="16" t="str">
        <f t="shared" si="58"/>
        <v>22</v>
      </c>
      <c r="F631" s="16" t="str">
        <f t="shared" si="59"/>
        <v>20</v>
      </c>
      <c r="G631" s="57">
        <v>17222220</v>
      </c>
      <c r="H631" s="16" t="s">
        <v>1244</v>
      </c>
      <c r="I631" s="17" t="s">
        <v>1299</v>
      </c>
      <c r="J631" s="16"/>
      <c r="K631" s="16"/>
      <c r="L631" s="16"/>
      <c r="M631" s="17"/>
    </row>
    <row r="632" spans="1:13" ht="38.25" x14ac:dyDescent="0.25">
      <c r="A632" s="16" t="str">
        <f t="shared" si="54"/>
        <v>1</v>
      </c>
      <c r="B632" s="16" t="str">
        <f t="shared" si="55"/>
        <v>7</v>
      </c>
      <c r="C632" s="16" t="str">
        <f t="shared" si="56"/>
        <v>2</v>
      </c>
      <c r="D632" s="16" t="str">
        <f t="shared" si="57"/>
        <v>2</v>
      </c>
      <c r="E632" s="16" t="str">
        <f t="shared" si="58"/>
        <v>22</v>
      </c>
      <c r="F632" s="16" t="str">
        <f t="shared" si="59"/>
        <v>30</v>
      </c>
      <c r="G632" s="57">
        <v>17222230</v>
      </c>
      <c r="H632" s="16" t="s">
        <v>1300</v>
      </c>
      <c r="I632" s="17" t="s">
        <v>1301</v>
      </c>
      <c r="J632" s="16"/>
      <c r="K632" s="16"/>
      <c r="L632" s="16"/>
      <c r="M632" s="17"/>
    </row>
    <row r="633" spans="1:13" ht="25.5" x14ac:dyDescent="0.25">
      <c r="A633" s="16" t="str">
        <f t="shared" si="54"/>
        <v>1</v>
      </c>
      <c r="B633" s="16" t="str">
        <f t="shared" si="55"/>
        <v>7</v>
      </c>
      <c r="C633" s="16" t="str">
        <f t="shared" si="56"/>
        <v>2</v>
      </c>
      <c r="D633" s="16" t="str">
        <f t="shared" si="57"/>
        <v>2</v>
      </c>
      <c r="E633" s="16" t="str">
        <f t="shared" si="58"/>
        <v>22</v>
      </c>
      <c r="F633" s="16" t="str">
        <f t="shared" si="59"/>
        <v>90</v>
      </c>
      <c r="G633" s="57">
        <v>17222290</v>
      </c>
      <c r="H633" s="16" t="s">
        <v>1302</v>
      </c>
      <c r="I633" s="17" t="s">
        <v>1303</v>
      </c>
      <c r="J633" s="16"/>
      <c r="K633" s="16"/>
      <c r="L633" s="16"/>
      <c r="M633" s="17"/>
    </row>
    <row r="634" spans="1:13" ht="51" x14ac:dyDescent="0.25">
      <c r="A634" s="14" t="str">
        <f t="shared" si="54"/>
        <v>1</v>
      </c>
      <c r="B634" s="14" t="str">
        <f t="shared" si="55"/>
        <v>7</v>
      </c>
      <c r="C634" s="14" t="str">
        <f t="shared" si="56"/>
        <v>2</v>
      </c>
      <c r="D634" s="14" t="str">
        <f t="shared" si="57"/>
        <v>2</v>
      </c>
      <c r="E634" s="14" t="str">
        <f t="shared" si="58"/>
        <v>33</v>
      </c>
      <c r="F634" s="14" t="str">
        <f t="shared" si="59"/>
        <v>00</v>
      </c>
      <c r="G634" s="56">
        <v>17223300</v>
      </c>
      <c r="H634" s="14" t="s">
        <v>1304</v>
      </c>
      <c r="I634" s="15" t="s">
        <v>1305</v>
      </c>
      <c r="J634" s="14"/>
      <c r="K634" s="14"/>
      <c r="L634" s="14"/>
      <c r="M634" s="14"/>
    </row>
    <row r="635" spans="1:13" x14ac:dyDescent="0.25">
      <c r="A635" s="32" t="str">
        <f t="shared" si="54"/>
        <v>1</v>
      </c>
      <c r="B635" s="32" t="str">
        <f t="shared" si="55"/>
        <v>7</v>
      </c>
      <c r="C635" s="32" t="str">
        <f t="shared" si="56"/>
        <v>2</v>
      </c>
      <c r="D635" s="32" t="str">
        <f t="shared" si="57"/>
        <v>2</v>
      </c>
      <c r="E635" s="32" t="str">
        <f t="shared" si="58"/>
        <v>37</v>
      </c>
      <c r="F635" s="32" t="str">
        <f t="shared" si="59"/>
        <v>00</v>
      </c>
      <c r="G635" s="63">
        <v>17223700</v>
      </c>
      <c r="H635" s="32" t="s">
        <v>1274</v>
      </c>
      <c r="I635" s="33" t="s">
        <v>1306</v>
      </c>
      <c r="J635" s="34"/>
      <c r="K635" s="34"/>
      <c r="L635" s="34"/>
      <c r="M635" s="34"/>
    </row>
    <row r="636" spans="1:13" ht="25.5" x14ac:dyDescent="0.25">
      <c r="A636" s="14" t="str">
        <f t="shared" si="54"/>
        <v>1</v>
      </c>
      <c r="B636" s="14" t="str">
        <f t="shared" si="55"/>
        <v>7</v>
      </c>
      <c r="C636" s="14" t="str">
        <f t="shared" si="56"/>
        <v>2</v>
      </c>
      <c r="D636" s="14" t="str">
        <f t="shared" si="57"/>
        <v>2</v>
      </c>
      <c r="E636" s="14" t="str">
        <f t="shared" si="58"/>
        <v>37</v>
      </c>
      <c r="F636" s="14" t="str">
        <f t="shared" si="59"/>
        <v>00</v>
      </c>
      <c r="G636" s="65">
        <v>17223700</v>
      </c>
      <c r="H636" s="28" t="s">
        <v>1307</v>
      </c>
      <c r="I636" s="39" t="s">
        <v>1306</v>
      </c>
      <c r="J636" s="28"/>
      <c r="K636" s="28"/>
      <c r="L636" s="28"/>
      <c r="M636" s="28"/>
    </row>
    <row r="637" spans="1:13" ht="25.5" x14ac:dyDescent="0.25">
      <c r="A637" s="14" t="str">
        <f t="shared" si="54"/>
        <v>1</v>
      </c>
      <c r="B637" s="14" t="str">
        <f t="shared" si="55"/>
        <v>7</v>
      </c>
      <c r="C637" s="14" t="str">
        <f t="shared" si="56"/>
        <v>2</v>
      </c>
      <c r="D637" s="14" t="str">
        <f t="shared" si="57"/>
        <v>2</v>
      </c>
      <c r="E637" s="14" t="str">
        <f t="shared" si="58"/>
        <v>99</v>
      </c>
      <c r="F637" s="14" t="str">
        <f t="shared" si="59"/>
        <v>00</v>
      </c>
      <c r="G637" s="56">
        <v>17229900</v>
      </c>
      <c r="H637" s="14" t="s">
        <v>1294</v>
      </c>
      <c r="I637" s="15" t="s">
        <v>1308</v>
      </c>
      <c r="J637" s="14"/>
      <c r="K637" s="14"/>
      <c r="L637" s="14"/>
      <c r="M637" s="14"/>
    </row>
    <row r="638" spans="1:13" ht="25.5" x14ac:dyDescent="0.25">
      <c r="A638" s="12" t="str">
        <f t="shared" si="54"/>
        <v>1</v>
      </c>
      <c r="B638" s="12" t="str">
        <f t="shared" si="55"/>
        <v>7</v>
      </c>
      <c r="C638" s="12" t="str">
        <f t="shared" si="56"/>
        <v>2</v>
      </c>
      <c r="D638" s="12" t="str">
        <f t="shared" si="57"/>
        <v>3</v>
      </c>
      <c r="E638" s="12" t="str">
        <f t="shared" si="58"/>
        <v>00</v>
      </c>
      <c r="F638" s="12" t="str">
        <f t="shared" si="59"/>
        <v>00</v>
      </c>
      <c r="G638" s="55">
        <v>17230000</v>
      </c>
      <c r="H638" s="12" t="s">
        <v>1309</v>
      </c>
      <c r="I638" s="13" t="s">
        <v>1310</v>
      </c>
      <c r="J638" s="12"/>
      <c r="K638" s="12"/>
      <c r="L638" s="12"/>
      <c r="M638" s="13"/>
    </row>
    <row r="639" spans="1:13" ht="25.5" x14ac:dyDescent="0.25">
      <c r="A639" s="14" t="str">
        <f t="shared" si="54"/>
        <v>1</v>
      </c>
      <c r="B639" s="14" t="str">
        <f t="shared" si="55"/>
        <v>7</v>
      </c>
      <c r="C639" s="14" t="str">
        <f t="shared" si="56"/>
        <v>2</v>
      </c>
      <c r="D639" s="14" t="str">
        <f t="shared" si="57"/>
        <v>3</v>
      </c>
      <c r="E639" s="14" t="str">
        <f t="shared" si="58"/>
        <v>01</v>
      </c>
      <c r="F639" s="14" t="str">
        <f t="shared" si="59"/>
        <v>00</v>
      </c>
      <c r="G639" s="56">
        <v>17230100</v>
      </c>
      <c r="H639" s="14" t="s">
        <v>1311</v>
      </c>
      <c r="I639" s="15" t="s">
        <v>1312</v>
      </c>
      <c r="J639" s="14"/>
      <c r="K639" s="14"/>
      <c r="L639" s="14"/>
      <c r="M639" s="14"/>
    </row>
    <row r="640" spans="1:13" x14ac:dyDescent="0.25">
      <c r="A640" s="32" t="str">
        <f t="shared" si="54"/>
        <v>1</v>
      </c>
      <c r="B640" s="32" t="str">
        <f t="shared" si="55"/>
        <v>7</v>
      </c>
      <c r="C640" s="32" t="str">
        <f t="shared" si="56"/>
        <v>2</v>
      </c>
      <c r="D640" s="32" t="str">
        <f t="shared" si="57"/>
        <v>3</v>
      </c>
      <c r="E640" s="32" t="str">
        <f t="shared" si="58"/>
        <v>37</v>
      </c>
      <c r="F640" s="32" t="str">
        <f t="shared" si="59"/>
        <v>00</v>
      </c>
      <c r="G640" s="63">
        <v>17233700</v>
      </c>
      <c r="H640" s="32" t="s">
        <v>1274</v>
      </c>
      <c r="I640" s="33" t="s">
        <v>1313</v>
      </c>
      <c r="J640" s="34"/>
      <c r="K640" s="34"/>
      <c r="L640" s="34"/>
      <c r="M640" s="34"/>
    </row>
    <row r="641" spans="1:13" ht="25.5" x14ac:dyDescent="0.25">
      <c r="A641" s="14" t="str">
        <f t="shared" si="54"/>
        <v>1</v>
      </c>
      <c r="B641" s="14" t="str">
        <f t="shared" si="55"/>
        <v>7</v>
      </c>
      <c r="C641" s="14" t="str">
        <f t="shared" si="56"/>
        <v>2</v>
      </c>
      <c r="D641" s="14" t="str">
        <f t="shared" si="57"/>
        <v>3</v>
      </c>
      <c r="E641" s="14" t="str">
        <f t="shared" si="58"/>
        <v>37</v>
      </c>
      <c r="F641" s="14" t="str">
        <f t="shared" si="59"/>
        <v>00</v>
      </c>
      <c r="G641" s="56">
        <v>17233700</v>
      </c>
      <c r="H641" s="14" t="s">
        <v>1314</v>
      </c>
      <c r="I641" s="15" t="s">
        <v>1313</v>
      </c>
      <c r="J641" s="14"/>
      <c r="K641" s="14"/>
      <c r="L641" s="14"/>
      <c r="M641" s="14"/>
    </row>
    <row r="642" spans="1:13" ht="25.5" x14ac:dyDescent="0.25">
      <c r="A642" s="14" t="str">
        <f t="shared" si="54"/>
        <v>1</v>
      </c>
      <c r="B642" s="14" t="str">
        <f t="shared" si="55"/>
        <v>7</v>
      </c>
      <c r="C642" s="14" t="str">
        <f t="shared" si="56"/>
        <v>2</v>
      </c>
      <c r="D642" s="14" t="str">
        <f t="shared" si="57"/>
        <v>3</v>
      </c>
      <c r="E642" s="14" t="str">
        <f t="shared" si="58"/>
        <v>99</v>
      </c>
      <c r="F642" s="14" t="str">
        <f t="shared" si="59"/>
        <v>00</v>
      </c>
      <c r="G642" s="56">
        <v>17239900</v>
      </c>
      <c r="H642" s="14" t="s">
        <v>1315</v>
      </c>
      <c r="I642" s="15" t="s">
        <v>1316</v>
      </c>
      <c r="J642" s="14"/>
      <c r="K642" s="14" t="s">
        <v>151</v>
      </c>
      <c r="L642" s="14" t="s">
        <v>1317</v>
      </c>
      <c r="M642" s="14"/>
    </row>
    <row r="643" spans="1:13" x14ac:dyDescent="0.25">
      <c r="A643" s="12" t="str">
        <f t="shared" si="54"/>
        <v>1</v>
      </c>
      <c r="B643" s="12" t="str">
        <f t="shared" si="55"/>
        <v>7</v>
      </c>
      <c r="C643" s="12" t="str">
        <f t="shared" si="56"/>
        <v>2</v>
      </c>
      <c r="D643" s="12" t="str">
        <f t="shared" si="57"/>
        <v>4</v>
      </c>
      <c r="E643" s="12" t="str">
        <f t="shared" si="58"/>
        <v>00</v>
      </c>
      <c r="F643" s="12" t="str">
        <f t="shared" si="59"/>
        <v>00</v>
      </c>
      <c r="G643" s="55">
        <v>17240000</v>
      </c>
      <c r="H643" s="12" t="s">
        <v>1318</v>
      </c>
      <c r="I643" s="13" t="s">
        <v>1319</v>
      </c>
      <c r="J643" s="12"/>
      <c r="K643" s="12"/>
      <c r="L643" s="12"/>
      <c r="M643" s="13"/>
    </row>
    <row r="644" spans="1:13" ht="51" x14ac:dyDescent="0.25">
      <c r="A644" s="14" t="str">
        <f t="shared" ref="A644:A707" si="60">MID(G644,1,1)</f>
        <v>1</v>
      </c>
      <c r="B644" s="14" t="str">
        <f t="shared" ref="B644:B707" si="61">MID(G644,2,1)</f>
        <v>7</v>
      </c>
      <c r="C644" s="14" t="str">
        <f t="shared" ref="C644:C707" si="62">MID(G644,3,1)</f>
        <v>2</v>
      </c>
      <c r="D644" s="14" t="str">
        <f t="shared" ref="D644:D707" si="63">MID(G644,4,1)</f>
        <v>4</v>
      </c>
      <c r="E644" s="14" t="str">
        <f t="shared" ref="E644:E707" si="64">MID(G644,5,2)</f>
        <v>01</v>
      </c>
      <c r="F644" s="14" t="str">
        <f t="shared" ref="F644:F707" si="65">MID(G644,7,2)</f>
        <v>00</v>
      </c>
      <c r="G644" s="56">
        <v>17240100</v>
      </c>
      <c r="H644" s="14" t="s">
        <v>1320</v>
      </c>
      <c r="I644" s="15" t="s">
        <v>1321</v>
      </c>
      <c r="J644" s="14"/>
      <c r="K644" s="14"/>
      <c r="L644" s="14"/>
      <c r="M644" s="14"/>
    </row>
    <row r="645" spans="1:13" ht="63.75" x14ac:dyDescent="0.25">
      <c r="A645" s="14" t="str">
        <f t="shared" si="60"/>
        <v>1</v>
      </c>
      <c r="B645" s="14" t="str">
        <f t="shared" si="61"/>
        <v>7</v>
      </c>
      <c r="C645" s="14" t="str">
        <f t="shared" si="62"/>
        <v>2</v>
      </c>
      <c r="D645" s="14" t="str">
        <f t="shared" si="63"/>
        <v>4</v>
      </c>
      <c r="E645" s="14" t="str">
        <f t="shared" si="64"/>
        <v>02</v>
      </c>
      <c r="F645" s="14" t="str">
        <f t="shared" si="65"/>
        <v>00</v>
      </c>
      <c r="G645" s="56">
        <v>17240200</v>
      </c>
      <c r="H645" s="14" t="s">
        <v>1322</v>
      </c>
      <c r="I645" s="15" t="s">
        <v>1323</v>
      </c>
      <c r="J645" s="14"/>
      <c r="K645" s="14"/>
      <c r="L645" s="14"/>
      <c r="M645" s="14"/>
    </row>
    <row r="646" spans="1:13" ht="25.5" x14ac:dyDescent="0.25">
      <c r="A646" s="14" t="str">
        <f t="shared" si="60"/>
        <v>1</v>
      </c>
      <c r="B646" s="14" t="str">
        <f t="shared" si="61"/>
        <v>7</v>
      </c>
      <c r="C646" s="14" t="str">
        <f t="shared" si="62"/>
        <v>2</v>
      </c>
      <c r="D646" s="14" t="str">
        <f t="shared" si="63"/>
        <v>4</v>
      </c>
      <c r="E646" s="14" t="str">
        <f t="shared" si="64"/>
        <v>99</v>
      </c>
      <c r="F646" s="14" t="str">
        <f t="shared" si="65"/>
        <v>00</v>
      </c>
      <c r="G646" s="56">
        <v>17249900</v>
      </c>
      <c r="H646" s="14" t="s">
        <v>1324</v>
      </c>
      <c r="I646" s="15" t="s">
        <v>1325</v>
      </c>
      <c r="J646" s="14"/>
      <c r="K646" s="14"/>
      <c r="L646" s="14"/>
      <c r="M646" s="14"/>
    </row>
    <row r="647" spans="1:13" ht="38.25" x14ac:dyDescent="0.25">
      <c r="A647" s="10" t="str">
        <f t="shared" si="60"/>
        <v>1</v>
      </c>
      <c r="B647" s="10" t="str">
        <f t="shared" si="61"/>
        <v>7</v>
      </c>
      <c r="C647" s="10" t="str">
        <f t="shared" si="62"/>
        <v>3</v>
      </c>
      <c r="D647" s="10" t="str">
        <f t="shared" si="63"/>
        <v>0</v>
      </c>
      <c r="E647" s="10" t="str">
        <f t="shared" si="64"/>
        <v>00</v>
      </c>
      <c r="F647" s="10" t="str">
        <f t="shared" si="65"/>
        <v>00</v>
      </c>
      <c r="G647" s="54">
        <v>17300000</v>
      </c>
      <c r="H647" s="10" t="s">
        <v>1326</v>
      </c>
      <c r="I647" s="11" t="s">
        <v>1327</v>
      </c>
      <c r="J647" s="10"/>
      <c r="K647" s="10" t="s">
        <v>151</v>
      </c>
      <c r="L647" s="10" t="s">
        <v>360</v>
      </c>
      <c r="M647" s="11"/>
    </row>
    <row r="648" spans="1:13" ht="25.5" x14ac:dyDescent="0.25">
      <c r="A648" s="10" t="str">
        <f t="shared" si="60"/>
        <v>1</v>
      </c>
      <c r="B648" s="10" t="str">
        <f t="shared" si="61"/>
        <v>7</v>
      </c>
      <c r="C648" s="10" t="str">
        <f t="shared" si="62"/>
        <v>4</v>
      </c>
      <c r="D648" s="10" t="str">
        <f t="shared" si="63"/>
        <v>0</v>
      </c>
      <c r="E648" s="10" t="str">
        <f t="shared" si="64"/>
        <v>00</v>
      </c>
      <c r="F648" s="10" t="str">
        <f t="shared" si="65"/>
        <v>00</v>
      </c>
      <c r="G648" s="54">
        <v>17400000</v>
      </c>
      <c r="H648" s="10" t="s">
        <v>1328</v>
      </c>
      <c r="I648" s="11" t="s">
        <v>1329</v>
      </c>
      <c r="J648" s="10"/>
      <c r="K648" s="10"/>
      <c r="L648" s="10"/>
      <c r="M648" s="11"/>
    </row>
    <row r="649" spans="1:13" ht="25.5" x14ac:dyDescent="0.25">
      <c r="A649" s="10" t="str">
        <f t="shared" si="60"/>
        <v>1</v>
      </c>
      <c r="B649" s="10" t="str">
        <f t="shared" si="61"/>
        <v>7</v>
      </c>
      <c r="C649" s="10" t="str">
        <f t="shared" si="62"/>
        <v>5</v>
      </c>
      <c r="D649" s="10" t="str">
        <f t="shared" si="63"/>
        <v>0</v>
      </c>
      <c r="E649" s="10" t="str">
        <f t="shared" si="64"/>
        <v>00</v>
      </c>
      <c r="F649" s="10" t="str">
        <f t="shared" si="65"/>
        <v>00</v>
      </c>
      <c r="G649" s="54">
        <v>17500000</v>
      </c>
      <c r="H649" s="10" t="s">
        <v>1330</v>
      </c>
      <c r="I649" s="11" t="s">
        <v>1331</v>
      </c>
      <c r="J649" s="10"/>
      <c r="K649" s="10"/>
      <c r="L649" s="10"/>
      <c r="M649" s="11"/>
    </row>
    <row r="650" spans="1:13" ht="38.25" x14ac:dyDescent="0.25">
      <c r="A650" s="10" t="str">
        <f t="shared" si="60"/>
        <v>1</v>
      </c>
      <c r="B650" s="10" t="str">
        <f t="shared" si="61"/>
        <v>7</v>
      </c>
      <c r="C650" s="10" t="str">
        <f t="shared" si="62"/>
        <v>6</v>
      </c>
      <c r="D650" s="10" t="str">
        <f t="shared" si="63"/>
        <v>0</v>
      </c>
      <c r="E650" s="10" t="str">
        <f t="shared" si="64"/>
        <v>00</v>
      </c>
      <c r="F650" s="10" t="str">
        <f t="shared" si="65"/>
        <v>00</v>
      </c>
      <c r="G650" s="54">
        <v>17600000</v>
      </c>
      <c r="H650" s="10" t="s">
        <v>1332</v>
      </c>
      <c r="I650" s="11" t="s">
        <v>1333</v>
      </c>
      <c r="J650" s="10"/>
      <c r="K650" s="10"/>
      <c r="L650" s="10"/>
      <c r="M650" s="11"/>
    </row>
    <row r="651" spans="1:13" ht="38.25" x14ac:dyDescent="0.25">
      <c r="A651" s="12" t="str">
        <f t="shared" si="60"/>
        <v>1</v>
      </c>
      <c r="B651" s="12" t="str">
        <f t="shared" si="61"/>
        <v>7</v>
      </c>
      <c r="C651" s="12" t="str">
        <f t="shared" si="62"/>
        <v>6</v>
      </c>
      <c r="D651" s="12" t="str">
        <f t="shared" si="63"/>
        <v>1</v>
      </c>
      <c r="E651" s="12" t="str">
        <f t="shared" si="64"/>
        <v>00</v>
      </c>
      <c r="F651" s="12" t="str">
        <f t="shared" si="65"/>
        <v>00</v>
      </c>
      <c r="G651" s="55">
        <v>17610000</v>
      </c>
      <c r="H651" s="12" t="s">
        <v>1334</v>
      </c>
      <c r="I651" s="13" t="s">
        <v>1335</v>
      </c>
      <c r="J651" s="12"/>
      <c r="K651" s="12"/>
      <c r="L651" s="12"/>
      <c r="M651" s="13"/>
    </row>
    <row r="652" spans="1:13" ht="38.25" x14ac:dyDescent="0.25">
      <c r="A652" s="14" t="str">
        <f t="shared" si="60"/>
        <v>1</v>
      </c>
      <c r="B652" s="14" t="str">
        <f t="shared" si="61"/>
        <v>7</v>
      </c>
      <c r="C652" s="14" t="str">
        <f t="shared" si="62"/>
        <v>6</v>
      </c>
      <c r="D652" s="14" t="str">
        <f t="shared" si="63"/>
        <v>1</v>
      </c>
      <c r="E652" s="14" t="str">
        <f t="shared" si="64"/>
        <v>01</v>
      </c>
      <c r="F652" s="14" t="str">
        <f t="shared" si="65"/>
        <v>00</v>
      </c>
      <c r="G652" s="56">
        <v>17610100</v>
      </c>
      <c r="H652" s="14" t="s">
        <v>1336</v>
      </c>
      <c r="I652" s="15" t="s">
        <v>1337</v>
      </c>
      <c r="J652" s="14"/>
      <c r="K652" s="14"/>
      <c r="L652" s="14"/>
      <c r="M652" s="14"/>
    </row>
    <row r="653" spans="1:13" ht="25.5" x14ac:dyDescent="0.25">
      <c r="A653" s="14" t="str">
        <f t="shared" si="60"/>
        <v>1</v>
      </c>
      <c r="B653" s="14" t="str">
        <f t="shared" si="61"/>
        <v>7</v>
      </c>
      <c r="C653" s="14" t="str">
        <f t="shared" si="62"/>
        <v>6</v>
      </c>
      <c r="D653" s="14" t="str">
        <f t="shared" si="63"/>
        <v>1</v>
      </c>
      <c r="E653" s="14" t="str">
        <f t="shared" si="64"/>
        <v>02</v>
      </c>
      <c r="F653" s="14" t="str">
        <f t="shared" si="65"/>
        <v>00</v>
      </c>
      <c r="G653" s="56">
        <v>17610200</v>
      </c>
      <c r="H653" s="14" t="s">
        <v>1338</v>
      </c>
      <c r="I653" s="15" t="s">
        <v>1339</v>
      </c>
      <c r="J653" s="14"/>
      <c r="K653" s="14"/>
      <c r="L653" s="14"/>
      <c r="M653" s="14"/>
    </row>
    <row r="654" spans="1:13" ht="38.25" x14ac:dyDescent="0.25">
      <c r="A654" s="14" t="str">
        <f t="shared" si="60"/>
        <v>1</v>
      </c>
      <c r="B654" s="14" t="str">
        <f t="shared" si="61"/>
        <v>7</v>
      </c>
      <c r="C654" s="14" t="str">
        <f t="shared" si="62"/>
        <v>6</v>
      </c>
      <c r="D654" s="14" t="str">
        <f t="shared" si="63"/>
        <v>1</v>
      </c>
      <c r="E654" s="14" t="str">
        <f t="shared" si="64"/>
        <v>03</v>
      </c>
      <c r="F654" s="14" t="str">
        <f t="shared" si="65"/>
        <v>00</v>
      </c>
      <c r="G654" s="56">
        <v>17610300</v>
      </c>
      <c r="H654" s="14" t="s">
        <v>1340</v>
      </c>
      <c r="I654" s="15" t="s">
        <v>1341</v>
      </c>
      <c r="J654" s="14"/>
      <c r="K654" s="14"/>
      <c r="L654" s="14"/>
      <c r="M654" s="14"/>
    </row>
    <row r="655" spans="1:13" ht="38.25" x14ac:dyDescent="0.25">
      <c r="A655" s="14" t="str">
        <f t="shared" si="60"/>
        <v>1</v>
      </c>
      <c r="B655" s="14" t="str">
        <f t="shared" si="61"/>
        <v>7</v>
      </c>
      <c r="C655" s="14" t="str">
        <f t="shared" si="62"/>
        <v>6</v>
      </c>
      <c r="D655" s="14" t="str">
        <f t="shared" si="63"/>
        <v>1</v>
      </c>
      <c r="E655" s="14" t="str">
        <f t="shared" si="64"/>
        <v>04</v>
      </c>
      <c r="F655" s="14" t="str">
        <f t="shared" si="65"/>
        <v>00</v>
      </c>
      <c r="G655" s="56">
        <v>17610400</v>
      </c>
      <c r="H655" s="14" t="s">
        <v>1342</v>
      </c>
      <c r="I655" s="15" t="s">
        <v>1343</v>
      </c>
      <c r="J655" s="14"/>
      <c r="K655" s="14"/>
      <c r="L655" s="14"/>
      <c r="M655" s="14"/>
    </row>
    <row r="656" spans="1:13" ht="38.25" x14ac:dyDescent="0.25">
      <c r="A656" s="14" t="str">
        <f t="shared" si="60"/>
        <v>1</v>
      </c>
      <c r="B656" s="14" t="str">
        <f t="shared" si="61"/>
        <v>7</v>
      </c>
      <c r="C656" s="14" t="str">
        <f t="shared" si="62"/>
        <v>6</v>
      </c>
      <c r="D656" s="14" t="str">
        <f t="shared" si="63"/>
        <v>1</v>
      </c>
      <c r="E656" s="14" t="str">
        <f t="shared" si="64"/>
        <v>05</v>
      </c>
      <c r="F656" s="14" t="str">
        <f t="shared" si="65"/>
        <v>00</v>
      </c>
      <c r="G656" s="56">
        <v>17610500</v>
      </c>
      <c r="H656" s="14" t="s">
        <v>1344</v>
      </c>
      <c r="I656" s="15" t="s">
        <v>1345</v>
      </c>
      <c r="J656" s="14"/>
      <c r="K656" s="14"/>
      <c r="L656" s="14"/>
      <c r="M656" s="14"/>
    </row>
    <row r="657" spans="1:13" ht="25.5" x14ac:dyDescent="0.25">
      <c r="A657" s="14" t="str">
        <f t="shared" si="60"/>
        <v>1</v>
      </c>
      <c r="B657" s="14" t="str">
        <f t="shared" si="61"/>
        <v>7</v>
      </c>
      <c r="C657" s="14" t="str">
        <f t="shared" si="62"/>
        <v>6</v>
      </c>
      <c r="D657" s="14" t="str">
        <f t="shared" si="63"/>
        <v>1</v>
      </c>
      <c r="E657" s="14" t="str">
        <f t="shared" si="64"/>
        <v>99</v>
      </c>
      <c r="F657" s="14" t="str">
        <f t="shared" si="65"/>
        <v>00</v>
      </c>
      <c r="G657" s="56">
        <v>17619900</v>
      </c>
      <c r="H657" s="14" t="s">
        <v>1346</v>
      </c>
      <c r="I657" s="15" t="s">
        <v>1347</v>
      </c>
      <c r="J657" s="14"/>
      <c r="K657" s="14"/>
      <c r="L657" s="14"/>
      <c r="M657" s="14"/>
    </row>
    <row r="658" spans="1:13" ht="25.5" x14ac:dyDescent="0.25">
      <c r="A658" s="12" t="str">
        <f t="shared" si="60"/>
        <v>1</v>
      </c>
      <c r="B658" s="12" t="str">
        <f t="shared" si="61"/>
        <v>7</v>
      </c>
      <c r="C658" s="12" t="str">
        <f t="shared" si="62"/>
        <v>6</v>
      </c>
      <c r="D658" s="12" t="str">
        <f t="shared" si="63"/>
        <v>2</v>
      </c>
      <c r="E658" s="12" t="str">
        <f t="shared" si="64"/>
        <v>00</v>
      </c>
      <c r="F658" s="12" t="str">
        <f t="shared" si="65"/>
        <v>00</v>
      </c>
      <c r="G658" s="55">
        <v>17620000</v>
      </c>
      <c r="H658" s="12" t="s">
        <v>1348</v>
      </c>
      <c r="I658" s="13" t="s">
        <v>1349</v>
      </c>
      <c r="J658" s="12"/>
      <c r="K658" s="12"/>
      <c r="L658" s="12"/>
      <c r="M658" s="13"/>
    </row>
    <row r="659" spans="1:13" ht="25.5" x14ac:dyDescent="0.25">
      <c r="A659" s="14" t="str">
        <f t="shared" si="60"/>
        <v>1</v>
      </c>
      <c r="B659" s="14" t="str">
        <f t="shared" si="61"/>
        <v>7</v>
      </c>
      <c r="C659" s="14" t="str">
        <f t="shared" si="62"/>
        <v>6</v>
      </c>
      <c r="D659" s="14" t="str">
        <f t="shared" si="63"/>
        <v>2</v>
      </c>
      <c r="E659" s="14" t="str">
        <f t="shared" si="64"/>
        <v>01</v>
      </c>
      <c r="F659" s="14" t="str">
        <f t="shared" si="65"/>
        <v>00</v>
      </c>
      <c r="G659" s="56">
        <v>17620100</v>
      </c>
      <c r="H659" s="14" t="s">
        <v>1350</v>
      </c>
      <c r="I659" s="15" t="s">
        <v>1351</v>
      </c>
      <c r="J659" s="14"/>
      <c r="K659" s="14"/>
      <c r="L659" s="14"/>
      <c r="M659" s="14"/>
    </row>
    <row r="660" spans="1:13" ht="25.5" x14ac:dyDescent="0.25">
      <c r="A660" s="14" t="str">
        <f t="shared" si="60"/>
        <v>1</v>
      </c>
      <c r="B660" s="14" t="str">
        <f t="shared" si="61"/>
        <v>7</v>
      </c>
      <c r="C660" s="14" t="str">
        <f t="shared" si="62"/>
        <v>6</v>
      </c>
      <c r="D660" s="14" t="str">
        <f t="shared" si="63"/>
        <v>2</v>
      </c>
      <c r="E660" s="14" t="str">
        <f t="shared" si="64"/>
        <v>02</v>
      </c>
      <c r="F660" s="14" t="str">
        <f t="shared" si="65"/>
        <v>00</v>
      </c>
      <c r="G660" s="56">
        <v>17620200</v>
      </c>
      <c r="H660" s="14" t="s">
        <v>1352</v>
      </c>
      <c r="I660" s="15" t="s">
        <v>1353</v>
      </c>
      <c r="J660" s="14"/>
      <c r="K660" s="14"/>
      <c r="L660" s="14"/>
      <c r="M660" s="14"/>
    </row>
    <row r="661" spans="1:13" ht="38.25" x14ac:dyDescent="0.25">
      <c r="A661" s="14" t="str">
        <f t="shared" si="60"/>
        <v>1</v>
      </c>
      <c r="B661" s="14" t="str">
        <f t="shared" si="61"/>
        <v>7</v>
      </c>
      <c r="C661" s="14" t="str">
        <f t="shared" si="62"/>
        <v>6</v>
      </c>
      <c r="D661" s="14" t="str">
        <f t="shared" si="63"/>
        <v>2</v>
      </c>
      <c r="E661" s="14" t="str">
        <f t="shared" si="64"/>
        <v>99</v>
      </c>
      <c r="F661" s="14" t="str">
        <f t="shared" si="65"/>
        <v>00</v>
      </c>
      <c r="G661" s="56">
        <v>17629900</v>
      </c>
      <c r="H661" s="14" t="s">
        <v>1354</v>
      </c>
      <c r="I661" s="15" t="s">
        <v>1355</v>
      </c>
      <c r="J661" s="14"/>
      <c r="K661" s="14"/>
      <c r="L661" s="14"/>
      <c r="M661" s="14"/>
    </row>
    <row r="662" spans="1:13" ht="25.5" x14ac:dyDescent="0.25">
      <c r="A662" s="12" t="str">
        <f t="shared" si="60"/>
        <v>1</v>
      </c>
      <c r="B662" s="12" t="str">
        <f t="shared" si="61"/>
        <v>7</v>
      </c>
      <c r="C662" s="12" t="str">
        <f t="shared" si="62"/>
        <v>6</v>
      </c>
      <c r="D662" s="12" t="str">
        <f t="shared" si="63"/>
        <v>3</v>
      </c>
      <c r="E662" s="12" t="str">
        <f t="shared" si="64"/>
        <v>00</v>
      </c>
      <c r="F662" s="12" t="str">
        <f t="shared" si="65"/>
        <v>00</v>
      </c>
      <c r="G662" s="55">
        <v>17630000</v>
      </c>
      <c r="H662" s="12" t="s">
        <v>1356</v>
      </c>
      <c r="I662" s="13" t="s">
        <v>1357</v>
      </c>
      <c r="J662" s="12"/>
      <c r="K662" s="12"/>
      <c r="L662" s="12"/>
      <c r="M662" s="13"/>
    </row>
    <row r="663" spans="1:13" ht="38.25" x14ac:dyDescent="0.25">
      <c r="A663" s="14" t="str">
        <f t="shared" si="60"/>
        <v>1</v>
      </c>
      <c r="B663" s="14" t="str">
        <f t="shared" si="61"/>
        <v>7</v>
      </c>
      <c r="C663" s="14" t="str">
        <f t="shared" si="62"/>
        <v>6</v>
      </c>
      <c r="D663" s="14" t="str">
        <f t="shared" si="63"/>
        <v>3</v>
      </c>
      <c r="E663" s="14" t="str">
        <f t="shared" si="64"/>
        <v>01</v>
      </c>
      <c r="F663" s="14" t="str">
        <f t="shared" si="65"/>
        <v>00</v>
      </c>
      <c r="G663" s="56">
        <v>17630100</v>
      </c>
      <c r="H663" s="14" t="s">
        <v>1358</v>
      </c>
      <c r="I663" s="15" t="s">
        <v>1359</v>
      </c>
      <c r="J663" s="14"/>
      <c r="K663" s="14"/>
      <c r="L663" s="14"/>
      <c r="M663" s="14"/>
    </row>
    <row r="664" spans="1:13" ht="38.25" x14ac:dyDescent="0.25">
      <c r="A664" s="14" t="str">
        <f t="shared" si="60"/>
        <v>1</v>
      </c>
      <c r="B664" s="14" t="str">
        <f t="shared" si="61"/>
        <v>7</v>
      </c>
      <c r="C664" s="14" t="str">
        <f t="shared" si="62"/>
        <v>6</v>
      </c>
      <c r="D664" s="14" t="str">
        <f t="shared" si="63"/>
        <v>3</v>
      </c>
      <c r="E664" s="14" t="str">
        <f t="shared" si="64"/>
        <v>02</v>
      </c>
      <c r="F664" s="14" t="str">
        <f t="shared" si="65"/>
        <v>00</v>
      </c>
      <c r="G664" s="56">
        <v>17630200</v>
      </c>
      <c r="H664" s="14" t="s">
        <v>1360</v>
      </c>
      <c r="I664" s="15" t="s">
        <v>1361</v>
      </c>
      <c r="J664" s="14"/>
      <c r="K664" s="14"/>
      <c r="L664" s="14"/>
      <c r="M664" s="14"/>
    </row>
    <row r="665" spans="1:13" ht="25.5" x14ac:dyDescent="0.25">
      <c r="A665" s="14" t="str">
        <f t="shared" si="60"/>
        <v>1</v>
      </c>
      <c r="B665" s="14" t="str">
        <f t="shared" si="61"/>
        <v>7</v>
      </c>
      <c r="C665" s="14" t="str">
        <f t="shared" si="62"/>
        <v>6</v>
      </c>
      <c r="D665" s="14" t="str">
        <f t="shared" si="63"/>
        <v>3</v>
      </c>
      <c r="E665" s="14" t="str">
        <f t="shared" si="64"/>
        <v>99</v>
      </c>
      <c r="F665" s="14" t="str">
        <f t="shared" si="65"/>
        <v>00</v>
      </c>
      <c r="G665" s="56">
        <v>17639900</v>
      </c>
      <c r="H665" s="14" t="s">
        <v>1362</v>
      </c>
      <c r="I665" s="15" t="s">
        <v>1363</v>
      </c>
      <c r="J665" s="14"/>
      <c r="K665" s="14"/>
      <c r="L665" s="14"/>
      <c r="M665" s="14"/>
    </row>
    <row r="666" spans="1:13" ht="25.5" x14ac:dyDescent="0.25">
      <c r="A666" s="12" t="str">
        <f t="shared" si="60"/>
        <v>1</v>
      </c>
      <c r="B666" s="12" t="str">
        <f t="shared" si="61"/>
        <v>7</v>
      </c>
      <c r="C666" s="12" t="str">
        <f t="shared" si="62"/>
        <v>6</v>
      </c>
      <c r="D666" s="12" t="str">
        <f t="shared" si="63"/>
        <v>4</v>
      </c>
      <c r="E666" s="12" t="str">
        <f t="shared" si="64"/>
        <v>00</v>
      </c>
      <c r="F666" s="12" t="str">
        <f t="shared" si="65"/>
        <v>00</v>
      </c>
      <c r="G666" s="55">
        <v>17640000</v>
      </c>
      <c r="H666" s="12" t="s">
        <v>1364</v>
      </c>
      <c r="I666" s="13" t="s">
        <v>1365</v>
      </c>
      <c r="J666" s="12"/>
      <c r="K666" s="12"/>
      <c r="L666" s="12"/>
      <c r="M666" s="13"/>
    </row>
    <row r="667" spans="1:13" ht="25.5" x14ac:dyDescent="0.25">
      <c r="A667" s="12" t="str">
        <f t="shared" si="60"/>
        <v>1</v>
      </c>
      <c r="B667" s="12" t="str">
        <f t="shared" si="61"/>
        <v>7</v>
      </c>
      <c r="C667" s="12" t="str">
        <f t="shared" si="62"/>
        <v>6</v>
      </c>
      <c r="D667" s="12" t="str">
        <f t="shared" si="63"/>
        <v>5</v>
      </c>
      <c r="E667" s="12" t="str">
        <f t="shared" si="64"/>
        <v>00</v>
      </c>
      <c r="F667" s="12" t="str">
        <f t="shared" si="65"/>
        <v>00</v>
      </c>
      <c r="G667" s="55">
        <v>17650000</v>
      </c>
      <c r="H667" s="12" t="s">
        <v>1366</v>
      </c>
      <c r="I667" s="13" t="s">
        <v>1367</v>
      </c>
      <c r="J667" s="12"/>
      <c r="K667" s="12"/>
      <c r="L667" s="12"/>
      <c r="M667" s="13"/>
    </row>
    <row r="668" spans="1:13" x14ac:dyDescent="0.25">
      <c r="A668" s="10" t="str">
        <f t="shared" si="60"/>
        <v>1</v>
      </c>
      <c r="B668" s="10" t="str">
        <f t="shared" si="61"/>
        <v>7</v>
      </c>
      <c r="C668" s="10" t="str">
        <f t="shared" si="62"/>
        <v>7</v>
      </c>
      <c r="D668" s="10" t="str">
        <f t="shared" si="63"/>
        <v>0</v>
      </c>
      <c r="E668" s="10" t="str">
        <f t="shared" si="64"/>
        <v>00</v>
      </c>
      <c r="F668" s="10" t="str">
        <f t="shared" si="65"/>
        <v>00</v>
      </c>
      <c r="G668" s="54">
        <v>17700000</v>
      </c>
      <c r="H668" s="10" t="s">
        <v>1368</v>
      </c>
      <c r="I668" s="11" t="s">
        <v>1369</v>
      </c>
      <c r="J668" s="10"/>
      <c r="K668" s="10"/>
      <c r="L668" s="10"/>
      <c r="M668" s="11"/>
    </row>
    <row r="669" spans="1:13" x14ac:dyDescent="0.25">
      <c r="A669" s="12" t="str">
        <f t="shared" si="60"/>
        <v>1</v>
      </c>
      <c r="B669" s="12" t="str">
        <f t="shared" si="61"/>
        <v>7</v>
      </c>
      <c r="C669" s="12" t="str">
        <f t="shared" si="62"/>
        <v>7</v>
      </c>
      <c r="D669" s="12" t="str">
        <f t="shared" si="63"/>
        <v>1</v>
      </c>
      <c r="E669" s="12" t="str">
        <f t="shared" si="64"/>
        <v>00</v>
      </c>
      <c r="F669" s="12" t="str">
        <f t="shared" si="65"/>
        <v>00</v>
      </c>
      <c r="G669" s="55">
        <v>17710000</v>
      </c>
      <c r="H669" s="12" t="s">
        <v>1370</v>
      </c>
      <c r="I669" s="13" t="s">
        <v>1371</v>
      </c>
      <c r="J669" s="12"/>
      <c r="K669" s="12"/>
      <c r="L669" s="12"/>
      <c r="M669" s="13"/>
    </row>
    <row r="670" spans="1:13" x14ac:dyDescent="0.25">
      <c r="A670" s="12" t="str">
        <f t="shared" si="60"/>
        <v>1</v>
      </c>
      <c r="B670" s="12" t="str">
        <f t="shared" si="61"/>
        <v>7</v>
      </c>
      <c r="C670" s="12" t="str">
        <f t="shared" si="62"/>
        <v>7</v>
      </c>
      <c r="D670" s="12" t="str">
        <f t="shared" si="63"/>
        <v>2</v>
      </c>
      <c r="E670" s="12" t="str">
        <f t="shared" si="64"/>
        <v>00</v>
      </c>
      <c r="F670" s="12" t="str">
        <f t="shared" si="65"/>
        <v>00</v>
      </c>
      <c r="G670" s="55">
        <v>17720000</v>
      </c>
      <c r="H670" s="12" t="s">
        <v>1372</v>
      </c>
      <c r="I670" s="13" t="s">
        <v>1373</v>
      </c>
      <c r="J670" s="12"/>
      <c r="K670" s="12"/>
      <c r="L670" s="12"/>
      <c r="M670" s="13"/>
    </row>
    <row r="671" spans="1:13" x14ac:dyDescent="0.25">
      <c r="A671" s="12" t="str">
        <f t="shared" si="60"/>
        <v>1</v>
      </c>
      <c r="B671" s="12" t="str">
        <f t="shared" si="61"/>
        <v>7</v>
      </c>
      <c r="C671" s="12" t="str">
        <f t="shared" si="62"/>
        <v>7</v>
      </c>
      <c r="D671" s="12" t="str">
        <f t="shared" si="63"/>
        <v>3</v>
      </c>
      <c r="E671" s="12" t="str">
        <f t="shared" si="64"/>
        <v>00</v>
      </c>
      <c r="F671" s="12" t="str">
        <f t="shared" si="65"/>
        <v>00</v>
      </c>
      <c r="G671" s="55">
        <v>17730000</v>
      </c>
      <c r="H671" s="12" t="s">
        <v>1374</v>
      </c>
      <c r="I671" s="13" t="s">
        <v>1375</v>
      </c>
      <c r="J671" s="12"/>
      <c r="K671" s="12"/>
      <c r="L671" s="12"/>
      <c r="M671" s="13"/>
    </row>
    <row r="672" spans="1:13" ht="25.5" x14ac:dyDescent="0.25">
      <c r="A672" s="12" t="str">
        <f t="shared" si="60"/>
        <v>1</v>
      </c>
      <c r="B672" s="12" t="str">
        <f t="shared" si="61"/>
        <v>7</v>
      </c>
      <c r="C672" s="12" t="str">
        <f t="shared" si="62"/>
        <v>7</v>
      </c>
      <c r="D672" s="12" t="str">
        <f t="shared" si="63"/>
        <v>4</v>
      </c>
      <c r="E672" s="12" t="str">
        <f t="shared" si="64"/>
        <v>00</v>
      </c>
      <c r="F672" s="12" t="str">
        <f t="shared" si="65"/>
        <v>00</v>
      </c>
      <c r="G672" s="55">
        <v>17740000</v>
      </c>
      <c r="H672" s="12" t="s">
        <v>1376</v>
      </c>
      <c r="I672" s="13" t="s">
        <v>1377</v>
      </c>
      <c r="J672" s="12"/>
      <c r="K672" s="12"/>
      <c r="L672" s="12"/>
      <c r="M672" s="13"/>
    </row>
    <row r="673" spans="1:13" ht="25.5" x14ac:dyDescent="0.25">
      <c r="A673" s="8" t="str">
        <f t="shared" si="60"/>
        <v>1</v>
      </c>
      <c r="B673" s="8" t="str">
        <f t="shared" si="61"/>
        <v>9</v>
      </c>
      <c r="C673" s="8" t="str">
        <f t="shared" si="62"/>
        <v>0</v>
      </c>
      <c r="D673" s="8" t="str">
        <f t="shared" si="63"/>
        <v>0</v>
      </c>
      <c r="E673" s="8" t="str">
        <f t="shared" si="64"/>
        <v>00</v>
      </c>
      <c r="F673" s="8" t="str">
        <f t="shared" si="65"/>
        <v>00</v>
      </c>
      <c r="G673" s="53">
        <v>19000000</v>
      </c>
      <c r="H673" s="8" t="s">
        <v>1378</v>
      </c>
      <c r="I673" s="9" t="s">
        <v>1379</v>
      </c>
      <c r="J673" s="8"/>
      <c r="K673" s="8"/>
      <c r="L673" s="8"/>
      <c r="M673" s="9"/>
    </row>
    <row r="674" spans="1:13" ht="51" x14ac:dyDescent="0.25">
      <c r="A674" s="10" t="str">
        <f t="shared" si="60"/>
        <v>1</v>
      </c>
      <c r="B674" s="10" t="str">
        <f t="shared" si="61"/>
        <v>9</v>
      </c>
      <c r="C674" s="10" t="str">
        <f t="shared" si="62"/>
        <v>1</v>
      </c>
      <c r="D674" s="10" t="str">
        <f t="shared" si="63"/>
        <v>0</v>
      </c>
      <c r="E674" s="10" t="str">
        <f t="shared" si="64"/>
        <v>00</v>
      </c>
      <c r="F674" s="10" t="str">
        <f t="shared" si="65"/>
        <v>00</v>
      </c>
      <c r="G674" s="54">
        <v>19100000</v>
      </c>
      <c r="H674" s="10" t="s">
        <v>1380</v>
      </c>
      <c r="I674" s="11" t="s">
        <v>1381</v>
      </c>
      <c r="J674" s="10"/>
      <c r="K674" s="10"/>
      <c r="L674" s="10"/>
      <c r="M674" s="11"/>
    </row>
    <row r="675" spans="1:13" ht="25.5" x14ac:dyDescent="0.25">
      <c r="A675" s="12" t="str">
        <f t="shared" si="60"/>
        <v>1</v>
      </c>
      <c r="B675" s="12" t="str">
        <f t="shared" si="61"/>
        <v>9</v>
      </c>
      <c r="C675" s="12" t="str">
        <f t="shared" si="62"/>
        <v>1</v>
      </c>
      <c r="D675" s="12" t="str">
        <f t="shared" si="63"/>
        <v>1</v>
      </c>
      <c r="E675" s="12" t="str">
        <f t="shared" si="64"/>
        <v>00</v>
      </c>
      <c r="F675" s="12" t="str">
        <f t="shared" si="65"/>
        <v>00</v>
      </c>
      <c r="G675" s="55">
        <v>19110000</v>
      </c>
      <c r="H675" s="12" t="s">
        <v>1382</v>
      </c>
      <c r="I675" s="13" t="s">
        <v>1383</v>
      </c>
      <c r="J675" s="12"/>
      <c r="K675" s="12"/>
      <c r="L675" s="12"/>
      <c r="M675" s="13"/>
    </row>
    <row r="676" spans="1:13" ht="25.5" x14ac:dyDescent="0.25">
      <c r="A676" s="14" t="str">
        <f t="shared" si="60"/>
        <v>1</v>
      </c>
      <c r="B676" s="14" t="str">
        <f t="shared" si="61"/>
        <v>9</v>
      </c>
      <c r="C676" s="14" t="str">
        <f t="shared" si="62"/>
        <v>1</v>
      </c>
      <c r="D676" s="14" t="str">
        <f t="shared" si="63"/>
        <v>1</v>
      </c>
      <c r="E676" s="14" t="str">
        <f t="shared" si="64"/>
        <v>01</v>
      </c>
      <c r="F676" s="14" t="str">
        <f t="shared" si="65"/>
        <v>00</v>
      </c>
      <c r="G676" s="56">
        <v>19110100</v>
      </c>
      <c r="H676" s="14" t="s">
        <v>1384</v>
      </c>
      <c r="I676" s="15" t="s">
        <v>1385</v>
      </c>
      <c r="J676" s="14"/>
      <c r="K676" s="14"/>
      <c r="L676" s="14"/>
      <c r="M676" s="14"/>
    </row>
    <row r="677" spans="1:13" ht="25.5" x14ac:dyDescent="0.25">
      <c r="A677" s="16" t="str">
        <f t="shared" si="60"/>
        <v>1</v>
      </c>
      <c r="B677" s="16" t="str">
        <f t="shared" si="61"/>
        <v>9</v>
      </c>
      <c r="C677" s="16" t="str">
        <f t="shared" si="62"/>
        <v>1</v>
      </c>
      <c r="D677" s="16" t="str">
        <f t="shared" si="63"/>
        <v>1</v>
      </c>
      <c r="E677" s="16" t="str">
        <f t="shared" si="64"/>
        <v>01</v>
      </c>
      <c r="F677" s="16" t="str">
        <f t="shared" si="65"/>
        <v>01</v>
      </c>
      <c r="G677" s="57">
        <v>19110101</v>
      </c>
      <c r="H677" s="16" t="s">
        <v>1386</v>
      </c>
      <c r="I677" s="17" t="s">
        <v>1387</v>
      </c>
      <c r="J677" s="16"/>
      <c r="K677" s="16"/>
      <c r="L677" s="16"/>
      <c r="M677" s="17"/>
    </row>
    <row r="678" spans="1:13" ht="25.5" x14ac:dyDescent="0.25">
      <c r="A678" s="16" t="str">
        <f t="shared" si="60"/>
        <v>1</v>
      </c>
      <c r="B678" s="16" t="str">
        <f t="shared" si="61"/>
        <v>9</v>
      </c>
      <c r="C678" s="16" t="str">
        <f t="shared" si="62"/>
        <v>1</v>
      </c>
      <c r="D678" s="16" t="str">
        <f t="shared" si="63"/>
        <v>1</v>
      </c>
      <c r="E678" s="16" t="str">
        <f t="shared" si="64"/>
        <v>01</v>
      </c>
      <c r="F678" s="16" t="str">
        <f t="shared" si="65"/>
        <v>02</v>
      </c>
      <c r="G678" s="57">
        <v>19110102</v>
      </c>
      <c r="H678" s="16" t="s">
        <v>1388</v>
      </c>
      <c r="I678" s="17" t="s">
        <v>1389</v>
      </c>
      <c r="J678" s="16"/>
      <c r="K678" s="16"/>
      <c r="L678" s="16"/>
      <c r="M678" s="17"/>
    </row>
    <row r="679" spans="1:13" ht="25.5" x14ac:dyDescent="0.25">
      <c r="A679" s="14" t="str">
        <f t="shared" si="60"/>
        <v>1</v>
      </c>
      <c r="B679" s="14" t="str">
        <f t="shared" si="61"/>
        <v>9</v>
      </c>
      <c r="C679" s="14" t="str">
        <f t="shared" si="62"/>
        <v>1</v>
      </c>
      <c r="D679" s="14" t="str">
        <f t="shared" si="63"/>
        <v>1</v>
      </c>
      <c r="E679" s="14" t="str">
        <f t="shared" si="64"/>
        <v>02</v>
      </c>
      <c r="F679" s="14" t="str">
        <f t="shared" si="65"/>
        <v>00</v>
      </c>
      <c r="G679" s="56">
        <v>19110200</v>
      </c>
      <c r="H679" s="14" t="s">
        <v>1390</v>
      </c>
      <c r="I679" s="15" t="s">
        <v>1391</v>
      </c>
      <c r="J679" s="14"/>
      <c r="K679" s="14"/>
      <c r="L679" s="14"/>
      <c r="M679" s="14"/>
    </row>
    <row r="680" spans="1:13" ht="25.5" x14ac:dyDescent="0.25">
      <c r="A680" s="16" t="str">
        <f t="shared" si="60"/>
        <v>1</v>
      </c>
      <c r="B680" s="16" t="str">
        <f t="shared" si="61"/>
        <v>9</v>
      </c>
      <c r="C680" s="16" t="str">
        <f t="shared" si="62"/>
        <v>1</v>
      </c>
      <c r="D680" s="16" t="str">
        <f t="shared" si="63"/>
        <v>1</v>
      </c>
      <c r="E680" s="16" t="str">
        <f t="shared" si="64"/>
        <v>02</v>
      </c>
      <c r="F680" s="16" t="str">
        <f t="shared" si="65"/>
        <v>01</v>
      </c>
      <c r="G680" s="57">
        <v>19110201</v>
      </c>
      <c r="H680" s="16" t="s">
        <v>1392</v>
      </c>
      <c r="I680" s="17" t="s">
        <v>1393</v>
      </c>
      <c r="J680" s="16"/>
      <c r="K680" s="16"/>
      <c r="L680" s="16"/>
      <c r="M680" s="17"/>
    </row>
    <row r="681" spans="1:13" ht="25.5" x14ac:dyDescent="0.25">
      <c r="A681" s="16" t="str">
        <f t="shared" si="60"/>
        <v>1</v>
      </c>
      <c r="B681" s="16" t="str">
        <f t="shared" si="61"/>
        <v>9</v>
      </c>
      <c r="C681" s="16" t="str">
        <f t="shared" si="62"/>
        <v>1</v>
      </c>
      <c r="D681" s="16" t="str">
        <f t="shared" si="63"/>
        <v>1</v>
      </c>
      <c r="E681" s="16" t="str">
        <f t="shared" si="64"/>
        <v>02</v>
      </c>
      <c r="F681" s="16" t="str">
        <f t="shared" si="65"/>
        <v>02</v>
      </c>
      <c r="G681" s="57">
        <v>19110202</v>
      </c>
      <c r="H681" s="16" t="s">
        <v>1394</v>
      </c>
      <c r="I681" s="17" t="s">
        <v>1395</v>
      </c>
      <c r="J681" s="16"/>
      <c r="K681" s="16"/>
      <c r="L681" s="16"/>
      <c r="M681" s="17"/>
    </row>
    <row r="682" spans="1:13" ht="25.5" x14ac:dyDescent="0.25">
      <c r="A682" s="16" t="str">
        <f t="shared" si="60"/>
        <v>1</v>
      </c>
      <c r="B682" s="16" t="str">
        <f t="shared" si="61"/>
        <v>9</v>
      </c>
      <c r="C682" s="16" t="str">
        <f t="shared" si="62"/>
        <v>1</v>
      </c>
      <c r="D682" s="16" t="str">
        <f t="shared" si="63"/>
        <v>1</v>
      </c>
      <c r="E682" s="16" t="str">
        <f t="shared" si="64"/>
        <v>02</v>
      </c>
      <c r="F682" s="16" t="str">
        <f t="shared" si="65"/>
        <v>03</v>
      </c>
      <c r="G682" s="57">
        <v>19110203</v>
      </c>
      <c r="H682" s="16" t="s">
        <v>1396</v>
      </c>
      <c r="I682" s="17" t="s">
        <v>1397</v>
      </c>
      <c r="J682" s="16"/>
      <c r="K682" s="16"/>
      <c r="L682" s="16"/>
      <c r="M682" s="17"/>
    </row>
    <row r="683" spans="1:13" ht="38.25" x14ac:dyDescent="0.25">
      <c r="A683" s="16" t="str">
        <f t="shared" si="60"/>
        <v>1</v>
      </c>
      <c r="B683" s="16" t="str">
        <f t="shared" si="61"/>
        <v>9</v>
      </c>
      <c r="C683" s="16" t="str">
        <f t="shared" si="62"/>
        <v>1</v>
      </c>
      <c r="D683" s="16" t="str">
        <f t="shared" si="63"/>
        <v>1</v>
      </c>
      <c r="E683" s="16" t="str">
        <f t="shared" si="64"/>
        <v>02</v>
      </c>
      <c r="F683" s="16" t="str">
        <f t="shared" si="65"/>
        <v>04</v>
      </c>
      <c r="G683" s="57">
        <v>19110204</v>
      </c>
      <c r="H683" s="16" t="s">
        <v>1398</v>
      </c>
      <c r="I683" s="17" t="s">
        <v>1399</v>
      </c>
      <c r="J683" s="16"/>
      <c r="K683" s="16"/>
      <c r="L683" s="16"/>
      <c r="M683" s="17"/>
    </row>
    <row r="684" spans="1:13" ht="38.25" x14ac:dyDescent="0.25">
      <c r="A684" s="16" t="str">
        <f t="shared" si="60"/>
        <v>1</v>
      </c>
      <c r="B684" s="16" t="str">
        <f t="shared" si="61"/>
        <v>9</v>
      </c>
      <c r="C684" s="16" t="str">
        <f t="shared" si="62"/>
        <v>1</v>
      </c>
      <c r="D684" s="16" t="str">
        <f t="shared" si="63"/>
        <v>1</v>
      </c>
      <c r="E684" s="16" t="str">
        <f t="shared" si="64"/>
        <v>02</v>
      </c>
      <c r="F684" s="16" t="str">
        <f t="shared" si="65"/>
        <v>05</v>
      </c>
      <c r="G684" s="57">
        <v>19110205</v>
      </c>
      <c r="H684" s="16" t="s">
        <v>1400</v>
      </c>
      <c r="I684" s="17" t="s">
        <v>1401</v>
      </c>
      <c r="J684" s="16"/>
      <c r="K684" s="16"/>
      <c r="L684" s="16"/>
      <c r="M684" s="17"/>
    </row>
    <row r="685" spans="1:13" ht="38.25" x14ac:dyDescent="0.25">
      <c r="A685" s="16" t="str">
        <f t="shared" si="60"/>
        <v>1</v>
      </c>
      <c r="B685" s="16" t="str">
        <f t="shared" si="61"/>
        <v>9</v>
      </c>
      <c r="C685" s="16" t="str">
        <f t="shared" si="62"/>
        <v>1</v>
      </c>
      <c r="D685" s="16" t="str">
        <f t="shared" si="63"/>
        <v>1</v>
      </c>
      <c r="E685" s="16" t="str">
        <f t="shared" si="64"/>
        <v>02</v>
      </c>
      <c r="F685" s="16" t="str">
        <f t="shared" si="65"/>
        <v>06</v>
      </c>
      <c r="G685" s="57">
        <v>19110206</v>
      </c>
      <c r="H685" s="16" t="s">
        <v>1402</v>
      </c>
      <c r="I685" s="17" t="s">
        <v>1403</v>
      </c>
      <c r="J685" s="16"/>
      <c r="K685" s="16"/>
      <c r="L685" s="16"/>
      <c r="M685" s="17"/>
    </row>
    <row r="686" spans="1:13" ht="25.5" x14ac:dyDescent="0.25">
      <c r="A686" s="16" t="str">
        <f t="shared" si="60"/>
        <v>1</v>
      </c>
      <c r="B686" s="16" t="str">
        <f t="shared" si="61"/>
        <v>9</v>
      </c>
      <c r="C686" s="16" t="str">
        <f t="shared" si="62"/>
        <v>1</v>
      </c>
      <c r="D686" s="16" t="str">
        <f t="shared" si="63"/>
        <v>1</v>
      </c>
      <c r="E686" s="16" t="str">
        <f t="shared" si="64"/>
        <v>02</v>
      </c>
      <c r="F686" s="16" t="str">
        <f t="shared" si="65"/>
        <v>07</v>
      </c>
      <c r="G686" s="57">
        <v>19110207</v>
      </c>
      <c r="H686" s="16" t="s">
        <v>1404</v>
      </c>
      <c r="I686" s="17" t="s">
        <v>1405</v>
      </c>
      <c r="J686" s="16"/>
      <c r="K686" s="16"/>
      <c r="L686" s="16"/>
      <c r="M686" s="17"/>
    </row>
    <row r="687" spans="1:13" ht="25.5" x14ac:dyDescent="0.25">
      <c r="A687" s="14" t="str">
        <f t="shared" si="60"/>
        <v>1</v>
      </c>
      <c r="B687" s="14" t="str">
        <f t="shared" si="61"/>
        <v>9</v>
      </c>
      <c r="C687" s="14" t="str">
        <f t="shared" si="62"/>
        <v>1</v>
      </c>
      <c r="D687" s="14" t="str">
        <f t="shared" si="63"/>
        <v>1</v>
      </c>
      <c r="E687" s="14" t="str">
        <f t="shared" si="64"/>
        <v>03</v>
      </c>
      <c r="F687" s="14" t="str">
        <f t="shared" si="65"/>
        <v>00</v>
      </c>
      <c r="G687" s="56">
        <v>19110300</v>
      </c>
      <c r="H687" s="14" t="s">
        <v>1406</v>
      </c>
      <c r="I687" s="15" t="s">
        <v>1407</v>
      </c>
      <c r="J687" s="14"/>
      <c r="K687" s="14"/>
      <c r="L687" s="14"/>
      <c r="M687" s="14"/>
    </row>
    <row r="688" spans="1:13" ht="25.5" x14ac:dyDescent="0.25">
      <c r="A688" s="16" t="str">
        <f t="shared" si="60"/>
        <v>1</v>
      </c>
      <c r="B688" s="16" t="str">
        <f t="shared" si="61"/>
        <v>9</v>
      </c>
      <c r="C688" s="16" t="str">
        <f t="shared" si="62"/>
        <v>1</v>
      </c>
      <c r="D688" s="16" t="str">
        <f t="shared" si="63"/>
        <v>1</v>
      </c>
      <c r="E688" s="16" t="str">
        <f t="shared" si="64"/>
        <v>03</v>
      </c>
      <c r="F688" s="16" t="str">
        <f t="shared" si="65"/>
        <v>01</v>
      </c>
      <c r="G688" s="57">
        <v>19110301</v>
      </c>
      <c r="H688" s="16" t="s">
        <v>1408</v>
      </c>
      <c r="I688" s="17" t="s">
        <v>1409</v>
      </c>
      <c r="J688" s="16"/>
      <c r="K688" s="16"/>
      <c r="L688" s="16"/>
      <c r="M688" s="17"/>
    </row>
    <row r="689" spans="1:13" ht="38.25" x14ac:dyDescent="0.25">
      <c r="A689" s="16" t="str">
        <f t="shared" si="60"/>
        <v>1</v>
      </c>
      <c r="B689" s="16" t="str">
        <f t="shared" si="61"/>
        <v>9</v>
      </c>
      <c r="C689" s="16" t="str">
        <f t="shared" si="62"/>
        <v>1</v>
      </c>
      <c r="D689" s="16" t="str">
        <f t="shared" si="63"/>
        <v>1</v>
      </c>
      <c r="E689" s="16" t="str">
        <f t="shared" si="64"/>
        <v>03</v>
      </c>
      <c r="F689" s="16" t="str">
        <f t="shared" si="65"/>
        <v>02</v>
      </c>
      <c r="G689" s="57">
        <v>19110302</v>
      </c>
      <c r="H689" s="16" t="s">
        <v>1410</v>
      </c>
      <c r="I689" s="17" t="s">
        <v>1411</v>
      </c>
      <c r="J689" s="16"/>
      <c r="K689" s="16"/>
      <c r="L689" s="16"/>
      <c r="M689" s="17"/>
    </row>
    <row r="690" spans="1:13" ht="25.5" x14ac:dyDescent="0.25">
      <c r="A690" s="16" t="str">
        <f t="shared" si="60"/>
        <v>1</v>
      </c>
      <c r="B690" s="16" t="str">
        <f t="shared" si="61"/>
        <v>9</v>
      </c>
      <c r="C690" s="16" t="str">
        <f t="shared" si="62"/>
        <v>1</v>
      </c>
      <c r="D690" s="16" t="str">
        <f t="shared" si="63"/>
        <v>1</v>
      </c>
      <c r="E690" s="16" t="str">
        <f t="shared" si="64"/>
        <v>03</v>
      </c>
      <c r="F690" s="16" t="str">
        <f t="shared" si="65"/>
        <v>03</v>
      </c>
      <c r="G690" s="57">
        <v>19110303</v>
      </c>
      <c r="H690" s="16" t="s">
        <v>1412</v>
      </c>
      <c r="I690" s="17" t="s">
        <v>1413</v>
      </c>
      <c r="J690" s="16"/>
      <c r="K690" s="16"/>
      <c r="L690" s="16"/>
      <c r="M690" s="17"/>
    </row>
    <row r="691" spans="1:13" ht="38.25" x14ac:dyDescent="0.25">
      <c r="A691" s="14" t="str">
        <f t="shared" si="60"/>
        <v>1</v>
      </c>
      <c r="B691" s="14" t="str">
        <f t="shared" si="61"/>
        <v>9</v>
      </c>
      <c r="C691" s="14" t="str">
        <f t="shared" si="62"/>
        <v>1</v>
      </c>
      <c r="D691" s="14" t="str">
        <f t="shared" si="63"/>
        <v>1</v>
      </c>
      <c r="E691" s="14" t="str">
        <f t="shared" si="64"/>
        <v>04</v>
      </c>
      <c r="F691" s="14" t="str">
        <f t="shared" si="65"/>
        <v>00</v>
      </c>
      <c r="G691" s="56">
        <v>19110400</v>
      </c>
      <c r="H691" s="14" t="s">
        <v>1414</v>
      </c>
      <c r="I691" s="15" t="s">
        <v>1415</v>
      </c>
      <c r="J691" s="14"/>
      <c r="K691" s="14"/>
      <c r="L691" s="14"/>
      <c r="M691" s="14"/>
    </row>
    <row r="692" spans="1:13" ht="51" x14ac:dyDescent="0.25">
      <c r="A692" s="16" t="str">
        <f t="shared" si="60"/>
        <v>1</v>
      </c>
      <c r="B692" s="16" t="str">
        <f t="shared" si="61"/>
        <v>9</v>
      </c>
      <c r="C692" s="16" t="str">
        <f t="shared" si="62"/>
        <v>1</v>
      </c>
      <c r="D692" s="16" t="str">
        <f t="shared" si="63"/>
        <v>1</v>
      </c>
      <c r="E692" s="16" t="str">
        <f t="shared" si="64"/>
        <v>04</v>
      </c>
      <c r="F692" s="16" t="str">
        <f t="shared" si="65"/>
        <v>01</v>
      </c>
      <c r="G692" s="57">
        <v>19110401</v>
      </c>
      <c r="H692" s="16" t="s">
        <v>1416</v>
      </c>
      <c r="I692" s="17" t="s">
        <v>1417</v>
      </c>
      <c r="J692" s="16"/>
      <c r="K692" s="16"/>
      <c r="L692" s="16"/>
      <c r="M692" s="17"/>
    </row>
    <row r="693" spans="1:13" ht="51" x14ac:dyDescent="0.25">
      <c r="A693" s="16" t="str">
        <f t="shared" si="60"/>
        <v>1</v>
      </c>
      <c r="B693" s="16" t="str">
        <f t="shared" si="61"/>
        <v>9</v>
      </c>
      <c r="C693" s="16" t="str">
        <f t="shared" si="62"/>
        <v>1</v>
      </c>
      <c r="D693" s="16" t="str">
        <f t="shared" si="63"/>
        <v>1</v>
      </c>
      <c r="E693" s="16" t="str">
        <f t="shared" si="64"/>
        <v>04</v>
      </c>
      <c r="F693" s="16" t="str">
        <f t="shared" si="65"/>
        <v>02</v>
      </c>
      <c r="G693" s="57">
        <v>19110402</v>
      </c>
      <c r="H693" s="16" t="s">
        <v>1418</v>
      </c>
      <c r="I693" s="17" t="s">
        <v>1419</v>
      </c>
      <c r="J693" s="16"/>
      <c r="K693" s="16"/>
      <c r="L693" s="16"/>
      <c r="M693" s="17"/>
    </row>
    <row r="694" spans="1:13" ht="25.5" x14ac:dyDescent="0.25">
      <c r="A694" s="14" t="str">
        <f t="shared" si="60"/>
        <v>1</v>
      </c>
      <c r="B694" s="14" t="str">
        <f t="shared" si="61"/>
        <v>9</v>
      </c>
      <c r="C694" s="14" t="str">
        <f t="shared" si="62"/>
        <v>1</v>
      </c>
      <c r="D694" s="14" t="str">
        <f t="shared" si="63"/>
        <v>1</v>
      </c>
      <c r="E694" s="14" t="str">
        <f t="shared" si="64"/>
        <v>07</v>
      </c>
      <c r="F694" s="14" t="str">
        <f t="shared" si="65"/>
        <v>00</v>
      </c>
      <c r="G694" s="56">
        <v>19110700</v>
      </c>
      <c r="H694" s="14" t="s">
        <v>1420</v>
      </c>
      <c r="I694" s="15" t="s">
        <v>1421</v>
      </c>
      <c r="J694" s="14"/>
      <c r="K694" s="14"/>
      <c r="L694" s="14"/>
      <c r="M694" s="14"/>
    </row>
    <row r="695" spans="1:13" ht="25.5" x14ac:dyDescent="0.25">
      <c r="A695" s="16" t="str">
        <f t="shared" si="60"/>
        <v>1</v>
      </c>
      <c r="B695" s="16" t="str">
        <f t="shared" si="61"/>
        <v>9</v>
      </c>
      <c r="C695" s="16" t="str">
        <f t="shared" si="62"/>
        <v>1</v>
      </c>
      <c r="D695" s="16" t="str">
        <f t="shared" si="63"/>
        <v>1</v>
      </c>
      <c r="E695" s="16" t="str">
        <f t="shared" si="64"/>
        <v>07</v>
      </c>
      <c r="F695" s="16" t="str">
        <f t="shared" si="65"/>
        <v>01</v>
      </c>
      <c r="G695" s="57">
        <v>19110701</v>
      </c>
      <c r="H695" s="16" t="s">
        <v>1422</v>
      </c>
      <c r="I695" s="17" t="s">
        <v>1423</v>
      </c>
      <c r="J695" s="16"/>
      <c r="K695" s="16"/>
      <c r="L695" s="16"/>
      <c r="M695" s="17"/>
    </row>
    <row r="696" spans="1:13" ht="25.5" x14ac:dyDescent="0.25">
      <c r="A696" s="16" t="str">
        <f t="shared" si="60"/>
        <v>1</v>
      </c>
      <c r="B696" s="16" t="str">
        <f t="shared" si="61"/>
        <v>9</v>
      </c>
      <c r="C696" s="16" t="str">
        <f t="shared" si="62"/>
        <v>1</v>
      </c>
      <c r="D696" s="16" t="str">
        <f t="shared" si="63"/>
        <v>1</v>
      </c>
      <c r="E696" s="16" t="str">
        <f t="shared" si="64"/>
        <v>07</v>
      </c>
      <c r="F696" s="16" t="str">
        <f t="shared" si="65"/>
        <v>02</v>
      </c>
      <c r="G696" s="57">
        <v>19110702</v>
      </c>
      <c r="H696" s="16" t="s">
        <v>1424</v>
      </c>
      <c r="I696" s="17" t="s">
        <v>1425</v>
      </c>
      <c r="J696" s="16"/>
      <c r="K696" s="16"/>
      <c r="L696" s="16"/>
      <c r="M696" s="17"/>
    </row>
    <row r="697" spans="1:13" ht="25.5" x14ac:dyDescent="0.25">
      <c r="A697" s="14" t="str">
        <f t="shared" si="60"/>
        <v>1</v>
      </c>
      <c r="B697" s="14" t="str">
        <f t="shared" si="61"/>
        <v>9</v>
      </c>
      <c r="C697" s="14" t="str">
        <f t="shared" si="62"/>
        <v>1</v>
      </c>
      <c r="D697" s="14" t="str">
        <f t="shared" si="63"/>
        <v>1</v>
      </c>
      <c r="E697" s="14" t="str">
        <f t="shared" si="64"/>
        <v>08</v>
      </c>
      <c r="F697" s="14" t="str">
        <f t="shared" si="65"/>
        <v>00</v>
      </c>
      <c r="G697" s="56">
        <v>19110800</v>
      </c>
      <c r="H697" s="14" t="s">
        <v>1426</v>
      </c>
      <c r="I697" s="15" t="s">
        <v>1427</v>
      </c>
      <c r="J697" s="14"/>
      <c r="K697" s="14"/>
      <c r="L697" s="14"/>
      <c r="M697" s="14"/>
    </row>
    <row r="698" spans="1:13" ht="38.25" x14ac:dyDescent="0.25">
      <c r="A698" s="16" t="str">
        <f t="shared" si="60"/>
        <v>1</v>
      </c>
      <c r="B698" s="16" t="str">
        <f t="shared" si="61"/>
        <v>9</v>
      </c>
      <c r="C698" s="16" t="str">
        <f t="shared" si="62"/>
        <v>1</v>
      </c>
      <c r="D698" s="16" t="str">
        <f t="shared" si="63"/>
        <v>1</v>
      </c>
      <c r="E698" s="16" t="str">
        <f t="shared" si="64"/>
        <v>08</v>
      </c>
      <c r="F698" s="16" t="str">
        <f t="shared" si="65"/>
        <v>01</v>
      </c>
      <c r="G698" s="57">
        <v>19110801</v>
      </c>
      <c r="H698" s="16" t="s">
        <v>1428</v>
      </c>
      <c r="I698" s="17" t="s">
        <v>1429</v>
      </c>
      <c r="J698" s="16"/>
      <c r="K698" s="16"/>
      <c r="L698" s="16"/>
      <c r="M698" s="17"/>
    </row>
    <row r="699" spans="1:13" ht="38.25" x14ac:dyDescent="0.25">
      <c r="A699" s="16" t="str">
        <f t="shared" si="60"/>
        <v>1</v>
      </c>
      <c r="B699" s="16" t="str">
        <f t="shared" si="61"/>
        <v>9</v>
      </c>
      <c r="C699" s="16" t="str">
        <f t="shared" si="62"/>
        <v>1</v>
      </c>
      <c r="D699" s="16" t="str">
        <f t="shared" si="63"/>
        <v>1</v>
      </c>
      <c r="E699" s="16" t="str">
        <f t="shared" si="64"/>
        <v>08</v>
      </c>
      <c r="F699" s="16" t="str">
        <f t="shared" si="65"/>
        <v>02</v>
      </c>
      <c r="G699" s="57">
        <v>19110802</v>
      </c>
      <c r="H699" s="16" t="s">
        <v>1430</v>
      </c>
      <c r="I699" s="17" t="s">
        <v>1431</v>
      </c>
      <c r="J699" s="16"/>
      <c r="K699" s="16"/>
      <c r="L699" s="16"/>
      <c r="M699" s="17"/>
    </row>
    <row r="700" spans="1:13" ht="38.25" x14ac:dyDescent="0.25">
      <c r="A700" s="14" t="str">
        <f t="shared" si="60"/>
        <v>1</v>
      </c>
      <c r="B700" s="14" t="str">
        <f t="shared" si="61"/>
        <v>9</v>
      </c>
      <c r="C700" s="14" t="str">
        <f t="shared" si="62"/>
        <v>1</v>
      </c>
      <c r="D700" s="14" t="str">
        <f t="shared" si="63"/>
        <v>1</v>
      </c>
      <c r="E700" s="14" t="str">
        <f t="shared" si="64"/>
        <v>20</v>
      </c>
      <c r="F700" s="14" t="str">
        <f t="shared" si="65"/>
        <v>00</v>
      </c>
      <c r="G700" s="56">
        <v>19112000</v>
      </c>
      <c r="H700" s="14" t="s">
        <v>1432</v>
      </c>
      <c r="I700" s="15" t="s">
        <v>1433</v>
      </c>
      <c r="J700" s="14"/>
      <c r="K700" s="14"/>
      <c r="L700" s="14"/>
      <c r="M700" s="14"/>
    </row>
    <row r="701" spans="1:13" ht="25.5" x14ac:dyDescent="0.25">
      <c r="A701" s="14" t="str">
        <f t="shared" si="60"/>
        <v>1</v>
      </c>
      <c r="B701" s="14" t="str">
        <f t="shared" si="61"/>
        <v>9</v>
      </c>
      <c r="C701" s="14" t="str">
        <f t="shared" si="62"/>
        <v>1</v>
      </c>
      <c r="D701" s="14" t="str">
        <f t="shared" si="63"/>
        <v>1</v>
      </c>
      <c r="E701" s="14" t="str">
        <f t="shared" si="64"/>
        <v>31</v>
      </c>
      <c r="F701" s="14" t="str">
        <f t="shared" si="65"/>
        <v>00</v>
      </c>
      <c r="G701" s="56">
        <v>19113100</v>
      </c>
      <c r="H701" s="14" t="s">
        <v>1434</v>
      </c>
      <c r="I701" s="15" t="s">
        <v>1435</v>
      </c>
      <c r="J701" s="14"/>
      <c r="K701" s="14" t="s">
        <v>151</v>
      </c>
      <c r="L701" s="14" t="s">
        <v>1436</v>
      </c>
      <c r="M701" s="14"/>
    </row>
    <row r="702" spans="1:13" ht="25.5" x14ac:dyDescent="0.25">
      <c r="A702" s="16" t="str">
        <f t="shared" si="60"/>
        <v>1</v>
      </c>
      <c r="B702" s="16" t="str">
        <f t="shared" si="61"/>
        <v>9</v>
      </c>
      <c r="C702" s="16" t="str">
        <f t="shared" si="62"/>
        <v>1</v>
      </c>
      <c r="D702" s="16" t="str">
        <f t="shared" si="63"/>
        <v>1</v>
      </c>
      <c r="E702" s="16" t="str">
        <f t="shared" si="64"/>
        <v>31</v>
      </c>
      <c r="F702" s="16" t="str">
        <f t="shared" si="65"/>
        <v>01</v>
      </c>
      <c r="G702" s="57">
        <v>19113101</v>
      </c>
      <c r="H702" s="16" t="s">
        <v>1437</v>
      </c>
      <c r="I702" s="17" t="s">
        <v>1438</v>
      </c>
      <c r="J702" s="16"/>
      <c r="K702" s="16" t="s">
        <v>217</v>
      </c>
      <c r="L702" s="16" t="s">
        <v>1439</v>
      </c>
      <c r="M702" s="17"/>
    </row>
    <row r="703" spans="1:13" ht="25.5" x14ac:dyDescent="0.25">
      <c r="A703" s="16" t="str">
        <f t="shared" si="60"/>
        <v>1</v>
      </c>
      <c r="B703" s="16" t="str">
        <f t="shared" si="61"/>
        <v>9</v>
      </c>
      <c r="C703" s="16" t="str">
        <f t="shared" si="62"/>
        <v>1</v>
      </c>
      <c r="D703" s="16" t="str">
        <f t="shared" si="63"/>
        <v>1</v>
      </c>
      <c r="E703" s="16" t="str">
        <f t="shared" si="64"/>
        <v>31</v>
      </c>
      <c r="F703" s="16" t="str">
        <f t="shared" si="65"/>
        <v>02</v>
      </c>
      <c r="G703" s="57">
        <v>19113102</v>
      </c>
      <c r="H703" s="16" t="s">
        <v>1440</v>
      </c>
      <c r="I703" s="17" t="s">
        <v>1441</v>
      </c>
      <c r="J703" s="16"/>
      <c r="K703" s="16" t="s">
        <v>217</v>
      </c>
      <c r="L703" s="16" t="s">
        <v>1439</v>
      </c>
      <c r="M703" s="17"/>
    </row>
    <row r="704" spans="1:13" ht="38.25" x14ac:dyDescent="0.25">
      <c r="A704" s="14" t="str">
        <f t="shared" si="60"/>
        <v>1</v>
      </c>
      <c r="B704" s="14" t="str">
        <f t="shared" si="61"/>
        <v>9</v>
      </c>
      <c r="C704" s="14" t="str">
        <f t="shared" si="62"/>
        <v>1</v>
      </c>
      <c r="D704" s="14" t="str">
        <f t="shared" si="63"/>
        <v>1</v>
      </c>
      <c r="E704" s="14" t="str">
        <f t="shared" si="64"/>
        <v>32</v>
      </c>
      <c r="F704" s="14" t="str">
        <f t="shared" si="65"/>
        <v>00</v>
      </c>
      <c r="G704" s="56">
        <v>19113200</v>
      </c>
      <c r="H704" s="14" t="s">
        <v>1442</v>
      </c>
      <c r="I704" s="15" t="s">
        <v>1443</v>
      </c>
      <c r="J704" s="14"/>
      <c r="K704" s="14" t="s">
        <v>151</v>
      </c>
      <c r="L704" s="14" t="s">
        <v>152</v>
      </c>
      <c r="M704" s="14"/>
    </row>
    <row r="705" spans="1:13" ht="25.5" x14ac:dyDescent="0.25">
      <c r="A705" s="14" t="str">
        <f t="shared" si="60"/>
        <v>1</v>
      </c>
      <c r="B705" s="14" t="str">
        <f t="shared" si="61"/>
        <v>9</v>
      </c>
      <c r="C705" s="14" t="str">
        <f t="shared" si="62"/>
        <v>1</v>
      </c>
      <c r="D705" s="14" t="str">
        <f t="shared" si="63"/>
        <v>1</v>
      </c>
      <c r="E705" s="14" t="str">
        <f t="shared" si="64"/>
        <v>33</v>
      </c>
      <c r="F705" s="14" t="str">
        <f t="shared" si="65"/>
        <v>00</v>
      </c>
      <c r="G705" s="56">
        <v>19113300</v>
      </c>
      <c r="H705" s="14" t="s">
        <v>1444</v>
      </c>
      <c r="I705" s="15" t="s">
        <v>1445</v>
      </c>
      <c r="J705" s="14"/>
      <c r="K705" s="14"/>
      <c r="L705" s="14"/>
      <c r="M705" s="14"/>
    </row>
    <row r="706" spans="1:13" ht="51" x14ac:dyDescent="0.25">
      <c r="A706" s="14" t="str">
        <f t="shared" si="60"/>
        <v>1</v>
      </c>
      <c r="B706" s="14" t="str">
        <f t="shared" si="61"/>
        <v>9</v>
      </c>
      <c r="C706" s="14" t="str">
        <f t="shared" si="62"/>
        <v>1</v>
      </c>
      <c r="D706" s="14" t="str">
        <f t="shared" si="63"/>
        <v>1</v>
      </c>
      <c r="E706" s="14" t="str">
        <f t="shared" si="64"/>
        <v>34</v>
      </c>
      <c r="F706" s="14" t="str">
        <f t="shared" si="65"/>
        <v>00</v>
      </c>
      <c r="G706" s="56">
        <v>19113400</v>
      </c>
      <c r="H706" s="14" t="s">
        <v>1446</v>
      </c>
      <c r="I706" s="15" t="s">
        <v>1447</v>
      </c>
      <c r="J706" s="14"/>
      <c r="K706" s="14"/>
      <c r="L706" s="14"/>
      <c r="M706" s="14"/>
    </row>
    <row r="707" spans="1:13" ht="25.5" x14ac:dyDescent="0.25">
      <c r="A707" s="14" t="str">
        <f t="shared" si="60"/>
        <v>1</v>
      </c>
      <c r="B707" s="14" t="str">
        <f t="shared" si="61"/>
        <v>9</v>
      </c>
      <c r="C707" s="14" t="str">
        <f t="shared" si="62"/>
        <v>1</v>
      </c>
      <c r="D707" s="14" t="str">
        <f t="shared" si="63"/>
        <v>1</v>
      </c>
      <c r="E707" s="14" t="str">
        <f t="shared" si="64"/>
        <v>35</v>
      </c>
      <c r="F707" s="14" t="str">
        <f t="shared" si="65"/>
        <v>00</v>
      </c>
      <c r="G707" s="56">
        <v>19113500</v>
      </c>
      <c r="H707" s="14" t="s">
        <v>1448</v>
      </c>
      <c r="I707" s="15" t="s">
        <v>1449</v>
      </c>
      <c r="J707" s="14"/>
      <c r="K707" s="14"/>
      <c r="L707" s="14"/>
      <c r="M707" s="14"/>
    </row>
    <row r="708" spans="1:13" ht="25.5" x14ac:dyDescent="0.25">
      <c r="A708" s="14" t="str">
        <f t="shared" ref="A708:A771" si="66">MID(G708,1,1)</f>
        <v>1</v>
      </c>
      <c r="B708" s="14" t="str">
        <f t="shared" ref="B708:B771" si="67">MID(G708,2,1)</f>
        <v>9</v>
      </c>
      <c r="C708" s="14" t="str">
        <f t="shared" ref="C708:C771" si="68">MID(G708,3,1)</f>
        <v>1</v>
      </c>
      <c r="D708" s="14" t="str">
        <f t="shared" ref="D708:D771" si="69">MID(G708,4,1)</f>
        <v>1</v>
      </c>
      <c r="E708" s="14" t="str">
        <f t="shared" ref="E708:E771" si="70">MID(G708,5,2)</f>
        <v>36</v>
      </c>
      <c r="F708" s="14" t="str">
        <f t="shared" ref="F708:F771" si="71">MID(G708,7,2)</f>
        <v>00</v>
      </c>
      <c r="G708" s="56">
        <v>19113600</v>
      </c>
      <c r="H708" s="14" t="s">
        <v>1450</v>
      </c>
      <c r="I708" s="15" t="s">
        <v>1451</v>
      </c>
      <c r="J708" s="14"/>
      <c r="K708" s="14"/>
      <c r="L708" s="14"/>
      <c r="M708" s="14"/>
    </row>
    <row r="709" spans="1:13" ht="38.25" x14ac:dyDescent="0.25">
      <c r="A709" s="14" t="str">
        <f t="shared" si="66"/>
        <v>1</v>
      </c>
      <c r="B709" s="14" t="str">
        <f t="shared" si="67"/>
        <v>9</v>
      </c>
      <c r="C709" s="14" t="str">
        <f t="shared" si="68"/>
        <v>1</v>
      </c>
      <c r="D709" s="14" t="str">
        <f t="shared" si="69"/>
        <v>1</v>
      </c>
      <c r="E709" s="14" t="str">
        <f t="shared" si="70"/>
        <v>37</v>
      </c>
      <c r="F709" s="14" t="str">
        <f t="shared" si="71"/>
        <v>00</v>
      </c>
      <c r="G709" s="56">
        <v>19113700</v>
      </c>
      <c r="H709" s="14" t="s">
        <v>1452</v>
      </c>
      <c r="I709" s="15" t="s">
        <v>1453</v>
      </c>
      <c r="J709" s="14"/>
      <c r="K709" s="14"/>
      <c r="L709" s="14"/>
      <c r="M709" s="14"/>
    </row>
    <row r="710" spans="1:13" ht="38.25" x14ac:dyDescent="0.25">
      <c r="A710" s="14" t="str">
        <f t="shared" si="66"/>
        <v>1</v>
      </c>
      <c r="B710" s="14" t="str">
        <f t="shared" si="67"/>
        <v>9</v>
      </c>
      <c r="C710" s="14" t="str">
        <f t="shared" si="68"/>
        <v>1</v>
      </c>
      <c r="D710" s="14" t="str">
        <f t="shared" si="69"/>
        <v>1</v>
      </c>
      <c r="E710" s="14" t="str">
        <f t="shared" si="70"/>
        <v>38</v>
      </c>
      <c r="F710" s="14" t="str">
        <f t="shared" si="71"/>
        <v>00</v>
      </c>
      <c r="G710" s="56">
        <v>19113800</v>
      </c>
      <c r="H710" s="14" t="s">
        <v>1454</v>
      </c>
      <c r="I710" s="15" t="s">
        <v>1455</v>
      </c>
      <c r="J710" s="14"/>
      <c r="K710" s="14"/>
      <c r="L710" s="14"/>
      <c r="M710" s="14"/>
    </row>
    <row r="711" spans="1:13" ht="38.25" x14ac:dyDescent="0.25">
      <c r="A711" s="14" t="str">
        <f t="shared" si="66"/>
        <v>1</v>
      </c>
      <c r="B711" s="14" t="str">
        <f t="shared" si="67"/>
        <v>9</v>
      </c>
      <c r="C711" s="14" t="str">
        <f t="shared" si="68"/>
        <v>1</v>
      </c>
      <c r="D711" s="14" t="str">
        <f t="shared" si="69"/>
        <v>1</v>
      </c>
      <c r="E711" s="14" t="str">
        <f t="shared" si="70"/>
        <v>39</v>
      </c>
      <c r="F711" s="14" t="str">
        <f t="shared" si="71"/>
        <v>00</v>
      </c>
      <c r="G711" s="56">
        <v>19113900</v>
      </c>
      <c r="H711" s="14" t="s">
        <v>1456</v>
      </c>
      <c r="I711" s="15" t="s">
        <v>1457</v>
      </c>
      <c r="J711" s="14"/>
      <c r="K711" s="14"/>
      <c r="L711" s="14"/>
      <c r="M711" s="14"/>
    </row>
    <row r="712" spans="1:13" ht="25.5" x14ac:dyDescent="0.25">
      <c r="A712" s="14" t="str">
        <f t="shared" si="66"/>
        <v>1</v>
      </c>
      <c r="B712" s="14" t="str">
        <f t="shared" si="67"/>
        <v>9</v>
      </c>
      <c r="C712" s="14" t="str">
        <f t="shared" si="68"/>
        <v>1</v>
      </c>
      <c r="D712" s="14" t="str">
        <f t="shared" si="69"/>
        <v>1</v>
      </c>
      <c r="E712" s="14" t="str">
        <f t="shared" si="70"/>
        <v>40</v>
      </c>
      <c r="F712" s="14" t="str">
        <f t="shared" si="71"/>
        <v>00</v>
      </c>
      <c r="G712" s="56">
        <v>19114000</v>
      </c>
      <c r="H712" s="14" t="s">
        <v>1458</v>
      </c>
      <c r="I712" s="15" t="s">
        <v>1459</v>
      </c>
      <c r="J712" s="14"/>
      <c r="K712" s="14"/>
      <c r="L712" s="14"/>
      <c r="M712" s="14"/>
    </row>
    <row r="713" spans="1:13" ht="38.25" x14ac:dyDescent="0.25">
      <c r="A713" s="14" t="str">
        <f t="shared" si="66"/>
        <v>1</v>
      </c>
      <c r="B713" s="14" t="str">
        <f t="shared" si="67"/>
        <v>9</v>
      </c>
      <c r="C713" s="14" t="str">
        <f t="shared" si="68"/>
        <v>1</v>
      </c>
      <c r="D713" s="14" t="str">
        <f t="shared" si="69"/>
        <v>1</v>
      </c>
      <c r="E713" s="14" t="str">
        <f t="shared" si="70"/>
        <v>41</v>
      </c>
      <c r="F713" s="14" t="str">
        <f t="shared" si="71"/>
        <v>00</v>
      </c>
      <c r="G713" s="56">
        <v>19114100</v>
      </c>
      <c r="H713" s="14" t="s">
        <v>1460</v>
      </c>
      <c r="I713" s="15" t="s">
        <v>1461</v>
      </c>
      <c r="J713" s="14"/>
      <c r="K713" s="14"/>
      <c r="L713" s="14"/>
      <c r="M713" s="14"/>
    </row>
    <row r="714" spans="1:13" ht="38.25" x14ac:dyDescent="0.25">
      <c r="A714" s="14" t="str">
        <f t="shared" si="66"/>
        <v>1</v>
      </c>
      <c r="B714" s="14" t="str">
        <f t="shared" si="67"/>
        <v>9</v>
      </c>
      <c r="C714" s="14" t="str">
        <f t="shared" si="68"/>
        <v>1</v>
      </c>
      <c r="D714" s="14" t="str">
        <f t="shared" si="69"/>
        <v>1</v>
      </c>
      <c r="E714" s="14" t="str">
        <f t="shared" si="70"/>
        <v>42</v>
      </c>
      <c r="F714" s="14" t="str">
        <f t="shared" si="71"/>
        <v>00</v>
      </c>
      <c r="G714" s="56">
        <v>19114200</v>
      </c>
      <c r="H714" s="14" t="s">
        <v>1462</v>
      </c>
      <c r="I714" s="15" t="s">
        <v>1463</v>
      </c>
      <c r="J714" s="14"/>
      <c r="K714" s="14"/>
      <c r="L714" s="14"/>
      <c r="M714" s="14"/>
    </row>
    <row r="715" spans="1:13" ht="25.5" x14ac:dyDescent="0.25">
      <c r="A715" s="14" t="str">
        <f t="shared" si="66"/>
        <v>1</v>
      </c>
      <c r="B715" s="14" t="str">
        <f t="shared" si="67"/>
        <v>9</v>
      </c>
      <c r="C715" s="14" t="str">
        <f t="shared" si="68"/>
        <v>1</v>
      </c>
      <c r="D715" s="14" t="str">
        <f t="shared" si="69"/>
        <v>1</v>
      </c>
      <c r="E715" s="14" t="str">
        <f t="shared" si="70"/>
        <v>98</v>
      </c>
      <c r="F715" s="14" t="str">
        <f t="shared" si="71"/>
        <v>00</v>
      </c>
      <c r="G715" s="56">
        <v>19119800</v>
      </c>
      <c r="H715" s="14" t="s">
        <v>1464</v>
      </c>
      <c r="I715" s="15" t="s">
        <v>1465</v>
      </c>
      <c r="J715" s="14"/>
      <c r="K715" s="14"/>
      <c r="L715" s="14"/>
      <c r="M715" s="14"/>
    </row>
    <row r="716" spans="1:13" ht="25.5" x14ac:dyDescent="0.25">
      <c r="A716" s="14" t="str">
        <f t="shared" si="66"/>
        <v>1</v>
      </c>
      <c r="B716" s="14" t="str">
        <f t="shared" si="67"/>
        <v>9</v>
      </c>
      <c r="C716" s="14" t="str">
        <f t="shared" si="68"/>
        <v>1</v>
      </c>
      <c r="D716" s="14" t="str">
        <f t="shared" si="69"/>
        <v>1</v>
      </c>
      <c r="E716" s="14" t="str">
        <f t="shared" si="70"/>
        <v>99</v>
      </c>
      <c r="F716" s="14" t="str">
        <f t="shared" si="71"/>
        <v>00</v>
      </c>
      <c r="G716" s="56">
        <v>19119900</v>
      </c>
      <c r="H716" s="14" t="s">
        <v>1466</v>
      </c>
      <c r="I716" s="15" t="s">
        <v>1467</v>
      </c>
      <c r="J716" s="14"/>
      <c r="K716" s="14"/>
      <c r="L716" s="14"/>
      <c r="M716" s="14"/>
    </row>
    <row r="717" spans="1:13" ht="25.5" x14ac:dyDescent="0.25">
      <c r="A717" s="16" t="str">
        <f t="shared" si="66"/>
        <v>1</v>
      </c>
      <c r="B717" s="16" t="str">
        <f t="shared" si="67"/>
        <v>9</v>
      </c>
      <c r="C717" s="16" t="str">
        <f t="shared" si="68"/>
        <v>1</v>
      </c>
      <c r="D717" s="16" t="str">
        <f t="shared" si="69"/>
        <v>1</v>
      </c>
      <c r="E717" s="16" t="str">
        <f t="shared" si="70"/>
        <v>99</v>
      </c>
      <c r="F717" s="16" t="str">
        <f t="shared" si="71"/>
        <v>01</v>
      </c>
      <c r="G717" s="57">
        <v>19119901</v>
      </c>
      <c r="H717" s="16" t="s">
        <v>1466</v>
      </c>
      <c r="I717" s="17" t="s">
        <v>1468</v>
      </c>
      <c r="J717" s="16"/>
      <c r="K717" s="16"/>
      <c r="L717" s="16"/>
      <c r="M717" s="17"/>
    </row>
    <row r="718" spans="1:13" ht="25.5" x14ac:dyDescent="0.25">
      <c r="A718" s="16" t="str">
        <f t="shared" si="66"/>
        <v>1</v>
      </c>
      <c r="B718" s="16" t="str">
        <f t="shared" si="67"/>
        <v>9</v>
      </c>
      <c r="C718" s="16" t="str">
        <f t="shared" si="68"/>
        <v>1</v>
      </c>
      <c r="D718" s="16" t="str">
        <f t="shared" si="69"/>
        <v>1</v>
      </c>
      <c r="E718" s="16" t="str">
        <f t="shared" si="70"/>
        <v>99</v>
      </c>
      <c r="F718" s="16" t="str">
        <f t="shared" si="71"/>
        <v>02</v>
      </c>
      <c r="G718" s="57">
        <v>19119902</v>
      </c>
      <c r="H718" s="16" t="s">
        <v>1469</v>
      </c>
      <c r="I718" s="17" t="s">
        <v>1470</v>
      </c>
      <c r="J718" s="16"/>
      <c r="K718" s="16"/>
      <c r="L718" s="16"/>
      <c r="M718" s="17"/>
    </row>
    <row r="719" spans="1:13" ht="25.5" x14ac:dyDescent="0.25">
      <c r="A719" s="12" t="str">
        <f t="shared" si="66"/>
        <v>1</v>
      </c>
      <c r="B719" s="12" t="str">
        <f t="shared" si="67"/>
        <v>9</v>
      </c>
      <c r="C719" s="12" t="str">
        <f t="shared" si="68"/>
        <v>1</v>
      </c>
      <c r="D719" s="12" t="str">
        <f t="shared" si="69"/>
        <v>2</v>
      </c>
      <c r="E719" s="12" t="str">
        <f t="shared" si="70"/>
        <v>00</v>
      </c>
      <c r="F719" s="12" t="str">
        <f t="shared" si="71"/>
        <v>00</v>
      </c>
      <c r="G719" s="55">
        <v>19120000</v>
      </c>
      <c r="H719" s="12" t="s">
        <v>1471</v>
      </c>
      <c r="I719" s="13" t="s">
        <v>1472</v>
      </c>
      <c r="J719" s="12"/>
      <c r="K719" s="12"/>
      <c r="L719" s="12"/>
      <c r="M719" s="13"/>
    </row>
    <row r="720" spans="1:13" ht="38.25" x14ac:dyDescent="0.25">
      <c r="A720" s="14" t="str">
        <f t="shared" si="66"/>
        <v>1</v>
      </c>
      <c r="B720" s="14" t="str">
        <f t="shared" si="67"/>
        <v>9</v>
      </c>
      <c r="C720" s="14" t="str">
        <f t="shared" si="68"/>
        <v>1</v>
      </c>
      <c r="D720" s="14" t="str">
        <f t="shared" si="69"/>
        <v>2</v>
      </c>
      <c r="E720" s="14" t="str">
        <f t="shared" si="70"/>
        <v>01</v>
      </c>
      <c r="F720" s="14" t="str">
        <f t="shared" si="71"/>
        <v>00</v>
      </c>
      <c r="G720" s="56">
        <v>19120100</v>
      </c>
      <c r="H720" s="14" t="s">
        <v>1473</v>
      </c>
      <c r="I720" s="15" t="s">
        <v>1474</v>
      </c>
      <c r="J720" s="14"/>
      <c r="K720" s="14"/>
      <c r="L720" s="14"/>
      <c r="M720" s="14"/>
    </row>
    <row r="721" spans="1:13" ht="38.25" x14ac:dyDescent="0.25">
      <c r="A721" s="16" t="str">
        <f t="shared" si="66"/>
        <v>1</v>
      </c>
      <c r="B721" s="16" t="str">
        <f t="shared" si="67"/>
        <v>9</v>
      </c>
      <c r="C721" s="16" t="str">
        <f t="shared" si="68"/>
        <v>1</v>
      </c>
      <c r="D721" s="16" t="str">
        <f t="shared" si="69"/>
        <v>2</v>
      </c>
      <c r="E721" s="16" t="str">
        <f t="shared" si="70"/>
        <v>01</v>
      </c>
      <c r="F721" s="16" t="str">
        <f t="shared" si="71"/>
        <v>01</v>
      </c>
      <c r="G721" s="57">
        <v>19120101</v>
      </c>
      <c r="H721" s="16" t="s">
        <v>1475</v>
      </c>
      <c r="I721" s="17" t="s">
        <v>1476</v>
      </c>
      <c r="J721" s="16"/>
      <c r="K721" s="16"/>
      <c r="L721" s="16"/>
      <c r="M721" s="17"/>
    </row>
    <row r="722" spans="1:13" ht="38.25" x14ac:dyDescent="0.25">
      <c r="A722" s="16" t="str">
        <f t="shared" si="66"/>
        <v>1</v>
      </c>
      <c r="B722" s="16" t="str">
        <f t="shared" si="67"/>
        <v>9</v>
      </c>
      <c r="C722" s="16" t="str">
        <f t="shared" si="68"/>
        <v>1</v>
      </c>
      <c r="D722" s="16" t="str">
        <f t="shared" si="69"/>
        <v>2</v>
      </c>
      <c r="E722" s="16" t="str">
        <f t="shared" si="70"/>
        <v>01</v>
      </c>
      <c r="F722" s="16" t="str">
        <f t="shared" si="71"/>
        <v>02</v>
      </c>
      <c r="G722" s="57">
        <v>19120102</v>
      </c>
      <c r="H722" s="16" t="s">
        <v>1477</v>
      </c>
      <c r="I722" s="17" t="s">
        <v>1478</v>
      </c>
      <c r="J722" s="16"/>
      <c r="K722" s="16"/>
      <c r="L722" s="16"/>
      <c r="M722" s="17"/>
    </row>
    <row r="723" spans="1:13" ht="25.5" x14ac:dyDescent="0.25">
      <c r="A723" s="14" t="str">
        <f t="shared" si="66"/>
        <v>1</v>
      </c>
      <c r="B723" s="14" t="str">
        <f t="shared" si="67"/>
        <v>9</v>
      </c>
      <c r="C723" s="14" t="str">
        <f t="shared" si="68"/>
        <v>1</v>
      </c>
      <c r="D723" s="14" t="str">
        <f t="shared" si="69"/>
        <v>2</v>
      </c>
      <c r="E723" s="14" t="str">
        <f t="shared" si="70"/>
        <v>02</v>
      </c>
      <c r="F723" s="14" t="str">
        <f t="shared" si="71"/>
        <v>00</v>
      </c>
      <c r="G723" s="56">
        <v>19120200</v>
      </c>
      <c r="H723" s="14" t="s">
        <v>1479</v>
      </c>
      <c r="I723" s="15" t="s">
        <v>1480</v>
      </c>
      <c r="J723" s="14"/>
      <c r="K723" s="14"/>
      <c r="L723" s="14"/>
      <c r="M723" s="14"/>
    </row>
    <row r="724" spans="1:13" ht="51" x14ac:dyDescent="0.25">
      <c r="A724" s="14" t="str">
        <f t="shared" si="66"/>
        <v>1</v>
      </c>
      <c r="B724" s="14" t="str">
        <f t="shared" si="67"/>
        <v>9</v>
      </c>
      <c r="C724" s="14" t="str">
        <f t="shared" si="68"/>
        <v>1</v>
      </c>
      <c r="D724" s="14" t="str">
        <f t="shared" si="69"/>
        <v>2</v>
      </c>
      <c r="E724" s="14" t="str">
        <f t="shared" si="70"/>
        <v>03</v>
      </c>
      <c r="F724" s="14" t="str">
        <f t="shared" si="71"/>
        <v>00</v>
      </c>
      <c r="G724" s="56">
        <v>19120300</v>
      </c>
      <c r="H724" s="14" t="s">
        <v>1481</v>
      </c>
      <c r="I724" s="15" t="s">
        <v>1482</v>
      </c>
      <c r="J724" s="14"/>
      <c r="K724" s="14"/>
      <c r="L724" s="14"/>
      <c r="M724" s="14"/>
    </row>
    <row r="725" spans="1:13" ht="63.75" x14ac:dyDescent="0.25">
      <c r="A725" s="16" t="str">
        <f t="shared" si="66"/>
        <v>1</v>
      </c>
      <c r="B725" s="16" t="str">
        <f t="shared" si="67"/>
        <v>9</v>
      </c>
      <c r="C725" s="16" t="str">
        <f t="shared" si="68"/>
        <v>1</v>
      </c>
      <c r="D725" s="16" t="str">
        <f t="shared" si="69"/>
        <v>2</v>
      </c>
      <c r="E725" s="16" t="str">
        <f t="shared" si="70"/>
        <v>03</v>
      </c>
      <c r="F725" s="16" t="str">
        <f t="shared" si="71"/>
        <v>01</v>
      </c>
      <c r="G725" s="57">
        <v>19120301</v>
      </c>
      <c r="H725" s="16" t="s">
        <v>1483</v>
      </c>
      <c r="I725" s="17" t="s">
        <v>1484</v>
      </c>
      <c r="J725" s="16"/>
      <c r="K725" s="16"/>
      <c r="L725" s="16"/>
      <c r="M725" s="17"/>
    </row>
    <row r="726" spans="1:13" ht="63.75" x14ac:dyDescent="0.25">
      <c r="A726" s="16" t="str">
        <f t="shared" si="66"/>
        <v>1</v>
      </c>
      <c r="B726" s="16" t="str">
        <f t="shared" si="67"/>
        <v>9</v>
      </c>
      <c r="C726" s="16" t="str">
        <f t="shared" si="68"/>
        <v>1</v>
      </c>
      <c r="D726" s="16" t="str">
        <f t="shared" si="69"/>
        <v>2</v>
      </c>
      <c r="E726" s="16" t="str">
        <f t="shared" si="70"/>
        <v>03</v>
      </c>
      <c r="F726" s="16" t="str">
        <f t="shared" si="71"/>
        <v>02</v>
      </c>
      <c r="G726" s="57">
        <v>19120302</v>
      </c>
      <c r="H726" s="16" t="s">
        <v>1485</v>
      </c>
      <c r="I726" s="17" t="s">
        <v>1486</v>
      </c>
      <c r="J726" s="16"/>
      <c r="K726" s="16"/>
      <c r="L726" s="16"/>
      <c r="M726" s="17"/>
    </row>
    <row r="727" spans="1:13" ht="25.5" x14ac:dyDescent="0.25">
      <c r="A727" s="14" t="str">
        <f t="shared" si="66"/>
        <v>1</v>
      </c>
      <c r="B727" s="14" t="str">
        <f t="shared" si="67"/>
        <v>9</v>
      </c>
      <c r="C727" s="14" t="str">
        <f t="shared" si="68"/>
        <v>1</v>
      </c>
      <c r="D727" s="14" t="str">
        <f t="shared" si="69"/>
        <v>2</v>
      </c>
      <c r="E727" s="14" t="str">
        <f t="shared" si="70"/>
        <v>07</v>
      </c>
      <c r="F727" s="14" t="str">
        <f t="shared" si="71"/>
        <v>00</v>
      </c>
      <c r="G727" s="56">
        <v>19120700</v>
      </c>
      <c r="H727" s="14" t="s">
        <v>1487</v>
      </c>
      <c r="I727" s="15" t="s">
        <v>1488</v>
      </c>
      <c r="J727" s="14"/>
      <c r="K727" s="14"/>
      <c r="L727" s="14"/>
      <c r="M727" s="14"/>
    </row>
    <row r="728" spans="1:13" ht="38.25" x14ac:dyDescent="0.25">
      <c r="A728" s="16" t="str">
        <f t="shared" si="66"/>
        <v>1</v>
      </c>
      <c r="B728" s="16" t="str">
        <f t="shared" si="67"/>
        <v>9</v>
      </c>
      <c r="C728" s="16" t="str">
        <f t="shared" si="68"/>
        <v>1</v>
      </c>
      <c r="D728" s="16" t="str">
        <f t="shared" si="69"/>
        <v>2</v>
      </c>
      <c r="E728" s="16" t="str">
        <f t="shared" si="70"/>
        <v>07</v>
      </c>
      <c r="F728" s="16" t="str">
        <f t="shared" si="71"/>
        <v>01</v>
      </c>
      <c r="G728" s="57">
        <v>19120701</v>
      </c>
      <c r="H728" s="16" t="s">
        <v>1489</v>
      </c>
      <c r="I728" s="17" t="s">
        <v>1490</v>
      </c>
      <c r="J728" s="16"/>
      <c r="K728" s="16"/>
      <c r="L728" s="16"/>
      <c r="M728" s="17"/>
    </row>
    <row r="729" spans="1:13" ht="38.25" x14ac:dyDescent="0.25">
      <c r="A729" s="16" t="str">
        <f t="shared" si="66"/>
        <v>1</v>
      </c>
      <c r="B729" s="16" t="str">
        <f t="shared" si="67"/>
        <v>9</v>
      </c>
      <c r="C729" s="16" t="str">
        <f t="shared" si="68"/>
        <v>1</v>
      </c>
      <c r="D729" s="16" t="str">
        <f t="shared" si="69"/>
        <v>2</v>
      </c>
      <c r="E729" s="16" t="str">
        <f t="shared" si="70"/>
        <v>07</v>
      </c>
      <c r="F729" s="16" t="str">
        <f t="shared" si="71"/>
        <v>02</v>
      </c>
      <c r="G729" s="57">
        <v>19120702</v>
      </c>
      <c r="H729" s="16" t="s">
        <v>1491</v>
      </c>
      <c r="I729" s="17" t="s">
        <v>1492</v>
      </c>
      <c r="J729" s="16"/>
      <c r="K729" s="16"/>
      <c r="L729" s="16"/>
      <c r="M729" s="17"/>
    </row>
    <row r="730" spans="1:13" ht="38.25" x14ac:dyDescent="0.25">
      <c r="A730" s="14" t="str">
        <f t="shared" si="66"/>
        <v>1</v>
      </c>
      <c r="B730" s="14" t="str">
        <f t="shared" si="67"/>
        <v>9</v>
      </c>
      <c r="C730" s="14" t="str">
        <f t="shared" si="68"/>
        <v>1</v>
      </c>
      <c r="D730" s="14" t="str">
        <f t="shared" si="69"/>
        <v>2</v>
      </c>
      <c r="E730" s="14" t="str">
        <f t="shared" si="70"/>
        <v>10</v>
      </c>
      <c r="F730" s="14" t="str">
        <f t="shared" si="71"/>
        <v>00</v>
      </c>
      <c r="G730" s="56">
        <v>19121000</v>
      </c>
      <c r="H730" s="14" t="s">
        <v>1493</v>
      </c>
      <c r="I730" s="15" t="s">
        <v>1494</v>
      </c>
      <c r="J730" s="14"/>
      <c r="K730" s="14" t="s">
        <v>151</v>
      </c>
      <c r="L730" s="14" t="s">
        <v>1436</v>
      </c>
      <c r="M730" s="14"/>
    </row>
    <row r="731" spans="1:13" ht="51" x14ac:dyDescent="0.25">
      <c r="A731" s="16" t="str">
        <f t="shared" si="66"/>
        <v>1</v>
      </c>
      <c r="B731" s="16" t="str">
        <f t="shared" si="67"/>
        <v>9</v>
      </c>
      <c r="C731" s="16" t="str">
        <f t="shared" si="68"/>
        <v>1</v>
      </c>
      <c r="D731" s="16" t="str">
        <f t="shared" si="69"/>
        <v>2</v>
      </c>
      <c r="E731" s="16" t="str">
        <f t="shared" si="70"/>
        <v>10</v>
      </c>
      <c r="F731" s="16" t="str">
        <f t="shared" si="71"/>
        <v>01</v>
      </c>
      <c r="G731" s="57">
        <v>19121001</v>
      </c>
      <c r="H731" s="16" t="s">
        <v>1495</v>
      </c>
      <c r="I731" s="17" t="s">
        <v>1496</v>
      </c>
      <c r="J731" s="16"/>
      <c r="K731" s="16" t="s">
        <v>217</v>
      </c>
      <c r="L731" s="16" t="s">
        <v>1439</v>
      </c>
      <c r="M731" s="17"/>
    </row>
    <row r="732" spans="1:13" ht="25.5" x14ac:dyDescent="0.25">
      <c r="A732" s="16" t="str">
        <f t="shared" si="66"/>
        <v>1</v>
      </c>
      <c r="B732" s="16" t="str">
        <f t="shared" si="67"/>
        <v>9</v>
      </c>
      <c r="C732" s="16" t="str">
        <f t="shared" si="68"/>
        <v>1</v>
      </c>
      <c r="D732" s="16" t="str">
        <f t="shared" si="69"/>
        <v>2</v>
      </c>
      <c r="E732" s="16" t="str">
        <f t="shared" si="70"/>
        <v>10</v>
      </c>
      <c r="F732" s="16" t="str">
        <f t="shared" si="71"/>
        <v>02</v>
      </c>
      <c r="G732" s="57">
        <v>19121002</v>
      </c>
      <c r="H732" s="16" t="s">
        <v>1497</v>
      </c>
      <c r="I732" s="17" t="s">
        <v>1498</v>
      </c>
      <c r="J732" s="16"/>
      <c r="K732" s="16" t="s">
        <v>217</v>
      </c>
      <c r="L732" s="16" t="s">
        <v>1439</v>
      </c>
      <c r="M732" s="17"/>
    </row>
    <row r="733" spans="1:13" ht="38.25" x14ac:dyDescent="0.25">
      <c r="A733" s="14" t="str">
        <f t="shared" si="66"/>
        <v>1</v>
      </c>
      <c r="B733" s="14" t="str">
        <f t="shared" si="67"/>
        <v>9</v>
      </c>
      <c r="C733" s="14" t="str">
        <f t="shared" si="68"/>
        <v>1</v>
      </c>
      <c r="D733" s="14" t="str">
        <f t="shared" si="69"/>
        <v>2</v>
      </c>
      <c r="E733" s="14" t="str">
        <f t="shared" si="70"/>
        <v>29</v>
      </c>
      <c r="F733" s="14" t="str">
        <f t="shared" si="71"/>
        <v>00</v>
      </c>
      <c r="G733" s="56">
        <v>19122900</v>
      </c>
      <c r="H733" s="14" t="s">
        <v>1499</v>
      </c>
      <c r="I733" s="15" t="s">
        <v>1500</v>
      </c>
      <c r="J733" s="14"/>
      <c r="K733" s="14"/>
      <c r="L733" s="14"/>
      <c r="M733" s="14"/>
    </row>
    <row r="734" spans="1:13" ht="38.25" x14ac:dyDescent="0.25">
      <c r="A734" s="16" t="str">
        <f t="shared" si="66"/>
        <v>1</v>
      </c>
      <c r="B734" s="16" t="str">
        <f t="shared" si="67"/>
        <v>9</v>
      </c>
      <c r="C734" s="16" t="str">
        <f t="shared" si="68"/>
        <v>1</v>
      </c>
      <c r="D734" s="16" t="str">
        <f t="shared" si="69"/>
        <v>2</v>
      </c>
      <c r="E734" s="16" t="str">
        <f t="shared" si="70"/>
        <v>29</v>
      </c>
      <c r="F734" s="16" t="str">
        <f t="shared" si="71"/>
        <v>01</v>
      </c>
      <c r="G734" s="57">
        <v>19122901</v>
      </c>
      <c r="H734" s="16" t="s">
        <v>1501</v>
      </c>
      <c r="I734" s="17" t="s">
        <v>1502</v>
      </c>
      <c r="J734" s="16"/>
      <c r="K734" s="16"/>
      <c r="L734" s="16"/>
      <c r="M734" s="17"/>
    </row>
    <row r="735" spans="1:13" ht="38.25" x14ac:dyDescent="0.25">
      <c r="A735" s="16" t="str">
        <f t="shared" si="66"/>
        <v>1</v>
      </c>
      <c r="B735" s="16" t="str">
        <f t="shared" si="67"/>
        <v>9</v>
      </c>
      <c r="C735" s="16" t="str">
        <f t="shared" si="68"/>
        <v>1</v>
      </c>
      <c r="D735" s="16" t="str">
        <f t="shared" si="69"/>
        <v>2</v>
      </c>
      <c r="E735" s="16" t="str">
        <f t="shared" si="70"/>
        <v>29</v>
      </c>
      <c r="F735" s="16" t="str">
        <f t="shared" si="71"/>
        <v>02</v>
      </c>
      <c r="G735" s="57">
        <v>19122902</v>
      </c>
      <c r="H735" s="16" t="s">
        <v>1503</v>
      </c>
      <c r="I735" s="17" t="s">
        <v>1504</v>
      </c>
      <c r="J735" s="16"/>
      <c r="K735" s="16"/>
      <c r="L735" s="16"/>
      <c r="M735" s="17"/>
    </row>
    <row r="736" spans="1:13" ht="38.25" x14ac:dyDescent="0.25">
      <c r="A736" s="14" t="str">
        <f t="shared" si="66"/>
        <v>1</v>
      </c>
      <c r="B736" s="14" t="str">
        <f t="shared" si="67"/>
        <v>9</v>
      </c>
      <c r="C736" s="14" t="str">
        <f t="shared" si="68"/>
        <v>1</v>
      </c>
      <c r="D736" s="14" t="str">
        <f t="shared" si="69"/>
        <v>2</v>
      </c>
      <c r="E736" s="14" t="str">
        <f t="shared" si="70"/>
        <v>30</v>
      </c>
      <c r="F736" s="14" t="str">
        <f t="shared" si="71"/>
        <v>00</v>
      </c>
      <c r="G736" s="56">
        <v>19123000</v>
      </c>
      <c r="H736" s="14" t="s">
        <v>1505</v>
      </c>
      <c r="I736" s="15" t="s">
        <v>1506</v>
      </c>
      <c r="J736" s="14"/>
      <c r="K736" s="14"/>
      <c r="L736" s="14"/>
      <c r="M736" s="14"/>
    </row>
    <row r="737" spans="1:13" ht="38.25" x14ac:dyDescent="0.25">
      <c r="A737" s="16" t="str">
        <f t="shared" si="66"/>
        <v>1</v>
      </c>
      <c r="B737" s="16" t="str">
        <f t="shared" si="67"/>
        <v>9</v>
      </c>
      <c r="C737" s="16" t="str">
        <f t="shared" si="68"/>
        <v>1</v>
      </c>
      <c r="D737" s="16" t="str">
        <f t="shared" si="69"/>
        <v>2</v>
      </c>
      <c r="E737" s="16" t="str">
        <f t="shared" si="70"/>
        <v>30</v>
      </c>
      <c r="F737" s="16" t="str">
        <f t="shared" si="71"/>
        <v>01</v>
      </c>
      <c r="G737" s="57">
        <v>19123001</v>
      </c>
      <c r="H737" s="16" t="s">
        <v>1507</v>
      </c>
      <c r="I737" s="17" t="s">
        <v>1508</v>
      </c>
      <c r="J737" s="16"/>
      <c r="K737" s="16"/>
      <c r="L737" s="16"/>
      <c r="M737" s="17"/>
    </row>
    <row r="738" spans="1:13" ht="25.5" x14ac:dyDescent="0.25">
      <c r="A738" s="16" t="str">
        <f t="shared" si="66"/>
        <v>1</v>
      </c>
      <c r="B738" s="16" t="str">
        <f t="shared" si="67"/>
        <v>9</v>
      </c>
      <c r="C738" s="16" t="str">
        <f t="shared" si="68"/>
        <v>1</v>
      </c>
      <c r="D738" s="16" t="str">
        <f t="shared" si="69"/>
        <v>2</v>
      </c>
      <c r="E738" s="16" t="str">
        <f t="shared" si="70"/>
        <v>30</v>
      </c>
      <c r="F738" s="16" t="str">
        <f t="shared" si="71"/>
        <v>02</v>
      </c>
      <c r="G738" s="57">
        <v>19123002</v>
      </c>
      <c r="H738" s="16" t="s">
        <v>1509</v>
      </c>
      <c r="I738" s="17" t="s">
        <v>1510</v>
      </c>
      <c r="J738" s="16"/>
      <c r="K738" s="16"/>
      <c r="L738" s="16"/>
      <c r="M738" s="17"/>
    </row>
    <row r="739" spans="1:13" ht="38.25" x14ac:dyDescent="0.25">
      <c r="A739" s="16" t="str">
        <f t="shared" si="66"/>
        <v>1</v>
      </c>
      <c r="B739" s="16" t="str">
        <f t="shared" si="67"/>
        <v>9</v>
      </c>
      <c r="C739" s="16" t="str">
        <f t="shared" si="68"/>
        <v>1</v>
      </c>
      <c r="D739" s="16" t="str">
        <f t="shared" si="69"/>
        <v>2</v>
      </c>
      <c r="E739" s="16" t="str">
        <f t="shared" si="70"/>
        <v>30</v>
      </c>
      <c r="F739" s="16" t="str">
        <f t="shared" si="71"/>
        <v>03</v>
      </c>
      <c r="G739" s="57">
        <v>19123003</v>
      </c>
      <c r="H739" s="16" t="s">
        <v>1511</v>
      </c>
      <c r="I739" s="17" t="s">
        <v>1512</v>
      </c>
      <c r="J739" s="16"/>
      <c r="K739" s="16"/>
      <c r="L739" s="16"/>
      <c r="M739" s="17"/>
    </row>
    <row r="740" spans="1:13" ht="38.25" x14ac:dyDescent="0.25">
      <c r="A740" s="16" t="str">
        <f t="shared" si="66"/>
        <v>1</v>
      </c>
      <c r="B740" s="16" t="str">
        <f t="shared" si="67"/>
        <v>9</v>
      </c>
      <c r="C740" s="16" t="str">
        <f t="shared" si="68"/>
        <v>1</v>
      </c>
      <c r="D740" s="16" t="str">
        <f t="shared" si="69"/>
        <v>2</v>
      </c>
      <c r="E740" s="16" t="str">
        <f t="shared" si="70"/>
        <v>30</v>
      </c>
      <c r="F740" s="16" t="str">
        <f t="shared" si="71"/>
        <v>04</v>
      </c>
      <c r="G740" s="57">
        <v>19123004</v>
      </c>
      <c r="H740" s="16" t="s">
        <v>1513</v>
      </c>
      <c r="I740" s="17" t="s">
        <v>1514</v>
      </c>
      <c r="J740" s="16"/>
      <c r="K740" s="16"/>
      <c r="L740" s="16"/>
      <c r="M740" s="17"/>
    </row>
    <row r="741" spans="1:13" ht="38.25" x14ac:dyDescent="0.25">
      <c r="A741" s="16" t="str">
        <f t="shared" si="66"/>
        <v>1</v>
      </c>
      <c r="B741" s="16" t="str">
        <f t="shared" si="67"/>
        <v>9</v>
      </c>
      <c r="C741" s="16" t="str">
        <f t="shared" si="68"/>
        <v>1</v>
      </c>
      <c r="D741" s="16" t="str">
        <f t="shared" si="69"/>
        <v>2</v>
      </c>
      <c r="E741" s="16" t="str">
        <f t="shared" si="70"/>
        <v>30</v>
      </c>
      <c r="F741" s="16" t="str">
        <f t="shared" si="71"/>
        <v>05</v>
      </c>
      <c r="G741" s="57">
        <v>19123005</v>
      </c>
      <c r="H741" s="16" t="s">
        <v>1515</v>
      </c>
      <c r="I741" s="17" t="s">
        <v>1516</v>
      </c>
      <c r="J741" s="16"/>
      <c r="K741" s="16"/>
      <c r="L741" s="16"/>
      <c r="M741" s="17"/>
    </row>
    <row r="742" spans="1:13" ht="25.5" x14ac:dyDescent="0.25">
      <c r="A742" s="16" t="str">
        <f t="shared" si="66"/>
        <v>1</v>
      </c>
      <c r="B742" s="16" t="str">
        <f t="shared" si="67"/>
        <v>9</v>
      </c>
      <c r="C742" s="16" t="str">
        <f t="shared" si="68"/>
        <v>1</v>
      </c>
      <c r="D742" s="16" t="str">
        <f t="shared" si="69"/>
        <v>2</v>
      </c>
      <c r="E742" s="16" t="str">
        <f t="shared" si="70"/>
        <v>30</v>
      </c>
      <c r="F742" s="16" t="str">
        <f t="shared" si="71"/>
        <v>06</v>
      </c>
      <c r="G742" s="57">
        <v>19123006</v>
      </c>
      <c r="H742" s="16" t="s">
        <v>1517</v>
      </c>
      <c r="I742" s="17" t="s">
        <v>1518</v>
      </c>
      <c r="J742" s="16"/>
      <c r="K742" s="16"/>
      <c r="L742" s="16"/>
      <c r="M742" s="17"/>
    </row>
    <row r="743" spans="1:13" ht="38.25" x14ac:dyDescent="0.25">
      <c r="A743" s="16" t="str">
        <f t="shared" si="66"/>
        <v>1</v>
      </c>
      <c r="B743" s="16" t="str">
        <f t="shared" si="67"/>
        <v>9</v>
      </c>
      <c r="C743" s="16" t="str">
        <f t="shared" si="68"/>
        <v>1</v>
      </c>
      <c r="D743" s="16" t="str">
        <f t="shared" si="69"/>
        <v>2</v>
      </c>
      <c r="E743" s="16" t="str">
        <f t="shared" si="70"/>
        <v>30</v>
      </c>
      <c r="F743" s="16" t="str">
        <f t="shared" si="71"/>
        <v>07</v>
      </c>
      <c r="G743" s="57">
        <v>19123007</v>
      </c>
      <c r="H743" s="16" t="s">
        <v>1519</v>
      </c>
      <c r="I743" s="17" t="s">
        <v>1520</v>
      </c>
      <c r="J743" s="16"/>
      <c r="K743" s="16"/>
      <c r="L743" s="16"/>
      <c r="M743" s="17"/>
    </row>
    <row r="744" spans="1:13" ht="38.25" x14ac:dyDescent="0.25">
      <c r="A744" s="16" t="str">
        <f t="shared" si="66"/>
        <v>1</v>
      </c>
      <c r="B744" s="16" t="str">
        <f t="shared" si="67"/>
        <v>9</v>
      </c>
      <c r="C744" s="16" t="str">
        <f t="shared" si="68"/>
        <v>1</v>
      </c>
      <c r="D744" s="16" t="str">
        <f t="shared" si="69"/>
        <v>2</v>
      </c>
      <c r="E744" s="16" t="str">
        <f t="shared" si="70"/>
        <v>30</v>
      </c>
      <c r="F744" s="16" t="str">
        <f t="shared" si="71"/>
        <v>08</v>
      </c>
      <c r="G744" s="57">
        <v>19123008</v>
      </c>
      <c r="H744" s="16" t="s">
        <v>1521</v>
      </c>
      <c r="I744" s="17" t="s">
        <v>1522</v>
      </c>
      <c r="J744" s="16"/>
      <c r="K744" s="16"/>
      <c r="L744" s="16"/>
      <c r="M744" s="17"/>
    </row>
    <row r="745" spans="1:13" ht="38.25" x14ac:dyDescent="0.25">
      <c r="A745" s="16" t="str">
        <f t="shared" si="66"/>
        <v>1</v>
      </c>
      <c r="B745" s="16" t="str">
        <f t="shared" si="67"/>
        <v>9</v>
      </c>
      <c r="C745" s="16" t="str">
        <f t="shared" si="68"/>
        <v>1</v>
      </c>
      <c r="D745" s="16" t="str">
        <f t="shared" si="69"/>
        <v>2</v>
      </c>
      <c r="E745" s="16" t="str">
        <f t="shared" si="70"/>
        <v>30</v>
      </c>
      <c r="F745" s="16" t="str">
        <f t="shared" si="71"/>
        <v>09</v>
      </c>
      <c r="G745" s="57">
        <v>19123009</v>
      </c>
      <c r="H745" s="16" t="s">
        <v>1523</v>
      </c>
      <c r="I745" s="17" t="s">
        <v>1524</v>
      </c>
      <c r="J745" s="16"/>
      <c r="K745" s="16"/>
      <c r="L745" s="16"/>
      <c r="M745" s="17"/>
    </row>
    <row r="746" spans="1:13" ht="38.25" x14ac:dyDescent="0.25">
      <c r="A746" s="16" t="str">
        <f t="shared" si="66"/>
        <v>1</v>
      </c>
      <c r="B746" s="16" t="str">
        <f t="shared" si="67"/>
        <v>9</v>
      </c>
      <c r="C746" s="16" t="str">
        <f t="shared" si="68"/>
        <v>1</v>
      </c>
      <c r="D746" s="16" t="str">
        <f t="shared" si="69"/>
        <v>2</v>
      </c>
      <c r="E746" s="16" t="str">
        <f t="shared" si="70"/>
        <v>30</v>
      </c>
      <c r="F746" s="16" t="str">
        <f t="shared" si="71"/>
        <v>10</v>
      </c>
      <c r="G746" s="57">
        <v>19123010</v>
      </c>
      <c r="H746" s="16" t="s">
        <v>1525</v>
      </c>
      <c r="I746" s="17" t="s">
        <v>1526</v>
      </c>
      <c r="J746" s="16"/>
      <c r="K746" s="16"/>
      <c r="L746" s="16"/>
      <c r="M746" s="17"/>
    </row>
    <row r="747" spans="1:13" ht="38.25" x14ac:dyDescent="0.25">
      <c r="A747" s="16" t="str">
        <f t="shared" si="66"/>
        <v>1</v>
      </c>
      <c r="B747" s="16" t="str">
        <f t="shared" si="67"/>
        <v>9</v>
      </c>
      <c r="C747" s="16" t="str">
        <f t="shared" si="68"/>
        <v>1</v>
      </c>
      <c r="D747" s="16" t="str">
        <f t="shared" si="69"/>
        <v>2</v>
      </c>
      <c r="E747" s="16" t="str">
        <f t="shared" si="70"/>
        <v>30</v>
      </c>
      <c r="F747" s="16" t="str">
        <f t="shared" si="71"/>
        <v>11</v>
      </c>
      <c r="G747" s="57">
        <v>19123011</v>
      </c>
      <c r="H747" s="16" t="s">
        <v>1527</v>
      </c>
      <c r="I747" s="17" t="s">
        <v>1528</v>
      </c>
      <c r="J747" s="16"/>
      <c r="K747" s="16"/>
      <c r="L747" s="16"/>
      <c r="M747" s="17"/>
    </row>
    <row r="748" spans="1:13" ht="25.5" x14ac:dyDescent="0.25">
      <c r="A748" s="16" t="str">
        <f t="shared" si="66"/>
        <v>1</v>
      </c>
      <c r="B748" s="16" t="str">
        <f t="shared" si="67"/>
        <v>9</v>
      </c>
      <c r="C748" s="16" t="str">
        <f t="shared" si="68"/>
        <v>1</v>
      </c>
      <c r="D748" s="16" t="str">
        <f t="shared" si="69"/>
        <v>2</v>
      </c>
      <c r="E748" s="16" t="str">
        <f t="shared" si="70"/>
        <v>30</v>
      </c>
      <c r="F748" s="16" t="str">
        <f t="shared" si="71"/>
        <v>12</v>
      </c>
      <c r="G748" s="57">
        <v>19123012</v>
      </c>
      <c r="H748" s="16" t="s">
        <v>1529</v>
      </c>
      <c r="I748" s="17" t="s">
        <v>1530</v>
      </c>
      <c r="J748" s="16"/>
      <c r="K748" s="16"/>
      <c r="L748" s="16"/>
      <c r="M748" s="17"/>
    </row>
    <row r="749" spans="1:13" ht="25.5" x14ac:dyDescent="0.25">
      <c r="A749" s="16" t="str">
        <f t="shared" si="66"/>
        <v>1</v>
      </c>
      <c r="B749" s="16" t="str">
        <f t="shared" si="67"/>
        <v>9</v>
      </c>
      <c r="C749" s="16" t="str">
        <f t="shared" si="68"/>
        <v>1</v>
      </c>
      <c r="D749" s="16" t="str">
        <f t="shared" si="69"/>
        <v>2</v>
      </c>
      <c r="E749" s="16" t="str">
        <f t="shared" si="70"/>
        <v>30</v>
      </c>
      <c r="F749" s="16" t="str">
        <f t="shared" si="71"/>
        <v>13</v>
      </c>
      <c r="G749" s="57">
        <v>19123013</v>
      </c>
      <c r="H749" s="16" t="s">
        <v>1531</v>
      </c>
      <c r="I749" s="17" t="s">
        <v>1532</v>
      </c>
      <c r="J749" s="16"/>
      <c r="K749" s="16"/>
      <c r="L749" s="16"/>
      <c r="M749" s="17"/>
    </row>
    <row r="750" spans="1:13" ht="38.25" x14ac:dyDescent="0.25">
      <c r="A750" s="16" t="str">
        <f t="shared" si="66"/>
        <v>1</v>
      </c>
      <c r="B750" s="16" t="str">
        <f t="shared" si="67"/>
        <v>9</v>
      </c>
      <c r="C750" s="16" t="str">
        <f t="shared" si="68"/>
        <v>1</v>
      </c>
      <c r="D750" s="16" t="str">
        <f t="shared" si="69"/>
        <v>2</v>
      </c>
      <c r="E750" s="16" t="str">
        <f t="shared" si="70"/>
        <v>30</v>
      </c>
      <c r="F750" s="16" t="str">
        <f t="shared" si="71"/>
        <v>14</v>
      </c>
      <c r="G750" s="57">
        <v>19123014</v>
      </c>
      <c r="H750" s="16" t="s">
        <v>1533</v>
      </c>
      <c r="I750" s="17" t="s">
        <v>1534</v>
      </c>
      <c r="J750" s="16"/>
      <c r="K750" s="16"/>
      <c r="L750" s="16"/>
      <c r="M750" s="17"/>
    </row>
    <row r="751" spans="1:13" ht="38.25" x14ac:dyDescent="0.25">
      <c r="A751" s="16" t="str">
        <f t="shared" si="66"/>
        <v>1</v>
      </c>
      <c r="B751" s="16" t="str">
        <f t="shared" si="67"/>
        <v>9</v>
      </c>
      <c r="C751" s="16" t="str">
        <f t="shared" si="68"/>
        <v>1</v>
      </c>
      <c r="D751" s="16" t="str">
        <f t="shared" si="69"/>
        <v>2</v>
      </c>
      <c r="E751" s="16" t="str">
        <f t="shared" si="70"/>
        <v>30</v>
      </c>
      <c r="F751" s="16" t="str">
        <f t="shared" si="71"/>
        <v>15</v>
      </c>
      <c r="G751" s="57">
        <v>19123015</v>
      </c>
      <c r="H751" s="16" t="s">
        <v>1535</v>
      </c>
      <c r="I751" s="17" t="s">
        <v>1536</v>
      </c>
      <c r="J751" s="16"/>
      <c r="K751" s="16"/>
      <c r="L751" s="16"/>
      <c r="M751" s="17"/>
    </row>
    <row r="752" spans="1:13" ht="38.25" x14ac:dyDescent="0.25">
      <c r="A752" s="16" t="str">
        <f t="shared" si="66"/>
        <v>1</v>
      </c>
      <c r="B752" s="16" t="str">
        <f t="shared" si="67"/>
        <v>9</v>
      </c>
      <c r="C752" s="16" t="str">
        <f t="shared" si="68"/>
        <v>1</v>
      </c>
      <c r="D752" s="16" t="str">
        <f t="shared" si="69"/>
        <v>2</v>
      </c>
      <c r="E752" s="16" t="str">
        <f t="shared" si="70"/>
        <v>30</v>
      </c>
      <c r="F752" s="16" t="str">
        <f t="shared" si="71"/>
        <v>16</v>
      </c>
      <c r="G752" s="57">
        <v>19123016</v>
      </c>
      <c r="H752" s="16" t="s">
        <v>1537</v>
      </c>
      <c r="I752" s="17" t="s">
        <v>1538</v>
      </c>
      <c r="J752" s="16"/>
      <c r="K752" s="16"/>
      <c r="L752" s="16"/>
      <c r="M752" s="17"/>
    </row>
    <row r="753" spans="1:13" ht="38.25" x14ac:dyDescent="0.25">
      <c r="A753" s="16" t="str">
        <f t="shared" si="66"/>
        <v>1</v>
      </c>
      <c r="B753" s="16" t="str">
        <f t="shared" si="67"/>
        <v>9</v>
      </c>
      <c r="C753" s="16" t="str">
        <f t="shared" si="68"/>
        <v>1</v>
      </c>
      <c r="D753" s="16" t="str">
        <f t="shared" si="69"/>
        <v>2</v>
      </c>
      <c r="E753" s="16" t="str">
        <f t="shared" si="70"/>
        <v>30</v>
      </c>
      <c r="F753" s="16" t="str">
        <f t="shared" si="71"/>
        <v>17</v>
      </c>
      <c r="G753" s="57">
        <v>19123017</v>
      </c>
      <c r="H753" s="16" t="s">
        <v>1539</v>
      </c>
      <c r="I753" s="17" t="s">
        <v>1540</v>
      </c>
      <c r="J753" s="16"/>
      <c r="K753" s="16"/>
      <c r="L753" s="16"/>
      <c r="M753" s="17"/>
    </row>
    <row r="754" spans="1:13" ht="38.25" x14ac:dyDescent="0.25">
      <c r="A754" s="16" t="str">
        <f t="shared" si="66"/>
        <v>1</v>
      </c>
      <c r="B754" s="16" t="str">
        <f t="shared" si="67"/>
        <v>9</v>
      </c>
      <c r="C754" s="16" t="str">
        <f t="shared" si="68"/>
        <v>1</v>
      </c>
      <c r="D754" s="16" t="str">
        <f t="shared" si="69"/>
        <v>2</v>
      </c>
      <c r="E754" s="16" t="str">
        <f t="shared" si="70"/>
        <v>30</v>
      </c>
      <c r="F754" s="16" t="str">
        <f t="shared" si="71"/>
        <v>18</v>
      </c>
      <c r="G754" s="57">
        <v>19123018</v>
      </c>
      <c r="H754" s="16" t="s">
        <v>1541</v>
      </c>
      <c r="I754" s="17" t="s">
        <v>1542</v>
      </c>
      <c r="J754" s="16"/>
      <c r="K754" s="16"/>
      <c r="L754" s="16"/>
      <c r="M754" s="17"/>
    </row>
    <row r="755" spans="1:13" ht="38.25" x14ac:dyDescent="0.25">
      <c r="A755" s="16" t="str">
        <f t="shared" si="66"/>
        <v>1</v>
      </c>
      <c r="B755" s="16" t="str">
        <f t="shared" si="67"/>
        <v>9</v>
      </c>
      <c r="C755" s="16" t="str">
        <f t="shared" si="68"/>
        <v>1</v>
      </c>
      <c r="D755" s="16" t="str">
        <f t="shared" si="69"/>
        <v>2</v>
      </c>
      <c r="E755" s="16" t="str">
        <f t="shared" si="70"/>
        <v>30</v>
      </c>
      <c r="F755" s="16" t="str">
        <f t="shared" si="71"/>
        <v>19</v>
      </c>
      <c r="G755" s="57">
        <v>19123019</v>
      </c>
      <c r="H755" s="16" t="s">
        <v>1543</v>
      </c>
      <c r="I755" s="17" t="s">
        <v>1544</v>
      </c>
      <c r="J755" s="16"/>
      <c r="K755" s="16"/>
      <c r="L755" s="16"/>
      <c r="M755" s="17"/>
    </row>
    <row r="756" spans="1:13" ht="25.5" x14ac:dyDescent="0.25">
      <c r="A756" s="16" t="str">
        <f t="shared" si="66"/>
        <v>1</v>
      </c>
      <c r="B756" s="16" t="str">
        <f t="shared" si="67"/>
        <v>9</v>
      </c>
      <c r="C756" s="16" t="str">
        <f t="shared" si="68"/>
        <v>1</v>
      </c>
      <c r="D756" s="16" t="str">
        <f t="shared" si="69"/>
        <v>2</v>
      </c>
      <c r="E756" s="16" t="str">
        <f t="shared" si="70"/>
        <v>30</v>
      </c>
      <c r="F756" s="16" t="str">
        <f t="shared" si="71"/>
        <v>20</v>
      </c>
      <c r="G756" s="57">
        <v>19123020</v>
      </c>
      <c r="H756" s="16" t="s">
        <v>1545</v>
      </c>
      <c r="I756" s="17" t="s">
        <v>1546</v>
      </c>
      <c r="J756" s="16"/>
      <c r="K756" s="16"/>
      <c r="L756" s="16"/>
      <c r="M756" s="17"/>
    </row>
    <row r="757" spans="1:13" ht="38.25" x14ac:dyDescent="0.25">
      <c r="A757" s="16" t="str">
        <f t="shared" si="66"/>
        <v>1</v>
      </c>
      <c r="B757" s="16" t="str">
        <f t="shared" si="67"/>
        <v>9</v>
      </c>
      <c r="C757" s="16" t="str">
        <f t="shared" si="68"/>
        <v>1</v>
      </c>
      <c r="D757" s="16" t="str">
        <f t="shared" si="69"/>
        <v>2</v>
      </c>
      <c r="E757" s="16" t="str">
        <f t="shared" si="70"/>
        <v>30</v>
      </c>
      <c r="F757" s="16" t="str">
        <f t="shared" si="71"/>
        <v>21</v>
      </c>
      <c r="G757" s="57">
        <v>19123021</v>
      </c>
      <c r="H757" s="16" t="s">
        <v>1547</v>
      </c>
      <c r="I757" s="17" t="s">
        <v>1548</v>
      </c>
      <c r="J757" s="16"/>
      <c r="K757" s="16"/>
      <c r="L757" s="16"/>
      <c r="M757" s="17"/>
    </row>
    <row r="758" spans="1:13" ht="51" x14ac:dyDescent="0.25">
      <c r="A758" s="16" t="str">
        <f t="shared" si="66"/>
        <v>1</v>
      </c>
      <c r="B758" s="16" t="str">
        <f t="shared" si="67"/>
        <v>9</v>
      </c>
      <c r="C758" s="16" t="str">
        <f t="shared" si="68"/>
        <v>1</v>
      </c>
      <c r="D758" s="16" t="str">
        <f t="shared" si="69"/>
        <v>2</v>
      </c>
      <c r="E758" s="16" t="str">
        <f t="shared" si="70"/>
        <v>30</v>
      </c>
      <c r="F758" s="16" t="str">
        <f t="shared" si="71"/>
        <v>24</v>
      </c>
      <c r="G758" s="57">
        <v>19123024</v>
      </c>
      <c r="H758" s="16" t="s">
        <v>1549</v>
      </c>
      <c r="I758" s="17" t="s">
        <v>1550</v>
      </c>
      <c r="J758" s="16"/>
      <c r="K758" s="16"/>
      <c r="L758" s="16"/>
      <c r="M758" s="17"/>
    </row>
    <row r="759" spans="1:13" ht="25.5" x14ac:dyDescent="0.25">
      <c r="A759" s="16" t="str">
        <f t="shared" si="66"/>
        <v>1</v>
      </c>
      <c r="B759" s="16" t="str">
        <f t="shared" si="67"/>
        <v>9</v>
      </c>
      <c r="C759" s="16" t="str">
        <f t="shared" si="68"/>
        <v>1</v>
      </c>
      <c r="D759" s="16" t="str">
        <f t="shared" si="69"/>
        <v>2</v>
      </c>
      <c r="E759" s="16" t="str">
        <f t="shared" si="70"/>
        <v>30</v>
      </c>
      <c r="F759" s="16" t="str">
        <f t="shared" si="71"/>
        <v>99</v>
      </c>
      <c r="G759" s="57">
        <v>19123099</v>
      </c>
      <c r="H759" s="16" t="s">
        <v>1551</v>
      </c>
      <c r="I759" s="17" t="s">
        <v>1552</v>
      </c>
      <c r="J759" s="16"/>
      <c r="K759" s="16"/>
      <c r="L759" s="16"/>
      <c r="M759" s="17"/>
    </row>
    <row r="760" spans="1:13" ht="51" x14ac:dyDescent="0.25">
      <c r="A760" s="14" t="str">
        <f t="shared" si="66"/>
        <v>1</v>
      </c>
      <c r="B760" s="14" t="str">
        <f t="shared" si="67"/>
        <v>9</v>
      </c>
      <c r="C760" s="14" t="str">
        <f t="shared" si="68"/>
        <v>1</v>
      </c>
      <c r="D760" s="14" t="str">
        <f t="shared" si="69"/>
        <v>2</v>
      </c>
      <c r="E760" s="14" t="str">
        <f t="shared" si="70"/>
        <v>31</v>
      </c>
      <c r="F760" s="14" t="str">
        <f t="shared" si="71"/>
        <v>00</v>
      </c>
      <c r="G760" s="56">
        <v>19123100</v>
      </c>
      <c r="H760" s="14" t="s">
        <v>1553</v>
      </c>
      <c r="I760" s="15" t="s">
        <v>1554</v>
      </c>
      <c r="J760" s="14"/>
      <c r="K760" s="14"/>
      <c r="L760" s="14"/>
      <c r="M760" s="14"/>
    </row>
    <row r="761" spans="1:13" ht="63.75" x14ac:dyDescent="0.25">
      <c r="A761" s="16" t="str">
        <f t="shared" si="66"/>
        <v>1</v>
      </c>
      <c r="B761" s="16" t="str">
        <f t="shared" si="67"/>
        <v>9</v>
      </c>
      <c r="C761" s="16" t="str">
        <f t="shared" si="68"/>
        <v>1</v>
      </c>
      <c r="D761" s="16" t="str">
        <f t="shared" si="69"/>
        <v>2</v>
      </c>
      <c r="E761" s="16" t="str">
        <f t="shared" si="70"/>
        <v>31</v>
      </c>
      <c r="F761" s="16" t="str">
        <f t="shared" si="71"/>
        <v>01</v>
      </c>
      <c r="G761" s="57">
        <v>19123101</v>
      </c>
      <c r="H761" s="16" t="s">
        <v>1555</v>
      </c>
      <c r="I761" s="17" t="s">
        <v>1556</v>
      </c>
      <c r="J761" s="16"/>
      <c r="K761" s="16"/>
      <c r="L761" s="16"/>
      <c r="M761" s="17"/>
    </row>
    <row r="762" spans="1:13" ht="63.75" x14ac:dyDescent="0.25">
      <c r="A762" s="16" t="str">
        <f t="shared" si="66"/>
        <v>1</v>
      </c>
      <c r="B762" s="16" t="str">
        <f t="shared" si="67"/>
        <v>9</v>
      </c>
      <c r="C762" s="16" t="str">
        <f t="shared" si="68"/>
        <v>1</v>
      </c>
      <c r="D762" s="16" t="str">
        <f t="shared" si="69"/>
        <v>2</v>
      </c>
      <c r="E762" s="16" t="str">
        <f t="shared" si="70"/>
        <v>31</v>
      </c>
      <c r="F762" s="16" t="str">
        <f t="shared" si="71"/>
        <v>02</v>
      </c>
      <c r="G762" s="57">
        <v>19123102</v>
      </c>
      <c r="H762" s="16" t="s">
        <v>1557</v>
      </c>
      <c r="I762" s="17" t="s">
        <v>1558</v>
      </c>
      <c r="J762" s="16"/>
      <c r="K762" s="16"/>
      <c r="L762" s="16"/>
      <c r="M762" s="17"/>
    </row>
    <row r="763" spans="1:13" ht="25.5" x14ac:dyDescent="0.25">
      <c r="A763" s="14" t="str">
        <f t="shared" si="66"/>
        <v>1</v>
      </c>
      <c r="B763" s="14" t="str">
        <f t="shared" si="67"/>
        <v>9</v>
      </c>
      <c r="C763" s="14" t="str">
        <f t="shared" si="68"/>
        <v>1</v>
      </c>
      <c r="D763" s="14" t="str">
        <f t="shared" si="69"/>
        <v>2</v>
      </c>
      <c r="E763" s="14" t="str">
        <f t="shared" si="70"/>
        <v>32</v>
      </c>
      <c r="F763" s="14" t="str">
        <f t="shared" si="71"/>
        <v>00</v>
      </c>
      <c r="G763" s="56">
        <v>19123200</v>
      </c>
      <c r="H763" s="14" t="s">
        <v>1559</v>
      </c>
      <c r="I763" s="15" t="s">
        <v>1560</v>
      </c>
      <c r="J763" s="14"/>
      <c r="K763" s="14"/>
      <c r="L763" s="14"/>
      <c r="M763" s="14"/>
    </row>
    <row r="764" spans="1:13" ht="38.25" x14ac:dyDescent="0.25">
      <c r="A764" s="16" t="str">
        <f t="shared" si="66"/>
        <v>1</v>
      </c>
      <c r="B764" s="16" t="str">
        <f t="shared" si="67"/>
        <v>9</v>
      </c>
      <c r="C764" s="16" t="str">
        <f t="shared" si="68"/>
        <v>1</v>
      </c>
      <c r="D764" s="16" t="str">
        <f t="shared" si="69"/>
        <v>2</v>
      </c>
      <c r="E764" s="16" t="str">
        <f t="shared" si="70"/>
        <v>32</v>
      </c>
      <c r="F764" s="16" t="str">
        <f t="shared" si="71"/>
        <v>01</v>
      </c>
      <c r="G764" s="57">
        <v>19123201</v>
      </c>
      <c r="H764" s="16" t="s">
        <v>1561</v>
      </c>
      <c r="I764" s="17" t="s">
        <v>1562</v>
      </c>
      <c r="J764" s="16"/>
      <c r="K764" s="16"/>
      <c r="L764" s="16"/>
      <c r="M764" s="17"/>
    </row>
    <row r="765" spans="1:13" ht="38.25" x14ac:dyDescent="0.25">
      <c r="A765" s="16" t="str">
        <f t="shared" si="66"/>
        <v>1</v>
      </c>
      <c r="B765" s="16" t="str">
        <f t="shared" si="67"/>
        <v>9</v>
      </c>
      <c r="C765" s="16" t="str">
        <f t="shared" si="68"/>
        <v>1</v>
      </c>
      <c r="D765" s="16" t="str">
        <f t="shared" si="69"/>
        <v>2</v>
      </c>
      <c r="E765" s="16" t="str">
        <f t="shared" si="70"/>
        <v>32</v>
      </c>
      <c r="F765" s="16" t="str">
        <f t="shared" si="71"/>
        <v>02</v>
      </c>
      <c r="G765" s="57">
        <v>19123202</v>
      </c>
      <c r="H765" s="16" t="s">
        <v>1563</v>
      </c>
      <c r="I765" s="17" t="s">
        <v>1564</v>
      </c>
      <c r="J765" s="16"/>
      <c r="K765" s="16"/>
      <c r="L765" s="16"/>
      <c r="M765" s="17"/>
    </row>
    <row r="766" spans="1:13" ht="38.25" x14ac:dyDescent="0.25">
      <c r="A766" s="14" t="str">
        <f t="shared" si="66"/>
        <v>1</v>
      </c>
      <c r="B766" s="14" t="str">
        <f t="shared" si="67"/>
        <v>9</v>
      </c>
      <c r="C766" s="14" t="str">
        <f t="shared" si="68"/>
        <v>1</v>
      </c>
      <c r="D766" s="14" t="str">
        <f t="shared" si="69"/>
        <v>2</v>
      </c>
      <c r="E766" s="14" t="str">
        <f t="shared" si="70"/>
        <v>33</v>
      </c>
      <c r="F766" s="14" t="str">
        <f t="shared" si="71"/>
        <v>00</v>
      </c>
      <c r="G766" s="56">
        <v>19123300</v>
      </c>
      <c r="H766" s="14" t="s">
        <v>1565</v>
      </c>
      <c r="I766" s="15" t="s">
        <v>1566</v>
      </c>
      <c r="J766" s="14"/>
      <c r="K766" s="14"/>
      <c r="L766" s="14"/>
      <c r="M766" s="14"/>
    </row>
    <row r="767" spans="1:13" ht="25.5" x14ac:dyDescent="0.25">
      <c r="A767" s="16" t="str">
        <f t="shared" si="66"/>
        <v>1</v>
      </c>
      <c r="B767" s="16" t="str">
        <f t="shared" si="67"/>
        <v>9</v>
      </c>
      <c r="C767" s="16" t="str">
        <f t="shared" si="68"/>
        <v>1</v>
      </c>
      <c r="D767" s="16" t="str">
        <f t="shared" si="69"/>
        <v>2</v>
      </c>
      <c r="E767" s="16" t="str">
        <f t="shared" si="70"/>
        <v>33</v>
      </c>
      <c r="F767" s="16" t="str">
        <f t="shared" si="71"/>
        <v>01</v>
      </c>
      <c r="G767" s="57">
        <v>19123301</v>
      </c>
      <c r="H767" s="16" t="s">
        <v>1567</v>
      </c>
      <c r="I767" s="17" t="s">
        <v>1568</v>
      </c>
      <c r="J767" s="16"/>
      <c r="K767" s="16"/>
      <c r="L767" s="16"/>
      <c r="M767" s="17"/>
    </row>
    <row r="768" spans="1:13" ht="25.5" x14ac:dyDescent="0.25">
      <c r="A768" s="16" t="str">
        <f t="shared" si="66"/>
        <v>1</v>
      </c>
      <c r="B768" s="16" t="str">
        <f t="shared" si="67"/>
        <v>9</v>
      </c>
      <c r="C768" s="16" t="str">
        <f t="shared" si="68"/>
        <v>1</v>
      </c>
      <c r="D768" s="16" t="str">
        <f t="shared" si="69"/>
        <v>2</v>
      </c>
      <c r="E768" s="16" t="str">
        <f t="shared" si="70"/>
        <v>33</v>
      </c>
      <c r="F768" s="16" t="str">
        <f t="shared" si="71"/>
        <v>02</v>
      </c>
      <c r="G768" s="57">
        <v>19123302</v>
      </c>
      <c r="H768" s="16" t="s">
        <v>1569</v>
      </c>
      <c r="I768" s="17" t="s">
        <v>1570</v>
      </c>
      <c r="J768" s="16"/>
      <c r="K768" s="16"/>
      <c r="L768" s="16"/>
      <c r="M768" s="17"/>
    </row>
    <row r="769" spans="1:13" ht="38.25" x14ac:dyDescent="0.25">
      <c r="A769" s="16" t="str">
        <f t="shared" si="66"/>
        <v>1</v>
      </c>
      <c r="B769" s="16" t="str">
        <f t="shared" si="67"/>
        <v>9</v>
      </c>
      <c r="C769" s="16" t="str">
        <f t="shared" si="68"/>
        <v>1</v>
      </c>
      <c r="D769" s="16" t="str">
        <f t="shared" si="69"/>
        <v>2</v>
      </c>
      <c r="E769" s="16" t="str">
        <f t="shared" si="70"/>
        <v>33</v>
      </c>
      <c r="F769" s="16" t="str">
        <f t="shared" si="71"/>
        <v>03</v>
      </c>
      <c r="G769" s="57">
        <v>19123303</v>
      </c>
      <c r="H769" s="16" t="s">
        <v>1571</v>
      </c>
      <c r="I769" s="17" t="s">
        <v>1572</v>
      </c>
      <c r="J769" s="16"/>
      <c r="K769" s="16"/>
      <c r="L769" s="16"/>
      <c r="M769" s="17"/>
    </row>
    <row r="770" spans="1:13" ht="25.5" x14ac:dyDescent="0.25">
      <c r="A770" s="16" t="str">
        <f t="shared" si="66"/>
        <v>1</v>
      </c>
      <c r="B770" s="16" t="str">
        <f t="shared" si="67"/>
        <v>9</v>
      </c>
      <c r="C770" s="16" t="str">
        <f t="shared" si="68"/>
        <v>1</v>
      </c>
      <c r="D770" s="16" t="str">
        <f t="shared" si="69"/>
        <v>2</v>
      </c>
      <c r="E770" s="16" t="str">
        <f t="shared" si="70"/>
        <v>33</v>
      </c>
      <c r="F770" s="16" t="str">
        <f t="shared" si="71"/>
        <v>04</v>
      </c>
      <c r="G770" s="57">
        <v>19123304</v>
      </c>
      <c r="H770" s="16" t="s">
        <v>1573</v>
      </c>
      <c r="I770" s="17" t="s">
        <v>1574</v>
      </c>
      <c r="J770" s="16"/>
      <c r="K770" s="16"/>
      <c r="L770" s="16"/>
      <c r="M770" s="17"/>
    </row>
    <row r="771" spans="1:13" ht="25.5" x14ac:dyDescent="0.25">
      <c r="A771" s="16" t="str">
        <f t="shared" si="66"/>
        <v>1</v>
      </c>
      <c r="B771" s="16" t="str">
        <f t="shared" si="67"/>
        <v>9</v>
      </c>
      <c r="C771" s="16" t="str">
        <f t="shared" si="68"/>
        <v>1</v>
      </c>
      <c r="D771" s="16" t="str">
        <f t="shared" si="69"/>
        <v>2</v>
      </c>
      <c r="E771" s="16" t="str">
        <f t="shared" si="70"/>
        <v>33</v>
      </c>
      <c r="F771" s="16" t="str">
        <f t="shared" si="71"/>
        <v>05</v>
      </c>
      <c r="G771" s="57">
        <v>19123305</v>
      </c>
      <c r="H771" s="16" t="s">
        <v>1575</v>
      </c>
      <c r="I771" s="17" t="s">
        <v>1576</v>
      </c>
      <c r="J771" s="16"/>
      <c r="K771" s="16"/>
      <c r="L771" s="16"/>
      <c r="M771" s="17"/>
    </row>
    <row r="772" spans="1:13" ht="25.5" x14ac:dyDescent="0.25">
      <c r="A772" s="16" t="str">
        <f t="shared" ref="A772:A835" si="72">MID(G772,1,1)</f>
        <v>1</v>
      </c>
      <c r="B772" s="16" t="str">
        <f t="shared" ref="B772:B835" si="73">MID(G772,2,1)</f>
        <v>9</v>
      </c>
      <c r="C772" s="16" t="str">
        <f t="shared" ref="C772:C835" si="74">MID(G772,3,1)</f>
        <v>1</v>
      </c>
      <c r="D772" s="16" t="str">
        <f t="shared" ref="D772:D835" si="75">MID(G772,4,1)</f>
        <v>2</v>
      </c>
      <c r="E772" s="16" t="str">
        <f t="shared" ref="E772:E835" si="76">MID(G772,5,2)</f>
        <v>33</v>
      </c>
      <c r="F772" s="16" t="str">
        <f t="shared" ref="F772:F835" si="77">MID(G772,7,2)</f>
        <v>06</v>
      </c>
      <c r="G772" s="57">
        <v>19123306</v>
      </c>
      <c r="H772" s="16" t="s">
        <v>1577</v>
      </c>
      <c r="I772" s="17" t="s">
        <v>1578</v>
      </c>
      <c r="J772" s="16"/>
      <c r="K772" s="16"/>
      <c r="L772" s="16"/>
      <c r="M772" s="17"/>
    </row>
    <row r="773" spans="1:13" ht="38.25" x14ac:dyDescent="0.25">
      <c r="A773" s="16" t="str">
        <f t="shared" si="72"/>
        <v>1</v>
      </c>
      <c r="B773" s="16" t="str">
        <f t="shared" si="73"/>
        <v>9</v>
      </c>
      <c r="C773" s="16" t="str">
        <f t="shared" si="74"/>
        <v>1</v>
      </c>
      <c r="D773" s="16" t="str">
        <f t="shared" si="75"/>
        <v>2</v>
      </c>
      <c r="E773" s="16" t="str">
        <f t="shared" si="76"/>
        <v>33</v>
      </c>
      <c r="F773" s="16" t="str">
        <f t="shared" si="77"/>
        <v>07</v>
      </c>
      <c r="G773" s="57">
        <v>19123307</v>
      </c>
      <c r="H773" s="16" t="s">
        <v>1579</v>
      </c>
      <c r="I773" s="17" t="s">
        <v>1580</v>
      </c>
      <c r="J773" s="16"/>
      <c r="K773" s="16"/>
      <c r="L773" s="16"/>
      <c r="M773" s="17"/>
    </row>
    <row r="774" spans="1:13" ht="38.25" x14ac:dyDescent="0.25">
      <c r="A774" s="14" t="str">
        <f t="shared" si="72"/>
        <v>1</v>
      </c>
      <c r="B774" s="14" t="str">
        <f t="shared" si="73"/>
        <v>9</v>
      </c>
      <c r="C774" s="14" t="str">
        <f t="shared" si="74"/>
        <v>1</v>
      </c>
      <c r="D774" s="14" t="str">
        <f t="shared" si="75"/>
        <v>2</v>
      </c>
      <c r="E774" s="14" t="str">
        <f t="shared" si="76"/>
        <v>34</v>
      </c>
      <c r="F774" s="14" t="str">
        <f t="shared" si="77"/>
        <v>00</v>
      </c>
      <c r="G774" s="56">
        <v>19123400</v>
      </c>
      <c r="H774" s="14" t="s">
        <v>1581</v>
      </c>
      <c r="I774" s="15" t="s">
        <v>1582</v>
      </c>
      <c r="J774" s="14"/>
      <c r="K774" s="14"/>
      <c r="L774" s="14"/>
      <c r="M774" s="14"/>
    </row>
    <row r="775" spans="1:13" ht="25.5" x14ac:dyDescent="0.25">
      <c r="A775" s="14" t="str">
        <f t="shared" si="72"/>
        <v>1</v>
      </c>
      <c r="B775" s="14" t="str">
        <f t="shared" si="73"/>
        <v>9</v>
      </c>
      <c r="C775" s="14" t="str">
        <f t="shared" si="74"/>
        <v>1</v>
      </c>
      <c r="D775" s="14" t="str">
        <f t="shared" si="75"/>
        <v>2</v>
      </c>
      <c r="E775" s="14" t="str">
        <f t="shared" si="76"/>
        <v>35</v>
      </c>
      <c r="F775" s="14" t="str">
        <f t="shared" si="77"/>
        <v>00</v>
      </c>
      <c r="G775" s="56">
        <v>19123500</v>
      </c>
      <c r="H775" s="14" t="s">
        <v>1583</v>
      </c>
      <c r="I775" s="15" t="s">
        <v>1584</v>
      </c>
      <c r="J775" s="14"/>
      <c r="K775" s="14"/>
      <c r="L775" s="14"/>
      <c r="M775" s="14"/>
    </row>
    <row r="776" spans="1:13" ht="38.25" x14ac:dyDescent="0.25">
      <c r="A776" s="14" t="str">
        <f t="shared" si="72"/>
        <v>1</v>
      </c>
      <c r="B776" s="14" t="str">
        <f t="shared" si="73"/>
        <v>9</v>
      </c>
      <c r="C776" s="14" t="str">
        <f t="shared" si="74"/>
        <v>1</v>
      </c>
      <c r="D776" s="14" t="str">
        <f t="shared" si="75"/>
        <v>2</v>
      </c>
      <c r="E776" s="14" t="str">
        <f t="shared" si="76"/>
        <v>36</v>
      </c>
      <c r="F776" s="14" t="str">
        <f t="shared" si="77"/>
        <v>00</v>
      </c>
      <c r="G776" s="56">
        <v>19123600</v>
      </c>
      <c r="H776" s="14" t="s">
        <v>1585</v>
      </c>
      <c r="I776" s="15" t="s">
        <v>1586</v>
      </c>
      <c r="J776" s="14"/>
      <c r="K776" s="14"/>
      <c r="L776" s="14"/>
      <c r="M776" s="14"/>
    </row>
    <row r="777" spans="1:13" ht="25.5" x14ac:dyDescent="0.25">
      <c r="A777" s="14" t="str">
        <f t="shared" si="72"/>
        <v>1</v>
      </c>
      <c r="B777" s="14" t="str">
        <f t="shared" si="73"/>
        <v>9</v>
      </c>
      <c r="C777" s="14" t="str">
        <f t="shared" si="74"/>
        <v>1</v>
      </c>
      <c r="D777" s="14" t="str">
        <f t="shared" si="75"/>
        <v>2</v>
      </c>
      <c r="E777" s="14" t="str">
        <f t="shared" si="76"/>
        <v>51</v>
      </c>
      <c r="F777" s="14" t="str">
        <f t="shared" si="77"/>
        <v>00</v>
      </c>
      <c r="G777" s="56">
        <v>19125100</v>
      </c>
      <c r="H777" s="14" t="s">
        <v>1587</v>
      </c>
      <c r="I777" s="15" t="s">
        <v>1588</v>
      </c>
      <c r="J777" s="14"/>
      <c r="K777" s="14" t="s">
        <v>151</v>
      </c>
      <c r="L777" s="14" t="s">
        <v>1589</v>
      </c>
      <c r="M777" s="14"/>
    </row>
    <row r="778" spans="1:13" ht="38.25" x14ac:dyDescent="0.25">
      <c r="A778" s="14" t="str">
        <f t="shared" si="72"/>
        <v>1</v>
      </c>
      <c r="B778" s="14" t="str">
        <f t="shared" si="73"/>
        <v>9</v>
      </c>
      <c r="C778" s="14" t="str">
        <f t="shared" si="74"/>
        <v>1</v>
      </c>
      <c r="D778" s="14" t="str">
        <f t="shared" si="75"/>
        <v>2</v>
      </c>
      <c r="E778" s="14" t="str">
        <f t="shared" si="76"/>
        <v>52</v>
      </c>
      <c r="F778" s="14" t="str">
        <f t="shared" si="77"/>
        <v>00</v>
      </c>
      <c r="G778" s="56">
        <v>19125200</v>
      </c>
      <c r="H778" s="14" t="s">
        <v>1590</v>
      </c>
      <c r="I778" s="15" t="s">
        <v>1591</v>
      </c>
      <c r="J778" s="14"/>
      <c r="K778" s="14"/>
      <c r="L778" s="14"/>
      <c r="M778" s="14"/>
    </row>
    <row r="779" spans="1:13" ht="38.25" x14ac:dyDescent="0.25">
      <c r="A779" s="14" t="str">
        <f t="shared" si="72"/>
        <v>1</v>
      </c>
      <c r="B779" s="14" t="str">
        <f t="shared" si="73"/>
        <v>9</v>
      </c>
      <c r="C779" s="14" t="str">
        <f t="shared" si="74"/>
        <v>1</v>
      </c>
      <c r="D779" s="14" t="str">
        <f t="shared" si="75"/>
        <v>2</v>
      </c>
      <c r="E779" s="14" t="str">
        <f t="shared" si="76"/>
        <v>53</v>
      </c>
      <c r="F779" s="14" t="str">
        <f t="shared" si="77"/>
        <v>00</v>
      </c>
      <c r="G779" s="56">
        <v>19125300</v>
      </c>
      <c r="H779" s="14" t="s">
        <v>1592</v>
      </c>
      <c r="I779" s="15" t="s">
        <v>1593</v>
      </c>
      <c r="J779" s="14"/>
      <c r="K779" s="14"/>
      <c r="L779" s="14"/>
      <c r="M779" s="14"/>
    </row>
    <row r="780" spans="1:13" ht="38.25" x14ac:dyDescent="0.25">
      <c r="A780" s="14" t="str">
        <f t="shared" si="72"/>
        <v>1</v>
      </c>
      <c r="B780" s="14" t="str">
        <f t="shared" si="73"/>
        <v>9</v>
      </c>
      <c r="C780" s="14" t="str">
        <f t="shared" si="74"/>
        <v>1</v>
      </c>
      <c r="D780" s="14" t="str">
        <f t="shared" si="75"/>
        <v>2</v>
      </c>
      <c r="E780" s="14" t="str">
        <f t="shared" si="76"/>
        <v>54</v>
      </c>
      <c r="F780" s="14" t="str">
        <f t="shared" si="77"/>
        <v>00</v>
      </c>
      <c r="G780" s="56">
        <v>19125400</v>
      </c>
      <c r="H780" s="14" t="s">
        <v>1594</v>
      </c>
      <c r="I780" s="15" t="s">
        <v>1595</v>
      </c>
      <c r="J780" s="14"/>
      <c r="K780" s="14"/>
      <c r="L780" s="14"/>
      <c r="M780" s="14"/>
    </row>
    <row r="781" spans="1:13" ht="38.25" x14ac:dyDescent="0.25">
      <c r="A781" s="14" t="str">
        <f t="shared" si="72"/>
        <v>1</v>
      </c>
      <c r="B781" s="14" t="str">
        <f t="shared" si="73"/>
        <v>9</v>
      </c>
      <c r="C781" s="14" t="str">
        <f t="shared" si="74"/>
        <v>1</v>
      </c>
      <c r="D781" s="14" t="str">
        <f t="shared" si="75"/>
        <v>2</v>
      </c>
      <c r="E781" s="14" t="str">
        <f t="shared" si="76"/>
        <v>55</v>
      </c>
      <c r="F781" s="14" t="str">
        <f t="shared" si="77"/>
        <v>00</v>
      </c>
      <c r="G781" s="56">
        <v>19125500</v>
      </c>
      <c r="H781" s="14" t="s">
        <v>1596</v>
      </c>
      <c r="I781" s="15" t="s">
        <v>1597</v>
      </c>
      <c r="J781" s="14"/>
      <c r="K781" s="14"/>
      <c r="L781" s="14"/>
      <c r="M781" s="14"/>
    </row>
    <row r="782" spans="1:13" ht="38.25" x14ac:dyDescent="0.25">
      <c r="A782" s="16" t="str">
        <f t="shared" si="72"/>
        <v>1</v>
      </c>
      <c r="B782" s="16" t="str">
        <f t="shared" si="73"/>
        <v>9</v>
      </c>
      <c r="C782" s="16" t="str">
        <f t="shared" si="74"/>
        <v>1</v>
      </c>
      <c r="D782" s="16" t="str">
        <f t="shared" si="75"/>
        <v>2</v>
      </c>
      <c r="E782" s="16" t="str">
        <f t="shared" si="76"/>
        <v>55</v>
      </c>
      <c r="F782" s="16" t="str">
        <f t="shared" si="77"/>
        <v>01</v>
      </c>
      <c r="G782" s="57">
        <v>19125501</v>
      </c>
      <c r="H782" s="16" t="s">
        <v>1598</v>
      </c>
      <c r="I782" s="17" t="s">
        <v>1599</v>
      </c>
      <c r="J782" s="16"/>
      <c r="K782" s="16"/>
      <c r="L782" s="16"/>
      <c r="M782" s="17"/>
    </row>
    <row r="783" spans="1:13" ht="38.25" x14ac:dyDescent="0.25">
      <c r="A783" s="16" t="str">
        <f t="shared" si="72"/>
        <v>1</v>
      </c>
      <c r="B783" s="16" t="str">
        <f t="shared" si="73"/>
        <v>9</v>
      </c>
      <c r="C783" s="16" t="str">
        <f t="shared" si="74"/>
        <v>1</v>
      </c>
      <c r="D783" s="16" t="str">
        <f t="shared" si="75"/>
        <v>2</v>
      </c>
      <c r="E783" s="16" t="str">
        <f t="shared" si="76"/>
        <v>55</v>
      </c>
      <c r="F783" s="16" t="str">
        <f t="shared" si="77"/>
        <v>02</v>
      </c>
      <c r="G783" s="57">
        <v>19125502</v>
      </c>
      <c r="H783" s="16" t="s">
        <v>1600</v>
      </c>
      <c r="I783" s="17" t="s">
        <v>1601</v>
      </c>
      <c r="J783" s="16"/>
      <c r="K783" s="16"/>
      <c r="L783" s="16"/>
      <c r="M783" s="17"/>
    </row>
    <row r="784" spans="1:13" ht="38.25" x14ac:dyDescent="0.25">
      <c r="A784" s="16" t="str">
        <f t="shared" si="72"/>
        <v>1</v>
      </c>
      <c r="B784" s="16" t="str">
        <f t="shared" si="73"/>
        <v>9</v>
      </c>
      <c r="C784" s="16" t="str">
        <f t="shared" si="74"/>
        <v>1</v>
      </c>
      <c r="D784" s="16" t="str">
        <f t="shared" si="75"/>
        <v>2</v>
      </c>
      <c r="E784" s="16" t="str">
        <f t="shared" si="76"/>
        <v>55</v>
      </c>
      <c r="F784" s="16" t="str">
        <f t="shared" si="77"/>
        <v>03</v>
      </c>
      <c r="G784" s="57">
        <v>19125503</v>
      </c>
      <c r="H784" s="16" t="s">
        <v>1602</v>
      </c>
      <c r="I784" s="17" t="s">
        <v>1603</v>
      </c>
      <c r="J784" s="16"/>
      <c r="K784" s="16"/>
      <c r="L784" s="16"/>
      <c r="M784" s="17"/>
    </row>
    <row r="785" spans="1:13" ht="38.25" x14ac:dyDescent="0.25">
      <c r="A785" s="16" t="str">
        <f t="shared" si="72"/>
        <v>1</v>
      </c>
      <c r="B785" s="16" t="str">
        <f t="shared" si="73"/>
        <v>9</v>
      </c>
      <c r="C785" s="16" t="str">
        <f t="shared" si="74"/>
        <v>1</v>
      </c>
      <c r="D785" s="16" t="str">
        <f t="shared" si="75"/>
        <v>2</v>
      </c>
      <c r="E785" s="16" t="str">
        <f t="shared" si="76"/>
        <v>55</v>
      </c>
      <c r="F785" s="16" t="str">
        <f t="shared" si="77"/>
        <v>04</v>
      </c>
      <c r="G785" s="57">
        <v>19125504</v>
      </c>
      <c r="H785" s="16" t="s">
        <v>1604</v>
      </c>
      <c r="I785" s="17" t="s">
        <v>1605</v>
      </c>
      <c r="J785" s="16"/>
      <c r="K785" s="16"/>
      <c r="L785" s="16"/>
      <c r="M785" s="17"/>
    </row>
    <row r="786" spans="1:13" ht="51" x14ac:dyDescent="0.25">
      <c r="A786" s="16" t="str">
        <f t="shared" si="72"/>
        <v>1</v>
      </c>
      <c r="B786" s="16" t="str">
        <f t="shared" si="73"/>
        <v>9</v>
      </c>
      <c r="C786" s="16" t="str">
        <f t="shared" si="74"/>
        <v>1</v>
      </c>
      <c r="D786" s="16" t="str">
        <f t="shared" si="75"/>
        <v>2</v>
      </c>
      <c r="E786" s="16" t="str">
        <f t="shared" si="76"/>
        <v>55</v>
      </c>
      <c r="F786" s="16" t="str">
        <f t="shared" si="77"/>
        <v>05</v>
      </c>
      <c r="G786" s="57">
        <v>19125505</v>
      </c>
      <c r="H786" s="16" t="s">
        <v>1606</v>
      </c>
      <c r="I786" s="17" t="s">
        <v>1607</v>
      </c>
      <c r="J786" s="16"/>
      <c r="K786" s="16"/>
      <c r="L786" s="16"/>
      <c r="M786" s="17"/>
    </row>
    <row r="787" spans="1:13" ht="63.75" x14ac:dyDescent="0.25">
      <c r="A787" s="16" t="str">
        <f t="shared" si="72"/>
        <v>1</v>
      </c>
      <c r="B787" s="16" t="str">
        <f t="shared" si="73"/>
        <v>9</v>
      </c>
      <c r="C787" s="16" t="str">
        <f t="shared" si="74"/>
        <v>1</v>
      </c>
      <c r="D787" s="16" t="str">
        <f t="shared" si="75"/>
        <v>2</v>
      </c>
      <c r="E787" s="16" t="str">
        <f t="shared" si="76"/>
        <v>55</v>
      </c>
      <c r="F787" s="16" t="str">
        <f t="shared" si="77"/>
        <v>06</v>
      </c>
      <c r="G787" s="57">
        <v>19125506</v>
      </c>
      <c r="H787" s="16" t="s">
        <v>1608</v>
      </c>
      <c r="I787" s="17" t="s">
        <v>1609</v>
      </c>
      <c r="J787" s="16"/>
      <c r="K787" s="16"/>
      <c r="L787" s="16"/>
      <c r="M787" s="17"/>
    </row>
    <row r="788" spans="1:13" ht="38.25" x14ac:dyDescent="0.25">
      <c r="A788" s="16" t="str">
        <f t="shared" si="72"/>
        <v>1</v>
      </c>
      <c r="B788" s="16" t="str">
        <f t="shared" si="73"/>
        <v>9</v>
      </c>
      <c r="C788" s="16" t="str">
        <f t="shared" si="74"/>
        <v>1</v>
      </c>
      <c r="D788" s="16" t="str">
        <f t="shared" si="75"/>
        <v>2</v>
      </c>
      <c r="E788" s="16" t="str">
        <f t="shared" si="76"/>
        <v>55</v>
      </c>
      <c r="F788" s="16" t="str">
        <f t="shared" si="77"/>
        <v>07</v>
      </c>
      <c r="G788" s="57">
        <v>19125507</v>
      </c>
      <c r="H788" s="16" t="s">
        <v>1610</v>
      </c>
      <c r="I788" s="17" t="s">
        <v>1611</v>
      </c>
      <c r="J788" s="16"/>
      <c r="K788" s="16"/>
      <c r="L788" s="16"/>
      <c r="M788" s="17"/>
    </row>
    <row r="789" spans="1:13" ht="38.25" x14ac:dyDescent="0.25">
      <c r="A789" s="16" t="str">
        <f t="shared" si="72"/>
        <v>1</v>
      </c>
      <c r="B789" s="16" t="str">
        <f t="shared" si="73"/>
        <v>9</v>
      </c>
      <c r="C789" s="16" t="str">
        <f t="shared" si="74"/>
        <v>1</v>
      </c>
      <c r="D789" s="16" t="str">
        <f t="shared" si="75"/>
        <v>2</v>
      </c>
      <c r="E789" s="16" t="str">
        <f t="shared" si="76"/>
        <v>55</v>
      </c>
      <c r="F789" s="16" t="str">
        <f t="shared" si="77"/>
        <v>08</v>
      </c>
      <c r="G789" s="57">
        <v>19125508</v>
      </c>
      <c r="H789" s="16" t="s">
        <v>1612</v>
      </c>
      <c r="I789" s="17" t="s">
        <v>1613</v>
      </c>
      <c r="J789" s="16"/>
      <c r="K789" s="16"/>
      <c r="L789" s="16"/>
      <c r="M789" s="17"/>
    </row>
    <row r="790" spans="1:13" ht="25.5" x14ac:dyDescent="0.25">
      <c r="A790" s="16" t="str">
        <f t="shared" si="72"/>
        <v>1</v>
      </c>
      <c r="B790" s="16" t="str">
        <f t="shared" si="73"/>
        <v>9</v>
      </c>
      <c r="C790" s="16" t="str">
        <f t="shared" si="74"/>
        <v>1</v>
      </c>
      <c r="D790" s="16" t="str">
        <f t="shared" si="75"/>
        <v>2</v>
      </c>
      <c r="E790" s="16" t="str">
        <f t="shared" si="76"/>
        <v>55</v>
      </c>
      <c r="F790" s="16" t="str">
        <f t="shared" si="77"/>
        <v>09</v>
      </c>
      <c r="G790" s="57">
        <v>19125509</v>
      </c>
      <c r="H790" s="16" t="s">
        <v>1614</v>
      </c>
      <c r="I790" s="17" t="s">
        <v>1615</v>
      </c>
      <c r="J790" s="16"/>
      <c r="K790" s="16"/>
      <c r="L790" s="16"/>
      <c r="M790" s="17"/>
    </row>
    <row r="791" spans="1:13" ht="25.5" x14ac:dyDescent="0.25">
      <c r="A791" s="16" t="str">
        <f t="shared" si="72"/>
        <v>1</v>
      </c>
      <c r="B791" s="16" t="str">
        <f t="shared" si="73"/>
        <v>9</v>
      </c>
      <c r="C791" s="16" t="str">
        <f t="shared" si="74"/>
        <v>1</v>
      </c>
      <c r="D791" s="16" t="str">
        <f t="shared" si="75"/>
        <v>2</v>
      </c>
      <c r="E791" s="16" t="str">
        <f t="shared" si="76"/>
        <v>55</v>
      </c>
      <c r="F791" s="16" t="str">
        <f t="shared" si="77"/>
        <v>10</v>
      </c>
      <c r="G791" s="57">
        <v>19125510</v>
      </c>
      <c r="H791" s="16" t="s">
        <v>1616</v>
      </c>
      <c r="I791" s="17" t="s">
        <v>1617</v>
      </c>
      <c r="J791" s="16"/>
      <c r="K791" s="16"/>
      <c r="L791" s="16"/>
      <c r="M791" s="17"/>
    </row>
    <row r="792" spans="1:13" ht="38.25" x14ac:dyDescent="0.25">
      <c r="A792" s="16" t="str">
        <f t="shared" si="72"/>
        <v>1</v>
      </c>
      <c r="B792" s="16" t="str">
        <f t="shared" si="73"/>
        <v>9</v>
      </c>
      <c r="C792" s="16" t="str">
        <f t="shared" si="74"/>
        <v>1</v>
      </c>
      <c r="D792" s="16" t="str">
        <f t="shared" si="75"/>
        <v>2</v>
      </c>
      <c r="E792" s="16" t="str">
        <f t="shared" si="76"/>
        <v>55</v>
      </c>
      <c r="F792" s="16" t="str">
        <f t="shared" si="77"/>
        <v>11</v>
      </c>
      <c r="G792" s="57">
        <v>19125511</v>
      </c>
      <c r="H792" s="16" t="s">
        <v>1618</v>
      </c>
      <c r="I792" s="17" t="s">
        <v>1619</v>
      </c>
      <c r="J792" s="16"/>
      <c r="K792" s="16"/>
      <c r="L792" s="16"/>
      <c r="M792" s="17"/>
    </row>
    <row r="793" spans="1:13" ht="25.5" x14ac:dyDescent="0.25">
      <c r="A793" s="16" t="str">
        <f t="shared" si="72"/>
        <v>1</v>
      </c>
      <c r="B793" s="16" t="str">
        <f t="shared" si="73"/>
        <v>9</v>
      </c>
      <c r="C793" s="16" t="str">
        <f t="shared" si="74"/>
        <v>1</v>
      </c>
      <c r="D793" s="16" t="str">
        <f t="shared" si="75"/>
        <v>2</v>
      </c>
      <c r="E793" s="16" t="str">
        <f t="shared" si="76"/>
        <v>55</v>
      </c>
      <c r="F793" s="16" t="str">
        <f t="shared" si="77"/>
        <v>12</v>
      </c>
      <c r="G793" s="57">
        <v>19125512</v>
      </c>
      <c r="H793" s="16" t="s">
        <v>1620</v>
      </c>
      <c r="I793" s="17" t="s">
        <v>1621</v>
      </c>
      <c r="J793" s="16"/>
      <c r="K793" s="16"/>
      <c r="L793" s="16"/>
      <c r="M793" s="17"/>
    </row>
    <row r="794" spans="1:13" ht="25.5" x14ac:dyDescent="0.25">
      <c r="A794" s="16" t="str">
        <f t="shared" si="72"/>
        <v>1</v>
      </c>
      <c r="B794" s="16" t="str">
        <f t="shared" si="73"/>
        <v>9</v>
      </c>
      <c r="C794" s="16" t="str">
        <f t="shared" si="74"/>
        <v>1</v>
      </c>
      <c r="D794" s="16" t="str">
        <f t="shared" si="75"/>
        <v>2</v>
      </c>
      <c r="E794" s="16" t="str">
        <f t="shared" si="76"/>
        <v>55</v>
      </c>
      <c r="F794" s="16" t="str">
        <f t="shared" si="77"/>
        <v>13</v>
      </c>
      <c r="G794" s="57">
        <v>19125513</v>
      </c>
      <c r="H794" s="16" t="s">
        <v>1622</v>
      </c>
      <c r="I794" s="17" t="s">
        <v>1623</v>
      </c>
      <c r="J794" s="16"/>
      <c r="K794" s="16"/>
      <c r="L794" s="16"/>
      <c r="M794" s="17"/>
    </row>
    <row r="795" spans="1:13" ht="25.5" x14ac:dyDescent="0.25">
      <c r="A795" s="16" t="str">
        <f t="shared" si="72"/>
        <v>1</v>
      </c>
      <c r="B795" s="16" t="str">
        <f t="shared" si="73"/>
        <v>9</v>
      </c>
      <c r="C795" s="16" t="str">
        <f t="shared" si="74"/>
        <v>1</v>
      </c>
      <c r="D795" s="16" t="str">
        <f t="shared" si="75"/>
        <v>2</v>
      </c>
      <c r="E795" s="16" t="str">
        <f t="shared" si="76"/>
        <v>55</v>
      </c>
      <c r="F795" s="16" t="str">
        <f t="shared" si="77"/>
        <v>14</v>
      </c>
      <c r="G795" s="57">
        <v>19125514</v>
      </c>
      <c r="H795" s="16" t="s">
        <v>1624</v>
      </c>
      <c r="I795" s="17" t="s">
        <v>1625</v>
      </c>
      <c r="J795" s="16"/>
      <c r="K795" s="16"/>
      <c r="L795" s="16"/>
      <c r="M795" s="17"/>
    </row>
    <row r="796" spans="1:13" ht="51" x14ac:dyDescent="0.25">
      <c r="A796" s="14" t="str">
        <f t="shared" si="72"/>
        <v>1</v>
      </c>
      <c r="B796" s="14" t="str">
        <f t="shared" si="73"/>
        <v>9</v>
      </c>
      <c r="C796" s="14" t="str">
        <f t="shared" si="74"/>
        <v>1</v>
      </c>
      <c r="D796" s="14" t="str">
        <f t="shared" si="75"/>
        <v>2</v>
      </c>
      <c r="E796" s="14" t="str">
        <f t="shared" si="76"/>
        <v>56</v>
      </c>
      <c r="F796" s="14" t="str">
        <f t="shared" si="77"/>
        <v>00</v>
      </c>
      <c r="G796" s="56">
        <v>19125600</v>
      </c>
      <c r="H796" s="14" t="s">
        <v>1626</v>
      </c>
      <c r="I796" s="15" t="s">
        <v>1627</v>
      </c>
      <c r="J796" s="14"/>
      <c r="K796" s="14"/>
      <c r="L796" s="14"/>
      <c r="M796" s="14"/>
    </row>
    <row r="797" spans="1:13" ht="25.5" x14ac:dyDescent="0.25">
      <c r="A797" s="14" t="str">
        <f t="shared" si="72"/>
        <v>1</v>
      </c>
      <c r="B797" s="14" t="str">
        <f t="shared" si="73"/>
        <v>9</v>
      </c>
      <c r="C797" s="14" t="str">
        <f t="shared" si="74"/>
        <v>1</v>
      </c>
      <c r="D797" s="14" t="str">
        <f t="shared" si="75"/>
        <v>2</v>
      </c>
      <c r="E797" s="14" t="str">
        <f t="shared" si="76"/>
        <v>99</v>
      </c>
      <c r="F797" s="14" t="str">
        <f t="shared" si="77"/>
        <v>00</v>
      </c>
      <c r="G797" s="56">
        <v>19129900</v>
      </c>
      <c r="H797" s="14" t="s">
        <v>1628</v>
      </c>
      <c r="I797" s="15" t="s">
        <v>1629</v>
      </c>
      <c r="J797" s="14"/>
      <c r="K797" s="14"/>
      <c r="L797" s="14"/>
      <c r="M797" s="14"/>
    </row>
    <row r="798" spans="1:13" ht="25.5" x14ac:dyDescent="0.25">
      <c r="A798" s="16" t="str">
        <f t="shared" si="72"/>
        <v>1</v>
      </c>
      <c r="B798" s="16" t="str">
        <f t="shared" si="73"/>
        <v>9</v>
      </c>
      <c r="C798" s="16" t="str">
        <f t="shared" si="74"/>
        <v>1</v>
      </c>
      <c r="D798" s="16" t="str">
        <f t="shared" si="75"/>
        <v>2</v>
      </c>
      <c r="E798" s="16" t="str">
        <f t="shared" si="76"/>
        <v>99</v>
      </c>
      <c r="F798" s="16" t="str">
        <f t="shared" si="77"/>
        <v>01</v>
      </c>
      <c r="G798" s="57">
        <v>19129901</v>
      </c>
      <c r="H798" s="16" t="s">
        <v>1630</v>
      </c>
      <c r="I798" s="17" t="s">
        <v>1631</v>
      </c>
      <c r="J798" s="16"/>
      <c r="K798" s="16"/>
      <c r="L798" s="16"/>
      <c r="M798" s="17"/>
    </row>
    <row r="799" spans="1:13" ht="25.5" x14ac:dyDescent="0.25">
      <c r="A799" s="16" t="str">
        <f t="shared" si="72"/>
        <v>1</v>
      </c>
      <c r="B799" s="16" t="str">
        <f t="shared" si="73"/>
        <v>9</v>
      </c>
      <c r="C799" s="16" t="str">
        <f t="shared" si="74"/>
        <v>1</v>
      </c>
      <c r="D799" s="16" t="str">
        <f t="shared" si="75"/>
        <v>2</v>
      </c>
      <c r="E799" s="16" t="str">
        <f t="shared" si="76"/>
        <v>99</v>
      </c>
      <c r="F799" s="16" t="str">
        <f t="shared" si="77"/>
        <v>02</v>
      </c>
      <c r="G799" s="57">
        <v>19129902</v>
      </c>
      <c r="H799" s="16" t="s">
        <v>1632</v>
      </c>
      <c r="I799" s="17" t="s">
        <v>1633</v>
      </c>
      <c r="J799" s="16"/>
      <c r="K799" s="16"/>
      <c r="L799" s="16"/>
      <c r="M799" s="17"/>
    </row>
    <row r="800" spans="1:13" ht="25.5" x14ac:dyDescent="0.25">
      <c r="A800" s="12" t="str">
        <f t="shared" si="72"/>
        <v>1</v>
      </c>
      <c r="B800" s="12" t="str">
        <f t="shared" si="73"/>
        <v>9</v>
      </c>
      <c r="C800" s="12" t="str">
        <f t="shared" si="74"/>
        <v>1</v>
      </c>
      <c r="D800" s="12" t="str">
        <f t="shared" si="75"/>
        <v>3</v>
      </c>
      <c r="E800" s="12" t="str">
        <f t="shared" si="76"/>
        <v>00</v>
      </c>
      <c r="F800" s="12" t="str">
        <f t="shared" si="77"/>
        <v>00</v>
      </c>
      <c r="G800" s="55">
        <v>19130000</v>
      </c>
      <c r="H800" s="12" t="s">
        <v>1634</v>
      </c>
      <c r="I800" s="13" t="s">
        <v>1635</v>
      </c>
      <c r="J800" s="12"/>
      <c r="K800" s="12"/>
      <c r="L800" s="12"/>
      <c r="M800" s="13"/>
    </row>
    <row r="801" spans="1:13" ht="25.5" x14ac:dyDescent="0.25">
      <c r="A801" s="14" t="str">
        <f t="shared" si="72"/>
        <v>1</v>
      </c>
      <c r="B801" s="14" t="str">
        <f t="shared" si="73"/>
        <v>9</v>
      </c>
      <c r="C801" s="14" t="str">
        <f t="shared" si="74"/>
        <v>1</v>
      </c>
      <c r="D801" s="14" t="str">
        <f t="shared" si="75"/>
        <v>3</v>
      </c>
      <c r="E801" s="14" t="str">
        <f t="shared" si="76"/>
        <v>01</v>
      </c>
      <c r="F801" s="14" t="str">
        <f t="shared" si="77"/>
        <v>00</v>
      </c>
      <c r="G801" s="56">
        <v>19130100</v>
      </c>
      <c r="H801" s="14" t="s">
        <v>1636</v>
      </c>
      <c r="I801" s="15" t="s">
        <v>1637</v>
      </c>
      <c r="J801" s="14"/>
      <c r="K801" s="14"/>
      <c r="L801" s="14"/>
      <c r="M801" s="14"/>
    </row>
    <row r="802" spans="1:13" ht="38.25" x14ac:dyDescent="0.25">
      <c r="A802" s="16" t="str">
        <f t="shared" si="72"/>
        <v>1</v>
      </c>
      <c r="B802" s="16" t="str">
        <f t="shared" si="73"/>
        <v>9</v>
      </c>
      <c r="C802" s="16" t="str">
        <f t="shared" si="74"/>
        <v>1</v>
      </c>
      <c r="D802" s="16" t="str">
        <f t="shared" si="75"/>
        <v>3</v>
      </c>
      <c r="E802" s="16" t="str">
        <f t="shared" si="76"/>
        <v>01</v>
      </c>
      <c r="F802" s="16" t="str">
        <f t="shared" si="77"/>
        <v>01</v>
      </c>
      <c r="G802" s="57">
        <v>19130101</v>
      </c>
      <c r="H802" s="16" t="s">
        <v>1638</v>
      </c>
      <c r="I802" s="17" t="s">
        <v>1639</v>
      </c>
      <c r="J802" s="16"/>
      <c r="K802" s="16"/>
      <c r="L802" s="16"/>
      <c r="M802" s="17"/>
    </row>
    <row r="803" spans="1:13" ht="38.25" x14ac:dyDescent="0.25">
      <c r="A803" s="16" t="str">
        <f t="shared" si="72"/>
        <v>1</v>
      </c>
      <c r="B803" s="16" t="str">
        <f t="shared" si="73"/>
        <v>9</v>
      </c>
      <c r="C803" s="16" t="str">
        <f t="shared" si="74"/>
        <v>1</v>
      </c>
      <c r="D803" s="16" t="str">
        <f t="shared" si="75"/>
        <v>3</v>
      </c>
      <c r="E803" s="16" t="str">
        <f t="shared" si="76"/>
        <v>01</v>
      </c>
      <c r="F803" s="16" t="str">
        <f t="shared" si="77"/>
        <v>02</v>
      </c>
      <c r="G803" s="57">
        <v>19130102</v>
      </c>
      <c r="H803" s="16" t="s">
        <v>1640</v>
      </c>
      <c r="I803" s="17" t="s">
        <v>1641</v>
      </c>
      <c r="J803" s="16"/>
      <c r="K803" s="16"/>
      <c r="L803" s="16"/>
      <c r="M803" s="17"/>
    </row>
    <row r="804" spans="1:13" ht="38.25" x14ac:dyDescent="0.25">
      <c r="A804" s="14" t="str">
        <f t="shared" si="72"/>
        <v>1</v>
      </c>
      <c r="B804" s="14" t="str">
        <f t="shared" si="73"/>
        <v>9</v>
      </c>
      <c r="C804" s="14" t="str">
        <f t="shared" si="74"/>
        <v>1</v>
      </c>
      <c r="D804" s="14" t="str">
        <f t="shared" si="75"/>
        <v>3</v>
      </c>
      <c r="E804" s="14" t="str">
        <f t="shared" si="76"/>
        <v>02</v>
      </c>
      <c r="F804" s="14" t="str">
        <f t="shared" si="77"/>
        <v>00</v>
      </c>
      <c r="G804" s="56">
        <v>19130200</v>
      </c>
      <c r="H804" s="14" t="s">
        <v>1642</v>
      </c>
      <c r="I804" s="15" t="s">
        <v>1643</v>
      </c>
      <c r="J804" s="14"/>
      <c r="K804" s="14"/>
      <c r="L804" s="14"/>
      <c r="M804" s="14"/>
    </row>
    <row r="805" spans="1:13" ht="38.25" x14ac:dyDescent="0.25">
      <c r="A805" s="16" t="str">
        <f t="shared" si="72"/>
        <v>1</v>
      </c>
      <c r="B805" s="16" t="str">
        <f t="shared" si="73"/>
        <v>9</v>
      </c>
      <c r="C805" s="16" t="str">
        <f t="shared" si="74"/>
        <v>1</v>
      </c>
      <c r="D805" s="16" t="str">
        <f t="shared" si="75"/>
        <v>3</v>
      </c>
      <c r="E805" s="16" t="str">
        <f t="shared" si="76"/>
        <v>02</v>
      </c>
      <c r="F805" s="16" t="str">
        <f t="shared" si="77"/>
        <v>01</v>
      </c>
      <c r="G805" s="57">
        <v>19130201</v>
      </c>
      <c r="H805" s="16" t="s">
        <v>1644</v>
      </c>
      <c r="I805" s="17" t="s">
        <v>1645</v>
      </c>
      <c r="J805" s="16"/>
      <c r="K805" s="16" t="s">
        <v>151</v>
      </c>
      <c r="L805" s="16" t="s">
        <v>1646</v>
      </c>
      <c r="M805" s="17"/>
    </row>
    <row r="806" spans="1:13" ht="38.25" x14ac:dyDescent="0.25">
      <c r="A806" s="16" t="str">
        <f t="shared" si="72"/>
        <v>1</v>
      </c>
      <c r="B806" s="16" t="str">
        <f t="shared" si="73"/>
        <v>9</v>
      </c>
      <c r="C806" s="16" t="str">
        <f t="shared" si="74"/>
        <v>1</v>
      </c>
      <c r="D806" s="16" t="str">
        <f t="shared" si="75"/>
        <v>3</v>
      </c>
      <c r="E806" s="16" t="str">
        <f t="shared" si="76"/>
        <v>02</v>
      </c>
      <c r="F806" s="16" t="str">
        <f t="shared" si="77"/>
        <v>02</v>
      </c>
      <c r="G806" s="57">
        <v>19130202</v>
      </c>
      <c r="H806" s="16" t="s">
        <v>1647</v>
      </c>
      <c r="I806" s="17" t="s">
        <v>1648</v>
      </c>
      <c r="J806" s="16"/>
      <c r="K806" s="16" t="s">
        <v>151</v>
      </c>
      <c r="L806" s="16" t="s">
        <v>1646</v>
      </c>
      <c r="M806" s="17"/>
    </row>
    <row r="807" spans="1:13" ht="25.5" x14ac:dyDescent="0.25">
      <c r="A807" s="16" t="str">
        <f t="shared" si="72"/>
        <v>1</v>
      </c>
      <c r="B807" s="16" t="str">
        <f t="shared" si="73"/>
        <v>9</v>
      </c>
      <c r="C807" s="16" t="str">
        <f t="shared" si="74"/>
        <v>1</v>
      </c>
      <c r="D807" s="16" t="str">
        <f t="shared" si="75"/>
        <v>3</v>
      </c>
      <c r="E807" s="16" t="str">
        <f t="shared" si="76"/>
        <v>02</v>
      </c>
      <c r="F807" s="16" t="str">
        <f t="shared" si="77"/>
        <v>03</v>
      </c>
      <c r="G807" s="57">
        <v>19130203</v>
      </c>
      <c r="H807" s="16" t="s">
        <v>1649</v>
      </c>
      <c r="I807" s="17" t="s">
        <v>1650</v>
      </c>
      <c r="J807" s="16"/>
      <c r="K807" s="16" t="s">
        <v>151</v>
      </c>
      <c r="L807" s="16" t="s">
        <v>1646</v>
      </c>
      <c r="M807" s="17"/>
    </row>
    <row r="808" spans="1:13" ht="38.25" x14ac:dyDescent="0.25">
      <c r="A808" s="16" t="str">
        <f t="shared" si="72"/>
        <v>1</v>
      </c>
      <c r="B808" s="16" t="str">
        <f t="shared" si="73"/>
        <v>9</v>
      </c>
      <c r="C808" s="16" t="str">
        <f t="shared" si="74"/>
        <v>1</v>
      </c>
      <c r="D808" s="16" t="str">
        <f t="shared" si="75"/>
        <v>3</v>
      </c>
      <c r="E808" s="16" t="str">
        <f t="shared" si="76"/>
        <v>02</v>
      </c>
      <c r="F808" s="16" t="str">
        <f t="shared" si="77"/>
        <v>04</v>
      </c>
      <c r="G808" s="57">
        <v>19130204</v>
      </c>
      <c r="H808" s="16" t="s">
        <v>1651</v>
      </c>
      <c r="I808" s="17" t="s">
        <v>1652</v>
      </c>
      <c r="J808" s="16"/>
      <c r="K808" s="16" t="s">
        <v>151</v>
      </c>
      <c r="L808" s="16" t="s">
        <v>1646</v>
      </c>
      <c r="M808" s="17"/>
    </row>
    <row r="809" spans="1:13" ht="38.25" x14ac:dyDescent="0.25">
      <c r="A809" s="16" t="str">
        <f t="shared" si="72"/>
        <v>1</v>
      </c>
      <c r="B809" s="16" t="str">
        <f t="shared" si="73"/>
        <v>9</v>
      </c>
      <c r="C809" s="16" t="str">
        <f t="shared" si="74"/>
        <v>1</v>
      </c>
      <c r="D809" s="16" t="str">
        <f t="shared" si="75"/>
        <v>3</v>
      </c>
      <c r="E809" s="16" t="str">
        <f t="shared" si="76"/>
        <v>02</v>
      </c>
      <c r="F809" s="16" t="str">
        <f t="shared" si="77"/>
        <v>05</v>
      </c>
      <c r="G809" s="57">
        <v>19130205</v>
      </c>
      <c r="H809" s="16" t="s">
        <v>1653</v>
      </c>
      <c r="I809" s="17" t="s">
        <v>1654</v>
      </c>
      <c r="J809" s="16"/>
      <c r="K809" s="16" t="s">
        <v>151</v>
      </c>
      <c r="L809" s="16" t="s">
        <v>1646</v>
      </c>
      <c r="M809" s="17"/>
    </row>
    <row r="810" spans="1:13" ht="38.25" x14ac:dyDescent="0.25">
      <c r="A810" s="16" t="str">
        <f t="shared" si="72"/>
        <v>1</v>
      </c>
      <c r="B810" s="16" t="str">
        <f t="shared" si="73"/>
        <v>9</v>
      </c>
      <c r="C810" s="16" t="str">
        <f t="shared" si="74"/>
        <v>1</v>
      </c>
      <c r="D810" s="16" t="str">
        <f t="shared" si="75"/>
        <v>3</v>
      </c>
      <c r="E810" s="16" t="str">
        <f t="shared" si="76"/>
        <v>02</v>
      </c>
      <c r="F810" s="16" t="str">
        <f t="shared" si="77"/>
        <v>06</v>
      </c>
      <c r="G810" s="57">
        <v>19130206</v>
      </c>
      <c r="H810" s="16" t="s">
        <v>1655</v>
      </c>
      <c r="I810" s="17" t="s">
        <v>1656</v>
      </c>
      <c r="J810" s="16"/>
      <c r="K810" s="16" t="s">
        <v>151</v>
      </c>
      <c r="L810" s="16" t="s">
        <v>1646</v>
      </c>
      <c r="M810" s="17"/>
    </row>
    <row r="811" spans="1:13" ht="25.5" x14ac:dyDescent="0.25">
      <c r="A811" s="16" t="str">
        <f t="shared" si="72"/>
        <v>1</v>
      </c>
      <c r="B811" s="16" t="str">
        <f t="shared" si="73"/>
        <v>9</v>
      </c>
      <c r="C811" s="16" t="str">
        <f t="shared" si="74"/>
        <v>1</v>
      </c>
      <c r="D811" s="16" t="str">
        <f t="shared" si="75"/>
        <v>3</v>
      </c>
      <c r="E811" s="16" t="str">
        <f t="shared" si="76"/>
        <v>02</v>
      </c>
      <c r="F811" s="16" t="str">
        <f t="shared" si="77"/>
        <v>07</v>
      </c>
      <c r="G811" s="57">
        <v>19130207</v>
      </c>
      <c r="H811" s="16" t="s">
        <v>1657</v>
      </c>
      <c r="I811" s="17" t="s">
        <v>1658</v>
      </c>
      <c r="J811" s="16"/>
      <c r="K811" s="16"/>
      <c r="L811" s="16"/>
      <c r="M811" s="17"/>
    </row>
    <row r="812" spans="1:13" ht="38.25" x14ac:dyDescent="0.25">
      <c r="A812" s="16" t="str">
        <f t="shared" si="72"/>
        <v>1</v>
      </c>
      <c r="B812" s="16" t="str">
        <f t="shared" si="73"/>
        <v>9</v>
      </c>
      <c r="C812" s="16" t="str">
        <f t="shared" si="74"/>
        <v>1</v>
      </c>
      <c r="D812" s="16" t="str">
        <f t="shared" si="75"/>
        <v>3</v>
      </c>
      <c r="E812" s="16" t="str">
        <f t="shared" si="76"/>
        <v>02</v>
      </c>
      <c r="F812" s="16" t="str">
        <f t="shared" si="77"/>
        <v>08</v>
      </c>
      <c r="G812" s="57">
        <v>19130208</v>
      </c>
      <c r="H812" s="16" t="s">
        <v>1659</v>
      </c>
      <c r="I812" s="17" t="s">
        <v>1660</v>
      </c>
      <c r="J812" s="16"/>
      <c r="K812" s="16"/>
      <c r="L812" s="16"/>
      <c r="M812" s="17"/>
    </row>
    <row r="813" spans="1:13" ht="25.5" x14ac:dyDescent="0.25">
      <c r="A813" s="14" t="str">
        <f t="shared" si="72"/>
        <v>1</v>
      </c>
      <c r="B813" s="14" t="str">
        <f t="shared" si="73"/>
        <v>9</v>
      </c>
      <c r="C813" s="14" t="str">
        <f t="shared" si="74"/>
        <v>1</v>
      </c>
      <c r="D813" s="14" t="str">
        <f t="shared" si="75"/>
        <v>3</v>
      </c>
      <c r="E813" s="14" t="str">
        <f t="shared" si="76"/>
        <v>03</v>
      </c>
      <c r="F813" s="14" t="str">
        <f t="shared" si="77"/>
        <v>00</v>
      </c>
      <c r="G813" s="56">
        <v>19130300</v>
      </c>
      <c r="H813" s="14" t="s">
        <v>1661</v>
      </c>
      <c r="I813" s="15" t="s">
        <v>1662</v>
      </c>
      <c r="J813" s="14"/>
      <c r="K813" s="14"/>
      <c r="L813" s="14"/>
      <c r="M813" s="14"/>
    </row>
    <row r="814" spans="1:13" ht="38.25" x14ac:dyDescent="0.25">
      <c r="A814" s="16" t="str">
        <f t="shared" si="72"/>
        <v>1</v>
      </c>
      <c r="B814" s="16" t="str">
        <f t="shared" si="73"/>
        <v>9</v>
      </c>
      <c r="C814" s="16" t="str">
        <f t="shared" si="74"/>
        <v>1</v>
      </c>
      <c r="D814" s="16" t="str">
        <f t="shared" si="75"/>
        <v>3</v>
      </c>
      <c r="E814" s="16" t="str">
        <f t="shared" si="76"/>
        <v>03</v>
      </c>
      <c r="F814" s="16" t="str">
        <f t="shared" si="77"/>
        <v>01</v>
      </c>
      <c r="G814" s="57">
        <v>19130301</v>
      </c>
      <c r="H814" s="16" t="s">
        <v>1663</v>
      </c>
      <c r="I814" s="17" t="s">
        <v>1664</v>
      </c>
      <c r="J814" s="16"/>
      <c r="K814" s="16"/>
      <c r="L814" s="16"/>
      <c r="M814" s="17"/>
    </row>
    <row r="815" spans="1:13" ht="38.25" x14ac:dyDescent="0.25">
      <c r="A815" s="16" t="str">
        <f t="shared" si="72"/>
        <v>1</v>
      </c>
      <c r="B815" s="16" t="str">
        <f t="shared" si="73"/>
        <v>9</v>
      </c>
      <c r="C815" s="16" t="str">
        <f t="shared" si="74"/>
        <v>1</v>
      </c>
      <c r="D815" s="16" t="str">
        <f t="shared" si="75"/>
        <v>3</v>
      </c>
      <c r="E815" s="16" t="str">
        <f t="shared" si="76"/>
        <v>03</v>
      </c>
      <c r="F815" s="16" t="str">
        <f t="shared" si="77"/>
        <v>02</v>
      </c>
      <c r="G815" s="57">
        <v>19130302</v>
      </c>
      <c r="H815" s="16" t="s">
        <v>1665</v>
      </c>
      <c r="I815" s="17" t="s">
        <v>1666</v>
      </c>
      <c r="J815" s="16"/>
      <c r="K815" s="16"/>
      <c r="L815" s="16"/>
      <c r="M815" s="17"/>
    </row>
    <row r="816" spans="1:13" ht="38.25" x14ac:dyDescent="0.25">
      <c r="A816" s="16" t="str">
        <f t="shared" si="72"/>
        <v>1</v>
      </c>
      <c r="B816" s="16" t="str">
        <f t="shared" si="73"/>
        <v>9</v>
      </c>
      <c r="C816" s="16" t="str">
        <f t="shared" si="74"/>
        <v>1</v>
      </c>
      <c r="D816" s="16" t="str">
        <f t="shared" si="75"/>
        <v>3</v>
      </c>
      <c r="E816" s="16" t="str">
        <f t="shared" si="76"/>
        <v>03</v>
      </c>
      <c r="F816" s="16" t="str">
        <f t="shared" si="77"/>
        <v>03</v>
      </c>
      <c r="G816" s="57">
        <v>19130303</v>
      </c>
      <c r="H816" s="16" t="s">
        <v>1667</v>
      </c>
      <c r="I816" s="17" t="s">
        <v>1668</v>
      </c>
      <c r="J816" s="16"/>
      <c r="K816" s="16"/>
      <c r="L816" s="16"/>
      <c r="M816" s="17"/>
    </row>
    <row r="817" spans="1:13" ht="38.25" x14ac:dyDescent="0.25">
      <c r="A817" s="16" t="str">
        <f t="shared" si="72"/>
        <v>1</v>
      </c>
      <c r="B817" s="16" t="str">
        <f t="shared" si="73"/>
        <v>9</v>
      </c>
      <c r="C817" s="16" t="str">
        <f t="shared" si="74"/>
        <v>1</v>
      </c>
      <c r="D817" s="16" t="str">
        <f t="shared" si="75"/>
        <v>3</v>
      </c>
      <c r="E817" s="16" t="str">
        <f t="shared" si="76"/>
        <v>03</v>
      </c>
      <c r="F817" s="16" t="str">
        <f t="shared" si="77"/>
        <v>04</v>
      </c>
      <c r="G817" s="57">
        <v>19130304</v>
      </c>
      <c r="H817" s="16" t="s">
        <v>1669</v>
      </c>
      <c r="I817" s="17" t="s">
        <v>1670</v>
      </c>
      <c r="J817" s="16"/>
      <c r="K817" s="16"/>
      <c r="L817" s="16"/>
      <c r="M817" s="17"/>
    </row>
    <row r="818" spans="1:13" ht="51" x14ac:dyDescent="0.25">
      <c r="A818" s="14" t="str">
        <f t="shared" si="72"/>
        <v>1</v>
      </c>
      <c r="B818" s="14" t="str">
        <f t="shared" si="73"/>
        <v>9</v>
      </c>
      <c r="C818" s="14" t="str">
        <f t="shared" si="74"/>
        <v>1</v>
      </c>
      <c r="D818" s="14" t="str">
        <f t="shared" si="75"/>
        <v>3</v>
      </c>
      <c r="E818" s="14" t="str">
        <f t="shared" si="76"/>
        <v>04</v>
      </c>
      <c r="F818" s="14" t="str">
        <f t="shared" si="77"/>
        <v>00</v>
      </c>
      <c r="G818" s="56">
        <v>19130400</v>
      </c>
      <c r="H818" s="14" t="s">
        <v>1671</v>
      </c>
      <c r="I818" s="15" t="s">
        <v>1672</v>
      </c>
      <c r="J818" s="14"/>
      <c r="K818" s="14"/>
      <c r="L818" s="14"/>
      <c r="M818" s="14"/>
    </row>
    <row r="819" spans="1:13" ht="51" x14ac:dyDescent="0.25">
      <c r="A819" s="16" t="str">
        <f t="shared" si="72"/>
        <v>1</v>
      </c>
      <c r="B819" s="16" t="str">
        <f t="shared" si="73"/>
        <v>9</v>
      </c>
      <c r="C819" s="16" t="str">
        <f t="shared" si="74"/>
        <v>1</v>
      </c>
      <c r="D819" s="16" t="str">
        <f t="shared" si="75"/>
        <v>3</v>
      </c>
      <c r="E819" s="16" t="str">
        <f t="shared" si="76"/>
        <v>04</v>
      </c>
      <c r="F819" s="16" t="str">
        <f t="shared" si="77"/>
        <v>01</v>
      </c>
      <c r="G819" s="57">
        <v>19130401</v>
      </c>
      <c r="H819" s="16" t="s">
        <v>1673</v>
      </c>
      <c r="I819" s="17" t="s">
        <v>1674</v>
      </c>
      <c r="J819" s="16"/>
      <c r="K819" s="16"/>
      <c r="L819" s="16"/>
      <c r="M819" s="17"/>
    </row>
    <row r="820" spans="1:13" ht="51" x14ac:dyDescent="0.25">
      <c r="A820" s="16" t="str">
        <f t="shared" si="72"/>
        <v>1</v>
      </c>
      <c r="B820" s="16" t="str">
        <f t="shared" si="73"/>
        <v>9</v>
      </c>
      <c r="C820" s="16" t="str">
        <f t="shared" si="74"/>
        <v>1</v>
      </c>
      <c r="D820" s="16" t="str">
        <f t="shared" si="75"/>
        <v>3</v>
      </c>
      <c r="E820" s="16" t="str">
        <f t="shared" si="76"/>
        <v>04</v>
      </c>
      <c r="F820" s="16" t="str">
        <f t="shared" si="77"/>
        <v>02</v>
      </c>
      <c r="G820" s="57">
        <v>19130402</v>
      </c>
      <c r="H820" s="16" t="s">
        <v>1675</v>
      </c>
      <c r="I820" s="17" t="s">
        <v>1676</v>
      </c>
      <c r="J820" s="16"/>
      <c r="K820" s="16"/>
      <c r="L820" s="16"/>
      <c r="M820" s="17"/>
    </row>
    <row r="821" spans="1:13" ht="25.5" x14ac:dyDescent="0.25">
      <c r="A821" s="14" t="str">
        <f t="shared" si="72"/>
        <v>1</v>
      </c>
      <c r="B821" s="14" t="str">
        <f t="shared" si="73"/>
        <v>9</v>
      </c>
      <c r="C821" s="14" t="str">
        <f t="shared" si="74"/>
        <v>1</v>
      </c>
      <c r="D821" s="14" t="str">
        <f t="shared" si="75"/>
        <v>3</v>
      </c>
      <c r="E821" s="14" t="str">
        <f t="shared" si="76"/>
        <v>07</v>
      </c>
      <c r="F821" s="14" t="str">
        <f t="shared" si="77"/>
        <v>00</v>
      </c>
      <c r="G821" s="56">
        <v>19130700</v>
      </c>
      <c r="H821" s="14" t="s">
        <v>1677</v>
      </c>
      <c r="I821" s="15" t="s">
        <v>1678</v>
      </c>
      <c r="J821" s="14"/>
      <c r="K821" s="14"/>
      <c r="L821" s="14"/>
      <c r="M821" s="14"/>
    </row>
    <row r="822" spans="1:13" ht="38.25" x14ac:dyDescent="0.25">
      <c r="A822" s="16" t="str">
        <f t="shared" si="72"/>
        <v>1</v>
      </c>
      <c r="B822" s="16" t="str">
        <f t="shared" si="73"/>
        <v>9</v>
      </c>
      <c r="C822" s="16" t="str">
        <f t="shared" si="74"/>
        <v>1</v>
      </c>
      <c r="D822" s="16" t="str">
        <f t="shared" si="75"/>
        <v>3</v>
      </c>
      <c r="E822" s="16" t="str">
        <f t="shared" si="76"/>
        <v>07</v>
      </c>
      <c r="F822" s="16" t="str">
        <f t="shared" si="77"/>
        <v>01</v>
      </c>
      <c r="G822" s="57">
        <v>19130701</v>
      </c>
      <c r="H822" s="16" t="s">
        <v>1679</v>
      </c>
      <c r="I822" s="17" t="s">
        <v>1680</v>
      </c>
      <c r="J822" s="16"/>
      <c r="K822" s="16"/>
      <c r="L822" s="16"/>
      <c r="M822" s="17"/>
    </row>
    <row r="823" spans="1:13" ht="38.25" x14ac:dyDescent="0.25">
      <c r="A823" s="16" t="str">
        <f t="shared" si="72"/>
        <v>1</v>
      </c>
      <c r="B823" s="16" t="str">
        <f t="shared" si="73"/>
        <v>9</v>
      </c>
      <c r="C823" s="16" t="str">
        <f t="shared" si="74"/>
        <v>1</v>
      </c>
      <c r="D823" s="16" t="str">
        <f t="shared" si="75"/>
        <v>3</v>
      </c>
      <c r="E823" s="16" t="str">
        <f t="shared" si="76"/>
        <v>07</v>
      </c>
      <c r="F823" s="16" t="str">
        <f t="shared" si="77"/>
        <v>02</v>
      </c>
      <c r="G823" s="57">
        <v>19130702</v>
      </c>
      <c r="H823" s="16" t="s">
        <v>1681</v>
      </c>
      <c r="I823" s="17" t="s">
        <v>1682</v>
      </c>
      <c r="J823" s="16"/>
      <c r="K823" s="16"/>
      <c r="L823" s="16"/>
      <c r="M823" s="17"/>
    </row>
    <row r="824" spans="1:13" ht="38.25" x14ac:dyDescent="0.25">
      <c r="A824" s="14" t="str">
        <f t="shared" si="72"/>
        <v>1</v>
      </c>
      <c r="B824" s="14" t="str">
        <f t="shared" si="73"/>
        <v>9</v>
      </c>
      <c r="C824" s="14" t="str">
        <f t="shared" si="74"/>
        <v>1</v>
      </c>
      <c r="D824" s="14" t="str">
        <f t="shared" si="75"/>
        <v>3</v>
      </c>
      <c r="E824" s="14" t="str">
        <f t="shared" si="76"/>
        <v>08</v>
      </c>
      <c r="F824" s="14" t="str">
        <f t="shared" si="77"/>
        <v>00</v>
      </c>
      <c r="G824" s="56">
        <v>19130800</v>
      </c>
      <c r="H824" s="14" t="s">
        <v>1683</v>
      </c>
      <c r="I824" s="15" t="s">
        <v>1684</v>
      </c>
      <c r="J824" s="14"/>
      <c r="K824" s="14"/>
      <c r="L824" s="14"/>
      <c r="M824" s="14"/>
    </row>
    <row r="825" spans="1:13" ht="38.25" x14ac:dyDescent="0.25">
      <c r="A825" s="16" t="str">
        <f t="shared" si="72"/>
        <v>1</v>
      </c>
      <c r="B825" s="16" t="str">
        <f t="shared" si="73"/>
        <v>9</v>
      </c>
      <c r="C825" s="16" t="str">
        <f t="shared" si="74"/>
        <v>1</v>
      </c>
      <c r="D825" s="16" t="str">
        <f t="shared" si="75"/>
        <v>3</v>
      </c>
      <c r="E825" s="16" t="str">
        <f t="shared" si="76"/>
        <v>08</v>
      </c>
      <c r="F825" s="16" t="str">
        <f t="shared" si="77"/>
        <v>01</v>
      </c>
      <c r="G825" s="57">
        <v>19130801</v>
      </c>
      <c r="H825" s="16" t="s">
        <v>1685</v>
      </c>
      <c r="I825" s="17" t="s">
        <v>1686</v>
      </c>
      <c r="J825" s="16"/>
      <c r="K825" s="16"/>
      <c r="L825" s="16"/>
      <c r="M825" s="17"/>
    </row>
    <row r="826" spans="1:13" ht="38.25" x14ac:dyDescent="0.25">
      <c r="A826" s="16" t="str">
        <f t="shared" si="72"/>
        <v>1</v>
      </c>
      <c r="B826" s="16" t="str">
        <f t="shared" si="73"/>
        <v>9</v>
      </c>
      <c r="C826" s="16" t="str">
        <f t="shared" si="74"/>
        <v>1</v>
      </c>
      <c r="D826" s="16" t="str">
        <f t="shared" si="75"/>
        <v>3</v>
      </c>
      <c r="E826" s="16" t="str">
        <f t="shared" si="76"/>
        <v>08</v>
      </c>
      <c r="F826" s="16" t="str">
        <f t="shared" si="77"/>
        <v>02</v>
      </c>
      <c r="G826" s="57">
        <v>19130802</v>
      </c>
      <c r="H826" s="16" t="s">
        <v>1687</v>
      </c>
      <c r="I826" s="17" t="s">
        <v>1688</v>
      </c>
      <c r="J826" s="16"/>
      <c r="K826" s="16"/>
      <c r="L826" s="16"/>
      <c r="M826" s="17"/>
    </row>
    <row r="827" spans="1:13" ht="38.25" x14ac:dyDescent="0.25">
      <c r="A827" s="14" t="str">
        <f t="shared" si="72"/>
        <v>1</v>
      </c>
      <c r="B827" s="14" t="str">
        <f t="shared" si="73"/>
        <v>9</v>
      </c>
      <c r="C827" s="14" t="str">
        <f t="shared" si="74"/>
        <v>1</v>
      </c>
      <c r="D827" s="14" t="str">
        <f t="shared" si="75"/>
        <v>3</v>
      </c>
      <c r="E827" s="14" t="str">
        <f t="shared" si="76"/>
        <v>09</v>
      </c>
      <c r="F827" s="14" t="str">
        <f t="shared" si="77"/>
        <v>00</v>
      </c>
      <c r="G827" s="56">
        <v>19130900</v>
      </c>
      <c r="H827" s="14" t="s">
        <v>1689</v>
      </c>
      <c r="I827" s="15" t="s">
        <v>1690</v>
      </c>
      <c r="J827" s="14"/>
      <c r="K827" s="14" t="s">
        <v>151</v>
      </c>
      <c r="L827" s="14" t="s">
        <v>1436</v>
      </c>
      <c r="M827" s="14"/>
    </row>
    <row r="828" spans="1:13" ht="25.5" x14ac:dyDescent="0.25">
      <c r="A828" s="16" t="str">
        <f t="shared" si="72"/>
        <v>1</v>
      </c>
      <c r="B828" s="16" t="str">
        <f t="shared" si="73"/>
        <v>9</v>
      </c>
      <c r="C828" s="16" t="str">
        <f t="shared" si="74"/>
        <v>1</v>
      </c>
      <c r="D828" s="16" t="str">
        <f t="shared" si="75"/>
        <v>3</v>
      </c>
      <c r="E828" s="16" t="str">
        <f t="shared" si="76"/>
        <v>09</v>
      </c>
      <c r="F828" s="16" t="str">
        <f t="shared" si="77"/>
        <v>01</v>
      </c>
      <c r="G828" s="57">
        <v>19130901</v>
      </c>
      <c r="H828" s="16" t="s">
        <v>1691</v>
      </c>
      <c r="I828" s="17" t="s">
        <v>1692</v>
      </c>
      <c r="J828" s="16"/>
      <c r="K828" s="16" t="s">
        <v>217</v>
      </c>
      <c r="L828" s="16" t="s">
        <v>1439</v>
      </c>
      <c r="M828" s="17"/>
    </row>
    <row r="829" spans="1:13" ht="25.5" x14ac:dyDescent="0.25">
      <c r="A829" s="16" t="str">
        <f t="shared" si="72"/>
        <v>1</v>
      </c>
      <c r="B829" s="16" t="str">
        <f t="shared" si="73"/>
        <v>9</v>
      </c>
      <c r="C829" s="16" t="str">
        <f t="shared" si="74"/>
        <v>1</v>
      </c>
      <c r="D829" s="16" t="str">
        <f t="shared" si="75"/>
        <v>3</v>
      </c>
      <c r="E829" s="16" t="str">
        <f t="shared" si="76"/>
        <v>09</v>
      </c>
      <c r="F829" s="16" t="str">
        <f t="shared" si="77"/>
        <v>02</v>
      </c>
      <c r="G829" s="57">
        <v>19130902</v>
      </c>
      <c r="H829" s="16" t="s">
        <v>1693</v>
      </c>
      <c r="I829" s="17" t="s">
        <v>1694</v>
      </c>
      <c r="J829" s="16"/>
      <c r="K829" s="16" t="s">
        <v>217</v>
      </c>
      <c r="L829" s="16" t="s">
        <v>1439</v>
      </c>
      <c r="M829" s="17"/>
    </row>
    <row r="830" spans="1:13" ht="38.25" x14ac:dyDescent="0.25">
      <c r="A830" s="14" t="str">
        <f t="shared" si="72"/>
        <v>1</v>
      </c>
      <c r="B830" s="14" t="str">
        <f t="shared" si="73"/>
        <v>9</v>
      </c>
      <c r="C830" s="14" t="str">
        <f t="shared" si="74"/>
        <v>1</v>
      </c>
      <c r="D830" s="14" t="str">
        <f t="shared" si="75"/>
        <v>3</v>
      </c>
      <c r="E830" s="14" t="str">
        <f t="shared" si="76"/>
        <v>10</v>
      </c>
      <c r="F830" s="14" t="str">
        <f t="shared" si="77"/>
        <v>00</v>
      </c>
      <c r="G830" s="56">
        <v>19131000</v>
      </c>
      <c r="H830" s="14" t="s">
        <v>1695</v>
      </c>
      <c r="I830" s="15" t="s">
        <v>1696</v>
      </c>
      <c r="J830" s="14"/>
      <c r="K830" s="14"/>
      <c r="L830" s="14"/>
      <c r="M830" s="14"/>
    </row>
    <row r="831" spans="1:13" ht="38.25" x14ac:dyDescent="0.25">
      <c r="A831" s="14" t="str">
        <f t="shared" si="72"/>
        <v>1</v>
      </c>
      <c r="B831" s="14" t="str">
        <f t="shared" si="73"/>
        <v>9</v>
      </c>
      <c r="C831" s="14" t="str">
        <f t="shared" si="74"/>
        <v>1</v>
      </c>
      <c r="D831" s="14" t="str">
        <f t="shared" si="75"/>
        <v>3</v>
      </c>
      <c r="E831" s="14" t="str">
        <f t="shared" si="76"/>
        <v>11</v>
      </c>
      <c r="F831" s="14" t="str">
        <f t="shared" si="77"/>
        <v>00</v>
      </c>
      <c r="G831" s="56">
        <v>19131100</v>
      </c>
      <c r="H831" s="14" t="s">
        <v>1697</v>
      </c>
      <c r="I831" s="15" t="s">
        <v>1698</v>
      </c>
      <c r="J831" s="14"/>
      <c r="K831" s="14"/>
      <c r="L831" s="14"/>
      <c r="M831" s="14"/>
    </row>
    <row r="832" spans="1:13" ht="38.25" x14ac:dyDescent="0.25">
      <c r="A832" s="14" t="str">
        <f t="shared" si="72"/>
        <v>1</v>
      </c>
      <c r="B832" s="14" t="str">
        <f t="shared" si="73"/>
        <v>9</v>
      </c>
      <c r="C832" s="14" t="str">
        <f t="shared" si="74"/>
        <v>1</v>
      </c>
      <c r="D832" s="14" t="str">
        <f t="shared" si="75"/>
        <v>3</v>
      </c>
      <c r="E832" s="14" t="str">
        <f t="shared" si="76"/>
        <v>12</v>
      </c>
      <c r="F832" s="14" t="str">
        <f t="shared" si="77"/>
        <v>00</v>
      </c>
      <c r="G832" s="56">
        <v>19131200</v>
      </c>
      <c r="H832" s="14" t="s">
        <v>1699</v>
      </c>
      <c r="I832" s="15" t="s">
        <v>1700</v>
      </c>
      <c r="J832" s="14"/>
      <c r="K832" s="14"/>
      <c r="L832" s="14"/>
      <c r="M832" s="14"/>
    </row>
    <row r="833" spans="1:13" ht="38.25" x14ac:dyDescent="0.25">
      <c r="A833" s="14" t="str">
        <f t="shared" si="72"/>
        <v>1</v>
      </c>
      <c r="B833" s="14" t="str">
        <f t="shared" si="73"/>
        <v>9</v>
      </c>
      <c r="C833" s="14" t="str">
        <f t="shared" si="74"/>
        <v>1</v>
      </c>
      <c r="D833" s="14" t="str">
        <f t="shared" si="75"/>
        <v>3</v>
      </c>
      <c r="E833" s="14" t="str">
        <f t="shared" si="76"/>
        <v>13</v>
      </c>
      <c r="F833" s="14" t="str">
        <f t="shared" si="77"/>
        <v>00</v>
      </c>
      <c r="G833" s="56">
        <v>19131300</v>
      </c>
      <c r="H833" s="14" t="s">
        <v>1701</v>
      </c>
      <c r="I833" s="15" t="s">
        <v>1702</v>
      </c>
      <c r="J833" s="14"/>
      <c r="K833" s="14"/>
      <c r="L833" s="14"/>
      <c r="M833" s="14"/>
    </row>
    <row r="834" spans="1:13" ht="38.25" x14ac:dyDescent="0.25">
      <c r="A834" s="14" t="str">
        <f t="shared" si="72"/>
        <v>1</v>
      </c>
      <c r="B834" s="14" t="str">
        <f t="shared" si="73"/>
        <v>9</v>
      </c>
      <c r="C834" s="14" t="str">
        <f t="shared" si="74"/>
        <v>1</v>
      </c>
      <c r="D834" s="14" t="str">
        <f t="shared" si="75"/>
        <v>3</v>
      </c>
      <c r="E834" s="14" t="str">
        <f t="shared" si="76"/>
        <v>14</v>
      </c>
      <c r="F834" s="14" t="str">
        <f t="shared" si="77"/>
        <v>00</v>
      </c>
      <c r="G834" s="56">
        <v>19131400</v>
      </c>
      <c r="H834" s="14" t="s">
        <v>1703</v>
      </c>
      <c r="I834" s="15" t="s">
        <v>1704</v>
      </c>
      <c r="J834" s="14"/>
      <c r="K834" s="14"/>
      <c r="L834" s="14"/>
      <c r="M834" s="14"/>
    </row>
    <row r="835" spans="1:13" ht="38.25" x14ac:dyDescent="0.25">
      <c r="A835" s="14" t="str">
        <f t="shared" si="72"/>
        <v>1</v>
      </c>
      <c r="B835" s="14" t="str">
        <f t="shared" si="73"/>
        <v>9</v>
      </c>
      <c r="C835" s="14" t="str">
        <f t="shared" si="74"/>
        <v>1</v>
      </c>
      <c r="D835" s="14" t="str">
        <f t="shared" si="75"/>
        <v>3</v>
      </c>
      <c r="E835" s="14" t="str">
        <f t="shared" si="76"/>
        <v>15</v>
      </c>
      <c r="F835" s="14" t="str">
        <f t="shared" si="77"/>
        <v>00</v>
      </c>
      <c r="G835" s="56">
        <v>19131500</v>
      </c>
      <c r="H835" s="14" t="s">
        <v>1705</v>
      </c>
      <c r="I835" s="15" t="s">
        <v>1706</v>
      </c>
      <c r="J835" s="14"/>
      <c r="K835" s="14"/>
      <c r="L835" s="14"/>
      <c r="M835" s="14"/>
    </row>
    <row r="836" spans="1:13" ht="25.5" x14ac:dyDescent="0.25">
      <c r="A836" s="14" t="str">
        <f t="shared" ref="A836:A899" si="78">MID(G836,1,1)</f>
        <v>1</v>
      </c>
      <c r="B836" s="14" t="str">
        <f t="shared" ref="B836:B899" si="79">MID(G836,2,1)</f>
        <v>9</v>
      </c>
      <c r="C836" s="14" t="str">
        <f t="shared" ref="C836:C899" si="80">MID(G836,3,1)</f>
        <v>1</v>
      </c>
      <c r="D836" s="14" t="str">
        <f t="shared" ref="D836:D899" si="81">MID(G836,4,1)</f>
        <v>3</v>
      </c>
      <c r="E836" s="14" t="str">
        <f t="shared" ref="E836:E899" si="82">MID(G836,5,2)</f>
        <v>16</v>
      </c>
      <c r="F836" s="14" t="str">
        <f t="shared" ref="F836:F899" si="83">MID(G836,7,2)</f>
        <v>00</v>
      </c>
      <c r="G836" s="56">
        <v>19131600</v>
      </c>
      <c r="H836" s="14" t="s">
        <v>1707</v>
      </c>
      <c r="I836" s="15" t="s">
        <v>1708</v>
      </c>
      <c r="J836" s="14"/>
      <c r="K836" s="14"/>
      <c r="L836" s="14"/>
      <c r="M836" s="14"/>
    </row>
    <row r="837" spans="1:13" ht="38.25" x14ac:dyDescent="0.25">
      <c r="A837" s="14" t="str">
        <f t="shared" si="78"/>
        <v>1</v>
      </c>
      <c r="B837" s="14" t="str">
        <f t="shared" si="79"/>
        <v>9</v>
      </c>
      <c r="C837" s="14" t="str">
        <f t="shared" si="80"/>
        <v>1</v>
      </c>
      <c r="D837" s="14" t="str">
        <f t="shared" si="81"/>
        <v>3</v>
      </c>
      <c r="E837" s="14" t="str">
        <f t="shared" si="82"/>
        <v>20</v>
      </c>
      <c r="F837" s="14" t="str">
        <f t="shared" si="83"/>
        <v>00</v>
      </c>
      <c r="G837" s="56">
        <v>19132000</v>
      </c>
      <c r="H837" s="14" t="s">
        <v>1709</v>
      </c>
      <c r="I837" s="15" t="s">
        <v>1710</v>
      </c>
      <c r="J837" s="14"/>
      <c r="K837" s="14"/>
      <c r="L837" s="14"/>
      <c r="M837" s="14"/>
    </row>
    <row r="838" spans="1:13" ht="25.5" x14ac:dyDescent="0.25">
      <c r="A838" s="14" t="str">
        <f t="shared" si="78"/>
        <v>1</v>
      </c>
      <c r="B838" s="14" t="str">
        <f t="shared" si="79"/>
        <v>9</v>
      </c>
      <c r="C838" s="14" t="str">
        <f t="shared" si="80"/>
        <v>1</v>
      </c>
      <c r="D838" s="14" t="str">
        <f t="shared" si="81"/>
        <v>3</v>
      </c>
      <c r="E838" s="14" t="str">
        <f t="shared" si="82"/>
        <v>35</v>
      </c>
      <c r="F838" s="14" t="str">
        <f t="shared" si="83"/>
        <v>00</v>
      </c>
      <c r="G838" s="56">
        <v>19133500</v>
      </c>
      <c r="H838" s="14" t="s">
        <v>1711</v>
      </c>
      <c r="I838" s="15" t="s">
        <v>1712</v>
      </c>
      <c r="J838" s="14"/>
      <c r="K838" s="14"/>
      <c r="L838" s="14"/>
      <c r="M838" s="14"/>
    </row>
    <row r="839" spans="1:13" ht="25.5" x14ac:dyDescent="0.25">
      <c r="A839" s="14" t="str">
        <f t="shared" si="78"/>
        <v>1</v>
      </c>
      <c r="B839" s="14" t="str">
        <f t="shared" si="79"/>
        <v>9</v>
      </c>
      <c r="C839" s="14" t="str">
        <f t="shared" si="80"/>
        <v>1</v>
      </c>
      <c r="D839" s="14" t="str">
        <f t="shared" si="81"/>
        <v>3</v>
      </c>
      <c r="E839" s="14" t="str">
        <f t="shared" si="82"/>
        <v>98</v>
      </c>
      <c r="F839" s="14" t="str">
        <f t="shared" si="83"/>
        <v>00</v>
      </c>
      <c r="G839" s="56">
        <v>19139800</v>
      </c>
      <c r="H839" s="14" t="s">
        <v>1713</v>
      </c>
      <c r="I839" s="15" t="s">
        <v>1714</v>
      </c>
      <c r="J839" s="14"/>
      <c r="K839" s="14"/>
      <c r="L839" s="14"/>
      <c r="M839" s="14"/>
    </row>
    <row r="840" spans="1:13" ht="25.5" x14ac:dyDescent="0.25">
      <c r="A840" s="14" t="str">
        <f t="shared" si="78"/>
        <v>1</v>
      </c>
      <c r="B840" s="14" t="str">
        <f t="shared" si="79"/>
        <v>9</v>
      </c>
      <c r="C840" s="14" t="str">
        <f t="shared" si="80"/>
        <v>1</v>
      </c>
      <c r="D840" s="14" t="str">
        <f t="shared" si="81"/>
        <v>3</v>
      </c>
      <c r="E840" s="14" t="str">
        <f t="shared" si="82"/>
        <v>99</v>
      </c>
      <c r="F840" s="14" t="str">
        <f t="shared" si="83"/>
        <v>00</v>
      </c>
      <c r="G840" s="56">
        <v>19139900</v>
      </c>
      <c r="H840" s="14" t="s">
        <v>1715</v>
      </c>
      <c r="I840" s="15" t="s">
        <v>1716</v>
      </c>
      <c r="J840" s="14"/>
      <c r="K840" s="14"/>
      <c r="L840" s="14"/>
      <c r="M840" s="14"/>
    </row>
    <row r="841" spans="1:13" ht="25.5" x14ac:dyDescent="0.25">
      <c r="A841" s="12" t="str">
        <f t="shared" si="78"/>
        <v>1</v>
      </c>
      <c r="B841" s="12" t="str">
        <f t="shared" si="79"/>
        <v>9</v>
      </c>
      <c r="C841" s="12" t="str">
        <f t="shared" si="80"/>
        <v>1</v>
      </c>
      <c r="D841" s="12" t="str">
        <f t="shared" si="81"/>
        <v>4</v>
      </c>
      <c r="E841" s="12" t="str">
        <f t="shared" si="82"/>
        <v>00</v>
      </c>
      <c r="F841" s="12" t="str">
        <f t="shared" si="83"/>
        <v>00</v>
      </c>
      <c r="G841" s="55">
        <v>19140000</v>
      </c>
      <c r="H841" s="12" t="s">
        <v>1717</v>
      </c>
      <c r="I841" s="13" t="s">
        <v>1718</v>
      </c>
      <c r="J841" s="12"/>
      <c r="K841" s="12"/>
      <c r="L841" s="12"/>
      <c r="M841" s="13"/>
    </row>
    <row r="842" spans="1:13" ht="38.25" x14ac:dyDescent="0.25">
      <c r="A842" s="14" t="str">
        <f t="shared" si="78"/>
        <v>1</v>
      </c>
      <c r="B842" s="14" t="str">
        <f t="shared" si="79"/>
        <v>9</v>
      </c>
      <c r="C842" s="14" t="str">
        <f t="shared" si="80"/>
        <v>1</v>
      </c>
      <c r="D842" s="14" t="str">
        <f t="shared" si="81"/>
        <v>4</v>
      </c>
      <c r="E842" s="14" t="str">
        <f t="shared" si="82"/>
        <v>01</v>
      </c>
      <c r="F842" s="14" t="str">
        <f t="shared" si="83"/>
        <v>00</v>
      </c>
      <c r="G842" s="56">
        <v>19140100</v>
      </c>
      <c r="H842" s="14" t="s">
        <v>1719</v>
      </c>
      <c r="I842" s="15" t="s">
        <v>1720</v>
      </c>
      <c r="J842" s="14"/>
      <c r="K842" s="14"/>
      <c r="L842" s="14"/>
      <c r="M842" s="14"/>
    </row>
    <row r="843" spans="1:13" ht="38.25" x14ac:dyDescent="0.25">
      <c r="A843" s="16" t="str">
        <f t="shared" si="78"/>
        <v>1</v>
      </c>
      <c r="B843" s="16" t="str">
        <f t="shared" si="79"/>
        <v>9</v>
      </c>
      <c r="C843" s="16" t="str">
        <f t="shared" si="80"/>
        <v>1</v>
      </c>
      <c r="D843" s="16" t="str">
        <f t="shared" si="81"/>
        <v>4</v>
      </c>
      <c r="E843" s="16" t="str">
        <f t="shared" si="82"/>
        <v>01</v>
      </c>
      <c r="F843" s="16" t="str">
        <f t="shared" si="83"/>
        <v>01</v>
      </c>
      <c r="G843" s="57">
        <v>19140101</v>
      </c>
      <c r="H843" s="16" t="s">
        <v>1721</v>
      </c>
      <c r="I843" s="17" t="s">
        <v>1722</v>
      </c>
      <c r="J843" s="16"/>
      <c r="K843" s="16"/>
      <c r="L843" s="16"/>
      <c r="M843" s="17"/>
    </row>
    <row r="844" spans="1:13" ht="38.25" x14ac:dyDescent="0.25">
      <c r="A844" s="16" t="str">
        <f t="shared" si="78"/>
        <v>1</v>
      </c>
      <c r="B844" s="16" t="str">
        <f t="shared" si="79"/>
        <v>9</v>
      </c>
      <c r="C844" s="16" t="str">
        <f t="shared" si="80"/>
        <v>1</v>
      </c>
      <c r="D844" s="16" t="str">
        <f t="shared" si="81"/>
        <v>4</v>
      </c>
      <c r="E844" s="16" t="str">
        <f t="shared" si="82"/>
        <v>01</v>
      </c>
      <c r="F844" s="16" t="str">
        <f t="shared" si="83"/>
        <v>02</v>
      </c>
      <c r="G844" s="57">
        <v>19140102</v>
      </c>
      <c r="H844" s="16" t="s">
        <v>1723</v>
      </c>
      <c r="I844" s="17" t="s">
        <v>1724</v>
      </c>
      <c r="J844" s="16"/>
      <c r="K844" s="16"/>
      <c r="L844" s="16"/>
      <c r="M844" s="17"/>
    </row>
    <row r="845" spans="1:13" ht="25.5" x14ac:dyDescent="0.25">
      <c r="A845" s="14" t="str">
        <f t="shared" si="78"/>
        <v>1</v>
      </c>
      <c r="B845" s="14" t="str">
        <f t="shared" si="79"/>
        <v>9</v>
      </c>
      <c r="C845" s="14" t="str">
        <f t="shared" si="80"/>
        <v>1</v>
      </c>
      <c r="D845" s="14" t="str">
        <f t="shared" si="81"/>
        <v>4</v>
      </c>
      <c r="E845" s="14" t="str">
        <f t="shared" si="82"/>
        <v>02</v>
      </c>
      <c r="F845" s="14" t="str">
        <f t="shared" si="83"/>
        <v>00</v>
      </c>
      <c r="G845" s="56">
        <v>19140200</v>
      </c>
      <c r="H845" s="14" t="s">
        <v>1725</v>
      </c>
      <c r="I845" s="15" t="s">
        <v>1726</v>
      </c>
      <c r="J845" s="14"/>
      <c r="K845" s="14"/>
      <c r="L845" s="14"/>
      <c r="M845" s="14"/>
    </row>
    <row r="846" spans="1:13" ht="51" x14ac:dyDescent="0.25">
      <c r="A846" s="14" t="str">
        <f t="shared" si="78"/>
        <v>1</v>
      </c>
      <c r="B846" s="14" t="str">
        <f t="shared" si="79"/>
        <v>9</v>
      </c>
      <c r="C846" s="14" t="str">
        <f t="shared" si="80"/>
        <v>1</v>
      </c>
      <c r="D846" s="14" t="str">
        <f t="shared" si="81"/>
        <v>4</v>
      </c>
      <c r="E846" s="14" t="str">
        <f t="shared" si="82"/>
        <v>03</v>
      </c>
      <c r="F846" s="14" t="str">
        <f t="shared" si="83"/>
        <v>00</v>
      </c>
      <c r="G846" s="56">
        <v>19140300</v>
      </c>
      <c r="H846" s="14" t="s">
        <v>1727</v>
      </c>
      <c r="I846" s="15" t="s">
        <v>1728</v>
      </c>
      <c r="J846" s="14"/>
      <c r="K846" s="14"/>
      <c r="L846" s="14"/>
      <c r="M846" s="14"/>
    </row>
    <row r="847" spans="1:13" ht="63.75" x14ac:dyDescent="0.25">
      <c r="A847" s="16" t="str">
        <f t="shared" si="78"/>
        <v>1</v>
      </c>
      <c r="B847" s="16" t="str">
        <f t="shared" si="79"/>
        <v>9</v>
      </c>
      <c r="C847" s="16" t="str">
        <f t="shared" si="80"/>
        <v>1</v>
      </c>
      <c r="D847" s="16" t="str">
        <f t="shared" si="81"/>
        <v>4</v>
      </c>
      <c r="E847" s="16" t="str">
        <f t="shared" si="82"/>
        <v>03</v>
      </c>
      <c r="F847" s="16" t="str">
        <f t="shared" si="83"/>
        <v>01</v>
      </c>
      <c r="G847" s="57">
        <v>19140301</v>
      </c>
      <c r="H847" s="16" t="s">
        <v>1729</v>
      </c>
      <c r="I847" s="17" t="s">
        <v>1730</v>
      </c>
      <c r="J847" s="16"/>
      <c r="K847" s="16"/>
      <c r="L847" s="16"/>
      <c r="M847" s="17"/>
    </row>
    <row r="848" spans="1:13" ht="38.25" x14ac:dyDescent="0.25">
      <c r="A848" s="16" t="str">
        <f t="shared" si="78"/>
        <v>1</v>
      </c>
      <c r="B848" s="16" t="str">
        <f t="shared" si="79"/>
        <v>9</v>
      </c>
      <c r="C848" s="16" t="str">
        <f t="shared" si="80"/>
        <v>1</v>
      </c>
      <c r="D848" s="16" t="str">
        <f t="shared" si="81"/>
        <v>4</v>
      </c>
      <c r="E848" s="16" t="str">
        <f t="shared" si="82"/>
        <v>03</v>
      </c>
      <c r="F848" s="16" t="str">
        <f t="shared" si="83"/>
        <v>02</v>
      </c>
      <c r="G848" s="57">
        <v>19140302</v>
      </c>
      <c r="H848" s="16" t="s">
        <v>1731</v>
      </c>
      <c r="I848" s="17" t="s">
        <v>1732</v>
      </c>
      <c r="J848" s="16"/>
      <c r="K848" s="16"/>
      <c r="L848" s="16"/>
      <c r="M848" s="17"/>
    </row>
    <row r="849" spans="1:13" ht="38.25" x14ac:dyDescent="0.25">
      <c r="A849" s="14" t="str">
        <f t="shared" si="78"/>
        <v>1</v>
      </c>
      <c r="B849" s="14" t="str">
        <f t="shared" si="79"/>
        <v>9</v>
      </c>
      <c r="C849" s="14" t="str">
        <f t="shared" si="80"/>
        <v>1</v>
      </c>
      <c r="D849" s="14" t="str">
        <f t="shared" si="81"/>
        <v>4</v>
      </c>
      <c r="E849" s="14" t="str">
        <f t="shared" si="82"/>
        <v>04</v>
      </c>
      <c r="F849" s="14" t="str">
        <f t="shared" si="83"/>
        <v>00</v>
      </c>
      <c r="G849" s="56">
        <v>19140400</v>
      </c>
      <c r="H849" s="14" t="s">
        <v>1733</v>
      </c>
      <c r="I849" s="15" t="s">
        <v>1734</v>
      </c>
      <c r="J849" s="14"/>
      <c r="K849" s="14"/>
      <c r="L849" s="14"/>
      <c r="M849" s="14"/>
    </row>
    <row r="850" spans="1:13" ht="38.25" x14ac:dyDescent="0.25">
      <c r="A850" s="16" t="str">
        <f t="shared" si="78"/>
        <v>1</v>
      </c>
      <c r="B850" s="16" t="str">
        <f t="shared" si="79"/>
        <v>9</v>
      </c>
      <c r="C850" s="16" t="str">
        <f t="shared" si="80"/>
        <v>1</v>
      </c>
      <c r="D850" s="16" t="str">
        <f t="shared" si="81"/>
        <v>4</v>
      </c>
      <c r="E850" s="16" t="str">
        <f t="shared" si="82"/>
        <v>04</v>
      </c>
      <c r="F850" s="16" t="str">
        <f t="shared" si="83"/>
        <v>01</v>
      </c>
      <c r="G850" s="57">
        <v>19140401</v>
      </c>
      <c r="H850" s="16" t="s">
        <v>1735</v>
      </c>
      <c r="I850" s="17" t="s">
        <v>1736</v>
      </c>
      <c r="J850" s="16"/>
      <c r="K850" s="16"/>
      <c r="L850" s="16"/>
      <c r="M850" s="17"/>
    </row>
    <row r="851" spans="1:13" ht="38.25" x14ac:dyDescent="0.25">
      <c r="A851" s="16" t="str">
        <f t="shared" si="78"/>
        <v>1</v>
      </c>
      <c r="B851" s="16" t="str">
        <f t="shared" si="79"/>
        <v>9</v>
      </c>
      <c r="C851" s="16" t="str">
        <f t="shared" si="80"/>
        <v>1</v>
      </c>
      <c r="D851" s="16" t="str">
        <f t="shared" si="81"/>
        <v>4</v>
      </c>
      <c r="E851" s="16" t="str">
        <f t="shared" si="82"/>
        <v>04</v>
      </c>
      <c r="F851" s="16" t="str">
        <f t="shared" si="83"/>
        <v>02</v>
      </c>
      <c r="G851" s="57">
        <v>19140402</v>
      </c>
      <c r="H851" s="16" t="s">
        <v>1737</v>
      </c>
      <c r="I851" s="17" t="s">
        <v>1738</v>
      </c>
      <c r="J851" s="16"/>
      <c r="K851" s="16"/>
      <c r="L851" s="16"/>
      <c r="M851" s="17"/>
    </row>
    <row r="852" spans="1:13" ht="38.25" x14ac:dyDescent="0.25">
      <c r="A852" s="16" t="str">
        <f t="shared" si="78"/>
        <v>1</v>
      </c>
      <c r="B852" s="16" t="str">
        <f t="shared" si="79"/>
        <v>9</v>
      </c>
      <c r="C852" s="16" t="str">
        <f t="shared" si="80"/>
        <v>1</v>
      </c>
      <c r="D852" s="16" t="str">
        <f t="shared" si="81"/>
        <v>4</v>
      </c>
      <c r="E852" s="16" t="str">
        <f t="shared" si="82"/>
        <v>04</v>
      </c>
      <c r="F852" s="16" t="str">
        <f t="shared" si="83"/>
        <v>03</v>
      </c>
      <c r="G852" s="57">
        <v>19140403</v>
      </c>
      <c r="H852" s="16" t="s">
        <v>1739</v>
      </c>
      <c r="I852" s="17" t="s">
        <v>1740</v>
      </c>
      <c r="J852" s="16"/>
      <c r="K852" s="16"/>
      <c r="L852" s="16"/>
      <c r="M852" s="17"/>
    </row>
    <row r="853" spans="1:13" ht="38.25" x14ac:dyDescent="0.25">
      <c r="A853" s="16" t="str">
        <f t="shared" si="78"/>
        <v>1</v>
      </c>
      <c r="B853" s="16" t="str">
        <f t="shared" si="79"/>
        <v>9</v>
      </c>
      <c r="C853" s="16" t="str">
        <f t="shared" si="80"/>
        <v>1</v>
      </c>
      <c r="D853" s="16" t="str">
        <f t="shared" si="81"/>
        <v>4</v>
      </c>
      <c r="E853" s="16" t="str">
        <f t="shared" si="82"/>
        <v>04</v>
      </c>
      <c r="F853" s="16" t="str">
        <f t="shared" si="83"/>
        <v>04</v>
      </c>
      <c r="G853" s="57">
        <v>19140404</v>
      </c>
      <c r="H853" s="16" t="s">
        <v>1741</v>
      </c>
      <c r="I853" s="17" t="s">
        <v>1742</v>
      </c>
      <c r="J853" s="16"/>
      <c r="K853" s="16"/>
      <c r="L853" s="16"/>
      <c r="M853" s="17"/>
    </row>
    <row r="854" spans="1:13" ht="38.25" x14ac:dyDescent="0.25">
      <c r="A854" s="16" t="str">
        <f t="shared" si="78"/>
        <v>1</v>
      </c>
      <c r="B854" s="16" t="str">
        <f t="shared" si="79"/>
        <v>9</v>
      </c>
      <c r="C854" s="16" t="str">
        <f t="shared" si="80"/>
        <v>1</v>
      </c>
      <c r="D854" s="16" t="str">
        <f t="shared" si="81"/>
        <v>4</v>
      </c>
      <c r="E854" s="16" t="str">
        <f t="shared" si="82"/>
        <v>04</v>
      </c>
      <c r="F854" s="16" t="str">
        <f t="shared" si="83"/>
        <v>05</v>
      </c>
      <c r="G854" s="57">
        <v>19140405</v>
      </c>
      <c r="H854" s="16" t="s">
        <v>1743</v>
      </c>
      <c r="I854" s="17" t="s">
        <v>1744</v>
      </c>
      <c r="J854" s="16"/>
      <c r="K854" s="16"/>
      <c r="L854" s="16"/>
      <c r="M854" s="17"/>
    </row>
    <row r="855" spans="1:13" ht="38.25" x14ac:dyDescent="0.25">
      <c r="A855" s="16" t="str">
        <f t="shared" si="78"/>
        <v>1</v>
      </c>
      <c r="B855" s="16" t="str">
        <f t="shared" si="79"/>
        <v>9</v>
      </c>
      <c r="C855" s="16" t="str">
        <f t="shared" si="80"/>
        <v>1</v>
      </c>
      <c r="D855" s="16" t="str">
        <f t="shared" si="81"/>
        <v>4</v>
      </c>
      <c r="E855" s="16" t="str">
        <f t="shared" si="82"/>
        <v>04</v>
      </c>
      <c r="F855" s="16" t="str">
        <f t="shared" si="83"/>
        <v>06</v>
      </c>
      <c r="G855" s="57">
        <v>19140406</v>
      </c>
      <c r="H855" s="16" t="s">
        <v>1745</v>
      </c>
      <c r="I855" s="17" t="s">
        <v>1746</v>
      </c>
      <c r="J855" s="16"/>
      <c r="K855" s="16"/>
      <c r="L855" s="16"/>
      <c r="M855" s="17"/>
    </row>
    <row r="856" spans="1:13" ht="38.25" x14ac:dyDescent="0.25">
      <c r="A856" s="16" t="str">
        <f t="shared" si="78"/>
        <v>1</v>
      </c>
      <c r="B856" s="16" t="str">
        <f t="shared" si="79"/>
        <v>9</v>
      </c>
      <c r="C856" s="16" t="str">
        <f t="shared" si="80"/>
        <v>1</v>
      </c>
      <c r="D856" s="16" t="str">
        <f t="shared" si="81"/>
        <v>4</v>
      </c>
      <c r="E856" s="16" t="str">
        <f t="shared" si="82"/>
        <v>04</v>
      </c>
      <c r="F856" s="16" t="str">
        <f t="shared" si="83"/>
        <v>07</v>
      </c>
      <c r="G856" s="57">
        <v>19140407</v>
      </c>
      <c r="H856" s="16" t="s">
        <v>1747</v>
      </c>
      <c r="I856" s="17" t="s">
        <v>1748</v>
      </c>
      <c r="J856" s="16"/>
      <c r="K856" s="16"/>
      <c r="L856" s="16"/>
      <c r="M856" s="17"/>
    </row>
    <row r="857" spans="1:13" ht="38.25" x14ac:dyDescent="0.25">
      <c r="A857" s="16" t="str">
        <f t="shared" si="78"/>
        <v>1</v>
      </c>
      <c r="B857" s="16" t="str">
        <f t="shared" si="79"/>
        <v>9</v>
      </c>
      <c r="C857" s="16" t="str">
        <f t="shared" si="80"/>
        <v>1</v>
      </c>
      <c r="D857" s="16" t="str">
        <f t="shared" si="81"/>
        <v>4</v>
      </c>
      <c r="E857" s="16" t="str">
        <f t="shared" si="82"/>
        <v>04</v>
      </c>
      <c r="F857" s="16" t="str">
        <f t="shared" si="83"/>
        <v>08</v>
      </c>
      <c r="G857" s="57">
        <v>19140408</v>
      </c>
      <c r="H857" s="16" t="s">
        <v>1749</v>
      </c>
      <c r="I857" s="17" t="s">
        <v>1750</v>
      </c>
      <c r="J857" s="16"/>
      <c r="K857" s="16"/>
      <c r="L857" s="16"/>
      <c r="M857" s="17"/>
    </row>
    <row r="858" spans="1:13" ht="38.25" x14ac:dyDescent="0.25">
      <c r="A858" s="16" t="str">
        <f t="shared" si="78"/>
        <v>1</v>
      </c>
      <c r="B858" s="16" t="str">
        <f t="shared" si="79"/>
        <v>9</v>
      </c>
      <c r="C858" s="16" t="str">
        <f t="shared" si="80"/>
        <v>1</v>
      </c>
      <c r="D858" s="16" t="str">
        <f t="shared" si="81"/>
        <v>4</v>
      </c>
      <c r="E858" s="16" t="str">
        <f t="shared" si="82"/>
        <v>04</v>
      </c>
      <c r="F858" s="16" t="str">
        <f t="shared" si="83"/>
        <v>09</v>
      </c>
      <c r="G858" s="57">
        <v>19140409</v>
      </c>
      <c r="H858" s="16" t="s">
        <v>1751</v>
      </c>
      <c r="I858" s="17" t="s">
        <v>1752</v>
      </c>
      <c r="J858" s="16"/>
      <c r="K858" s="16"/>
      <c r="L858" s="16"/>
      <c r="M858" s="17"/>
    </row>
    <row r="859" spans="1:13" ht="51" x14ac:dyDescent="0.25">
      <c r="A859" s="16" t="str">
        <f t="shared" si="78"/>
        <v>1</v>
      </c>
      <c r="B859" s="16" t="str">
        <f t="shared" si="79"/>
        <v>9</v>
      </c>
      <c r="C859" s="16" t="str">
        <f t="shared" si="80"/>
        <v>1</v>
      </c>
      <c r="D859" s="16" t="str">
        <f t="shared" si="81"/>
        <v>4</v>
      </c>
      <c r="E859" s="16" t="str">
        <f t="shared" si="82"/>
        <v>04</v>
      </c>
      <c r="F859" s="16" t="str">
        <f t="shared" si="83"/>
        <v>10</v>
      </c>
      <c r="G859" s="57">
        <v>19140410</v>
      </c>
      <c r="H859" s="16" t="s">
        <v>1753</v>
      </c>
      <c r="I859" s="17" t="s">
        <v>1754</v>
      </c>
      <c r="J859" s="16"/>
      <c r="K859" s="16"/>
      <c r="L859" s="16"/>
      <c r="M859" s="17"/>
    </row>
    <row r="860" spans="1:13" ht="38.25" x14ac:dyDescent="0.25">
      <c r="A860" s="16" t="str">
        <f t="shared" si="78"/>
        <v>1</v>
      </c>
      <c r="B860" s="16" t="str">
        <f t="shared" si="79"/>
        <v>9</v>
      </c>
      <c r="C860" s="16" t="str">
        <f t="shared" si="80"/>
        <v>1</v>
      </c>
      <c r="D860" s="16" t="str">
        <f t="shared" si="81"/>
        <v>4</v>
      </c>
      <c r="E860" s="16" t="str">
        <f t="shared" si="82"/>
        <v>04</v>
      </c>
      <c r="F860" s="16" t="str">
        <f t="shared" si="83"/>
        <v>11</v>
      </c>
      <c r="G860" s="57">
        <v>19140411</v>
      </c>
      <c r="H860" s="16" t="s">
        <v>1755</v>
      </c>
      <c r="I860" s="17" t="s">
        <v>1756</v>
      </c>
      <c r="J860" s="16"/>
      <c r="K860" s="16"/>
      <c r="L860" s="16"/>
      <c r="M860" s="17"/>
    </row>
    <row r="861" spans="1:13" ht="38.25" x14ac:dyDescent="0.25">
      <c r="A861" s="16" t="str">
        <f t="shared" si="78"/>
        <v>1</v>
      </c>
      <c r="B861" s="16" t="str">
        <f t="shared" si="79"/>
        <v>9</v>
      </c>
      <c r="C861" s="16" t="str">
        <f t="shared" si="80"/>
        <v>1</v>
      </c>
      <c r="D861" s="16" t="str">
        <f t="shared" si="81"/>
        <v>4</v>
      </c>
      <c r="E861" s="16" t="str">
        <f t="shared" si="82"/>
        <v>04</v>
      </c>
      <c r="F861" s="16" t="str">
        <f t="shared" si="83"/>
        <v>12</v>
      </c>
      <c r="G861" s="57">
        <v>19140412</v>
      </c>
      <c r="H861" s="16" t="s">
        <v>1757</v>
      </c>
      <c r="I861" s="17" t="s">
        <v>1758</v>
      </c>
      <c r="J861" s="16"/>
      <c r="K861" s="16"/>
      <c r="L861" s="16"/>
      <c r="M861" s="17"/>
    </row>
    <row r="862" spans="1:13" ht="38.25" x14ac:dyDescent="0.25">
      <c r="A862" s="16" t="str">
        <f t="shared" si="78"/>
        <v>1</v>
      </c>
      <c r="B862" s="16" t="str">
        <f t="shared" si="79"/>
        <v>9</v>
      </c>
      <c r="C862" s="16" t="str">
        <f t="shared" si="80"/>
        <v>1</v>
      </c>
      <c r="D862" s="16" t="str">
        <f t="shared" si="81"/>
        <v>4</v>
      </c>
      <c r="E862" s="16" t="str">
        <f t="shared" si="82"/>
        <v>04</v>
      </c>
      <c r="F862" s="16" t="str">
        <f t="shared" si="83"/>
        <v>13</v>
      </c>
      <c r="G862" s="57">
        <v>19140413</v>
      </c>
      <c r="H862" s="16" t="s">
        <v>1759</v>
      </c>
      <c r="I862" s="17" t="s">
        <v>1760</v>
      </c>
      <c r="J862" s="16"/>
      <c r="K862" s="16"/>
      <c r="L862" s="16"/>
      <c r="M862" s="17"/>
    </row>
    <row r="863" spans="1:13" ht="38.25" x14ac:dyDescent="0.25">
      <c r="A863" s="16" t="str">
        <f t="shared" si="78"/>
        <v>1</v>
      </c>
      <c r="B863" s="16" t="str">
        <f t="shared" si="79"/>
        <v>9</v>
      </c>
      <c r="C863" s="16" t="str">
        <f t="shared" si="80"/>
        <v>1</v>
      </c>
      <c r="D863" s="16" t="str">
        <f t="shared" si="81"/>
        <v>4</v>
      </c>
      <c r="E863" s="16" t="str">
        <f t="shared" si="82"/>
        <v>04</v>
      </c>
      <c r="F863" s="16" t="str">
        <f t="shared" si="83"/>
        <v>14</v>
      </c>
      <c r="G863" s="57">
        <v>19140414</v>
      </c>
      <c r="H863" s="16" t="s">
        <v>1761</v>
      </c>
      <c r="I863" s="17" t="s">
        <v>1762</v>
      </c>
      <c r="J863" s="16"/>
      <c r="K863" s="16"/>
      <c r="L863" s="16"/>
      <c r="M863" s="17"/>
    </row>
    <row r="864" spans="1:13" ht="38.25" x14ac:dyDescent="0.25">
      <c r="A864" s="16" t="str">
        <f t="shared" si="78"/>
        <v>1</v>
      </c>
      <c r="B864" s="16" t="str">
        <f t="shared" si="79"/>
        <v>9</v>
      </c>
      <c r="C864" s="16" t="str">
        <f t="shared" si="80"/>
        <v>1</v>
      </c>
      <c r="D864" s="16" t="str">
        <f t="shared" si="81"/>
        <v>4</v>
      </c>
      <c r="E864" s="16" t="str">
        <f t="shared" si="82"/>
        <v>04</v>
      </c>
      <c r="F864" s="16" t="str">
        <f t="shared" si="83"/>
        <v>15</v>
      </c>
      <c r="G864" s="57">
        <v>19140415</v>
      </c>
      <c r="H864" s="16" t="s">
        <v>1763</v>
      </c>
      <c r="I864" s="17" t="s">
        <v>1764</v>
      </c>
      <c r="J864" s="16"/>
      <c r="K864" s="16"/>
      <c r="L864" s="16"/>
      <c r="M864" s="17"/>
    </row>
    <row r="865" spans="1:13" ht="38.25" x14ac:dyDescent="0.25">
      <c r="A865" s="16" t="str">
        <f t="shared" si="78"/>
        <v>1</v>
      </c>
      <c r="B865" s="16" t="str">
        <f t="shared" si="79"/>
        <v>9</v>
      </c>
      <c r="C865" s="16" t="str">
        <f t="shared" si="80"/>
        <v>1</v>
      </c>
      <c r="D865" s="16" t="str">
        <f t="shared" si="81"/>
        <v>4</v>
      </c>
      <c r="E865" s="16" t="str">
        <f t="shared" si="82"/>
        <v>04</v>
      </c>
      <c r="F865" s="16" t="str">
        <f t="shared" si="83"/>
        <v>16</v>
      </c>
      <c r="G865" s="57">
        <v>19140416</v>
      </c>
      <c r="H865" s="16" t="s">
        <v>1765</v>
      </c>
      <c r="I865" s="17" t="s">
        <v>1766</v>
      </c>
      <c r="J865" s="16"/>
      <c r="K865" s="16"/>
      <c r="L865" s="16"/>
      <c r="M865" s="17"/>
    </row>
    <row r="866" spans="1:13" ht="38.25" x14ac:dyDescent="0.25">
      <c r="A866" s="16" t="str">
        <f t="shared" si="78"/>
        <v>1</v>
      </c>
      <c r="B866" s="16" t="str">
        <f t="shared" si="79"/>
        <v>9</v>
      </c>
      <c r="C866" s="16" t="str">
        <f t="shared" si="80"/>
        <v>1</v>
      </c>
      <c r="D866" s="16" t="str">
        <f t="shared" si="81"/>
        <v>4</v>
      </c>
      <c r="E866" s="16" t="str">
        <f t="shared" si="82"/>
        <v>04</v>
      </c>
      <c r="F866" s="16" t="str">
        <f t="shared" si="83"/>
        <v>17</v>
      </c>
      <c r="G866" s="57">
        <v>19140417</v>
      </c>
      <c r="H866" s="16" t="s">
        <v>1767</v>
      </c>
      <c r="I866" s="17" t="s">
        <v>1768</v>
      </c>
      <c r="J866" s="16"/>
      <c r="K866" s="16"/>
      <c r="L866" s="16"/>
      <c r="M866" s="17"/>
    </row>
    <row r="867" spans="1:13" ht="38.25" x14ac:dyDescent="0.25">
      <c r="A867" s="16" t="str">
        <f t="shared" si="78"/>
        <v>1</v>
      </c>
      <c r="B867" s="16" t="str">
        <f t="shared" si="79"/>
        <v>9</v>
      </c>
      <c r="C867" s="16" t="str">
        <f t="shared" si="80"/>
        <v>1</v>
      </c>
      <c r="D867" s="16" t="str">
        <f t="shared" si="81"/>
        <v>4</v>
      </c>
      <c r="E867" s="16" t="str">
        <f t="shared" si="82"/>
        <v>04</v>
      </c>
      <c r="F867" s="16" t="str">
        <f t="shared" si="83"/>
        <v>18</v>
      </c>
      <c r="G867" s="57">
        <v>19140418</v>
      </c>
      <c r="H867" s="16" t="s">
        <v>1769</v>
      </c>
      <c r="I867" s="17" t="s">
        <v>1770</v>
      </c>
      <c r="J867" s="16"/>
      <c r="K867" s="16"/>
      <c r="L867" s="16"/>
      <c r="M867" s="17"/>
    </row>
    <row r="868" spans="1:13" ht="38.25" x14ac:dyDescent="0.25">
      <c r="A868" s="16" t="str">
        <f t="shared" si="78"/>
        <v>1</v>
      </c>
      <c r="B868" s="16" t="str">
        <f t="shared" si="79"/>
        <v>9</v>
      </c>
      <c r="C868" s="16" t="str">
        <f t="shared" si="80"/>
        <v>1</v>
      </c>
      <c r="D868" s="16" t="str">
        <f t="shared" si="81"/>
        <v>4</v>
      </c>
      <c r="E868" s="16" t="str">
        <f t="shared" si="82"/>
        <v>04</v>
      </c>
      <c r="F868" s="16" t="str">
        <f t="shared" si="83"/>
        <v>19</v>
      </c>
      <c r="G868" s="57">
        <v>19140419</v>
      </c>
      <c r="H868" s="16" t="s">
        <v>1771</v>
      </c>
      <c r="I868" s="17" t="s">
        <v>1772</v>
      </c>
      <c r="J868" s="16"/>
      <c r="K868" s="16"/>
      <c r="L868" s="16"/>
      <c r="M868" s="17"/>
    </row>
    <row r="869" spans="1:13" ht="25.5" x14ac:dyDescent="0.25">
      <c r="A869" s="16" t="str">
        <f t="shared" si="78"/>
        <v>1</v>
      </c>
      <c r="B869" s="16" t="str">
        <f t="shared" si="79"/>
        <v>9</v>
      </c>
      <c r="C869" s="16" t="str">
        <f t="shared" si="80"/>
        <v>1</v>
      </c>
      <c r="D869" s="16" t="str">
        <f t="shared" si="81"/>
        <v>4</v>
      </c>
      <c r="E869" s="16" t="str">
        <f t="shared" si="82"/>
        <v>04</v>
      </c>
      <c r="F869" s="16" t="str">
        <f t="shared" si="83"/>
        <v>20</v>
      </c>
      <c r="G869" s="57">
        <v>19140420</v>
      </c>
      <c r="H869" s="16" t="s">
        <v>1773</v>
      </c>
      <c r="I869" s="17" t="s">
        <v>1774</v>
      </c>
      <c r="J869" s="16"/>
      <c r="K869" s="16"/>
      <c r="L869" s="16"/>
      <c r="M869" s="17"/>
    </row>
    <row r="870" spans="1:13" ht="51" x14ac:dyDescent="0.25">
      <c r="A870" s="16" t="str">
        <f t="shared" si="78"/>
        <v>1</v>
      </c>
      <c r="B870" s="16" t="str">
        <f t="shared" si="79"/>
        <v>9</v>
      </c>
      <c r="C870" s="16" t="str">
        <f t="shared" si="80"/>
        <v>1</v>
      </c>
      <c r="D870" s="16" t="str">
        <f t="shared" si="81"/>
        <v>4</v>
      </c>
      <c r="E870" s="16" t="str">
        <f t="shared" si="82"/>
        <v>04</v>
      </c>
      <c r="F870" s="16" t="str">
        <f t="shared" si="83"/>
        <v>21</v>
      </c>
      <c r="G870" s="57">
        <v>19140421</v>
      </c>
      <c r="H870" s="16" t="s">
        <v>1775</v>
      </c>
      <c r="I870" s="17" t="s">
        <v>1776</v>
      </c>
      <c r="J870" s="16"/>
      <c r="K870" s="16"/>
      <c r="L870" s="16"/>
      <c r="M870" s="17"/>
    </row>
    <row r="871" spans="1:13" ht="38.25" x14ac:dyDescent="0.25">
      <c r="A871" s="16" t="str">
        <f t="shared" si="78"/>
        <v>1</v>
      </c>
      <c r="B871" s="16" t="str">
        <f t="shared" si="79"/>
        <v>9</v>
      </c>
      <c r="C871" s="16" t="str">
        <f t="shared" si="80"/>
        <v>1</v>
      </c>
      <c r="D871" s="16" t="str">
        <f t="shared" si="81"/>
        <v>4</v>
      </c>
      <c r="E871" s="16" t="str">
        <f t="shared" si="82"/>
        <v>04</v>
      </c>
      <c r="F871" s="16" t="str">
        <f t="shared" si="83"/>
        <v>22</v>
      </c>
      <c r="G871" s="57">
        <v>19140422</v>
      </c>
      <c r="H871" s="16" t="s">
        <v>1777</v>
      </c>
      <c r="I871" s="17" t="s">
        <v>1778</v>
      </c>
      <c r="J871" s="16"/>
      <c r="K871" s="16"/>
      <c r="L871" s="16"/>
      <c r="M871" s="17"/>
    </row>
    <row r="872" spans="1:13" ht="102" x14ac:dyDescent="0.25">
      <c r="A872" s="16" t="str">
        <f t="shared" si="78"/>
        <v>1</v>
      </c>
      <c r="B872" s="16" t="str">
        <f t="shared" si="79"/>
        <v>9</v>
      </c>
      <c r="C872" s="16" t="str">
        <f t="shared" si="80"/>
        <v>1</v>
      </c>
      <c r="D872" s="16" t="str">
        <f t="shared" si="81"/>
        <v>4</v>
      </c>
      <c r="E872" s="16" t="str">
        <f t="shared" si="82"/>
        <v>04</v>
      </c>
      <c r="F872" s="16" t="str">
        <f t="shared" si="83"/>
        <v>24</v>
      </c>
      <c r="G872" s="57">
        <v>19140424</v>
      </c>
      <c r="H872" s="16" t="s">
        <v>1779</v>
      </c>
      <c r="I872" s="17" t="s">
        <v>1780</v>
      </c>
      <c r="J872" s="16"/>
      <c r="K872" s="16"/>
      <c r="L872" s="16"/>
      <c r="M872" s="17"/>
    </row>
    <row r="873" spans="1:13" ht="25.5" x14ac:dyDescent="0.25">
      <c r="A873" s="16" t="str">
        <f t="shared" si="78"/>
        <v>1</v>
      </c>
      <c r="B873" s="16" t="str">
        <f t="shared" si="79"/>
        <v>9</v>
      </c>
      <c r="C873" s="16" t="str">
        <f t="shared" si="80"/>
        <v>1</v>
      </c>
      <c r="D873" s="16" t="str">
        <f t="shared" si="81"/>
        <v>4</v>
      </c>
      <c r="E873" s="16" t="str">
        <f t="shared" si="82"/>
        <v>04</v>
      </c>
      <c r="F873" s="16" t="str">
        <f t="shared" si="83"/>
        <v>99</v>
      </c>
      <c r="G873" s="57">
        <v>19140499</v>
      </c>
      <c r="H873" s="16" t="s">
        <v>1781</v>
      </c>
      <c r="I873" s="17" t="s">
        <v>1782</v>
      </c>
      <c r="J873" s="16"/>
      <c r="K873" s="16"/>
      <c r="L873" s="16"/>
      <c r="M873" s="17"/>
    </row>
    <row r="874" spans="1:13" ht="25.5" x14ac:dyDescent="0.25">
      <c r="A874" s="14" t="str">
        <f t="shared" si="78"/>
        <v>1</v>
      </c>
      <c r="B874" s="14" t="str">
        <f t="shared" si="79"/>
        <v>9</v>
      </c>
      <c r="C874" s="14" t="str">
        <f t="shared" si="80"/>
        <v>1</v>
      </c>
      <c r="D874" s="14" t="str">
        <f t="shared" si="81"/>
        <v>4</v>
      </c>
      <c r="E874" s="14" t="str">
        <f t="shared" si="82"/>
        <v>05</v>
      </c>
      <c r="F874" s="14" t="str">
        <f t="shared" si="83"/>
        <v>00</v>
      </c>
      <c r="G874" s="56">
        <v>19140500</v>
      </c>
      <c r="H874" s="14" t="s">
        <v>1783</v>
      </c>
      <c r="I874" s="15" t="s">
        <v>1784</v>
      </c>
      <c r="J874" s="14"/>
      <c r="K874" s="14"/>
      <c r="L874" s="14"/>
      <c r="M874" s="14"/>
    </row>
    <row r="875" spans="1:13" ht="38.25" x14ac:dyDescent="0.25">
      <c r="A875" s="16" t="str">
        <f t="shared" si="78"/>
        <v>1</v>
      </c>
      <c r="B875" s="16" t="str">
        <f t="shared" si="79"/>
        <v>9</v>
      </c>
      <c r="C875" s="16" t="str">
        <f t="shared" si="80"/>
        <v>1</v>
      </c>
      <c r="D875" s="16" t="str">
        <f t="shared" si="81"/>
        <v>4</v>
      </c>
      <c r="E875" s="16" t="str">
        <f t="shared" si="82"/>
        <v>05</v>
      </c>
      <c r="F875" s="16" t="str">
        <f t="shared" si="83"/>
        <v>01</v>
      </c>
      <c r="G875" s="57">
        <v>19140501</v>
      </c>
      <c r="H875" s="16" t="s">
        <v>1785</v>
      </c>
      <c r="I875" s="17" t="s">
        <v>1786</v>
      </c>
      <c r="J875" s="16"/>
      <c r="K875" s="16"/>
      <c r="L875" s="16"/>
      <c r="M875" s="17"/>
    </row>
    <row r="876" spans="1:13" ht="38.25" x14ac:dyDescent="0.25">
      <c r="A876" s="16" t="str">
        <f t="shared" si="78"/>
        <v>1</v>
      </c>
      <c r="B876" s="16" t="str">
        <f t="shared" si="79"/>
        <v>9</v>
      </c>
      <c r="C876" s="16" t="str">
        <f t="shared" si="80"/>
        <v>1</v>
      </c>
      <c r="D876" s="16" t="str">
        <f t="shared" si="81"/>
        <v>4</v>
      </c>
      <c r="E876" s="16" t="str">
        <f t="shared" si="82"/>
        <v>05</v>
      </c>
      <c r="F876" s="16" t="str">
        <f t="shared" si="83"/>
        <v>02</v>
      </c>
      <c r="G876" s="57">
        <v>19140502</v>
      </c>
      <c r="H876" s="16" t="s">
        <v>1787</v>
      </c>
      <c r="I876" s="17" t="s">
        <v>1788</v>
      </c>
      <c r="J876" s="16"/>
      <c r="K876" s="16"/>
      <c r="L876" s="16"/>
      <c r="M876" s="17"/>
    </row>
    <row r="877" spans="1:13" ht="38.25" x14ac:dyDescent="0.25">
      <c r="A877" s="14" t="str">
        <f t="shared" si="78"/>
        <v>1</v>
      </c>
      <c r="B877" s="14" t="str">
        <f t="shared" si="79"/>
        <v>9</v>
      </c>
      <c r="C877" s="14" t="str">
        <f t="shared" si="80"/>
        <v>1</v>
      </c>
      <c r="D877" s="14" t="str">
        <f t="shared" si="81"/>
        <v>4</v>
      </c>
      <c r="E877" s="14" t="str">
        <f t="shared" si="82"/>
        <v>06</v>
      </c>
      <c r="F877" s="14" t="str">
        <f t="shared" si="83"/>
        <v>00</v>
      </c>
      <c r="G877" s="56">
        <v>19140600</v>
      </c>
      <c r="H877" s="14" t="s">
        <v>1789</v>
      </c>
      <c r="I877" s="15" t="s">
        <v>1790</v>
      </c>
      <c r="J877" s="14"/>
      <c r="K877" s="14"/>
      <c r="L877" s="14"/>
      <c r="M877" s="14"/>
    </row>
    <row r="878" spans="1:13" ht="38.25" x14ac:dyDescent="0.25">
      <c r="A878" s="16" t="str">
        <f t="shared" si="78"/>
        <v>1</v>
      </c>
      <c r="B878" s="16" t="str">
        <f t="shared" si="79"/>
        <v>9</v>
      </c>
      <c r="C878" s="16" t="str">
        <f t="shared" si="80"/>
        <v>1</v>
      </c>
      <c r="D878" s="16" t="str">
        <f t="shared" si="81"/>
        <v>4</v>
      </c>
      <c r="E878" s="16" t="str">
        <f t="shared" si="82"/>
        <v>06</v>
      </c>
      <c r="F878" s="16" t="str">
        <f t="shared" si="83"/>
        <v>01</v>
      </c>
      <c r="G878" s="57">
        <v>19140601</v>
      </c>
      <c r="H878" s="16" t="s">
        <v>1791</v>
      </c>
      <c r="I878" s="17" t="s">
        <v>1792</v>
      </c>
      <c r="J878" s="16"/>
      <c r="K878" s="16"/>
      <c r="L878" s="16"/>
      <c r="M878" s="17"/>
    </row>
    <row r="879" spans="1:13" ht="38.25" x14ac:dyDescent="0.25">
      <c r="A879" s="16" t="str">
        <f t="shared" si="78"/>
        <v>1</v>
      </c>
      <c r="B879" s="16" t="str">
        <f t="shared" si="79"/>
        <v>9</v>
      </c>
      <c r="C879" s="16" t="str">
        <f t="shared" si="80"/>
        <v>1</v>
      </c>
      <c r="D879" s="16" t="str">
        <f t="shared" si="81"/>
        <v>4</v>
      </c>
      <c r="E879" s="16" t="str">
        <f t="shared" si="82"/>
        <v>06</v>
      </c>
      <c r="F879" s="16" t="str">
        <f t="shared" si="83"/>
        <v>02</v>
      </c>
      <c r="G879" s="57">
        <v>19140602</v>
      </c>
      <c r="H879" s="16" t="s">
        <v>1793</v>
      </c>
      <c r="I879" s="17" t="s">
        <v>1794</v>
      </c>
      <c r="J879" s="16"/>
      <c r="K879" s="16"/>
      <c r="L879" s="16"/>
      <c r="M879" s="17"/>
    </row>
    <row r="880" spans="1:13" ht="38.25" x14ac:dyDescent="0.25">
      <c r="A880" s="14" t="str">
        <f t="shared" si="78"/>
        <v>1</v>
      </c>
      <c r="B880" s="14" t="str">
        <f t="shared" si="79"/>
        <v>9</v>
      </c>
      <c r="C880" s="14" t="str">
        <f t="shared" si="80"/>
        <v>1</v>
      </c>
      <c r="D880" s="14" t="str">
        <f t="shared" si="81"/>
        <v>4</v>
      </c>
      <c r="E880" s="14" t="str">
        <f t="shared" si="82"/>
        <v>07</v>
      </c>
      <c r="F880" s="14" t="str">
        <f t="shared" si="83"/>
        <v>00</v>
      </c>
      <c r="G880" s="56">
        <v>19140700</v>
      </c>
      <c r="H880" s="14" t="s">
        <v>1795</v>
      </c>
      <c r="I880" s="15" t="s">
        <v>1796</v>
      </c>
      <c r="J880" s="14"/>
      <c r="K880" s="14"/>
      <c r="L880" s="14"/>
      <c r="M880" s="14"/>
    </row>
    <row r="881" spans="1:13" ht="38.25" x14ac:dyDescent="0.25">
      <c r="A881" s="16" t="str">
        <f t="shared" si="78"/>
        <v>1</v>
      </c>
      <c r="B881" s="16" t="str">
        <f t="shared" si="79"/>
        <v>9</v>
      </c>
      <c r="C881" s="16" t="str">
        <f t="shared" si="80"/>
        <v>1</v>
      </c>
      <c r="D881" s="16" t="str">
        <f t="shared" si="81"/>
        <v>4</v>
      </c>
      <c r="E881" s="16" t="str">
        <f t="shared" si="82"/>
        <v>07</v>
      </c>
      <c r="F881" s="16" t="str">
        <f t="shared" si="83"/>
        <v>01</v>
      </c>
      <c r="G881" s="57">
        <v>19140701</v>
      </c>
      <c r="H881" s="16" t="s">
        <v>1797</v>
      </c>
      <c r="I881" s="17" t="s">
        <v>1798</v>
      </c>
      <c r="J881" s="16"/>
      <c r="K881" s="16" t="s">
        <v>151</v>
      </c>
      <c r="L881" s="16" t="s">
        <v>423</v>
      </c>
      <c r="M881" s="17"/>
    </row>
    <row r="882" spans="1:13" ht="38.25" x14ac:dyDescent="0.25">
      <c r="A882" s="16" t="str">
        <f t="shared" si="78"/>
        <v>1</v>
      </c>
      <c r="B882" s="16" t="str">
        <f t="shared" si="79"/>
        <v>9</v>
      </c>
      <c r="C882" s="16" t="str">
        <f t="shared" si="80"/>
        <v>1</v>
      </c>
      <c r="D882" s="16" t="str">
        <f t="shared" si="81"/>
        <v>4</v>
      </c>
      <c r="E882" s="16" t="str">
        <f t="shared" si="82"/>
        <v>07</v>
      </c>
      <c r="F882" s="16" t="str">
        <f t="shared" si="83"/>
        <v>02</v>
      </c>
      <c r="G882" s="57">
        <v>19140702</v>
      </c>
      <c r="H882" s="16" t="s">
        <v>1799</v>
      </c>
      <c r="I882" s="17" t="s">
        <v>1800</v>
      </c>
      <c r="J882" s="16"/>
      <c r="K882" s="16" t="s">
        <v>151</v>
      </c>
      <c r="L882" s="16" t="s">
        <v>423</v>
      </c>
      <c r="M882" s="17"/>
    </row>
    <row r="883" spans="1:13" ht="38.25" x14ac:dyDescent="0.25">
      <c r="A883" s="16" t="str">
        <f t="shared" si="78"/>
        <v>1</v>
      </c>
      <c r="B883" s="16" t="str">
        <f t="shared" si="79"/>
        <v>9</v>
      </c>
      <c r="C883" s="16" t="str">
        <f t="shared" si="80"/>
        <v>1</v>
      </c>
      <c r="D883" s="16" t="str">
        <f t="shared" si="81"/>
        <v>4</v>
      </c>
      <c r="E883" s="16" t="str">
        <f t="shared" si="82"/>
        <v>07</v>
      </c>
      <c r="F883" s="16" t="str">
        <f t="shared" si="83"/>
        <v>03</v>
      </c>
      <c r="G883" s="57">
        <v>19140703</v>
      </c>
      <c r="H883" s="16" t="s">
        <v>1801</v>
      </c>
      <c r="I883" s="17" t="s">
        <v>1802</v>
      </c>
      <c r="J883" s="16"/>
      <c r="K883" s="16" t="s">
        <v>151</v>
      </c>
      <c r="L883" s="16" t="s">
        <v>423</v>
      </c>
      <c r="M883" s="17"/>
    </row>
    <row r="884" spans="1:13" ht="38.25" x14ac:dyDescent="0.25">
      <c r="A884" s="16" t="str">
        <f t="shared" si="78"/>
        <v>1</v>
      </c>
      <c r="B884" s="16" t="str">
        <f t="shared" si="79"/>
        <v>9</v>
      </c>
      <c r="C884" s="16" t="str">
        <f t="shared" si="80"/>
        <v>1</v>
      </c>
      <c r="D884" s="16" t="str">
        <f t="shared" si="81"/>
        <v>4</v>
      </c>
      <c r="E884" s="16" t="str">
        <f t="shared" si="82"/>
        <v>07</v>
      </c>
      <c r="F884" s="16" t="str">
        <f t="shared" si="83"/>
        <v>04</v>
      </c>
      <c r="G884" s="57">
        <v>19140704</v>
      </c>
      <c r="H884" s="16" t="s">
        <v>1803</v>
      </c>
      <c r="I884" s="17" t="s">
        <v>1804</v>
      </c>
      <c r="J884" s="16"/>
      <c r="K884" s="16" t="s">
        <v>151</v>
      </c>
      <c r="L884" s="16" t="s">
        <v>423</v>
      </c>
      <c r="M884" s="17"/>
    </row>
    <row r="885" spans="1:13" ht="38.25" x14ac:dyDescent="0.25">
      <c r="A885" s="16" t="str">
        <f t="shared" si="78"/>
        <v>1</v>
      </c>
      <c r="B885" s="16" t="str">
        <f t="shared" si="79"/>
        <v>9</v>
      </c>
      <c r="C885" s="16" t="str">
        <f t="shared" si="80"/>
        <v>1</v>
      </c>
      <c r="D885" s="16" t="str">
        <f t="shared" si="81"/>
        <v>4</v>
      </c>
      <c r="E885" s="16" t="str">
        <f t="shared" si="82"/>
        <v>07</v>
      </c>
      <c r="F885" s="16" t="str">
        <f t="shared" si="83"/>
        <v>05</v>
      </c>
      <c r="G885" s="57">
        <v>19140705</v>
      </c>
      <c r="H885" s="16" t="s">
        <v>1805</v>
      </c>
      <c r="I885" s="17" t="s">
        <v>1806</v>
      </c>
      <c r="J885" s="16"/>
      <c r="K885" s="16" t="s">
        <v>151</v>
      </c>
      <c r="L885" s="16" t="s">
        <v>423</v>
      </c>
      <c r="M885" s="17"/>
    </row>
    <row r="886" spans="1:13" ht="38.25" x14ac:dyDescent="0.25">
      <c r="A886" s="16" t="str">
        <f t="shared" si="78"/>
        <v>1</v>
      </c>
      <c r="B886" s="16" t="str">
        <f t="shared" si="79"/>
        <v>9</v>
      </c>
      <c r="C886" s="16" t="str">
        <f t="shared" si="80"/>
        <v>1</v>
      </c>
      <c r="D886" s="16" t="str">
        <f t="shared" si="81"/>
        <v>4</v>
      </c>
      <c r="E886" s="16" t="str">
        <f t="shared" si="82"/>
        <v>07</v>
      </c>
      <c r="F886" s="16" t="str">
        <f t="shared" si="83"/>
        <v>06</v>
      </c>
      <c r="G886" s="57">
        <v>19140706</v>
      </c>
      <c r="H886" s="16" t="s">
        <v>1807</v>
      </c>
      <c r="I886" s="17" t="s">
        <v>1808</v>
      </c>
      <c r="J886" s="16"/>
      <c r="K886" s="16" t="s">
        <v>151</v>
      </c>
      <c r="L886" s="16" t="s">
        <v>423</v>
      </c>
      <c r="M886" s="17"/>
    </row>
    <row r="887" spans="1:13" ht="38.25" x14ac:dyDescent="0.25">
      <c r="A887" s="14" t="str">
        <f t="shared" si="78"/>
        <v>1</v>
      </c>
      <c r="B887" s="14" t="str">
        <f t="shared" si="79"/>
        <v>9</v>
      </c>
      <c r="C887" s="14" t="str">
        <f t="shared" si="80"/>
        <v>1</v>
      </c>
      <c r="D887" s="14" t="str">
        <f t="shared" si="81"/>
        <v>4</v>
      </c>
      <c r="E887" s="14" t="str">
        <f t="shared" si="82"/>
        <v>08</v>
      </c>
      <c r="F887" s="14" t="str">
        <f t="shared" si="83"/>
        <v>00</v>
      </c>
      <c r="G887" s="56">
        <v>19140800</v>
      </c>
      <c r="H887" s="14" t="s">
        <v>1809</v>
      </c>
      <c r="I887" s="15" t="s">
        <v>1810</v>
      </c>
      <c r="J887" s="14"/>
      <c r="K887" s="14"/>
      <c r="L887" s="14"/>
      <c r="M887" s="14"/>
    </row>
    <row r="888" spans="1:13" ht="38.25" x14ac:dyDescent="0.25">
      <c r="A888" s="14" t="str">
        <f t="shared" si="78"/>
        <v>1</v>
      </c>
      <c r="B888" s="14" t="str">
        <f t="shared" si="79"/>
        <v>9</v>
      </c>
      <c r="C888" s="14" t="str">
        <f t="shared" si="80"/>
        <v>1</v>
      </c>
      <c r="D888" s="14" t="str">
        <f t="shared" si="81"/>
        <v>4</v>
      </c>
      <c r="E888" s="14" t="str">
        <f t="shared" si="82"/>
        <v>09</v>
      </c>
      <c r="F888" s="14" t="str">
        <f t="shared" si="83"/>
        <v>00</v>
      </c>
      <c r="G888" s="56">
        <v>19140900</v>
      </c>
      <c r="H888" s="14" t="s">
        <v>1811</v>
      </c>
      <c r="I888" s="15" t="s">
        <v>1812</v>
      </c>
      <c r="J888" s="14"/>
      <c r="K888" s="14"/>
      <c r="L888" s="14"/>
      <c r="M888" s="14"/>
    </row>
    <row r="889" spans="1:13" ht="38.25" x14ac:dyDescent="0.25">
      <c r="A889" s="14" t="str">
        <f t="shared" si="78"/>
        <v>1</v>
      </c>
      <c r="B889" s="14" t="str">
        <f t="shared" si="79"/>
        <v>9</v>
      </c>
      <c r="C889" s="14" t="str">
        <f t="shared" si="80"/>
        <v>1</v>
      </c>
      <c r="D889" s="14" t="str">
        <f t="shared" si="81"/>
        <v>4</v>
      </c>
      <c r="E889" s="14" t="str">
        <f t="shared" si="82"/>
        <v>10</v>
      </c>
      <c r="F889" s="14" t="str">
        <f t="shared" si="83"/>
        <v>00</v>
      </c>
      <c r="G889" s="56">
        <v>19141000</v>
      </c>
      <c r="H889" s="14" t="s">
        <v>1813</v>
      </c>
      <c r="I889" s="15" t="s">
        <v>1814</v>
      </c>
      <c r="J889" s="14"/>
      <c r="K889" s="14"/>
      <c r="L889" s="14"/>
      <c r="M889" s="14"/>
    </row>
    <row r="890" spans="1:13" ht="63.75" x14ac:dyDescent="0.25">
      <c r="A890" s="14" t="str">
        <f t="shared" si="78"/>
        <v>1</v>
      </c>
      <c r="B890" s="14" t="str">
        <f t="shared" si="79"/>
        <v>9</v>
      </c>
      <c r="C890" s="14" t="str">
        <f t="shared" si="80"/>
        <v>1</v>
      </c>
      <c r="D890" s="14" t="str">
        <f t="shared" si="81"/>
        <v>4</v>
      </c>
      <c r="E890" s="14" t="str">
        <f t="shared" si="82"/>
        <v>11</v>
      </c>
      <c r="F890" s="14" t="str">
        <f t="shared" si="83"/>
        <v>00</v>
      </c>
      <c r="G890" s="56">
        <v>19141100</v>
      </c>
      <c r="H890" s="14" t="s">
        <v>1815</v>
      </c>
      <c r="I890" s="15" t="s">
        <v>1816</v>
      </c>
      <c r="J890" s="14"/>
      <c r="K890" s="14"/>
      <c r="L890" s="14"/>
      <c r="M890" s="14"/>
    </row>
    <row r="891" spans="1:13" ht="63.75" x14ac:dyDescent="0.25">
      <c r="A891" s="16" t="str">
        <f t="shared" si="78"/>
        <v>1</v>
      </c>
      <c r="B891" s="16" t="str">
        <f t="shared" si="79"/>
        <v>9</v>
      </c>
      <c r="C891" s="16" t="str">
        <f t="shared" si="80"/>
        <v>1</v>
      </c>
      <c r="D891" s="16" t="str">
        <f t="shared" si="81"/>
        <v>4</v>
      </c>
      <c r="E891" s="16" t="str">
        <f t="shared" si="82"/>
        <v>11</v>
      </c>
      <c r="F891" s="16" t="str">
        <f t="shared" si="83"/>
        <v>01</v>
      </c>
      <c r="G891" s="57">
        <v>19141101</v>
      </c>
      <c r="H891" s="16" t="s">
        <v>1817</v>
      </c>
      <c r="I891" s="17" t="s">
        <v>1818</v>
      </c>
      <c r="J891" s="16"/>
      <c r="K891" s="16"/>
      <c r="L891" s="16"/>
      <c r="M891" s="17"/>
    </row>
    <row r="892" spans="1:13" ht="63.75" x14ac:dyDescent="0.25">
      <c r="A892" s="16" t="str">
        <f t="shared" si="78"/>
        <v>1</v>
      </c>
      <c r="B892" s="16" t="str">
        <f t="shared" si="79"/>
        <v>9</v>
      </c>
      <c r="C892" s="16" t="str">
        <f t="shared" si="80"/>
        <v>1</v>
      </c>
      <c r="D892" s="16" t="str">
        <f t="shared" si="81"/>
        <v>4</v>
      </c>
      <c r="E892" s="16" t="str">
        <f t="shared" si="82"/>
        <v>11</v>
      </c>
      <c r="F892" s="16" t="str">
        <f t="shared" si="83"/>
        <v>02</v>
      </c>
      <c r="G892" s="57">
        <v>19141102</v>
      </c>
      <c r="H892" s="16" t="s">
        <v>1819</v>
      </c>
      <c r="I892" s="17" t="s">
        <v>1820</v>
      </c>
      <c r="J892" s="16"/>
      <c r="K892" s="16"/>
      <c r="L892" s="16"/>
      <c r="M892" s="17"/>
    </row>
    <row r="893" spans="1:13" ht="51" x14ac:dyDescent="0.25">
      <c r="A893" s="14" t="str">
        <f t="shared" si="78"/>
        <v>1</v>
      </c>
      <c r="B893" s="14" t="str">
        <f t="shared" si="79"/>
        <v>9</v>
      </c>
      <c r="C893" s="14" t="str">
        <f t="shared" si="80"/>
        <v>1</v>
      </c>
      <c r="D893" s="14" t="str">
        <f t="shared" si="81"/>
        <v>4</v>
      </c>
      <c r="E893" s="14" t="str">
        <f t="shared" si="82"/>
        <v>12</v>
      </c>
      <c r="F893" s="14" t="str">
        <f t="shared" si="83"/>
        <v>00</v>
      </c>
      <c r="G893" s="56">
        <v>19141200</v>
      </c>
      <c r="H893" s="14" t="s">
        <v>1821</v>
      </c>
      <c r="I893" s="15" t="s">
        <v>1822</v>
      </c>
      <c r="J893" s="14"/>
      <c r="K893" s="14"/>
      <c r="L893" s="14"/>
      <c r="M893" s="14"/>
    </row>
    <row r="894" spans="1:13" ht="38.25" x14ac:dyDescent="0.25">
      <c r="A894" s="16" t="str">
        <f t="shared" si="78"/>
        <v>1</v>
      </c>
      <c r="B894" s="16" t="str">
        <f t="shared" si="79"/>
        <v>9</v>
      </c>
      <c r="C894" s="16" t="str">
        <f t="shared" si="80"/>
        <v>1</v>
      </c>
      <c r="D894" s="16" t="str">
        <f t="shared" si="81"/>
        <v>4</v>
      </c>
      <c r="E894" s="16" t="str">
        <f t="shared" si="82"/>
        <v>12</v>
      </c>
      <c r="F894" s="16" t="str">
        <f t="shared" si="83"/>
        <v>01</v>
      </c>
      <c r="G894" s="57">
        <v>19141201</v>
      </c>
      <c r="H894" s="16" t="s">
        <v>1823</v>
      </c>
      <c r="I894" s="17" t="s">
        <v>1824</v>
      </c>
      <c r="J894" s="16"/>
      <c r="K894" s="16"/>
      <c r="L894" s="16"/>
      <c r="M894" s="17"/>
    </row>
    <row r="895" spans="1:13" ht="51" x14ac:dyDescent="0.25">
      <c r="A895" s="16" t="str">
        <f t="shared" si="78"/>
        <v>1</v>
      </c>
      <c r="B895" s="16" t="str">
        <f t="shared" si="79"/>
        <v>9</v>
      </c>
      <c r="C895" s="16" t="str">
        <f t="shared" si="80"/>
        <v>1</v>
      </c>
      <c r="D895" s="16" t="str">
        <f t="shared" si="81"/>
        <v>4</v>
      </c>
      <c r="E895" s="16" t="str">
        <f t="shared" si="82"/>
        <v>12</v>
      </c>
      <c r="F895" s="16" t="str">
        <f t="shared" si="83"/>
        <v>02</v>
      </c>
      <c r="G895" s="57">
        <v>19141202</v>
      </c>
      <c r="H895" s="16" t="s">
        <v>1825</v>
      </c>
      <c r="I895" s="17" t="s">
        <v>1826</v>
      </c>
      <c r="J895" s="16"/>
      <c r="K895" s="16"/>
      <c r="L895" s="16"/>
      <c r="M895" s="17"/>
    </row>
    <row r="896" spans="1:13" ht="38.25" x14ac:dyDescent="0.25">
      <c r="A896" s="16" t="str">
        <f t="shared" si="78"/>
        <v>1</v>
      </c>
      <c r="B896" s="16" t="str">
        <f t="shared" si="79"/>
        <v>9</v>
      </c>
      <c r="C896" s="16" t="str">
        <f t="shared" si="80"/>
        <v>1</v>
      </c>
      <c r="D896" s="16" t="str">
        <f t="shared" si="81"/>
        <v>4</v>
      </c>
      <c r="E896" s="16" t="str">
        <f t="shared" si="82"/>
        <v>12</v>
      </c>
      <c r="F896" s="16" t="str">
        <f t="shared" si="83"/>
        <v>03</v>
      </c>
      <c r="G896" s="57">
        <v>19141203</v>
      </c>
      <c r="H896" s="16" t="s">
        <v>1827</v>
      </c>
      <c r="I896" s="17" t="s">
        <v>1828</v>
      </c>
      <c r="J896" s="16"/>
      <c r="K896" s="16"/>
      <c r="L896" s="16"/>
      <c r="M896" s="17"/>
    </row>
    <row r="897" spans="1:13" ht="51" x14ac:dyDescent="0.25">
      <c r="A897" s="16" t="str">
        <f t="shared" si="78"/>
        <v>1</v>
      </c>
      <c r="B897" s="16" t="str">
        <f t="shared" si="79"/>
        <v>9</v>
      </c>
      <c r="C897" s="16" t="str">
        <f t="shared" si="80"/>
        <v>1</v>
      </c>
      <c r="D897" s="16" t="str">
        <f t="shared" si="81"/>
        <v>4</v>
      </c>
      <c r="E897" s="16" t="str">
        <f t="shared" si="82"/>
        <v>12</v>
      </c>
      <c r="F897" s="16" t="str">
        <f t="shared" si="83"/>
        <v>04</v>
      </c>
      <c r="G897" s="57">
        <v>19141204</v>
      </c>
      <c r="H897" s="16" t="s">
        <v>1829</v>
      </c>
      <c r="I897" s="17" t="s">
        <v>1830</v>
      </c>
      <c r="J897" s="16"/>
      <c r="K897" s="16"/>
      <c r="L897" s="16"/>
      <c r="M897" s="17"/>
    </row>
    <row r="898" spans="1:13" ht="63.75" x14ac:dyDescent="0.25">
      <c r="A898" s="16" t="str">
        <f t="shared" si="78"/>
        <v>1</v>
      </c>
      <c r="B898" s="16" t="str">
        <f t="shared" si="79"/>
        <v>9</v>
      </c>
      <c r="C898" s="16" t="str">
        <f t="shared" si="80"/>
        <v>1</v>
      </c>
      <c r="D898" s="16" t="str">
        <f t="shared" si="81"/>
        <v>4</v>
      </c>
      <c r="E898" s="16" t="str">
        <f t="shared" si="82"/>
        <v>12</v>
      </c>
      <c r="F898" s="16" t="str">
        <f t="shared" si="83"/>
        <v>05</v>
      </c>
      <c r="G898" s="57">
        <v>19141205</v>
      </c>
      <c r="H898" s="16" t="s">
        <v>1831</v>
      </c>
      <c r="I898" s="17" t="s">
        <v>1832</v>
      </c>
      <c r="J898" s="16"/>
      <c r="K898" s="16"/>
      <c r="L898" s="16"/>
      <c r="M898" s="17"/>
    </row>
    <row r="899" spans="1:13" ht="63.75" x14ac:dyDescent="0.25">
      <c r="A899" s="16" t="str">
        <f t="shared" si="78"/>
        <v>1</v>
      </c>
      <c r="B899" s="16" t="str">
        <f t="shared" si="79"/>
        <v>9</v>
      </c>
      <c r="C899" s="16" t="str">
        <f t="shared" si="80"/>
        <v>1</v>
      </c>
      <c r="D899" s="16" t="str">
        <f t="shared" si="81"/>
        <v>4</v>
      </c>
      <c r="E899" s="16" t="str">
        <f t="shared" si="82"/>
        <v>12</v>
      </c>
      <c r="F899" s="16" t="str">
        <f t="shared" si="83"/>
        <v>06</v>
      </c>
      <c r="G899" s="57">
        <v>19141206</v>
      </c>
      <c r="H899" s="16" t="s">
        <v>1833</v>
      </c>
      <c r="I899" s="17" t="s">
        <v>1834</v>
      </c>
      <c r="J899" s="16"/>
      <c r="K899" s="16"/>
      <c r="L899" s="16"/>
      <c r="M899" s="17"/>
    </row>
    <row r="900" spans="1:13" ht="38.25" x14ac:dyDescent="0.25">
      <c r="A900" s="16" t="str">
        <f t="shared" ref="A900:A963" si="84">MID(G900,1,1)</f>
        <v>1</v>
      </c>
      <c r="B900" s="16" t="str">
        <f t="shared" ref="B900:B963" si="85">MID(G900,2,1)</f>
        <v>9</v>
      </c>
      <c r="C900" s="16" t="str">
        <f t="shared" ref="C900:C963" si="86">MID(G900,3,1)</f>
        <v>1</v>
      </c>
      <c r="D900" s="16" t="str">
        <f t="shared" ref="D900:D963" si="87">MID(G900,4,1)</f>
        <v>4</v>
      </c>
      <c r="E900" s="16" t="str">
        <f t="shared" ref="E900:E963" si="88">MID(G900,5,2)</f>
        <v>12</v>
      </c>
      <c r="F900" s="16" t="str">
        <f t="shared" ref="F900:F963" si="89">MID(G900,7,2)</f>
        <v>07</v>
      </c>
      <c r="G900" s="57">
        <v>19141207</v>
      </c>
      <c r="H900" s="16" t="s">
        <v>1835</v>
      </c>
      <c r="I900" s="17" t="s">
        <v>1836</v>
      </c>
      <c r="J900" s="16"/>
      <c r="K900" s="16"/>
      <c r="L900" s="16"/>
      <c r="M900" s="17"/>
    </row>
    <row r="901" spans="1:13" ht="51" x14ac:dyDescent="0.25">
      <c r="A901" s="16" t="str">
        <f t="shared" si="84"/>
        <v>1</v>
      </c>
      <c r="B901" s="16" t="str">
        <f t="shared" si="85"/>
        <v>9</v>
      </c>
      <c r="C901" s="16" t="str">
        <f t="shared" si="86"/>
        <v>1</v>
      </c>
      <c r="D901" s="16" t="str">
        <f t="shared" si="87"/>
        <v>4</v>
      </c>
      <c r="E901" s="16" t="str">
        <f t="shared" si="88"/>
        <v>12</v>
      </c>
      <c r="F901" s="16" t="str">
        <f t="shared" si="89"/>
        <v>08</v>
      </c>
      <c r="G901" s="57">
        <v>19141208</v>
      </c>
      <c r="H901" s="16" t="s">
        <v>1837</v>
      </c>
      <c r="I901" s="17" t="s">
        <v>1838</v>
      </c>
      <c r="J901" s="16"/>
      <c r="K901" s="16"/>
      <c r="L901" s="16"/>
      <c r="M901" s="17"/>
    </row>
    <row r="902" spans="1:13" ht="38.25" x14ac:dyDescent="0.25">
      <c r="A902" s="16" t="str">
        <f t="shared" si="84"/>
        <v>1</v>
      </c>
      <c r="B902" s="16" t="str">
        <f t="shared" si="85"/>
        <v>9</v>
      </c>
      <c r="C902" s="16" t="str">
        <f t="shared" si="86"/>
        <v>1</v>
      </c>
      <c r="D902" s="16" t="str">
        <f t="shared" si="87"/>
        <v>4</v>
      </c>
      <c r="E902" s="16" t="str">
        <f t="shared" si="88"/>
        <v>12</v>
      </c>
      <c r="F902" s="16" t="str">
        <f t="shared" si="89"/>
        <v>09</v>
      </c>
      <c r="G902" s="57">
        <v>19141209</v>
      </c>
      <c r="H902" s="16" t="s">
        <v>1839</v>
      </c>
      <c r="I902" s="17" t="s">
        <v>1840</v>
      </c>
      <c r="J902" s="16"/>
      <c r="K902" s="16"/>
      <c r="L902" s="16"/>
      <c r="M902" s="17"/>
    </row>
    <row r="903" spans="1:13" ht="38.25" x14ac:dyDescent="0.25">
      <c r="A903" s="16" t="str">
        <f t="shared" si="84"/>
        <v>1</v>
      </c>
      <c r="B903" s="16" t="str">
        <f t="shared" si="85"/>
        <v>9</v>
      </c>
      <c r="C903" s="16" t="str">
        <f t="shared" si="86"/>
        <v>1</v>
      </c>
      <c r="D903" s="16" t="str">
        <f t="shared" si="87"/>
        <v>4</v>
      </c>
      <c r="E903" s="16" t="str">
        <f t="shared" si="88"/>
        <v>12</v>
      </c>
      <c r="F903" s="16" t="str">
        <f t="shared" si="89"/>
        <v>10</v>
      </c>
      <c r="G903" s="57">
        <v>19141210</v>
      </c>
      <c r="H903" s="16" t="s">
        <v>1841</v>
      </c>
      <c r="I903" s="17" t="s">
        <v>1842</v>
      </c>
      <c r="J903" s="16"/>
      <c r="K903" s="16"/>
      <c r="L903" s="16"/>
      <c r="M903" s="17"/>
    </row>
    <row r="904" spans="1:13" ht="38.25" x14ac:dyDescent="0.25">
      <c r="A904" s="16" t="str">
        <f t="shared" si="84"/>
        <v>1</v>
      </c>
      <c r="B904" s="16" t="str">
        <f t="shared" si="85"/>
        <v>9</v>
      </c>
      <c r="C904" s="16" t="str">
        <f t="shared" si="86"/>
        <v>1</v>
      </c>
      <c r="D904" s="16" t="str">
        <f t="shared" si="87"/>
        <v>4</v>
      </c>
      <c r="E904" s="16" t="str">
        <f t="shared" si="88"/>
        <v>12</v>
      </c>
      <c r="F904" s="16" t="str">
        <f t="shared" si="89"/>
        <v>11</v>
      </c>
      <c r="G904" s="57">
        <v>19141211</v>
      </c>
      <c r="H904" s="16" t="s">
        <v>1843</v>
      </c>
      <c r="I904" s="17" t="s">
        <v>1844</v>
      </c>
      <c r="J904" s="16"/>
      <c r="K904" s="16"/>
      <c r="L904" s="16"/>
      <c r="M904" s="17"/>
    </row>
    <row r="905" spans="1:13" ht="38.25" x14ac:dyDescent="0.25">
      <c r="A905" s="16" t="str">
        <f t="shared" si="84"/>
        <v>1</v>
      </c>
      <c r="B905" s="16" t="str">
        <f t="shared" si="85"/>
        <v>9</v>
      </c>
      <c r="C905" s="16" t="str">
        <f t="shared" si="86"/>
        <v>1</v>
      </c>
      <c r="D905" s="16" t="str">
        <f t="shared" si="87"/>
        <v>4</v>
      </c>
      <c r="E905" s="16" t="str">
        <f t="shared" si="88"/>
        <v>12</v>
      </c>
      <c r="F905" s="16" t="str">
        <f t="shared" si="89"/>
        <v>12</v>
      </c>
      <c r="G905" s="57">
        <v>19141212</v>
      </c>
      <c r="H905" s="16" t="s">
        <v>1845</v>
      </c>
      <c r="I905" s="17" t="s">
        <v>1846</v>
      </c>
      <c r="J905" s="16"/>
      <c r="K905" s="16"/>
      <c r="L905" s="16"/>
      <c r="M905" s="17"/>
    </row>
    <row r="906" spans="1:13" ht="38.25" x14ac:dyDescent="0.25">
      <c r="A906" s="16" t="str">
        <f t="shared" si="84"/>
        <v>1</v>
      </c>
      <c r="B906" s="16" t="str">
        <f t="shared" si="85"/>
        <v>9</v>
      </c>
      <c r="C906" s="16" t="str">
        <f t="shared" si="86"/>
        <v>1</v>
      </c>
      <c r="D906" s="16" t="str">
        <f t="shared" si="87"/>
        <v>4</v>
      </c>
      <c r="E906" s="16" t="str">
        <f t="shared" si="88"/>
        <v>12</v>
      </c>
      <c r="F906" s="16" t="str">
        <f t="shared" si="89"/>
        <v>13</v>
      </c>
      <c r="G906" s="57">
        <v>19141213</v>
      </c>
      <c r="H906" s="16" t="s">
        <v>1847</v>
      </c>
      <c r="I906" s="17" t="s">
        <v>1848</v>
      </c>
      <c r="J906" s="16"/>
      <c r="K906" s="16"/>
      <c r="L906" s="16"/>
      <c r="M906" s="17"/>
    </row>
    <row r="907" spans="1:13" ht="38.25" x14ac:dyDescent="0.25">
      <c r="A907" s="16" t="str">
        <f t="shared" si="84"/>
        <v>1</v>
      </c>
      <c r="B907" s="16" t="str">
        <f t="shared" si="85"/>
        <v>9</v>
      </c>
      <c r="C907" s="16" t="str">
        <f t="shared" si="86"/>
        <v>1</v>
      </c>
      <c r="D907" s="16" t="str">
        <f t="shared" si="87"/>
        <v>4</v>
      </c>
      <c r="E907" s="16" t="str">
        <f t="shared" si="88"/>
        <v>12</v>
      </c>
      <c r="F907" s="16" t="str">
        <f t="shared" si="89"/>
        <v>14</v>
      </c>
      <c r="G907" s="57">
        <v>19141214</v>
      </c>
      <c r="H907" s="16" t="s">
        <v>1849</v>
      </c>
      <c r="I907" s="17" t="s">
        <v>1850</v>
      </c>
      <c r="J907" s="16"/>
      <c r="K907" s="16"/>
      <c r="L907" s="16"/>
      <c r="M907" s="17"/>
    </row>
    <row r="908" spans="1:13" ht="38.25" x14ac:dyDescent="0.25">
      <c r="A908" s="14" t="str">
        <f t="shared" si="84"/>
        <v>1</v>
      </c>
      <c r="B908" s="14" t="str">
        <f t="shared" si="85"/>
        <v>9</v>
      </c>
      <c r="C908" s="14" t="str">
        <f t="shared" si="86"/>
        <v>1</v>
      </c>
      <c r="D908" s="14" t="str">
        <f t="shared" si="87"/>
        <v>4</v>
      </c>
      <c r="E908" s="14" t="str">
        <f t="shared" si="88"/>
        <v>13</v>
      </c>
      <c r="F908" s="14" t="str">
        <f t="shared" si="89"/>
        <v>00</v>
      </c>
      <c r="G908" s="56">
        <v>19141300</v>
      </c>
      <c r="H908" s="14" t="s">
        <v>1851</v>
      </c>
      <c r="I908" s="15" t="s">
        <v>1852</v>
      </c>
      <c r="J908" s="14"/>
      <c r="K908" s="14" t="s">
        <v>217</v>
      </c>
      <c r="L908" s="14" t="s">
        <v>1439</v>
      </c>
      <c r="M908" s="14"/>
    </row>
    <row r="909" spans="1:13" ht="51" x14ac:dyDescent="0.25">
      <c r="A909" s="16" t="str">
        <f t="shared" si="84"/>
        <v>1</v>
      </c>
      <c r="B909" s="16" t="str">
        <f t="shared" si="85"/>
        <v>9</v>
      </c>
      <c r="C909" s="16" t="str">
        <f t="shared" si="86"/>
        <v>1</v>
      </c>
      <c r="D909" s="16" t="str">
        <f t="shared" si="87"/>
        <v>4</v>
      </c>
      <c r="E909" s="16" t="str">
        <f t="shared" si="88"/>
        <v>13</v>
      </c>
      <c r="F909" s="16" t="str">
        <f t="shared" si="89"/>
        <v>01</v>
      </c>
      <c r="G909" s="57">
        <v>19141301</v>
      </c>
      <c r="H909" s="16" t="s">
        <v>1853</v>
      </c>
      <c r="I909" s="17" t="s">
        <v>1854</v>
      </c>
      <c r="J909" s="16"/>
      <c r="K909" s="16" t="s">
        <v>217</v>
      </c>
      <c r="L909" s="16" t="s">
        <v>1439</v>
      </c>
      <c r="M909" s="17"/>
    </row>
    <row r="910" spans="1:13" ht="38.25" x14ac:dyDescent="0.25">
      <c r="A910" s="16" t="str">
        <f t="shared" si="84"/>
        <v>1</v>
      </c>
      <c r="B910" s="16" t="str">
        <f t="shared" si="85"/>
        <v>9</v>
      </c>
      <c r="C910" s="16" t="str">
        <f t="shared" si="86"/>
        <v>1</v>
      </c>
      <c r="D910" s="16" t="str">
        <f t="shared" si="87"/>
        <v>4</v>
      </c>
      <c r="E910" s="16" t="str">
        <f t="shared" si="88"/>
        <v>13</v>
      </c>
      <c r="F910" s="16" t="str">
        <f t="shared" si="89"/>
        <v>02</v>
      </c>
      <c r="G910" s="57">
        <v>19141302</v>
      </c>
      <c r="H910" s="16" t="s">
        <v>1855</v>
      </c>
      <c r="I910" s="17" t="s">
        <v>1856</v>
      </c>
      <c r="J910" s="16"/>
      <c r="K910" s="16" t="s">
        <v>217</v>
      </c>
      <c r="L910" s="16" t="s">
        <v>1439</v>
      </c>
      <c r="M910" s="17"/>
    </row>
    <row r="911" spans="1:13" ht="25.5" x14ac:dyDescent="0.25">
      <c r="A911" s="14" t="str">
        <f t="shared" si="84"/>
        <v>1</v>
      </c>
      <c r="B911" s="14" t="str">
        <f t="shared" si="85"/>
        <v>9</v>
      </c>
      <c r="C911" s="14" t="str">
        <f t="shared" si="86"/>
        <v>1</v>
      </c>
      <c r="D911" s="14" t="str">
        <f t="shared" si="87"/>
        <v>4</v>
      </c>
      <c r="E911" s="14" t="str">
        <f t="shared" si="88"/>
        <v>99</v>
      </c>
      <c r="F911" s="14" t="str">
        <f t="shared" si="89"/>
        <v>00</v>
      </c>
      <c r="G911" s="56">
        <v>19149900</v>
      </c>
      <c r="H911" s="14" t="s">
        <v>1857</v>
      </c>
      <c r="I911" s="15" t="s">
        <v>1858</v>
      </c>
      <c r="J911" s="14"/>
      <c r="K911" s="14"/>
      <c r="L911" s="14"/>
      <c r="M911" s="14"/>
    </row>
    <row r="912" spans="1:13" ht="25.5" x14ac:dyDescent="0.25">
      <c r="A912" s="16" t="str">
        <f t="shared" si="84"/>
        <v>1</v>
      </c>
      <c r="B912" s="16" t="str">
        <f t="shared" si="85"/>
        <v>9</v>
      </c>
      <c r="C912" s="16" t="str">
        <f t="shared" si="86"/>
        <v>1</v>
      </c>
      <c r="D912" s="16" t="str">
        <f t="shared" si="87"/>
        <v>4</v>
      </c>
      <c r="E912" s="16" t="str">
        <f t="shared" si="88"/>
        <v>99</v>
      </c>
      <c r="F912" s="16" t="str">
        <f t="shared" si="89"/>
        <v>01</v>
      </c>
      <c r="G912" s="57">
        <v>19149901</v>
      </c>
      <c r="H912" s="16" t="s">
        <v>1859</v>
      </c>
      <c r="I912" s="17" t="s">
        <v>1860</v>
      </c>
      <c r="J912" s="16"/>
      <c r="K912" s="16"/>
      <c r="L912" s="16"/>
      <c r="M912" s="17"/>
    </row>
    <row r="913" spans="1:13" ht="25.5" x14ac:dyDescent="0.25">
      <c r="A913" s="16" t="str">
        <f t="shared" si="84"/>
        <v>1</v>
      </c>
      <c r="B913" s="16" t="str">
        <f t="shared" si="85"/>
        <v>9</v>
      </c>
      <c r="C913" s="16" t="str">
        <f t="shared" si="86"/>
        <v>1</v>
      </c>
      <c r="D913" s="16" t="str">
        <f t="shared" si="87"/>
        <v>4</v>
      </c>
      <c r="E913" s="16" t="str">
        <f t="shared" si="88"/>
        <v>99</v>
      </c>
      <c r="F913" s="16" t="str">
        <f t="shared" si="89"/>
        <v>02</v>
      </c>
      <c r="G913" s="57">
        <v>19149902</v>
      </c>
      <c r="H913" s="16" t="s">
        <v>1861</v>
      </c>
      <c r="I913" s="17" t="s">
        <v>1862</v>
      </c>
      <c r="J913" s="16"/>
      <c r="K913" s="16"/>
      <c r="L913" s="16"/>
      <c r="M913" s="17"/>
    </row>
    <row r="914" spans="1:13" ht="25.5" x14ac:dyDescent="0.25">
      <c r="A914" s="12" t="str">
        <f t="shared" si="84"/>
        <v>1</v>
      </c>
      <c r="B914" s="12" t="str">
        <f t="shared" si="85"/>
        <v>9</v>
      </c>
      <c r="C914" s="12" t="str">
        <f t="shared" si="86"/>
        <v>1</v>
      </c>
      <c r="D914" s="12" t="str">
        <f t="shared" si="87"/>
        <v>5</v>
      </c>
      <c r="E914" s="12" t="str">
        <f t="shared" si="88"/>
        <v>00</v>
      </c>
      <c r="F914" s="12" t="str">
        <f t="shared" si="89"/>
        <v>00</v>
      </c>
      <c r="G914" s="55">
        <v>19150000</v>
      </c>
      <c r="H914" s="12" t="s">
        <v>1863</v>
      </c>
      <c r="I914" s="13" t="s">
        <v>1864</v>
      </c>
      <c r="J914" s="12"/>
      <c r="K914" s="12"/>
      <c r="L914" s="12"/>
      <c r="M914" s="13"/>
    </row>
    <row r="915" spans="1:13" ht="38.25" x14ac:dyDescent="0.25">
      <c r="A915" s="14" t="str">
        <f t="shared" si="84"/>
        <v>1</v>
      </c>
      <c r="B915" s="14" t="str">
        <f t="shared" si="85"/>
        <v>9</v>
      </c>
      <c r="C915" s="14" t="str">
        <f t="shared" si="86"/>
        <v>1</v>
      </c>
      <c r="D915" s="14" t="str">
        <f t="shared" si="87"/>
        <v>5</v>
      </c>
      <c r="E915" s="14" t="str">
        <f t="shared" si="88"/>
        <v>01</v>
      </c>
      <c r="F915" s="14" t="str">
        <f t="shared" si="89"/>
        <v>00</v>
      </c>
      <c r="G915" s="56">
        <v>19150100</v>
      </c>
      <c r="H915" s="14" t="s">
        <v>1865</v>
      </c>
      <c r="I915" s="15" t="s">
        <v>1866</v>
      </c>
      <c r="J915" s="14"/>
      <c r="K915" s="14"/>
      <c r="L915" s="14"/>
      <c r="M915" s="14"/>
    </row>
    <row r="916" spans="1:13" ht="38.25" x14ac:dyDescent="0.25">
      <c r="A916" s="14" t="str">
        <f t="shared" si="84"/>
        <v>1</v>
      </c>
      <c r="B916" s="14" t="str">
        <f t="shared" si="85"/>
        <v>9</v>
      </c>
      <c r="C916" s="14" t="str">
        <f t="shared" si="86"/>
        <v>1</v>
      </c>
      <c r="D916" s="14" t="str">
        <f t="shared" si="87"/>
        <v>5</v>
      </c>
      <c r="E916" s="14" t="str">
        <f t="shared" si="88"/>
        <v>02</v>
      </c>
      <c r="F916" s="14" t="str">
        <f t="shared" si="89"/>
        <v>00</v>
      </c>
      <c r="G916" s="56">
        <v>19150200</v>
      </c>
      <c r="H916" s="14" t="s">
        <v>1867</v>
      </c>
      <c r="I916" s="15" t="s">
        <v>1868</v>
      </c>
      <c r="J916" s="14"/>
      <c r="K916" s="14"/>
      <c r="L916" s="14"/>
      <c r="M916" s="14"/>
    </row>
    <row r="917" spans="1:13" ht="38.25" x14ac:dyDescent="0.25">
      <c r="A917" s="14" t="str">
        <f t="shared" si="84"/>
        <v>1</v>
      </c>
      <c r="B917" s="14" t="str">
        <f t="shared" si="85"/>
        <v>9</v>
      </c>
      <c r="C917" s="14" t="str">
        <f t="shared" si="86"/>
        <v>1</v>
      </c>
      <c r="D917" s="14" t="str">
        <f t="shared" si="87"/>
        <v>5</v>
      </c>
      <c r="E917" s="14" t="str">
        <f t="shared" si="88"/>
        <v>03</v>
      </c>
      <c r="F917" s="14" t="str">
        <f t="shared" si="89"/>
        <v>00</v>
      </c>
      <c r="G917" s="56">
        <v>19150300</v>
      </c>
      <c r="H917" s="14" t="s">
        <v>1869</v>
      </c>
      <c r="I917" s="15" t="s">
        <v>1870</v>
      </c>
      <c r="J917" s="14"/>
      <c r="K917" s="14"/>
      <c r="L917" s="14"/>
      <c r="M917" s="14"/>
    </row>
    <row r="918" spans="1:13" ht="38.25" x14ac:dyDescent="0.25">
      <c r="A918" s="14" t="str">
        <f t="shared" si="84"/>
        <v>1</v>
      </c>
      <c r="B918" s="14" t="str">
        <f t="shared" si="85"/>
        <v>9</v>
      </c>
      <c r="C918" s="14" t="str">
        <f t="shared" si="86"/>
        <v>1</v>
      </c>
      <c r="D918" s="14" t="str">
        <f t="shared" si="87"/>
        <v>5</v>
      </c>
      <c r="E918" s="14" t="str">
        <f t="shared" si="88"/>
        <v>04</v>
      </c>
      <c r="F918" s="14" t="str">
        <f t="shared" si="89"/>
        <v>00</v>
      </c>
      <c r="G918" s="56">
        <v>19150400</v>
      </c>
      <c r="H918" s="14" t="s">
        <v>1871</v>
      </c>
      <c r="I918" s="15" t="s">
        <v>1872</v>
      </c>
      <c r="J918" s="14"/>
      <c r="K918" s="14"/>
      <c r="L918" s="14"/>
      <c r="M918" s="14"/>
    </row>
    <row r="919" spans="1:13" ht="38.25" x14ac:dyDescent="0.25">
      <c r="A919" s="14" t="str">
        <f t="shared" si="84"/>
        <v>1</v>
      </c>
      <c r="B919" s="14" t="str">
        <f t="shared" si="85"/>
        <v>9</v>
      </c>
      <c r="C919" s="14" t="str">
        <f t="shared" si="86"/>
        <v>1</v>
      </c>
      <c r="D919" s="14" t="str">
        <f t="shared" si="87"/>
        <v>5</v>
      </c>
      <c r="E919" s="14" t="str">
        <f t="shared" si="88"/>
        <v>05</v>
      </c>
      <c r="F919" s="14" t="str">
        <f t="shared" si="89"/>
        <v>00</v>
      </c>
      <c r="G919" s="56">
        <v>19150500</v>
      </c>
      <c r="H919" s="14" t="s">
        <v>1873</v>
      </c>
      <c r="I919" s="15" t="s">
        <v>1874</v>
      </c>
      <c r="J919" s="14"/>
      <c r="K919" s="14"/>
      <c r="L919" s="14"/>
      <c r="M919" s="14"/>
    </row>
    <row r="920" spans="1:13" ht="38.25" x14ac:dyDescent="0.25">
      <c r="A920" s="14" t="str">
        <f t="shared" si="84"/>
        <v>1</v>
      </c>
      <c r="B920" s="14" t="str">
        <f t="shared" si="85"/>
        <v>9</v>
      </c>
      <c r="C920" s="14" t="str">
        <f t="shared" si="86"/>
        <v>1</v>
      </c>
      <c r="D920" s="14" t="str">
        <f t="shared" si="87"/>
        <v>5</v>
      </c>
      <c r="E920" s="14" t="str">
        <f t="shared" si="88"/>
        <v>06</v>
      </c>
      <c r="F920" s="14" t="str">
        <f t="shared" si="89"/>
        <v>00</v>
      </c>
      <c r="G920" s="56">
        <v>19150600</v>
      </c>
      <c r="H920" s="14" t="s">
        <v>1875</v>
      </c>
      <c r="I920" s="15" t="s">
        <v>1876</v>
      </c>
      <c r="J920" s="14"/>
      <c r="K920" s="14"/>
      <c r="L920" s="14"/>
      <c r="M920" s="14"/>
    </row>
    <row r="921" spans="1:13" ht="38.25" x14ac:dyDescent="0.25">
      <c r="A921" s="14" t="str">
        <f t="shared" si="84"/>
        <v>1</v>
      </c>
      <c r="B921" s="14" t="str">
        <f t="shared" si="85"/>
        <v>9</v>
      </c>
      <c r="C921" s="14" t="str">
        <f t="shared" si="86"/>
        <v>1</v>
      </c>
      <c r="D921" s="14" t="str">
        <f t="shared" si="87"/>
        <v>5</v>
      </c>
      <c r="E921" s="14" t="str">
        <f t="shared" si="88"/>
        <v>07</v>
      </c>
      <c r="F921" s="14" t="str">
        <f t="shared" si="89"/>
        <v>00</v>
      </c>
      <c r="G921" s="56">
        <v>19150700</v>
      </c>
      <c r="H921" s="14" t="s">
        <v>1877</v>
      </c>
      <c r="I921" s="15" t="s">
        <v>1878</v>
      </c>
      <c r="J921" s="14"/>
      <c r="K921" s="14"/>
      <c r="L921" s="14"/>
      <c r="M921" s="14"/>
    </row>
    <row r="922" spans="1:13" ht="38.25" x14ac:dyDescent="0.25">
      <c r="A922" s="14" t="str">
        <f t="shared" si="84"/>
        <v>1</v>
      </c>
      <c r="B922" s="14" t="str">
        <f t="shared" si="85"/>
        <v>9</v>
      </c>
      <c r="C922" s="14" t="str">
        <f t="shared" si="86"/>
        <v>1</v>
      </c>
      <c r="D922" s="14" t="str">
        <f t="shared" si="87"/>
        <v>5</v>
      </c>
      <c r="E922" s="14" t="str">
        <f t="shared" si="88"/>
        <v>08</v>
      </c>
      <c r="F922" s="14" t="str">
        <f t="shared" si="89"/>
        <v>00</v>
      </c>
      <c r="G922" s="56">
        <v>19150800</v>
      </c>
      <c r="H922" s="14" t="s">
        <v>1879</v>
      </c>
      <c r="I922" s="15" t="s">
        <v>1880</v>
      </c>
      <c r="J922" s="14"/>
      <c r="K922" s="14"/>
      <c r="L922" s="14"/>
      <c r="M922" s="14"/>
    </row>
    <row r="923" spans="1:13" ht="38.25" x14ac:dyDescent="0.25">
      <c r="A923" s="14" t="str">
        <f t="shared" si="84"/>
        <v>1</v>
      </c>
      <c r="B923" s="14" t="str">
        <f t="shared" si="85"/>
        <v>9</v>
      </c>
      <c r="C923" s="14" t="str">
        <f t="shared" si="86"/>
        <v>1</v>
      </c>
      <c r="D923" s="14" t="str">
        <f t="shared" si="87"/>
        <v>5</v>
      </c>
      <c r="E923" s="14" t="str">
        <f t="shared" si="88"/>
        <v>09</v>
      </c>
      <c r="F923" s="14" t="str">
        <f t="shared" si="89"/>
        <v>00</v>
      </c>
      <c r="G923" s="56">
        <v>19150900</v>
      </c>
      <c r="H923" s="14" t="s">
        <v>1881</v>
      </c>
      <c r="I923" s="15" t="s">
        <v>1882</v>
      </c>
      <c r="J923" s="14"/>
      <c r="K923" s="14"/>
      <c r="L923" s="14"/>
      <c r="M923" s="14"/>
    </row>
    <row r="924" spans="1:13" ht="38.25" x14ac:dyDescent="0.25">
      <c r="A924" s="14" t="str">
        <f t="shared" si="84"/>
        <v>1</v>
      </c>
      <c r="B924" s="14" t="str">
        <f t="shared" si="85"/>
        <v>9</v>
      </c>
      <c r="C924" s="14" t="str">
        <f t="shared" si="86"/>
        <v>1</v>
      </c>
      <c r="D924" s="14" t="str">
        <f t="shared" si="87"/>
        <v>5</v>
      </c>
      <c r="E924" s="14" t="str">
        <f t="shared" si="88"/>
        <v>10</v>
      </c>
      <c r="F924" s="14" t="str">
        <f t="shared" si="89"/>
        <v>00</v>
      </c>
      <c r="G924" s="56">
        <v>19151000</v>
      </c>
      <c r="H924" s="14" t="s">
        <v>1883</v>
      </c>
      <c r="I924" s="15" t="s">
        <v>1884</v>
      </c>
      <c r="J924" s="14"/>
      <c r="K924" s="14"/>
      <c r="L924" s="14"/>
      <c r="M924" s="14"/>
    </row>
    <row r="925" spans="1:13" ht="38.25" x14ac:dyDescent="0.25">
      <c r="A925" s="14" t="str">
        <f t="shared" si="84"/>
        <v>1</v>
      </c>
      <c r="B925" s="14" t="str">
        <f t="shared" si="85"/>
        <v>9</v>
      </c>
      <c r="C925" s="14" t="str">
        <f t="shared" si="86"/>
        <v>1</v>
      </c>
      <c r="D925" s="14" t="str">
        <f t="shared" si="87"/>
        <v>5</v>
      </c>
      <c r="E925" s="14" t="str">
        <f t="shared" si="88"/>
        <v>11</v>
      </c>
      <c r="F925" s="14" t="str">
        <f t="shared" si="89"/>
        <v>00</v>
      </c>
      <c r="G925" s="56">
        <v>19151100</v>
      </c>
      <c r="H925" s="14" t="s">
        <v>1885</v>
      </c>
      <c r="I925" s="15" t="s">
        <v>1886</v>
      </c>
      <c r="J925" s="14"/>
      <c r="K925" s="14" t="s">
        <v>151</v>
      </c>
      <c r="L925" s="14" t="s">
        <v>1436</v>
      </c>
      <c r="M925" s="14"/>
    </row>
    <row r="926" spans="1:13" ht="38.25" x14ac:dyDescent="0.25">
      <c r="A926" s="16" t="str">
        <f t="shared" si="84"/>
        <v>1</v>
      </c>
      <c r="B926" s="16" t="str">
        <f t="shared" si="85"/>
        <v>9</v>
      </c>
      <c r="C926" s="16" t="str">
        <f t="shared" si="86"/>
        <v>1</v>
      </c>
      <c r="D926" s="16" t="str">
        <f t="shared" si="87"/>
        <v>5</v>
      </c>
      <c r="E926" s="16" t="str">
        <f t="shared" si="88"/>
        <v>11</v>
      </c>
      <c r="F926" s="16" t="str">
        <f t="shared" si="89"/>
        <v>01</v>
      </c>
      <c r="G926" s="57">
        <v>19151101</v>
      </c>
      <c r="H926" s="16" t="s">
        <v>1887</v>
      </c>
      <c r="I926" s="17" t="s">
        <v>1888</v>
      </c>
      <c r="J926" s="16"/>
      <c r="K926" s="16" t="s">
        <v>217</v>
      </c>
      <c r="L926" s="16" t="s">
        <v>1439</v>
      </c>
      <c r="M926" s="17"/>
    </row>
    <row r="927" spans="1:13" ht="38.25" x14ac:dyDescent="0.25">
      <c r="A927" s="16" t="str">
        <f t="shared" si="84"/>
        <v>1</v>
      </c>
      <c r="B927" s="16" t="str">
        <f t="shared" si="85"/>
        <v>9</v>
      </c>
      <c r="C927" s="16" t="str">
        <f t="shared" si="86"/>
        <v>1</v>
      </c>
      <c r="D927" s="16" t="str">
        <f t="shared" si="87"/>
        <v>5</v>
      </c>
      <c r="E927" s="16" t="str">
        <f t="shared" si="88"/>
        <v>11</v>
      </c>
      <c r="F927" s="16" t="str">
        <f t="shared" si="89"/>
        <v>02</v>
      </c>
      <c r="G927" s="57">
        <v>19151102</v>
      </c>
      <c r="H927" s="16" t="s">
        <v>1889</v>
      </c>
      <c r="I927" s="17" t="s">
        <v>1890</v>
      </c>
      <c r="J927" s="16"/>
      <c r="K927" s="16" t="s">
        <v>217</v>
      </c>
      <c r="L927" s="16" t="s">
        <v>1439</v>
      </c>
      <c r="M927" s="17"/>
    </row>
    <row r="928" spans="1:13" ht="38.25" x14ac:dyDescent="0.25">
      <c r="A928" s="16" t="str">
        <f t="shared" si="84"/>
        <v>1</v>
      </c>
      <c r="B928" s="16" t="str">
        <f t="shared" si="85"/>
        <v>9</v>
      </c>
      <c r="C928" s="16" t="str">
        <f t="shared" si="86"/>
        <v>1</v>
      </c>
      <c r="D928" s="16" t="str">
        <f t="shared" si="87"/>
        <v>5</v>
      </c>
      <c r="E928" s="16" t="str">
        <f t="shared" si="88"/>
        <v>11</v>
      </c>
      <c r="F928" s="16" t="str">
        <f t="shared" si="89"/>
        <v>03</v>
      </c>
      <c r="G928" s="57">
        <v>19151103</v>
      </c>
      <c r="H928" s="16" t="s">
        <v>1891</v>
      </c>
      <c r="I928" s="17" t="s">
        <v>1892</v>
      </c>
      <c r="J928" s="16"/>
      <c r="K928" s="16" t="s">
        <v>217</v>
      </c>
      <c r="L928" s="16" t="s">
        <v>1439</v>
      </c>
      <c r="M928" s="17"/>
    </row>
    <row r="929" spans="1:13" ht="51" x14ac:dyDescent="0.25">
      <c r="A929" s="16" t="str">
        <f t="shared" si="84"/>
        <v>1</v>
      </c>
      <c r="B929" s="16" t="str">
        <f t="shared" si="85"/>
        <v>9</v>
      </c>
      <c r="C929" s="16" t="str">
        <f t="shared" si="86"/>
        <v>1</v>
      </c>
      <c r="D929" s="16" t="str">
        <f t="shared" si="87"/>
        <v>5</v>
      </c>
      <c r="E929" s="16" t="str">
        <f t="shared" si="88"/>
        <v>11</v>
      </c>
      <c r="F929" s="16" t="str">
        <f t="shared" si="89"/>
        <v>04</v>
      </c>
      <c r="G929" s="57">
        <v>19151104</v>
      </c>
      <c r="H929" s="16" t="s">
        <v>1893</v>
      </c>
      <c r="I929" s="17" t="s">
        <v>1894</v>
      </c>
      <c r="J929" s="16"/>
      <c r="K929" s="16" t="s">
        <v>217</v>
      </c>
      <c r="L929" s="16" t="s">
        <v>1439</v>
      </c>
      <c r="M929" s="17"/>
    </row>
    <row r="930" spans="1:13" ht="38.25" x14ac:dyDescent="0.25">
      <c r="A930" s="16" t="str">
        <f t="shared" si="84"/>
        <v>1</v>
      </c>
      <c r="B930" s="16" t="str">
        <f t="shared" si="85"/>
        <v>9</v>
      </c>
      <c r="C930" s="16" t="str">
        <f t="shared" si="86"/>
        <v>1</v>
      </c>
      <c r="D930" s="16" t="str">
        <f t="shared" si="87"/>
        <v>5</v>
      </c>
      <c r="E930" s="16" t="str">
        <f t="shared" si="88"/>
        <v>11</v>
      </c>
      <c r="F930" s="16" t="str">
        <f t="shared" si="89"/>
        <v>06</v>
      </c>
      <c r="G930" s="57">
        <v>19151106</v>
      </c>
      <c r="H930" s="16" t="s">
        <v>1895</v>
      </c>
      <c r="I930" s="17" t="s">
        <v>1896</v>
      </c>
      <c r="J930" s="16"/>
      <c r="K930" s="16" t="s">
        <v>217</v>
      </c>
      <c r="L930" s="16" t="s">
        <v>1439</v>
      </c>
      <c r="M930" s="17"/>
    </row>
    <row r="931" spans="1:13" ht="38.25" x14ac:dyDescent="0.25">
      <c r="A931" s="16" t="str">
        <f t="shared" si="84"/>
        <v>1</v>
      </c>
      <c r="B931" s="16" t="str">
        <f t="shared" si="85"/>
        <v>9</v>
      </c>
      <c r="C931" s="16" t="str">
        <f t="shared" si="86"/>
        <v>1</v>
      </c>
      <c r="D931" s="16" t="str">
        <f t="shared" si="87"/>
        <v>5</v>
      </c>
      <c r="E931" s="16" t="str">
        <f t="shared" si="88"/>
        <v>11</v>
      </c>
      <c r="F931" s="16" t="str">
        <f t="shared" si="89"/>
        <v>07</v>
      </c>
      <c r="G931" s="57">
        <v>19151107</v>
      </c>
      <c r="H931" s="16" t="s">
        <v>1897</v>
      </c>
      <c r="I931" s="17" t="s">
        <v>1898</v>
      </c>
      <c r="J931" s="16"/>
      <c r="K931" s="16" t="s">
        <v>217</v>
      </c>
      <c r="L931" s="16" t="s">
        <v>1439</v>
      </c>
      <c r="M931" s="17"/>
    </row>
    <row r="932" spans="1:13" ht="51" x14ac:dyDescent="0.25">
      <c r="A932" s="14" t="str">
        <f t="shared" si="84"/>
        <v>1</v>
      </c>
      <c r="B932" s="14" t="str">
        <f t="shared" si="85"/>
        <v>9</v>
      </c>
      <c r="C932" s="14" t="str">
        <f t="shared" si="86"/>
        <v>1</v>
      </c>
      <c r="D932" s="14" t="str">
        <f t="shared" si="87"/>
        <v>5</v>
      </c>
      <c r="E932" s="14" t="str">
        <f t="shared" si="88"/>
        <v>12</v>
      </c>
      <c r="F932" s="14" t="str">
        <f t="shared" si="89"/>
        <v>00</v>
      </c>
      <c r="G932" s="56">
        <v>19151200</v>
      </c>
      <c r="H932" s="14" t="s">
        <v>1899</v>
      </c>
      <c r="I932" s="15" t="s">
        <v>1900</v>
      </c>
      <c r="J932" s="14"/>
      <c r="K932" s="14"/>
      <c r="L932" s="14"/>
      <c r="M932" s="14"/>
    </row>
    <row r="933" spans="1:13" ht="51" x14ac:dyDescent="0.25">
      <c r="A933" s="14" t="str">
        <f t="shared" si="84"/>
        <v>1</v>
      </c>
      <c r="B933" s="14" t="str">
        <f t="shared" si="85"/>
        <v>9</v>
      </c>
      <c r="C933" s="14" t="str">
        <f t="shared" si="86"/>
        <v>1</v>
      </c>
      <c r="D933" s="14" t="str">
        <f t="shared" si="87"/>
        <v>5</v>
      </c>
      <c r="E933" s="14" t="str">
        <f t="shared" si="88"/>
        <v>13</v>
      </c>
      <c r="F933" s="14" t="str">
        <f t="shared" si="89"/>
        <v>00</v>
      </c>
      <c r="G933" s="56">
        <v>19151300</v>
      </c>
      <c r="H933" s="14" t="s">
        <v>1901</v>
      </c>
      <c r="I933" s="15" t="s">
        <v>1902</v>
      </c>
      <c r="J933" s="14"/>
      <c r="K933" s="14"/>
      <c r="L933" s="14"/>
      <c r="M933" s="14"/>
    </row>
    <row r="934" spans="1:13" ht="38.25" x14ac:dyDescent="0.25">
      <c r="A934" s="14" t="str">
        <f t="shared" si="84"/>
        <v>1</v>
      </c>
      <c r="B934" s="14" t="str">
        <f t="shared" si="85"/>
        <v>9</v>
      </c>
      <c r="C934" s="14" t="str">
        <f t="shared" si="86"/>
        <v>1</v>
      </c>
      <c r="D934" s="14" t="str">
        <f t="shared" si="87"/>
        <v>5</v>
      </c>
      <c r="E934" s="14" t="str">
        <f t="shared" si="88"/>
        <v>14</v>
      </c>
      <c r="F934" s="14" t="str">
        <f t="shared" si="89"/>
        <v>00</v>
      </c>
      <c r="G934" s="56">
        <v>19151400</v>
      </c>
      <c r="H934" s="14" t="s">
        <v>1903</v>
      </c>
      <c r="I934" s="15" t="s">
        <v>1904</v>
      </c>
      <c r="J934" s="14"/>
      <c r="K934" s="14"/>
      <c r="L934" s="14"/>
      <c r="M934" s="14"/>
    </row>
    <row r="935" spans="1:13" ht="38.25" x14ac:dyDescent="0.25">
      <c r="A935" s="14" t="str">
        <f t="shared" si="84"/>
        <v>1</v>
      </c>
      <c r="B935" s="14" t="str">
        <f t="shared" si="85"/>
        <v>9</v>
      </c>
      <c r="C935" s="14" t="str">
        <f t="shared" si="86"/>
        <v>1</v>
      </c>
      <c r="D935" s="14" t="str">
        <f t="shared" si="87"/>
        <v>5</v>
      </c>
      <c r="E935" s="14" t="str">
        <f t="shared" si="88"/>
        <v>15</v>
      </c>
      <c r="F935" s="14" t="str">
        <f t="shared" si="89"/>
        <v>00</v>
      </c>
      <c r="G935" s="56">
        <v>19151500</v>
      </c>
      <c r="H935" s="14" t="s">
        <v>1905</v>
      </c>
      <c r="I935" s="15" t="s">
        <v>1906</v>
      </c>
      <c r="J935" s="14"/>
      <c r="K935" s="14"/>
      <c r="L935" s="14"/>
      <c r="M935" s="14"/>
    </row>
    <row r="936" spans="1:13" ht="38.25" x14ac:dyDescent="0.25">
      <c r="A936" s="14" t="str">
        <f t="shared" si="84"/>
        <v>1</v>
      </c>
      <c r="B936" s="14" t="str">
        <f t="shared" si="85"/>
        <v>9</v>
      </c>
      <c r="C936" s="14" t="str">
        <f t="shared" si="86"/>
        <v>1</v>
      </c>
      <c r="D936" s="14" t="str">
        <f t="shared" si="87"/>
        <v>5</v>
      </c>
      <c r="E936" s="14" t="str">
        <f t="shared" si="88"/>
        <v>16</v>
      </c>
      <c r="F936" s="14" t="str">
        <f t="shared" si="89"/>
        <v>00</v>
      </c>
      <c r="G936" s="56">
        <v>19151600</v>
      </c>
      <c r="H936" s="14" t="s">
        <v>1907</v>
      </c>
      <c r="I936" s="15" t="s">
        <v>1908</v>
      </c>
      <c r="J936" s="14"/>
      <c r="K936" s="14"/>
      <c r="L936" s="14"/>
      <c r="M936" s="14"/>
    </row>
    <row r="937" spans="1:13" ht="38.25" x14ac:dyDescent="0.25">
      <c r="A937" s="14" t="str">
        <f t="shared" si="84"/>
        <v>1</v>
      </c>
      <c r="B937" s="14" t="str">
        <f t="shared" si="85"/>
        <v>9</v>
      </c>
      <c r="C937" s="14" t="str">
        <f t="shared" si="86"/>
        <v>1</v>
      </c>
      <c r="D937" s="14" t="str">
        <f t="shared" si="87"/>
        <v>5</v>
      </c>
      <c r="E937" s="14" t="str">
        <f t="shared" si="88"/>
        <v>17</v>
      </c>
      <c r="F937" s="14" t="str">
        <f t="shared" si="89"/>
        <v>00</v>
      </c>
      <c r="G937" s="56">
        <v>19151700</v>
      </c>
      <c r="H937" s="14" t="s">
        <v>1909</v>
      </c>
      <c r="I937" s="15" t="s">
        <v>1910</v>
      </c>
      <c r="J937" s="14"/>
      <c r="K937" s="14"/>
      <c r="L937" s="14"/>
      <c r="M937" s="14"/>
    </row>
    <row r="938" spans="1:13" ht="51" x14ac:dyDescent="0.25">
      <c r="A938" s="14" t="str">
        <f t="shared" si="84"/>
        <v>1</v>
      </c>
      <c r="B938" s="14" t="str">
        <f t="shared" si="85"/>
        <v>9</v>
      </c>
      <c r="C938" s="14" t="str">
        <f t="shared" si="86"/>
        <v>1</v>
      </c>
      <c r="D938" s="14" t="str">
        <f t="shared" si="87"/>
        <v>5</v>
      </c>
      <c r="E938" s="14" t="str">
        <f t="shared" si="88"/>
        <v>18</v>
      </c>
      <c r="F938" s="14" t="str">
        <f t="shared" si="89"/>
        <v>00</v>
      </c>
      <c r="G938" s="56">
        <v>19151800</v>
      </c>
      <c r="H938" s="14" t="s">
        <v>1911</v>
      </c>
      <c r="I938" s="15" t="s">
        <v>1912</v>
      </c>
      <c r="J938" s="14"/>
      <c r="K938" s="14"/>
      <c r="L938" s="14"/>
      <c r="M938" s="14"/>
    </row>
    <row r="939" spans="1:13" ht="51" x14ac:dyDescent="0.25">
      <c r="A939" s="14" t="str">
        <f t="shared" si="84"/>
        <v>1</v>
      </c>
      <c r="B939" s="14" t="str">
        <f t="shared" si="85"/>
        <v>9</v>
      </c>
      <c r="C939" s="14" t="str">
        <f t="shared" si="86"/>
        <v>1</v>
      </c>
      <c r="D939" s="14" t="str">
        <f t="shared" si="87"/>
        <v>5</v>
      </c>
      <c r="E939" s="14" t="str">
        <f t="shared" si="88"/>
        <v>19</v>
      </c>
      <c r="F939" s="14" t="str">
        <f t="shared" si="89"/>
        <v>00</v>
      </c>
      <c r="G939" s="56">
        <v>19151900</v>
      </c>
      <c r="H939" s="14" t="s">
        <v>1913</v>
      </c>
      <c r="I939" s="15" t="s">
        <v>1914</v>
      </c>
      <c r="J939" s="14"/>
      <c r="K939" s="14"/>
      <c r="L939" s="14"/>
      <c r="M939" s="14"/>
    </row>
    <row r="940" spans="1:13" ht="51" x14ac:dyDescent="0.25">
      <c r="A940" s="14" t="str">
        <f t="shared" si="84"/>
        <v>1</v>
      </c>
      <c r="B940" s="14" t="str">
        <f t="shared" si="85"/>
        <v>9</v>
      </c>
      <c r="C940" s="14" t="str">
        <f t="shared" si="86"/>
        <v>1</v>
      </c>
      <c r="D940" s="14" t="str">
        <f t="shared" si="87"/>
        <v>5</v>
      </c>
      <c r="E940" s="14" t="str">
        <f t="shared" si="88"/>
        <v>20</v>
      </c>
      <c r="F940" s="14" t="str">
        <f t="shared" si="89"/>
        <v>00</v>
      </c>
      <c r="G940" s="56">
        <v>19152000</v>
      </c>
      <c r="H940" s="14" t="s">
        <v>1915</v>
      </c>
      <c r="I940" s="15" t="s">
        <v>1916</v>
      </c>
      <c r="J940" s="14"/>
      <c r="K940" s="14"/>
      <c r="L940" s="14"/>
      <c r="M940" s="14"/>
    </row>
    <row r="941" spans="1:13" ht="38.25" x14ac:dyDescent="0.25">
      <c r="A941" s="16" t="str">
        <f t="shared" si="84"/>
        <v>1</v>
      </c>
      <c r="B941" s="16" t="str">
        <f t="shared" si="85"/>
        <v>9</v>
      </c>
      <c r="C941" s="16" t="str">
        <f t="shared" si="86"/>
        <v>1</v>
      </c>
      <c r="D941" s="16" t="str">
        <f t="shared" si="87"/>
        <v>5</v>
      </c>
      <c r="E941" s="16" t="str">
        <f t="shared" si="88"/>
        <v>20</v>
      </c>
      <c r="F941" s="16" t="str">
        <f t="shared" si="89"/>
        <v>01</v>
      </c>
      <c r="G941" s="57">
        <v>19152001</v>
      </c>
      <c r="H941" s="16" t="s">
        <v>1917</v>
      </c>
      <c r="I941" s="17" t="s">
        <v>1918</v>
      </c>
      <c r="J941" s="16"/>
      <c r="K941" s="16"/>
      <c r="L941" s="16"/>
      <c r="M941" s="17"/>
    </row>
    <row r="942" spans="1:13" ht="51" x14ac:dyDescent="0.25">
      <c r="A942" s="16" t="str">
        <f t="shared" si="84"/>
        <v>1</v>
      </c>
      <c r="B942" s="16" t="str">
        <f t="shared" si="85"/>
        <v>9</v>
      </c>
      <c r="C942" s="16" t="str">
        <f t="shared" si="86"/>
        <v>1</v>
      </c>
      <c r="D942" s="16" t="str">
        <f t="shared" si="87"/>
        <v>5</v>
      </c>
      <c r="E942" s="16" t="str">
        <f t="shared" si="88"/>
        <v>20</v>
      </c>
      <c r="F942" s="16" t="str">
        <f t="shared" si="89"/>
        <v>02</v>
      </c>
      <c r="G942" s="57">
        <v>19152002</v>
      </c>
      <c r="H942" s="16" t="s">
        <v>1919</v>
      </c>
      <c r="I942" s="17" t="s">
        <v>1920</v>
      </c>
      <c r="J942" s="16"/>
      <c r="K942" s="16"/>
      <c r="L942" s="16"/>
      <c r="M942" s="17"/>
    </row>
    <row r="943" spans="1:13" ht="25.5" x14ac:dyDescent="0.25">
      <c r="A943" s="14" t="str">
        <f t="shared" si="84"/>
        <v>1</v>
      </c>
      <c r="B943" s="14" t="str">
        <f t="shared" si="85"/>
        <v>9</v>
      </c>
      <c r="C943" s="14" t="str">
        <f t="shared" si="86"/>
        <v>1</v>
      </c>
      <c r="D943" s="14" t="str">
        <f t="shared" si="87"/>
        <v>5</v>
      </c>
      <c r="E943" s="14" t="str">
        <f t="shared" si="88"/>
        <v>99</v>
      </c>
      <c r="F943" s="14" t="str">
        <f t="shared" si="89"/>
        <v>00</v>
      </c>
      <c r="G943" s="56">
        <v>19159900</v>
      </c>
      <c r="H943" s="14" t="s">
        <v>1921</v>
      </c>
      <c r="I943" s="15" t="s">
        <v>1922</v>
      </c>
      <c r="J943" s="14"/>
      <c r="K943" s="14"/>
      <c r="L943" s="14"/>
      <c r="M943" s="14"/>
    </row>
    <row r="944" spans="1:13" ht="25.5" x14ac:dyDescent="0.25">
      <c r="A944" s="16" t="str">
        <f t="shared" si="84"/>
        <v>1</v>
      </c>
      <c r="B944" s="16" t="str">
        <f t="shared" si="85"/>
        <v>9</v>
      </c>
      <c r="C944" s="16" t="str">
        <f t="shared" si="86"/>
        <v>1</v>
      </c>
      <c r="D944" s="16" t="str">
        <f t="shared" si="87"/>
        <v>5</v>
      </c>
      <c r="E944" s="16" t="str">
        <f t="shared" si="88"/>
        <v>99</v>
      </c>
      <c r="F944" s="16" t="str">
        <f t="shared" si="89"/>
        <v>01</v>
      </c>
      <c r="G944" s="57">
        <v>19159901</v>
      </c>
      <c r="H944" s="16" t="s">
        <v>1923</v>
      </c>
      <c r="I944" s="17" t="s">
        <v>1924</v>
      </c>
      <c r="J944" s="16"/>
      <c r="K944" s="16"/>
      <c r="L944" s="16"/>
      <c r="M944" s="17"/>
    </row>
    <row r="945" spans="1:13" ht="25.5" x14ac:dyDescent="0.25">
      <c r="A945" s="16" t="str">
        <f t="shared" si="84"/>
        <v>1</v>
      </c>
      <c r="B945" s="16" t="str">
        <f t="shared" si="85"/>
        <v>9</v>
      </c>
      <c r="C945" s="16" t="str">
        <f t="shared" si="86"/>
        <v>1</v>
      </c>
      <c r="D945" s="16" t="str">
        <f t="shared" si="87"/>
        <v>5</v>
      </c>
      <c r="E945" s="16" t="str">
        <f t="shared" si="88"/>
        <v>99</v>
      </c>
      <c r="F945" s="16" t="str">
        <f t="shared" si="89"/>
        <v>02</v>
      </c>
      <c r="G945" s="57">
        <v>19159902</v>
      </c>
      <c r="H945" s="16" t="s">
        <v>1925</v>
      </c>
      <c r="I945" s="17" t="s">
        <v>1926</v>
      </c>
      <c r="J945" s="16"/>
      <c r="K945" s="16"/>
      <c r="L945" s="16"/>
      <c r="M945" s="17"/>
    </row>
    <row r="946" spans="1:13" ht="25.5" x14ac:dyDescent="0.25">
      <c r="A946" s="12" t="str">
        <f t="shared" si="84"/>
        <v>1</v>
      </c>
      <c r="B946" s="12" t="str">
        <f t="shared" si="85"/>
        <v>9</v>
      </c>
      <c r="C946" s="12" t="str">
        <f t="shared" si="86"/>
        <v>1</v>
      </c>
      <c r="D946" s="12" t="str">
        <f t="shared" si="87"/>
        <v>8</v>
      </c>
      <c r="E946" s="12" t="str">
        <f t="shared" si="88"/>
        <v>00</v>
      </c>
      <c r="F946" s="12" t="str">
        <f t="shared" si="89"/>
        <v>00</v>
      </c>
      <c r="G946" s="55">
        <v>19180000</v>
      </c>
      <c r="H946" s="12" t="s">
        <v>1927</v>
      </c>
      <c r="I946" s="13" t="s">
        <v>1928</v>
      </c>
      <c r="J946" s="12"/>
      <c r="K946" s="12"/>
      <c r="L946" s="12"/>
      <c r="M946" s="13"/>
    </row>
    <row r="947" spans="1:13" ht="25.5" x14ac:dyDescent="0.25">
      <c r="A947" s="14" t="str">
        <f t="shared" si="84"/>
        <v>1</v>
      </c>
      <c r="B947" s="14" t="str">
        <f t="shared" si="85"/>
        <v>9</v>
      </c>
      <c r="C947" s="14" t="str">
        <f t="shared" si="86"/>
        <v>1</v>
      </c>
      <c r="D947" s="14" t="str">
        <f t="shared" si="87"/>
        <v>8</v>
      </c>
      <c r="E947" s="14" t="str">
        <f t="shared" si="88"/>
        <v>01</v>
      </c>
      <c r="F947" s="14" t="str">
        <f t="shared" si="89"/>
        <v>00</v>
      </c>
      <c r="G947" s="56">
        <v>19180100</v>
      </c>
      <c r="H947" s="14" t="s">
        <v>1929</v>
      </c>
      <c r="I947" s="15" t="s">
        <v>1930</v>
      </c>
      <c r="J947" s="14"/>
      <c r="K947" s="14"/>
      <c r="L947" s="14"/>
      <c r="M947" s="14"/>
    </row>
    <row r="948" spans="1:13" ht="25.5" x14ac:dyDescent="0.25">
      <c r="A948" s="14" t="str">
        <f t="shared" si="84"/>
        <v>1</v>
      </c>
      <c r="B948" s="14" t="str">
        <f t="shared" si="85"/>
        <v>9</v>
      </c>
      <c r="C948" s="14" t="str">
        <f t="shared" si="86"/>
        <v>1</v>
      </c>
      <c r="D948" s="14" t="str">
        <f t="shared" si="87"/>
        <v>8</v>
      </c>
      <c r="E948" s="14" t="str">
        <f t="shared" si="88"/>
        <v>02</v>
      </c>
      <c r="F948" s="14" t="str">
        <f t="shared" si="89"/>
        <v>00</v>
      </c>
      <c r="G948" s="56">
        <v>19180200</v>
      </c>
      <c r="H948" s="14" t="s">
        <v>1931</v>
      </c>
      <c r="I948" s="15" t="s">
        <v>1932</v>
      </c>
      <c r="J948" s="14"/>
      <c r="K948" s="14"/>
      <c r="L948" s="14"/>
      <c r="M948" s="14"/>
    </row>
    <row r="949" spans="1:13" x14ac:dyDescent="0.25">
      <c r="A949" s="14" t="str">
        <f t="shared" si="84"/>
        <v>1</v>
      </c>
      <c r="B949" s="14" t="str">
        <f t="shared" si="85"/>
        <v>9</v>
      </c>
      <c r="C949" s="14" t="str">
        <f t="shared" si="86"/>
        <v>1</v>
      </c>
      <c r="D949" s="14" t="str">
        <f t="shared" si="87"/>
        <v>8</v>
      </c>
      <c r="E949" s="14" t="str">
        <f t="shared" si="88"/>
        <v>03</v>
      </c>
      <c r="F949" s="14" t="str">
        <f t="shared" si="89"/>
        <v>00</v>
      </c>
      <c r="G949" s="56">
        <v>19180300</v>
      </c>
      <c r="H949" s="14" t="s">
        <v>1933</v>
      </c>
      <c r="I949" s="15" t="s">
        <v>1934</v>
      </c>
      <c r="J949" s="14"/>
      <c r="K949" s="14"/>
      <c r="L949" s="14"/>
      <c r="M949" s="14"/>
    </row>
    <row r="950" spans="1:13" ht="25.5" x14ac:dyDescent="0.25">
      <c r="A950" s="14" t="str">
        <f t="shared" si="84"/>
        <v>1</v>
      </c>
      <c r="B950" s="14" t="str">
        <f t="shared" si="85"/>
        <v>9</v>
      </c>
      <c r="C950" s="14" t="str">
        <f t="shared" si="86"/>
        <v>1</v>
      </c>
      <c r="D950" s="14" t="str">
        <f t="shared" si="87"/>
        <v>8</v>
      </c>
      <c r="E950" s="14" t="str">
        <f t="shared" si="88"/>
        <v>04</v>
      </c>
      <c r="F950" s="14" t="str">
        <f t="shared" si="89"/>
        <v>00</v>
      </c>
      <c r="G950" s="56">
        <v>19180400</v>
      </c>
      <c r="H950" s="14" t="s">
        <v>1935</v>
      </c>
      <c r="I950" s="15" t="s">
        <v>1936</v>
      </c>
      <c r="J950" s="14"/>
      <c r="K950" s="14"/>
      <c r="L950" s="14"/>
      <c r="M950" s="14"/>
    </row>
    <row r="951" spans="1:13" ht="38.25" x14ac:dyDescent="0.25">
      <c r="A951" s="16" t="str">
        <f t="shared" si="84"/>
        <v>1</v>
      </c>
      <c r="B951" s="16" t="str">
        <f t="shared" si="85"/>
        <v>9</v>
      </c>
      <c r="C951" s="16" t="str">
        <f t="shared" si="86"/>
        <v>1</v>
      </c>
      <c r="D951" s="16" t="str">
        <f t="shared" si="87"/>
        <v>8</v>
      </c>
      <c r="E951" s="16" t="str">
        <f t="shared" si="88"/>
        <v>04</v>
      </c>
      <c r="F951" s="16" t="str">
        <f t="shared" si="89"/>
        <v>01</v>
      </c>
      <c r="G951" s="57">
        <v>19180401</v>
      </c>
      <c r="H951" s="16" t="s">
        <v>1937</v>
      </c>
      <c r="I951" s="17" t="s">
        <v>1938</v>
      </c>
      <c r="J951" s="16"/>
      <c r="K951" s="16"/>
      <c r="L951" s="16"/>
      <c r="M951" s="17"/>
    </row>
    <row r="952" spans="1:13" ht="38.25" x14ac:dyDescent="0.25">
      <c r="A952" s="16" t="str">
        <f t="shared" si="84"/>
        <v>1</v>
      </c>
      <c r="B952" s="16" t="str">
        <f t="shared" si="85"/>
        <v>9</v>
      </c>
      <c r="C952" s="16" t="str">
        <f t="shared" si="86"/>
        <v>1</v>
      </c>
      <c r="D952" s="16" t="str">
        <f t="shared" si="87"/>
        <v>8</v>
      </c>
      <c r="E952" s="16" t="str">
        <f t="shared" si="88"/>
        <v>04</v>
      </c>
      <c r="F952" s="16" t="str">
        <f t="shared" si="89"/>
        <v>02</v>
      </c>
      <c r="G952" s="57">
        <v>19180402</v>
      </c>
      <c r="H952" s="16" t="s">
        <v>1939</v>
      </c>
      <c r="I952" s="17" t="s">
        <v>1940</v>
      </c>
      <c r="J952" s="16"/>
      <c r="K952" s="16"/>
      <c r="L952" s="16"/>
      <c r="M952" s="17"/>
    </row>
    <row r="953" spans="1:13" ht="25.5" x14ac:dyDescent="0.25">
      <c r="A953" s="14" t="str">
        <f t="shared" si="84"/>
        <v>1</v>
      </c>
      <c r="B953" s="14" t="str">
        <f t="shared" si="85"/>
        <v>9</v>
      </c>
      <c r="C953" s="14" t="str">
        <f t="shared" si="86"/>
        <v>1</v>
      </c>
      <c r="D953" s="14" t="str">
        <f t="shared" si="87"/>
        <v>8</v>
      </c>
      <c r="E953" s="14" t="str">
        <f t="shared" si="88"/>
        <v>05</v>
      </c>
      <c r="F953" s="14" t="str">
        <f t="shared" si="89"/>
        <v>00</v>
      </c>
      <c r="G953" s="56">
        <v>19180500</v>
      </c>
      <c r="H953" s="14" t="s">
        <v>1941</v>
      </c>
      <c r="I953" s="15" t="s">
        <v>1942</v>
      </c>
      <c r="J953" s="14"/>
      <c r="K953" s="14"/>
      <c r="L953" s="14"/>
      <c r="M953" s="14"/>
    </row>
    <row r="954" spans="1:13" ht="25.5" x14ac:dyDescent="0.25">
      <c r="A954" s="14" t="str">
        <f t="shared" si="84"/>
        <v>1</v>
      </c>
      <c r="B954" s="14" t="str">
        <f t="shared" si="85"/>
        <v>9</v>
      </c>
      <c r="C954" s="14" t="str">
        <f t="shared" si="86"/>
        <v>1</v>
      </c>
      <c r="D954" s="14" t="str">
        <f t="shared" si="87"/>
        <v>8</v>
      </c>
      <c r="E954" s="14" t="str">
        <f t="shared" si="88"/>
        <v>06</v>
      </c>
      <c r="F954" s="14" t="str">
        <f t="shared" si="89"/>
        <v>00</v>
      </c>
      <c r="G954" s="56">
        <v>19180600</v>
      </c>
      <c r="H954" s="14" t="s">
        <v>1943</v>
      </c>
      <c r="I954" s="15" t="s">
        <v>1944</v>
      </c>
      <c r="J954" s="14"/>
      <c r="K954" s="14"/>
      <c r="L954" s="14"/>
      <c r="M954" s="14"/>
    </row>
    <row r="955" spans="1:13" ht="25.5" x14ac:dyDescent="0.25">
      <c r="A955" s="14" t="str">
        <f t="shared" si="84"/>
        <v>1</v>
      </c>
      <c r="B955" s="14" t="str">
        <f t="shared" si="85"/>
        <v>9</v>
      </c>
      <c r="C955" s="14" t="str">
        <f t="shared" si="86"/>
        <v>1</v>
      </c>
      <c r="D955" s="14" t="str">
        <f t="shared" si="87"/>
        <v>8</v>
      </c>
      <c r="E955" s="14" t="str">
        <f t="shared" si="88"/>
        <v>07</v>
      </c>
      <c r="F955" s="14" t="str">
        <f t="shared" si="89"/>
        <v>00</v>
      </c>
      <c r="G955" s="56">
        <v>19180700</v>
      </c>
      <c r="H955" s="14" t="s">
        <v>1945</v>
      </c>
      <c r="I955" s="15" t="s">
        <v>1946</v>
      </c>
      <c r="J955" s="14"/>
      <c r="K955" s="14"/>
      <c r="L955" s="14"/>
      <c r="M955" s="14"/>
    </row>
    <row r="956" spans="1:13" ht="25.5" x14ac:dyDescent="0.25">
      <c r="A956" s="14" t="str">
        <f t="shared" si="84"/>
        <v>1</v>
      </c>
      <c r="B956" s="14" t="str">
        <f t="shared" si="85"/>
        <v>9</v>
      </c>
      <c r="C956" s="14" t="str">
        <f t="shared" si="86"/>
        <v>1</v>
      </c>
      <c r="D956" s="14" t="str">
        <f t="shared" si="87"/>
        <v>8</v>
      </c>
      <c r="E956" s="14" t="str">
        <f t="shared" si="88"/>
        <v>08</v>
      </c>
      <c r="F956" s="14" t="str">
        <f t="shared" si="89"/>
        <v>00</v>
      </c>
      <c r="G956" s="56">
        <v>19180800</v>
      </c>
      <c r="H956" s="14" t="s">
        <v>1947</v>
      </c>
      <c r="I956" s="15" t="s">
        <v>1948</v>
      </c>
      <c r="J956" s="14"/>
      <c r="K956" s="14"/>
      <c r="L956" s="14"/>
      <c r="M956" s="14"/>
    </row>
    <row r="957" spans="1:13" x14ac:dyDescent="0.25">
      <c r="A957" s="14" t="str">
        <f t="shared" si="84"/>
        <v>1</v>
      </c>
      <c r="B957" s="14" t="str">
        <f t="shared" si="85"/>
        <v>9</v>
      </c>
      <c r="C957" s="14" t="str">
        <f t="shared" si="86"/>
        <v>1</v>
      </c>
      <c r="D957" s="14" t="str">
        <f t="shared" si="87"/>
        <v>8</v>
      </c>
      <c r="E957" s="14" t="str">
        <f t="shared" si="88"/>
        <v>09</v>
      </c>
      <c r="F957" s="14" t="str">
        <f t="shared" si="89"/>
        <v>00</v>
      </c>
      <c r="G957" s="56">
        <v>19180900</v>
      </c>
      <c r="H957" s="14" t="s">
        <v>1949</v>
      </c>
      <c r="I957" s="15" t="s">
        <v>1950</v>
      </c>
      <c r="J957" s="14"/>
      <c r="K957" s="14"/>
      <c r="L957" s="14"/>
      <c r="M957" s="14"/>
    </row>
    <row r="958" spans="1:13" x14ac:dyDescent="0.25">
      <c r="A958" s="14" t="str">
        <f t="shared" si="84"/>
        <v>1</v>
      </c>
      <c r="B958" s="14" t="str">
        <f t="shared" si="85"/>
        <v>9</v>
      </c>
      <c r="C958" s="14" t="str">
        <f t="shared" si="86"/>
        <v>1</v>
      </c>
      <c r="D958" s="14" t="str">
        <f t="shared" si="87"/>
        <v>8</v>
      </c>
      <c r="E958" s="14" t="str">
        <f t="shared" si="88"/>
        <v>10</v>
      </c>
      <c r="F958" s="14" t="str">
        <f t="shared" si="89"/>
        <v>00</v>
      </c>
      <c r="G958" s="56">
        <v>19181000</v>
      </c>
      <c r="H958" s="14" t="s">
        <v>1951</v>
      </c>
      <c r="I958" s="15" t="s">
        <v>1952</v>
      </c>
      <c r="J958" s="14"/>
      <c r="K958" s="14"/>
      <c r="L958" s="14"/>
      <c r="M958" s="14"/>
    </row>
    <row r="959" spans="1:13" ht="38.25" x14ac:dyDescent="0.25">
      <c r="A959" s="14" t="str">
        <f t="shared" si="84"/>
        <v>1</v>
      </c>
      <c r="B959" s="14" t="str">
        <f t="shared" si="85"/>
        <v>9</v>
      </c>
      <c r="C959" s="14" t="str">
        <f t="shared" si="86"/>
        <v>1</v>
      </c>
      <c r="D959" s="14" t="str">
        <f t="shared" si="87"/>
        <v>8</v>
      </c>
      <c r="E959" s="14" t="str">
        <f t="shared" si="88"/>
        <v>11</v>
      </c>
      <c r="F959" s="14" t="str">
        <f t="shared" si="89"/>
        <v>00</v>
      </c>
      <c r="G959" s="56">
        <v>19181100</v>
      </c>
      <c r="H959" s="14" t="s">
        <v>1953</v>
      </c>
      <c r="I959" s="15" t="s">
        <v>1954</v>
      </c>
      <c r="J959" s="14"/>
      <c r="K959" s="14"/>
      <c r="L959" s="14"/>
      <c r="M959" s="14"/>
    </row>
    <row r="960" spans="1:13" ht="25.5" x14ac:dyDescent="0.25">
      <c r="A960" s="14" t="str">
        <f t="shared" si="84"/>
        <v>1</v>
      </c>
      <c r="B960" s="14" t="str">
        <f t="shared" si="85"/>
        <v>9</v>
      </c>
      <c r="C960" s="14" t="str">
        <f t="shared" si="86"/>
        <v>1</v>
      </c>
      <c r="D960" s="14" t="str">
        <f t="shared" si="87"/>
        <v>8</v>
      </c>
      <c r="E960" s="14" t="str">
        <f t="shared" si="88"/>
        <v>12</v>
      </c>
      <c r="F960" s="14" t="str">
        <f t="shared" si="89"/>
        <v>00</v>
      </c>
      <c r="G960" s="56">
        <v>19181200</v>
      </c>
      <c r="H960" s="14" t="s">
        <v>1955</v>
      </c>
      <c r="I960" s="15" t="s">
        <v>1956</v>
      </c>
      <c r="J960" s="14"/>
      <c r="K960" s="14"/>
      <c r="L960" s="14"/>
      <c r="M960" s="14"/>
    </row>
    <row r="961" spans="1:13" ht="38.25" x14ac:dyDescent="0.25">
      <c r="A961" s="40" t="str">
        <f t="shared" si="84"/>
        <v>1</v>
      </c>
      <c r="B961" s="40" t="str">
        <f t="shared" si="85"/>
        <v>9</v>
      </c>
      <c r="C961" s="40" t="str">
        <f t="shared" si="86"/>
        <v>1</v>
      </c>
      <c r="D961" s="40" t="str">
        <f t="shared" si="87"/>
        <v>8</v>
      </c>
      <c r="E961" s="40" t="str">
        <f t="shared" si="88"/>
        <v>13</v>
      </c>
      <c r="F961" s="40" t="str">
        <f t="shared" si="89"/>
        <v>00</v>
      </c>
      <c r="G961" s="66">
        <v>19181300</v>
      </c>
      <c r="H961" s="40" t="s">
        <v>1957</v>
      </c>
      <c r="I961" s="41" t="s">
        <v>1958</v>
      </c>
      <c r="J961" s="14"/>
      <c r="K961" s="14" t="s">
        <v>494</v>
      </c>
      <c r="L961" s="14" t="s">
        <v>1164</v>
      </c>
      <c r="M961" s="14"/>
    </row>
    <row r="962" spans="1:13" ht="25.5" x14ac:dyDescent="0.25">
      <c r="A962" s="14" t="str">
        <f t="shared" si="84"/>
        <v>1</v>
      </c>
      <c r="B962" s="14" t="str">
        <f t="shared" si="85"/>
        <v>9</v>
      </c>
      <c r="C962" s="14" t="str">
        <f t="shared" si="86"/>
        <v>1</v>
      </c>
      <c r="D962" s="14" t="str">
        <f t="shared" si="87"/>
        <v>8</v>
      </c>
      <c r="E962" s="14" t="str">
        <f t="shared" si="88"/>
        <v>14</v>
      </c>
      <c r="F962" s="14" t="str">
        <f t="shared" si="89"/>
        <v>00</v>
      </c>
      <c r="G962" s="56">
        <v>19181400</v>
      </c>
      <c r="H962" s="14" t="s">
        <v>1959</v>
      </c>
      <c r="I962" s="15" t="s">
        <v>1960</v>
      </c>
      <c r="J962" s="14"/>
      <c r="K962" s="14"/>
      <c r="L962" s="14"/>
      <c r="M962" s="14"/>
    </row>
    <row r="963" spans="1:13" ht="38.25" x14ac:dyDescent="0.25">
      <c r="A963" s="14" t="str">
        <f t="shared" si="84"/>
        <v>1</v>
      </c>
      <c r="B963" s="14" t="str">
        <f t="shared" si="85"/>
        <v>9</v>
      </c>
      <c r="C963" s="14" t="str">
        <f t="shared" si="86"/>
        <v>1</v>
      </c>
      <c r="D963" s="14" t="str">
        <f t="shared" si="87"/>
        <v>8</v>
      </c>
      <c r="E963" s="14" t="str">
        <f t="shared" si="88"/>
        <v>15</v>
      </c>
      <c r="F963" s="14" t="str">
        <f t="shared" si="89"/>
        <v>00</v>
      </c>
      <c r="G963" s="56">
        <v>19181500</v>
      </c>
      <c r="H963" s="14" t="s">
        <v>1961</v>
      </c>
      <c r="I963" s="15" t="s">
        <v>1962</v>
      </c>
      <c r="J963" s="14"/>
      <c r="K963" s="14"/>
      <c r="L963" s="14"/>
      <c r="M963" s="14"/>
    </row>
    <row r="964" spans="1:13" ht="25.5" x14ac:dyDescent="0.25">
      <c r="A964" s="14" t="str">
        <f t="shared" ref="A964:A1027" si="90">MID(G964,1,1)</f>
        <v>1</v>
      </c>
      <c r="B964" s="14" t="str">
        <f t="shared" ref="B964:B1027" si="91">MID(G964,2,1)</f>
        <v>9</v>
      </c>
      <c r="C964" s="14" t="str">
        <f t="shared" ref="C964:C1027" si="92">MID(G964,3,1)</f>
        <v>1</v>
      </c>
      <c r="D964" s="14" t="str">
        <f t="shared" ref="D964:D1027" si="93">MID(G964,4,1)</f>
        <v>8</v>
      </c>
      <c r="E964" s="14" t="str">
        <f t="shared" ref="E964:E1027" si="94">MID(G964,5,2)</f>
        <v>16</v>
      </c>
      <c r="F964" s="14" t="str">
        <f t="shared" ref="F964:F1027" si="95">MID(G964,7,2)</f>
        <v>00</v>
      </c>
      <c r="G964" s="56">
        <v>19181600</v>
      </c>
      <c r="H964" s="14" t="s">
        <v>1963</v>
      </c>
      <c r="I964" s="15" t="s">
        <v>1964</v>
      </c>
      <c r="J964" s="14"/>
      <c r="K964" s="14"/>
      <c r="L964" s="14"/>
      <c r="M964" s="14"/>
    </row>
    <row r="965" spans="1:13" ht="25.5" x14ac:dyDescent="0.25">
      <c r="A965" s="14" t="str">
        <f t="shared" si="90"/>
        <v>1</v>
      </c>
      <c r="B965" s="14" t="str">
        <f t="shared" si="91"/>
        <v>9</v>
      </c>
      <c r="C965" s="14" t="str">
        <f t="shared" si="92"/>
        <v>1</v>
      </c>
      <c r="D965" s="14" t="str">
        <f t="shared" si="93"/>
        <v>8</v>
      </c>
      <c r="E965" s="14" t="str">
        <f t="shared" si="94"/>
        <v>17</v>
      </c>
      <c r="F965" s="14" t="str">
        <f t="shared" si="95"/>
        <v>00</v>
      </c>
      <c r="G965" s="56">
        <v>19181700</v>
      </c>
      <c r="H965" s="14" t="s">
        <v>1965</v>
      </c>
      <c r="I965" s="15" t="s">
        <v>1966</v>
      </c>
      <c r="J965" s="14"/>
      <c r="K965" s="14"/>
      <c r="L965" s="14"/>
      <c r="M965" s="14"/>
    </row>
    <row r="966" spans="1:13" ht="25.5" x14ac:dyDescent="0.25">
      <c r="A966" s="16" t="str">
        <f t="shared" si="90"/>
        <v>1</v>
      </c>
      <c r="B966" s="16" t="str">
        <f t="shared" si="91"/>
        <v>9</v>
      </c>
      <c r="C966" s="16" t="str">
        <f t="shared" si="92"/>
        <v>1</v>
      </c>
      <c r="D966" s="16" t="str">
        <f t="shared" si="93"/>
        <v>8</v>
      </c>
      <c r="E966" s="16" t="str">
        <f t="shared" si="94"/>
        <v>17</v>
      </c>
      <c r="F966" s="16" t="str">
        <f t="shared" si="95"/>
        <v>01</v>
      </c>
      <c r="G966" s="57">
        <v>19181701</v>
      </c>
      <c r="H966" s="16" t="s">
        <v>1967</v>
      </c>
      <c r="I966" s="17" t="s">
        <v>1968</v>
      </c>
      <c r="J966" s="16"/>
      <c r="K966" s="16"/>
      <c r="L966" s="16"/>
      <c r="M966" s="17"/>
    </row>
    <row r="967" spans="1:13" ht="25.5" x14ac:dyDescent="0.25">
      <c r="A967" s="16" t="str">
        <f t="shared" si="90"/>
        <v>1</v>
      </c>
      <c r="B967" s="16" t="str">
        <f t="shared" si="91"/>
        <v>9</v>
      </c>
      <c r="C967" s="16" t="str">
        <f t="shared" si="92"/>
        <v>1</v>
      </c>
      <c r="D967" s="16" t="str">
        <f t="shared" si="93"/>
        <v>8</v>
      </c>
      <c r="E967" s="16" t="str">
        <f t="shared" si="94"/>
        <v>17</v>
      </c>
      <c r="F967" s="16" t="str">
        <f t="shared" si="95"/>
        <v>02</v>
      </c>
      <c r="G967" s="57">
        <v>19181702</v>
      </c>
      <c r="H967" s="16" t="s">
        <v>1969</v>
      </c>
      <c r="I967" s="17" t="s">
        <v>1970</v>
      </c>
      <c r="J967" s="16"/>
      <c r="K967" s="16"/>
      <c r="L967" s="16"/>
      <c r="M967" s="17"/>
    </row>
    <row r="968" spans="1:13" ht="38.25" x14ac:dyDescent="0.25">
      <c r="A968" s="14" t="str">
        <f t="shared" si="90"/>
        <v>1</v>
      </c>
      <c r="B968" s="14" t="str">
        <f t="shared" si="91"/>
        <v>9</v>
      </c>
      <c r="C968" s="14" t="str">
        <f t="shared" si="92"/>
        <v>1</v>
      </c>
      <c r="D968" s="14" t="str">
        <f t="shared" si="93"/>
        <v>8</v>
      </c>
      <c r="E968" s="14" t="str">
        <f t="shared" si="94"/>
        <v>18</v>
      </c>
      <c r="F968" s="14" t="str">
        <f t="shared" si="95"/>
        <v>00</v>
      </c>
      <c r="G968" s="56">
        <v>19181800</v>
      </c>
      <c r="H968" s="14" t="s">
        <v>1971</v>
      </c>
      <c r="I968" s="15" t="s">
        <v>1972</v>
      </c>
      <c r="J968" s="14"/>
      <c r="K968" s="14"/>
      <c r="L968" s="14"/>
      <c r="M968" s="14"/>
    </row>
    <row r="969" spans="1:13" ht="25.5" x14ac:dyDescent="0.25">
      <c r="A969" s="16" t="str">
        <f t="shared" si="90"/>
        <v>1</v>
      </c>
      <c r="B969" s="16" t="str">
        <f t="shared" si="91"/>
        <v>9</v>
      </c>
      <c r="C969" s="16" t="str">
        <f t="shared" si="92"/>
        <v>1</v>
      </c>
      <c r="D969" s="16" t="str">
        <f t="shared" si="93"/>
        <v>8</v>
      </c>
      <c r="E969" s="16" t="str">
        <f t="shared" si="94"/>
        <v>18</v>
      </c>
      <c r="F969" s="16" t="str">
        <f t="shared" si="95"/>
        <v>01</v>
      </c>
      <c r="G969" s="57">
        <v>19181801</v>
      </c>
      <c r="H969" s="16" t="s">
        <v>1973</v>
      </c>
      <c r="I969" s="17" t="s">
        <v>1974</v>
      </c>
      <c r="J969" s="16"/>
      <c r="K969" s="16"/>
      <c r="L969" s="16"/>
      <c r="M969" s="17"/>
    </row>
    <row r="970" spans="1:13" ht="25.5" x14ac:dyDescent="0.25">
      <c r="A970" s="16" t="str">
        <f t="shared" si="90"/>
        <v>1</v>
      </c>
      <c r="B970" s="16" t="str">
        <f t="shared" si="91"/>
        <v>9</v>
      </c>
      <c r="C970" s="16" t="str">
        <f t="shared" si="92"/>
        <v>1</v>
      </c>
      <c r="D970" s="16" t="str">
        <f t="shared" si="93"/>
        <v>8</v>
      </c>
      <c r="E970" s="16" t="str">
        <f t="shared" si="94"/>
        <v>18</v>
      </c>
      <c r="F970" s="16" t="str">
        <f t="shared" si="95"/>
        <v>02</v>
      </c>
      <c r="G970" s="57">
        <v>19181802</v>
      </c>
      <c r="H970" s="16" t="s">
        <v>1975</v>
      </c>
      <c r="I970" s="17" t="s">
        <v>1976</v>
      </c>
      <c r="J970" s="16"/>
      <c r="K970" s="16"/>
      <c r="L970" s="16"/>
      <c r="M970" s="17"/>
    </row>
    <row r="971" spans="1:13" ht="38.25" x14ac:dyDescent="0.25">
      <c r="A971" s="14" t="str">
        <f t="shared" si="90"/>
        <v>1</v>
      </c>
      <c r="B971" s="14" t="str">
        <f t="shared" si="91"/>
        <v>9</v>
      </c>
      <c r="C971" s="14" t="str">
        <f t="shared" si="92"/>
        <v>1</v>
      </c>
      <c r="D971" s="14" t="str">
        <f t="shared" si="93"/>
        <v>8</v>
      </c>
      <c r="E971" s="14" t="str">
        <f t="shared" si="94"/>
        <v>19</v>
      </c>
      <c r="F971" s="14" t="str">
        <f t="shared" si="95"/>
        <v>00</v>
      </c>
      <c r="G971" s="56">
        <v>19181900</v>
      </c>
      <c r="H971" s="14" t="s">
        <v>1977</v>
      </c>
      <c r="I971" s="15" t="s">
        <v>1978</v>
      </c>
      <c r="J971" s="14"/>
      <c r="K971" s="14"/>
      <c r="L971" s="14"/>
      <c r="M971" s="14"/>
    </row>
    <row r="972" spans="1:13" ht="51" x14ac:dyDescent="0.25">
      <c r="A972" s="14" t="str">
        <f t="shared" si="90"/>
        <v>1</v>
      </c>
      <c r="B972" s="14" t="str">
        <f t="shared" si="91"/>
        <v>9</v>
      </c>
      <c r="C972" s="14" t="str">
        <f t="shared" si="92"/>
        <v>1</v>
      </c>
      <c r="D972" s="14" t="str">
        <f t="shared" si="93"/>
        <v>8</v>
      </c>
      <c r="E972" s="14" t="str">
        <f t="shared" si="94"/>
        <v>20</v>
      </c>
      <c r="F972" s="14" t="str">
        <f t="shared" si="95"/>
        <v>00</v>
      </c>
      <c r="G972" s="56">
        <v>19182000</v>
      </c>
      <c r="H972" s="14" t="s">
        <v>1979</v>
      </c>
      <c r="I972" s="15" t="s">
        <v>1980</v>
      </c>
      <c r="J972" s="14"/>
      <c r="K972" s="14"/>
      <c r="L972" s="14"/>
      <c r="M972" s="14"/>
    </row>
    <row r="973" spans="1:13" ht="38.25" x14ac:dyDescent="0.25">
      <c r="A973" s="14" t="str">
        <f t="shared" si="90"/>
        <v>1</v>
      </c>
      <c r="B973" s="14" t="str">
        <f t="shared" si="91"/>
        <v>9</v>
      </c>
      <c r="C973" s="14" t="str">
        <f t="shared" si="92"/>
        <v>1</v>
      </c>
      <c r="D973" s="14" t="str">
        <f t="shared" si="93"/>
        <v>8</v>
      </c>
      <c r="E973" s="14" t="str">
        <f t="shared" si="94"/>
        <v>21</v>
      </c>
      <c r="F973" s="14" t="str">
        <f t="shared" si="95"/>
        <v>00</v>
      </c>
      <c r="G973" s="56">
        <v>19182100</v>
      </c>
      <c r="H973" s="14" t="s">
        <v>1981</v>
      </c>
      <c r="I973" s="15" t="s">
        <v>1982</v>
      </c>
      <c r="J973" s="14"/>
      <c r="K973" s="14"/>
      <c r="L973" s="14"/>
      <c r="M973" s="14"/>
    </row>
    <row r="974" spans="1:13" ht="38.25" x14ac:dyDescent="0.25">
      <c r="A974" s="14" t="str">
        <f t="shared" si="90"/>
        <v>1</v>
      </c>
      <c r="B974" s="14" t="str">
        <f t="shared" si="91"/>
        <v>9</v>
      </c>
      <c r="C974" s="14" t="str">
        <f t="shared" si="92"/>
        <v>1</v>
      </c>
      <c r="D974" s="14" t="str">
        <f t="shared" si="93"/>
        <v>8</v>
      </c>
      <c r="E974" s="14" t="str">
        <f t="shared" si="94"/>
        <v>23</v>
      </c>
      <c r="F974" s="14" t="str">
        <f t="shared" si="95"/>
        <v>00</v>
      </c>
      <c r="G974" s="56">
        <v>19182300</v>
      </c>
      <c r="H974" s="14" t="s">
        <v>1983</v>
      </c>
      <c r="I974" s="15" t="s">
        <v>1984</v>
      </c>
      <c r="J974" s="14"/>
      <c r="K974" s="14"/>
      <c r="L974" s="14"/>
      <c r="M974" s="14"/>
    </row>
    <row r="975" spans="1:13" ht="38.25" x14ac:dyDescent="0.25">
      <c r="A975" s="14" t="str">
        <f t="shared" si="90"/>
        <v>1</v>
      </c>
      <c r="B975" s="14" t="str">
        <f t="shared" si="91"/>
        <v>9</v>
      </c>
      <c r="C975" s="14" t="str">
        <f t="shared" si="92"/>
        <v>1</v>
      </c>
      <c r="D975" s="14" t="str">
        <f t="shared" si="93"/>
        <v>8</v>
      </c>
      <c r="E975" s="14" t="str">
        <f t="shared" si="94"/>
        <v>24</v>
      </c>
      <c r="F975" s="14" t="str">
        <f t="shared" si="95"/>
        <v>00</v>
      </c>
      <c r="G975" s="56">
        <v>19182400</v>
      </c>
      <c r="H975" s="14" t="s">
        <v>1985</v>
      </c>
      <c r="I975" s="15" t="s">
        <v>1986</v>
      </c>
      <c r="J975" s="14"/>
      <c r="K975" s="14" t="s">
        <v>217</v>
      </c>
      <c r="L975" s="14" t="s">
        <v>1439</v>
      </c>
      <c r="M975" s="14"/>
    </row>
    <row r="976" spans="1:13" ht="25.5" x14ac:dyDescent="0.25">
      <c r="A976" s="16" t="str">
        <f t="shared" si="90"/>
        <v>1</v>
      </c>
      <c r="B976" s="16" t="str">
        <f t="shared" si="91"/>
        <v>9</v>
      </c>
      <c r="C976" s="16" t="str">
        <f t="shared" si="92"/>
        <v>1</v>
      </c>
      <c r="D976" s="16" t="str">
        <f t="shared" si="93"/>
        <v>8</v>
      </c>
      <c r="E976" s="16" t="str">
        <f t="shared" si="94"/>
        <v>24</v>
      </c>
      <c r="F976" s="16" t="str">
        <f t="shared" si="95"/>
        <v>01</v>
      </c>
      <c r="G976" s="57">
        <v>19182401</v>
      </c>
      <c r="H976" s="16" t="s">
        <v>1987</v>
      </c>
      <c r="I976" s="17" t="s">
        <v>1988</v>
      </c>
      <c r="J976" s="16"/>
      <c r="K976" s="16" t="s">
        <v>217</v>
      </c>
      <c r="L976" s="16" t="s">
        <v>1439</v>
      </c>
      <c r="M976" s="17"/>
    </row>
    <row r="977" spans="1:13" ht="38.25" x14ac:dyDescent="0.25">
      <c r="A977" s="16" t="str">
        <f t="shared" si="90"/>
        <v>1</v>
      </c>
      <c r="B977" s="16" t="str">
        <f t="shared" si="91"/>
        <v>9</v>
      </c>
      <c r="C977" s="16" t="str">
        <f t="shared" si="92"/>
        <v>1</v>
      </c>
      <c r="D977" s="16" t="str">
        <f t="shared" si="93"/>
        <v>8</v>
      </c>
      <c r="E977" s="16" t="str">
        <f t="shared" si="94"/>
        <v>24</v>
      </c>
      <c r="F977" s="16" t="str">
        <f t="shared" si="95"/>
        <v>02</v>
      </c>
      <c r="G977" s="57">
        <v>19182402</v>
      </c>
      <c r="H977" s="16" t="s">
        <v>1989</v>
      </c>
      <c r="I977" s="17" t="s">
        <v>1990</v>
      </c>
      <c r="J977" s="16"/>
      <c r="K977" s="16" t="s">
        <v>217</v>
      </c>
      <c r="L977" s="16" t="s">
        <v>1439</v>
      </c>
      <c r="M977" s="17"/>
    </row>
    <row r="978" spans="1:13" ht="25.5" x14ac:dyDescent="0.25">
      <c r="A978" s="16" t="str">
        <f t="shared" si="90"/>
        <v>1</v>
      </c>
      <c r="B978" s="16" t="str">
        <f t="shared" si="91"/>
        <v>9</v>
      </c>
      <c r="C978" s="16" t="str">
        <f t="shared" si="92"/>
        <v>1</v>
      </c>
      <c r="D978" s="16" t="str">
        <f t="shared" si="93"/>
        <v>8</v>
      </c>
      <c r="E978" s="16" t="str">
        <f t="shared" si="94"/>
        <v>24</v>
      </c>
      <c r="F978" s="16" t="str">
        <f t="shared" si="95"/>
        <v>03</v>
      </c>
      <c r="G978" s="57">
        <v>19182403</v>
      </c>
      <c r="H978" s="16" t="s">
        <v>1991</v>
      </c>
      <c r="I978" s="17" t="s">
        <v>1992</v>
      </c>
      <c r="J978" s="16"/>
      <c r="K978" s="16" t="s">
        <v>217</v>
      </c>
      <c r="L978" s="16" t="s">
        <v>1439</v>
      </c>
      <c r="M978" s="17"/>
    </row>
    <row r="979" spans="1:13" ht="51" x14ac:dyDescent="0.25">
      <c r="A979" s="16" t="str">
        <f t="shared" si="90"/>
        <v>1</v>
      </c>
      <c r="B979" s="16" t="str">
        <f t="shared" si="91"/>
        <v>9</v>
      </c>
      <c r="C979" s="16" t="str">
        <f t="shared" si="92"/>
        <v>1</v>
      </c>
      <c r="D979" s="16" t="str">
        <f t="shared" si="93"/>
        <v>8</v>
      </c>
      <c r="E979" s="16" t="str">
        <f t="shared" si="94"/>
        <v>24</v>
      </c>
      <c r="F979" s="16" t="str">
        <f t="shared" si="95"/>
        <v>04</v>
      </c>
      <c r="G979" s="57">
        <v>19182404</v>
      </c>
      <c r="H979" s="16" t="s">
        <v>1993</v>
      </c>
      <c r="I979" s="17" t="s">
        <v>1994</v>
      </c>
      <c r="J979" s="16"/>
      <c r="K979" s="16" t="s">
        <v>217</v>
      </c>
      <c r="L979" s="16" t="s">
        <v>1439</v>
      </c>
      <c r="M979" s="17"/>
    </row>
    <row r="980" spans="1:13" ht="25.5" x14ac:dyDescent="0.25">
      <c r="A980" s="16" t="str">
        <f t="shared" si="90"/>
        <v>1</v>
      </c>
      <c r="B980" s="16" t="str">
        <f t="shared" si="91"/>
        <v>9</v>
      </c>
      <c r="C980" s="16" t="str">
        <f t="shared" si="92"/>
        <v>1</v>
      </c>
      <c r="D980" s="16" t="str">
        <f t="shared" si="93"/>
        <v>8</v>
      </c>
      <c r="E980" s="16" t="str">
        <f t="shared" si="94"/>
        <v>24</v>
      </c>
      <c r="F980" s="16" t="str">
        <f t="shared" si="95"/>
        <v>06</v>
      </c>
      <c r="G980" s="57">
        <v>19182406</v>
      </c>
      <c r="H980" s="16" t="s">
        <v>1995</v>
      </c>
      <c r="I980" s="17" t="s">
        <v>1996</v>
      </c>
      <c r="J980" s="16"/>
      <c r="K980" s="16" t="s">
        <v>217</v>
      </c>
      <c r="L980" s="16" t="s">
        <v>1439</v>
      </c>
      <c r="M980" s="17"/>
    </row>
    <row r="981" spans="1:13" ht="38.25" x14ac:dyDescent="0.25">
      <c r="A981" s="16" t="str">
        <f t="shared" si="90"/>
        <v>1</v>
      </c>
      <c r="B981" s="16" t="str">
        <f t="shared" si="91"/>
        <v>9</v>
      </c>
      <c r="C981" s="16" t="str">
        <f t="shared" si="92"/>
        <v>1</v>
      </c>
      <c r="D981" s="16" t="str">
        <f t="shared" si="93"/>
        <v>8</v>
      </c>
      <c r="E981" s="16" t="str">
        <f t="shared" si="94"/>
        <v>24</v>
      </c>
      <c r="F981" s="16" t="str">
        <f t="shared" si="95"/>
        <v>07</v>
      </c>
      <c r="G981" s="57">
        <v>19182407</v>
      </c>
      <c r="H981" s="16" t="s">
        <v>1997</v>
      </c>
      <c r="I981" s="17" t="s">
        <v>1998</v>
      </c>
      <c r="J981" s="16"/>
      <c r="K981" s="16" t="s">
        <v>217</v>
      </c>
      <c r="L981" s="16" t="s">
        <v>1439</v>
      </c>
      <c r="M981" s="17"/>
    </row>
    <row r="982" spans="1:13" ht="38.25" x14ac:dyDescent="0.25">
      <c r="A982" s="14" t="str">
        <f t="shared" si="90"/>
        <v>1</v>
      </c>
      <c r="B982" s="14" t="str">
        <f t="shared" si="91"/>
        <v>9</v>
      </c>
      <c r="C982" s="14" t="str">
        <f t="shared" si="92"/>
        <v>1</v>
      </c>
      <c r="D982" s="14" t="str">
        <f t="shared" si="93"/>
        <v>8</v>
      </c>
      <c r="E982" s="14" t="str">
        <f t="shared" si="94"/>
        <v>25</v>
      </c>
      <c r="F982" s="14" t="str">
        <f t="shared" si="95"/>
        <v>00</v>
      </c>
      <c r="G982" s="56">
        <v>19182500</v>
      </c>
      <c r="H982" s="14" t="s">
        <v>1999</v>
      </c>
      <c r="I982" s="15" t="s">
        <v>2000</v>
      </c>
      <c r="J982" s="14"/>
      <c r="K982" s="14" t="s">
        <v>217</v>
      </c>
      <c r="L982" s="14" t="s">
        <v>1439</v>
      </c>
      <c r="M982" s="14"/>
    </row>
    <row r="983" spans="1:13" ht="25.5" x14ac:dyDescent="0.25">
      <c r="A983" s="14" t="str">
        <f t="shared" si="90"/>
        <v>1</v>
      </c>
      <c r="B983" s="14" t="str">
        <f t="shared" si="91"/>
        <v>9</v>
      </c>
      <c r="C983" s="14" t="str">
        <f t="shared" si="92"/>
        <v>1</v>
      </c>
      <c r="D983" s="14" t="str">
        <f t="shared" si="93"/>
        <v>8</v>
      </c>
      <c r="E983" s="14" t="str">
        <f t="shared" si="94"/>
        <v>26</v>
      </c>
      <c r="F983" s="14" t="str">
        <f t="shared" si="95"/>
        <v>00</v>
      </c>
      <c r="G983" s="56">
        <v>19182600</v>
      </c>
      <c r="H983" s="14" t="s">
        <v>2001</v>
      </c>
      <c r="I983" s="15" t="s">
        <v>2002</v>
      </c>
      <c r="J983" s="14"/>
      <c r="K983" s="14" t="s">
        <v>217</v>
      </c>
      <c r="L983" s="14" t="s">
        <v>2003</v>
      </c>
      <c r="M983" s="14"/>
    </row>
    <row r="984" spans="1:13" ht="38.25" x14ac:dyDescent="0.25">
      <c r="A984" s="14" t="str">
        <f t="shared" si="90"/>
        <v>1</v>
      </c>
      <c r="B984" s="14" t="str">
        <f t="shared" si="91"/>
        <v>9</v>
      </c>
      <c r="C984" s="14" t="str">
        <f t="shared" si="92"/>
        <v>1</v>
      </c>
      <c r="D984" s="14" t="str">
        <f t="shared" si="93"/>
        <v>8</v>
      </c>
      <c r="E984" s="14" t="str">
        <f t="shared" si="94"/>
        <v>27</v>
      </c>
      <c r="F984" s="14" t="str">
        <f t="shared" si="95"/>
        <v>00</v>
      </c>
      <c r="G984" s="56">
        <v>19182700</v>
      </c>
      <c r="H984" s="14" t="s">
        <v>2004</v>
      </c>
      <c r="I984" s="15" t="s">
        <v>2005</v>
      </c>
      <c r="J984" s="14"/>
      <c r="K984" s="14" t="s">
        <v>217</v>
      </c>
      <c r="L984" s="14" t="s">
        <v>2003</v>
      </c>
      <c r="M984" s="14"/>
    </row>
    <row r="985" spans="1:13" ht="25.5" x14ac:dyDescent="0.25">
      <c r="A985" s="14" t="str">
        <f t="shared" si="90"/>
        <v>1</v>
      </c>
      <c r="B985" s="14" t="str">
        <f t="shared" si="91"/>
        <v>9</v>
      </c>
      <c r="C985" s="14" t="str">
        <f t="shared" si="92"/>
        <v>1</v>
      </c>
      <c r="D985" s="14" t="str">
        <f t="shared" si="93"/>
        <v>8</v>
      </c>
      <c r="E985" s="14" t="str">
        <f t="shared" si="94"/>
        <v>99</v>
      </c>
      <c r="F985" s="14" t="str">
        <f t="shared" si="95"/>
        <v>00</v>
      </c>
      <c r="G985" s="56">
        <v>19189900</v>
      </c>
      <c r="H985" s="14" t="s">
        <v>2006</v>
      </c>
      <c r="I985" s="15" t="s">
        <v>2007</v>
      </c>
      <c r="J985" s="14"/>
      <c r="K985" s="14" t="s">
        <v>655</v>
      </c>
      <c r="L985" s="14" t="s">
        <v>2008</v>
      </c>
      <c r="M985" s="14"/>
    </row>
    <row r="986" spans="1:13" x14ac:dyDescent="0.25">
      <c r="A986" s="42" t="str">
        <f t="shared" si="90"/>
        <v>1</v>
      </c>
      <c r="B986" s="42" t="str">
        <f t="shared" si="91"/>
        <v>9</v>
      </c>
      <c r="C986" s="42" t="str">
        <f t="shared" si="92"/>
        <v>1</v>
      </c>
      <c r="D986" s="42" t="str">
        <f t="shared" si="93"/>
        <v>8</v>
      </c>
      <c r="E986" s="42" t="str">
        <f t="shared" si="94"/>
        <v>99</v>
      </c>
      <c r="F986" s="42" t="str">
        <f t="shared" si="95"/>
        <v>01</v>
      </c>
      <c r="G986" s="57">
        <v>19189901</v>
      </c>
      <c r="H986" s="16" t="s">
        <v>2009</v>
      </c>
      <c r="I986" s="17" t="s">
        <v>2010</v>
      </c>
      <c r="J986" s="16"/>
      <c r="K986" s="16" t="s">
        <v>217</v>
      </c>
      <c r="L986" s="16" t="s">
        <v>2011</v>
      </c>
      <c r="M986" s="17"/>
    </row>
    <row r="987" spans="1:13" ht="25.5" x14ac:dyDescent="0.25">
      <c r="A987" s="42" t="str">
        <f t="shared" si="90"/>
        <v>1</v>
      </c>
      <c r="B987" s="42" t="str">
        <f t="shared" si="91"/>
        <v>9</v>
      </c>
      <c r="C987" s="42" t="str">
        <f t="shared" si="92"/>
        <v>1</v>
      </c>
      <c r="D987" s="42" t="str">
        <f t="shared" si="93"/>
        <v>8</v>
      </c>
      <c r="E987" s="42" t="str">
        <f t="shared" si="94"/>
        <v>99</v>
      </c>
      <c r="F987" s="42" t="str">
        <f t="shared" si="95"/>
        <v>02</v>
      </c>
      <c r="G987" s="57">
        <v>19189902</v>
      </c>
      <c r="H987" s="16" t="s">
        <v>2012</v>
      </c>
      <c r="I987" s="17" t="s">
        <v>2013</v>
      </c>
      <c r="J987" s="16"/>
      <c r="K987" s="16" t="s">
        <v>217</v>
      </c>
      <c r="L987" s="16" t="s">
        <v>2011</v>
      </c>
      <c r="M987" s="17"/>
    </row>
    <row r="988" spans="1:13" x14ac:dyDescent="0.25">
      <c r="A988" s="12" t="str">
        <f t="shared" si="90"/>
        <v>1</v>
      </c>
      <c r="B988" s="12" t="str">
        <f t="shared" si="91"/>
        <v>9</v>
      </c>
      <c r="C988" s="12" t="str">
        <f t="shared" si="92"/>
        <v>1</v>
      </c>
      <c r="D988" s="12" t="str">
        <f t="shared" si="93"/>
        <v>9</v>
      </c>
      <c r="E988" s="12" t="str">
        <f t="shared" si="94"/>
        <v>00</v>
      </c>
      <c r="F988" s="12" t="str">
        <f t="shared" si="95"/>
        <v>00</v>
      </c>
      <c r="G988" s="55">
        <v>19190000</v>
      </c>
      <c r="H988" s="12" t="s">
        <v>2014</v>
      </c>
      <c r="I988" s="13" t="s">
        <v>2015</v>
      </c>
      <c r="J988" s="12"/>
      <c r="K988" s="12"/>
      <c r="L988" s="12"/>
      <c r="M988" s="13"/>
    </row>
    <row r="989" spans="1:13" ht="25.5" x14ac:dyDescent="0.25">
      <c r="A989" s="14" t="str">
        <f t="shared" si="90"/>
        <v>1</v>
      </c>
      <c r="B989" s="14" t="str">
        <f t="shared" si="91"/>
        <v>9</v>
      </c>
      <c r="C989" s="14" t="str">
        <f t="shared" si="92"/>
        <v>1</v>
      </c>
      <c r="D989" s="14" t="str">
        <f t="shared" si="93"/>
        <v>9</v>
      </c>
      <c r="E989" s="14" t="str">
        <f t="shared" si="94"/>
        <v>01</v>
      </c>
      <c r="F989" s="14" t="str">
        <f t="shared" si="95"/>
        <v>00</v>
      </c>
      <c r="G989" s="56">
        <v>19190100</v>
      </c>
      <c r="H989" s="14" t="s">
        <v>2016</v>
      </c>
      <c r="I989" s="15" t="s">
        <v>2017</v>
      </c>
      <c r="J989" s="14"/>
      <c r="K989" s="14"/>
      <c r="L989" s="14"/>
      <c r="M989" s="14"/>
    </row>
    <row r="990" spans="1:13" ht="38.25" x14ac:dyDescent="0.25">
      <c r="A990" s="14" t="str">
        <f t="shared" si="90"/>
        <v>1</v>
      </c>
      <c r="B990" s="14" t="str">
        <f t="shared" si="91"/>
        <v>9</v>
      </c>
      <c r="C990" s="14" t="str">
        <f t="shared" si="92"/>
        <v>1</v>
      </c>
      <c r="D990" s="14" t="str">
        <f t="shared" si="93"/>
        <v>9</v>
      </c>
      <c r="E990" s="14" t="str">
        <f t="shared" si="94"/>
        <v>02</v>
      </c>
      <c r="F990" s="14" t="str">
        <f t="shared" si="95"/>
        <v>00</v>
      </c>
      <c r="G990" s="56">
        <v>19190200</v>
      </c>
      <c r="H990" s="14" t="s">
        <v>2018</v>
      </c>
      <c r="I990" s="15" t="s">
        <v>2019</v>
      </c>
      <c r="J990" s="14"/>
      <c r="K990" s="14"/>
      <c r="L990" s="14"/>
      <c r="M990" s="14"/>
    </row>
    <row r="991" spans="1:13" ht="25.5" x14ac:dyDescent="0.25">
      <c r="A991" s="14" t="str">
        <f t="shared" si="90"/>
        <v>1</v>
      </c>
      <c r="B991" s="14" t="str">
        <f t="shared" si="91"/>
        <v>9</v>
      </c>
      <c r="C991" s="14" t="str">
        <f t="shared" si="92"/>
        <v>1</v>
      </c>
      <c r="D991" s="14" t="str">
        <f t="shared" si="93"/>
        <v>9</v>
      </c>
      <c r="E991" s="14" t="str">
        <f t="shared" si="94"/>
        <v>03</v>
      </c>
      <c r="F991" s="14" t="str">
        <f t="shared" si="95"/>
        <v>00</v>
      </c>
      <c r="G991" s="56">
        <v>19190300</v>
      </c>
      <c r="H991" s="14" t="s">
        <v>2020</v>
      </c>
      <c r="I991" s="15" t="s">
        <v>2021</v>
      </c>
      <c r="J991" s="14"/>
      <c r="K991" s="14"/>
      <c r="L991" s="14"/>
      <c r="M991" s="14"/>
    </row>
    <row r="992" spans="1:13" ht="38.25" x14ac:dyDescent="0.25">
      <c r="A992" s="14" t="str">
        <f t="shared" si="90"/>
        <v>1</v>
      </c>
      <c r="B992" s="14" t="str">
        <f t="shared" si="91"/>
        <v>9</v>
      </c>
      <c r="C992" s="14" t="str">
        <f t="shared" si="92"/>
        <v>1</v>
      </c>
      <c r="D992" s="14" t="str">
        <f t="shared" si="93"/>
        <v>9</v>
      </c>
      <c r="E992" s="14" t="str">
        <f t="shared" si="94"/>
        <v>04</v>
      </c>
      <c r="F992" s="14" t="str">
        <f t="shared" si="95"/>
        <v>00</v>
      </c>
      <c r="G992" s="56">
        <v>19190400</v>
      </c>
      <c r="H992" s="14" t="s">
        <v>2022</v>
      </c>
      <c r="I992" s="15" t="s">
        <v>2023</v>
      </c>
      <c r="J992" s="14"/>
      <c r="K992" s="14"/>
      <c r="L992" s="14"/>
      <c r="M992" s="14"/>
    </row>
    <row r="993" spans="1:13" ht="25.5" x14ac:dyDescent="0.25">
      <c r="A993" s="14" t="str">
        <f t="shared" si="90"/>
        <v>1</v>
      </c>
      <c r="B993" s="14" t="str">
        <f t="shared" si="91"/>
        <v>9</v>
      </c>
      <c r="C993" s="14" t="str">
        <f t="shared" si="92"/>
        <v>1</v>
      </c>
      <c r="D993" s="14" t="str">
        <f t="shared" si="93"/>
        <v>9</v>
      </c>
      <c r="E993" s="14" t="str">
        <f t="shared" si="94"/>
        <v>05</v>
      </c>
      <c r="F993" s="14" t="str">
        <f t="shared" si="95"/>
        <v>00</v>
      </c>
      <c r="G993" s="56">
        <v>19190500</v>
      </c>
      <c r="H993" s="14" t="s">
        <v>2024</v>
      </c>
      <c r="I993" s="15" t="s">
        <v>2025</v>
      </c>
      <c r="J993" s="14"/>
      <c r="K993" s="14"/>
      <c r="L993" s="14"/>
      <c r="M993" s="14"/>
    </row>
    <row r="994" spans="1:13" ht="25.5" x14ac:dyDescent="0.25">
      <c r="A994" s="14" t="str">
        <f t="shared" si="90"/>
        <v>1</v>
      </c>
      <c r="B994" s="14" t="str">
        <f t="shared" si="91"/>
        <v>9</v>
      </c>
      <c r="C994" s="14" t="str">
        <f t="shared" si="92"/>
        <v>1</v>
      </c>
      <c r="D994" s="14" t="str">
        <f t="shared" si="93"/>
        <v>9</v>
      </c>
      <c r="E994" s="14" t="str">
        <f t="shared" si="94"/>
        <v>06</v>
      </c>
      <c r="F994" s="14" t="str">
        <f t="shared" si="95"/>
        <v>00</v>
      </c>
      <c r="G994" s="56">
        <v>19190600</v>
      </c>
      <c r="H994" s="14" t="s">
        <v>2026</v>
      </c>
      <c r="I994" s="15" t="s">
        <v>2027</v>
      </c>
      <c r="J994" s="14"/>
      <c r="K994" s="14"/>
      <c r="L994" s="14"/>
      <c r="M994" s="14"/>
    </row>
    <row r="995" spans="1:13" ht="25.5" x14ac:dyDescent="0.25">
      <c r="A995" s="14" t="str">
        <f t="shared" si="90"/>
        <v>1</v>
      </c>
      <c r="B995" s="14" t="str">
        <f t="shared" si="91"/>
        <v>9</v>
      </c>
      <c r="C995" s="14" t="str">
        <f t="shared" si="92"/>
        <v>1</v>
      </c>
      <c r="D995" s="14" t="str">
        <f t="shared" si="93"/>
        <v>9</v>
      </c>
      <c r="E995" s="14" t="str">
        <f t="shared" si="94"/>
        <v>07</v>
      </c>
      <c r="F995" s="14" t="str">
        <f t="shared" si="95"/>
        <v>00</v>
      </c>
      <c r="G995" s="56">
        <v>19190700</v>
      </c>
      <c r="H995" s="14" t="s">
        <v>2028</v>
      </c>
      <c r="I995" s="15" t="s">
        <v>2029</v>
      </c>
      <c r="J995" s="14"/>
      <c r="K995" s="14"/>
      <c r="L995" s="14"/>
      <c r="M995" s="14"/>
    </row>
    <row r="996" spans="1:13" x14ac:dyDescent="0.25">
      <c r="A996" s="14" t="str">
        <f t="shared" si="90"/>
        <v>1</v>
      </c>
      <c r="B996" s="14" t="str">
        <f t="shared" si="91"/>
        <v>9</v>
      </c>
      <c r="C996" s="14" t="str">
        <f t="shared" si="92"/>
        <v>1</v>
      </c>
      <c r="D996" s="14" t="str">
        <f t="shared" si="93"/>
        <v>9</v>
      </c>
      <c r="E996" s="14" t="str">
        <f t="shared" si="94"/>
        <v>08</v>
      </c>
      <c r="F996" s="14" t="str">
        <f t="shared" si="95"/>
        <v>00</v>
      </c>
      <c r="G996" s="56">
        <v>19190800</v>
      </c>
      <c r="H996" s="14" t="s">
        <v>2030</v>
      </c>
      <c r="I996" s="15" t="s">
        <v>2031</v>
      </c>
      <c r="J996" s="14"/>
      <c r="K996" s="14"/>
      <c r="L996" s="14"/>
      <c r="M996" s="14"/>
    </row>
    <row r="997" spans="1:13" ht="25.5" x14ac:dyDescent="0.25">
      <c r="A997" s="14" t="str">
        <f t="shared" si="90"/>
        <v>1</v>
      </c>
      <c r="B997" s="14" t="str">
        <f t="shared" si="91"/>
        <v>9</v>
      </c>
      <c r="C997" s="14" t="str">
        <f t="shared" si="92"/>
        <v>1</v>
      </c>
      <c r="D997" s="14" t="str">
        <f t="shared" si="93"/>
        <v>9</v>
      </c>
      <c r="E997" s="14" t="str">
        <f t="shared" si="94"/>
        <v>09</v>
      </c>
      <c r="F997" s="14" t="str">
        <f t="shared" si="95"/>
        <v>00</v>
      </c>
      <c r="G997" s="56">
        <v>19190900</v>
      </c>
      <c r="H997" s="14" t="s">
        <v>2032</v>
      </c>
      <c r="I997" s="15" t="s">
        <v>2033</v>
      </c>
      <c r="J997" s="14"/>
      <c r="K997" s="14"/>
      <c r="L997" s="14"/>
      <c r="M997" s="14"/>
    </row>
    <row r="998" spans="1:13" ht="38.25" x14ac:dyDescent="0.25">
      <c r="A998" s="14" t="str">
        <f t="shared" si="90"/>
        <v>1</v>
      </c>
      <c r="B998" s="14" t="str">
        <f t="shared" si="91"/>
        <v>9</v>
      </c>
      <c r="C998" s="14" t="str">
        <f t="shared" si="92"/>
        <v>1</v>
      </c>
      <c r="D998" s="14" t="str">
        <f t="shared" si="93"/>
        <v>9</v>
      </c>
      <c r="E998" s="14" t="str">
        <f t="shared" si="94"/>
        <v>10</v>
      </c>
      <c r="F998" s="14" t="str">
        <f t="shared" si="95"/>
        <v>00</v>
      </c>
      <c r="G998" s="56">
        <v>19191000</v>
      </c>
      <c r="H998" s="14" t="s">
        <v>2034</v>
      </c>
      <c r="I998" s="15" t="s">
        <v>2035</v>
      </c>
      <c r="J998" s="14"/>
      <c r="K998" s="14"/>
      <c r="L998" s="14"/>
      <c r="M998" s="14"/>
    </row>
    <row r="999" spans="1:13" ht="25.5" x14ac:dyDescent="0.25">
      <c r="A999" s="14" t="str">
        <f t="shared" si="90"/>
        <v>1</v>
      </c>
      <c r="B999" s="14" t="str">
        <f t="shared" si="91"/>
        <v>9</v>
      </c>
      <c r="C999" s="14" t="str">
        <f t="shared" si="92"/>
        <v>1</v>
      </c>
      <c r="D999" s="14" t="str">
        <f t="shared" si="93"/>
        <v>9</v>
      </c>
      <c r="E999" s="14" t="str">
        <f t="shared" si="94"/>
        <v>12</v>
      </c>
      <c r="F999" s="14" t="str">
        <f t="shared" si="95"/>
        <v>00</v>
      </c>
      <c r="G999" s="56">
        <v>19191200</v>
      </c>
      <c r="H999" s="14" t="s">
        <v>2036</v>
      </c>
      <c r="I999" s="15" t="s">
        <v>2037</v>
      </c>
      <c r="J999" s="14"/>
      <c r="K999" s="14"/>
      <c r="L999" s="14"/>
      <c r="M999" s="14"/>
    </row>
    <row r="1000" spans="1:13" ht="25.5" x14ac:dyDescent="0.25">
      <c r="A1000" s="14" t="str">
        <f t="shared" si="90"/>
        <v>1</v>
      </c>
      <c r="B1000" s="14" t="str">
        <f t="shared" si="91"/>
        <v>9</v>
      </c>
      <c r="C1000" s="14" t="str">
        <f t="shared" si="92"/>
        <v>1</v>
      </c>
      <c r="D1000" s="14" t="str">
        <f t="shared" si="93"/>
        <v>9</v>
      </c>
      <c r="E1000" s="14" t="str">
        <f t="shared" si="94"/>
        <v>13</v>
      </c>
      <c r="F1000" s="14" t="str">
        <f t="shared" si="95"/>
        <v>00</v>
      </c>
      <c r="G1000" s="56">
        <v>19191300</v>
      </c>
      <c r="H1000" s="14" t="s">
        <v>2038</v>
      </c>
      <c r="I1000" s="15" t="s">
        <v>2039</v>
      </c>
      <c r="J1000" s="14"/>
      <c r="K1000" s="14"/>
      <c r="L1000" s="14"/>
      <c r="M1000" s="14"/>
    </row>
    <row r="1001" spans="1:13" ht="38.25" x14ac:dyDescent="0.25">
      <c r="A1001" s="14" t="str">
        <f t="shared" si="90"/>
        <v>1</v>
      </c>
      <c r="B1001" s="14" t="str">
        <f t="shared" si="91"/>
        <v>9</v>
      </c>
      <c r="C1001" s="14" t="str">
        <f t="shared" si="92"/>
        <v>1</v>
      </c>
      <c r="D1001" s="14" t="str">
        <f t="shared" si="93"/>
        <v>9</v>
      </c>
      <c r="E1001" s="14" t="str">
        <f t="shared" si="94"/>
        <v>14</v>
      </c>
      <c r="F1001" s="14" t="str">
        <f t="shared" si="95"/>
        <v>00</v>
      </c>
      <c r="G1001" s="56">
        <v>19191400</v>
      </c>
      <c r="H1001" s="14" t="s">
        <v>2040</v>
      </c>
      <c r="I1001" s="15" t="s">
        <v>2041</v>
      </c>
      <c r="J1001" s="14"/>
      <c r="K1001" s="14"/>
      <c r="L1001" s="14"/>
      <c r="M1001" s="14"/>
    </row>
    <row r="1002" spans="1:13" x14ac:dyDescent="0.25">
      <c r="A1002" s="14" t="str">
        <f t="shared" si="90"/>
        <v>1</v>
      </c>
      <c r="B1002" s="14" t="str">
        <f t="shared" si="91"/>
        <v>9</v>
      </c>
      <c r="C1002" s="14" t="str">
        <f t="shared" si="92"/>
        <v>1</v>
      </c>
      <c r="D1002" s="14" t="str">
        <f t="shared" si="93"/>
        <v>9</v>
      </c>
      <c r="E1002" s="14" t="str">
        <f t="shared" si="94"/>
        <v>15</v>
      </c>
      <c r="F1002" s="14" t="str">
        <f t="shared" si="95"/>
        <v>00</v>
      </c>
      <c r="G1002" s="56">
        <v>19191500</v>
      </c>
      <c r="H1002" s="14" t="s">
        <v>2042</v>
      </c>
      <c r="I1002" s="15" t="s">
        <v>2043</v>
      </c>
      <c r="J1002" s="14"/>
      <c r="K1002" s="14"/>
      <c r="L1002" s="14"/>
      <c r="M1002" s="14"/>
    </row>
    <row r="1003" spans="1:13" ht="25.5" x14ac:dyDescent="0.25">
      <c r="A1003" s="14" t="str">
        <f t="shared" si="90"/>
        <v>1</v>
      </c>
      <c r="B1003" s="14" t="str">
        <f t="shared" si="91"/>
        <v>9</v>
      </c>
      <c r="C1003" s="14" t="str">
        <f t="shared" si="92"/>
        <v>1</v>
      </c>
      <c r="D1003" s="14" t="str">
        <f t="shared" si="93"/>
        <v>9</v>
      </c>
      <c r="E1003" s="14" t="str">
        <f t="shared" si="94"/>
        <v>16</v>
      </c>
      <c r="F1003" s="14" t="str">
        <f t="shared" si="95"/>
        <v>00</v>
      </c>
      <c r="G1003" s="56">
        <v>19191600</v>
      </c>
      <c r="H1003" s="14" t="s">
        <v>2044</v>
      </c>
      <c r="I1003" s="15" t="s">
        <v>2045</v>
      </c>
      <c r="J1003" s="14"/>
      <c r="K1003" s="14"/>
      <c r="L1003" s="14"/>
      <c r="M1003" s="14"/>
    </row>
    <row r="1004" spans="1:13" ht="38.25" x14ac:dyDescent="0.25">
      <c r="A1004" s="14" t="str">
        <f t="shared" si="90"/>
        <v>1</v>
      </c>
      <c r="B1004" s="14" t="str">
        <f t="shared" si="91"/>
        <v>9</v>
      </c>
      <c r="C1004" s="14" t="str">
        <f t="shared" si="92"/>
        <v>1</v>
      </c>
      <c r="D1004" s="14" t="str">
        <f t="shared" si="93"/>
        <v>9</v>
      </c>
      <c r="E1004" s="14" t="str">
        <f t="shared" si="94"/>
        <v>17</v>
      </c>
      <c r="F1004" s="14" t="str">
        <f t="shared" si="95"/>
        <v>00</v>
      </c>
      <c r="G1004" s="56">
        <v>19191700</v>
      </c>
      <c r="H1004" s="14" t="s">
        <v>2046</v>
      </c>
      <c r="I1004" s="15" t="s">
        <v>2047</v>
      </c>
      <c r="J1004" s="14"/>
      <c r="K1004" s="14"/>
      <c r="L1004" s="14"/>
      <c r="M1004" s="14"/>
    </row>
    <row r="1005" spans="1:13" ht="25.5" x14ac:dyDescent="0.25">
      <c r="A1005" s="14" t="str">
        <f t="shared" si="90"/>
        <v>1</v>
      </c>
      <c r="B1005" s="14" t="str">
        <f t="shared" si="91"/>
        <v>9</v>
      </c>
      <c r="C1005" s="14" t="str">
        <f t="shared" si="92"/>
        <v>1</v>
      </c>
      <c r="D1005" s="14" t="str">
        <f t="shared" si="93"/>
        <v>9</v>
      </c>
      <c r="E1005" s="14" t="str">
        <f t="shared" si="94"/>
        <v>18</v>
      </c>
      <c r="F1005" s="14" t="str">
        <f t="shared" si="95"/>
        <v>00</v>
      </c>
      <c r="G1005" s="56">
        <v>19191800</v>
      </c>
      <c r="H1005" s="14" t="s">
        <v>2048</v>
      </c>
      <c r="I1005" s="15" t="s">
        <v>2049</v>
      </c>
      <c r="J1005" s="14"/>
      <c r="K1005" s="14"/>
      <c r="L1005" s="14"/>
      <c r="M1005" s="14"/>
    </row>
    <row r="1006" spans="1:13" ht="25.5" x14ac:dyDescent="0.25">
      <c r="A1006" s="14" t="str">
        <f t="shared" si="90"/>
        <v>1</v>
      </c>
      <c r="B1006" s="14" t="str">
        <f t="shared" si="91"/>
        <v>9</v>
      </c>
      <c r="C1006" s="14" t="str">
        <f t="shared" si="92"/>
        <v>1</v>
      </c>
      <c r="D1006" s="14" t="str">
        <f t="shared" si="93"/>
        <v>9</v>
      </c>
      <c r="E1006" s="14" t="str">
        <f t="shared" si="94"/>
        <v>20</v>
      </c>
      <c r="F1006" s="14" t="str">
        <f t="shared" si="95"/>
        <v>00</v>
      </c>
      <c r="G1006" s="56">
        <v>19192000</v>
      </c>
      <c r="H1006" s="14" t="s">
        <v>2050</v>
      </c>
      <c r="I1006" s="15" t="s">
        <v>2051</v>
      </c>
      <c r="J1006" s="14"/>
      <c r="K1006" s="14"/>
      <c r="L1006" s="14"/>
      <c r="M1006" s="14"/>
    </row>
    <row r="1007" spans="1:13" ht="25.5" x14ac:dyDescent="0.25">
      <c r="A1007" s="14" t="str">
        <f t="shared" si="90"/>
        <v>1</v>
      </c>
      <c r="B1007" s="14" t="str">
        <f t="shared" si="91"/>
        <v>9</v>
      </c>
      <c r="C1007" s="14" t="str">
        <f t="shared" si="92"/>
        <v>1</v>
      </c>
      <c r="D1007" s="14" t="str">
        <f t="shared" si="93"/>
        <v>9</v>
      </c>
      <c r="E1007" s="14" t="str">
        <f t="shared" si="94"/>
        <v>26</v>
      </c>
      <c r="F1007" s="14" t="str">
        <f t="shared" si="95"/>
        <v>00</v>
      </c>
      <c r="G1007" s="56">
        <v>19192600</v>
      </c>
      <c r="H1007" s="14" t="s">
        <v>2052</v>
      </c>
      <c r="I1007" s="15" t="s">
        <v>2053</v>
      </c>
      <c r="J1007" s="14"/>
      <c r="K1007" s="14"/>
      <c r="L1007" s="14"/>
      <c r="M1007" s="14"/>
    </row>
    <row r="1008" spans="1:13" ht="25.5" x14ac:dyDescent="0.25">
      <c r="A1008" s="16" t="str">
        <f t="shared" si="90"/>
        <v>1</v>
      </c>
      <c r="B1008" s="16" t="str">
        <f t="shared" si="91"/>
        <v>9</v>
      </c>
      <c r="C1008" s="16" t="str">
        <f t="shared" si="92"/>
        <v>1</v>
      </c>
      <c r="D1008" s="16" t="str">
        <f t="shared" si="93"/>
        <v>9</v>
      </c>
      <c r="E1008" s="16" t="str">
        <f t="shared" si="94"/>
        <v>26</v>
      </c>
      <c r="F1008" s="16" t="str">
        <f t="shared" si="95"/>
        <v>01</v>
      </c>
      <c r="G1008" s="57">
        <v>19192601</v>
      </c>
      <c r="H1008" s="16" t="s">
        <v>2054</v>
      </c>
      <c r="I1008" s="17" t="s">
        <v>2055</v>
      </c>
      <c r="J1008" s="16"/>
      <c r="K1008" s="16"/>
      <c r="L1008" s="16"/>
      <c r="M1008" s="17"/>
    </row>
    <row r="1009" spans="1:13" ht="25.5" x14ac:dyDescent="0.25">
      <c r="A1009" s="16" t="str">
        <f t="shared" si="90"/>
        <v>1</v>
      </c>
      <c r="B1009" s="16" t="str">
        <f t="shared" si="91"/>
        <v>9</v>
      </c>
      <c r="C1009" s="16" t="str">
        <f t="shared" si="92"/>
        <v>1</v>
      </c>
      <c r="D1009" s="16" t="str">
        <f t="shared" si="93"/>
        <v>9</v>
      </c>
      <c r="E1009" s="16" t="str">
        <f t="shared" si="94"/>
        <v>26</v>
      </c>
      <c r="F1009" s="16" t="str">
        <f t="shared" si="95"/>
        <v>02</v>
      </c>
      <c r="G1009" s="57">
        <v>19192602</v>
      </c>
      <c r="H1009" s="16" t="s">
        <v>2056</v>
      </c>
      <c r="I1009" s="17" t="s">
        <v>2057</v>
      </c>
      <c r="J1009" s="16"/>
      <c r="K1009" s="16"/>
      <c r="L1009" s="16"/>
      <c r="M1009" s="17"/>
    </row>
    <row r="1010" spans="1:13" ht="25.5" x14ac:dyDescent="0.25">
      <c r="A1010" s="14" t="str">
        <f t="shared" si="90"/>
        <v>1</v>
      </c>
      <c r="B1010" s="14" t="str">
        <f t="shared" si="91"/>
        <v>9</v>
      </c>
      <c r="C1010" s="14" t="str">
        <f t="shared" si="92"/>
        <v>1</v>
      </c>
      <c r="D1010" s="14" t="str">
        <f t="shared" si="93"/>
        <v>9</v>
      </c>
      <c r="E1010" s="14" t="str">
        <f t="shared" si="94"/>
        <v>27</v>
      </c>
      <c r="F1010" s="14" t="str">
        <f t="shared" si="95"/>
        <v>00</v>
      </c>
      <c r="G1010" s="56">
        <v>19192700</v>
      </c>
      <c r="H1010" s="14" t="s">
        <v>2058</v>
      </c>
      <c r="I1010" s="15" t="s">
        <v>2059</v>
      </c>
      <c r="J1010" s="14"/>
      <c r="K1010" s="14" t="s">
        <v>151</v>
      </c>
      <c r="L1010" s="14" t="s">
        <v>2060</v>
      </c>
      <c r="M1010" s="14"/>
    </row>
    <row r="1011" spans="1:13" ht="38.25" x14ac:dyDescent="0.25">
      <c r="A1011" s="14" t="str">
        <f t="shared" si="90"/>
        <v>1</v>
      </c>
      <c r="B1011" s="14" t="str">
        <f t="shared" si="91"/>
        <v>9</v>
      </c>
      <c r="C1011" s="14" t="str">
        <f t="shared" si="92"/>
        <v>1</v>
      </c>
      <c r="D1011" s="14" t="str">
        <f t="shared" si="93"/>
        <v>9</v>
      </c>
      <c r="E1011" s="14" t="str">
        <f t="shared" si="94"/>
        <v>28</v>
      </c>
      <c r="F1011" s="14" t="str">
        <f t="shared" si="95"/>
        <v>00</v>
      </c>
      <c r="G1011" s="56">
        <v>19192800</v>
      </c>
      <c r="H1011" s="14" t="s">
        <v>2061</v>
      </c>
      <c r="I1011" s="15" t="s">
        <v>2062</v>
      </c>
      <c r="J1011" s="14"/>
      <c r="K1011" s="14"/>
      <c r="L1011" s="14"/>
      <c r="M1011" s="14"/>
    </row>
    <row r="1012" spans="1:13" ht="25.5" x14ac:dyDescent="0.25">
      <c r="A1012" s="14" t="str">
        <f t="shared" si="90"/>
        <v>1</v>
      </c>
      <c r="B1012" s="14" t="str">
        <f t="shared" si="91"/>
        <v>9</v>
      </c>
      <c r="C1012" s="14" t="str">
        <f t="shared" si="92"/>
        <v>1</v>
      </c>
      <c r="D1012" s="14" t="str">
        <f t="shared" si="93"/>
        <v>9</v>
      </c>
      <c r="E1012" s="14" t="str">
        <f t="shared" si="94"/>
        <v>29</v>
      </c>
      <c r="F1012" s="14" t="str">
        <f t="shared" si="95"/>
        <v>00</v>
      </c>
      <c r="G1012" s="56">
        <v>19192900</v>
      </c>
      <c r="H1012" s="14" t="s">
        <v>2063</v>
      </c>
      <c r="I1012" s="15" t="s">
        <v>2064</v>
      </c>
      <c r="J1012" s="14"/>
      <c r="K1012" s="14"/>
      <c r="L1012" s="14"/>
      <c r="M1012" s="14"/>
    </row>
    <row r="1013" spans="1:13" ht="25.5" x14ac:dyDescent="0.25">
      <c r="A1013" s="14" t="str">
        <f t="shared" si="90"/>
        <v>1</v>
      </c>
      <c r="B1013" s="14" t="str">
        <f t="shared" si="91"/>
        <v>9</v>
      </c>
      <c r="C1013" s="14" t="str">
        <f t="shared" si="92"/>
        <v>1</v>
      </c>
      <c r="D1013" s="14" t="str">
        <f t="shared" si="93"/>
        <v>9</v>
      </c>
      <c r="E1013" s="14" t="str">
        <f t="shared" si="94"/>
        <v>30</v>
      </c>
      <c r="F1013" s="14" t="str">
        <f t="shared" si="95"/>
        <v>00</v>
      </c>
      <c r="G1013" s="56">
        <v>19193000</v>
      </c>
      <c r="H1013" s="14" t="s">
        <v>2065</v>
      </c>
      <c r="I1013" s="15" t="s">
        <v>2066</v>
      </c>
      <c r="J1013" s="14"/>
      <c r="K1013" s="14"/>
      <c r="L1013" s="14"/>
      <c r="M1013" s="14"/>
    </row>
    <row r="1014" spans="1:13" x14ac:dyDescent="0.25">
      <c r="A1014" s="14" t="str">
        <f t="shared" si="90"/>
        <v>1</v>
      </c>
      <c r="B1014" s="14" t="str">
        <f t="shared" si="91"/>
        <v>9</v>
      </c>
      <c r="C1014" s="14" t="str">
        <f t="shared" si="92"/>
        <v>1</v>
      </c>
      <c r="D1014" s="14" t="str">
        <f t="shared" si="93"/>
        <v>9</v>
      </c>
      <c r="E1014" s="14" t="str">
        <f t="shared" si="94"/>
        <v>31</v>
      </c>
      <c r="F1014" s="14" t="str">
        <f t="shared" si="95"/>
        <v>00</v>
      </c>
      <c r="G1014" s="56">
        <v>19193100</v>
      </c>
      <c r="H1014" s="14" t="s">
        <v>2067</v>
      </c>
      <c r="I1014" s="15" t="s">
        <v>2068</v>
      </c>
      <c r="J1014" s="14"/>
      <c r="K1014" s="14"/>
      <c r="L1014" s="14"/>
      <c r="M1014" s="14"/>
    </row>
    <row r="1015" spans="1:13" ht="25.5" x14ac:dyDescent="0.25">
      <c r="A1015" s="14" t="str">
        <f t="shared" si="90"/>
        <v>1</v>
      </c>
      <c r="B1015" s="14" t="str">
        <f t="shared" si="91"/>
        <v>9</v>
      </c>
      <c r="C1015" s="14" t="str">
        <f t="shared" si="92"/>
        <v>1</v>
      </c>
      <c r="D1015" s="14" t="str">
        <f t="shared" si="93"/>
        <v>9</v>
      </c>
      <c r="E1015" s="14" t="str">
        <f t="shared" si="94"/>
        <v>32</v>
      </c>
      <c r="F1015" s="14" t="str">
        <f t="shared" si="95"/>
        <v>00</v>
      </c>
      <c r="G1015" s="56">
        <v>19193200</v>
      </c>
      <c r="H1015" s="14" t="s">
        <v>2069</v>
      </c>
      <c r="I1015" s="15" t="s">
        <v>2070</v>
      </c>
      <c r="J1015" s="14"/>
      <c r="K1015" s="14"/>
      <c r="L1015" s="14"/>
      <c r="M1015" s="14"/>
    </row>
    <row r="1016" spans="1:13" ht="25.5" x14ac:dyDescent="0.25">
      <c r="A1016" s="16" t="str">
        <f t="shared" si="90"/>
        <v>1</v>
      </c>
      <c r="B1016" s="16" t="str">
        <f t="shared" si="91"/>
        <v>9</v>
      </c>
      <c r="C1016" s="16" t="str">
        <f t="shared" si="92"/>
        <v>1</v>
      </c>
      <c r="D1016" s="16" t="str">
        <f t="shared" si="93"/>
        <v>9</v>
      </c>
      <c r="E1016" s="16" t="str">
        <f t="shared" si="94"/>
        <v>32</v>
      </c>
      <c r="F1016" s="16" t="str">
        <f t="shared" si="95"/>
        <v>10</v>
      </c>
      <c r="G1016" s="57">
        <v>19193210</v>
      </c>
      <c r="H1016" s="16" t="s">
        <v>2071</v>
      </c>
      <c r="I1016" s="17" t="s">
        <v>2072</v>
      </c>
      <c r="J1016" s="16"/>
      <c r="K1016" s="16"/>
      <c r="L1016" s="16"/>
      <c r="M1016" s="17"/>
    </row>
    <row r="1017" spans="1:13" x14ac:dyDescent="0.25">
      <c r="A1017" s="16" t="str">
        <f t="shared" si="90"/>
        <v>1</v>
      </c>
      <c r="B1017" s="16" t="str">
        <f t="shared" si="91"/>
        <v>9</v>
      </c>
      <c r="C1017" s="16" t="str">
        <f t="shared" si="92"/>
        <v>1</v>
      </c>
      <c r="D1017" s="16" t="str">
        <f t="shared" si="93"/>
        <v>9</v>
      </c>
      <c r="E1017" s="16" t="str">
        <f t="shared" si="94"/>
        <v>32</v>
      </c>
      <c r="F1017" s="16" t="str">
        <f t="shared" si="95"/>
        <v>20</v>
      </c>
      <c r="G1017" s="57">
        <v>19193220</v>
      </c>
      <c r="H1017" s="16" t="s">
        <v>2073</v>
      </c>
      <c r="I1017" s="17" t="s">
        <v>2074</v>
      </c>
      <c r="J1017" s="16"/>
      <c r="K1017" s="16"/>
      <c r="L1017" s="16"/>
      <c r="M1017" s="17"/>
    </row>
    <row r="1018" spans="1:13" x14ac:dyDescent="0.25">
      <c r="A1018" s="14" t="str">
        <f t="shared" si="90"/>
        <v>1</v>
      </c>
      <c r="B1018" s="14" t="str">
        <f t="shared" si="91"/>
        <v>9</v>
      </c>
      <c r="C1018" s="14" t="str">
        <f t="shared" si="92"/>
        <v>1</v>
      </c>
      <c r="D1018" s="14" t="str">
        <f t="shared" si="93"/>
        <v>9</v>
      </c>
      <c r="E1018" s="14" t="str">
        <f t="shared" si="94"/>
        <v>33</v>
      </c>
      <c r="F1018" s="14" t="str">
        <f t="shared" si="95"/>
        <v>00</v>
      </c>
      <c r="G1018" s="56">
        <v>19193300</v>
      </c>
      <c r="H1018" s="14" t="s">
        <v>2075</v>
      </c>
      <c r="I1018" s="15" t="s">
        <v>2076</v>
      </c>
      <c r="J1018" s="14"/>
      <c r="K1018" s="14"/>
      <c r="L1018" s="14"/>
      <c r="M1018" s="14"/>
    </row>
    <row r="1019" spans="1:13" ht="25.5" x14ac:dyDescent="0.25">
      <c r="A1019" s="14" t="str">
        <f t="shared" si="90"/>
        <v>1</v>
      </c>
      <c r="B1019" s="14" t="str">
        <f t="shared" si="91"/>
        <v>9</v>
      </c>
      <c r="C1019" s="14" t="str">
        <f t="shared" si="92"/>
        <v>1</v>
      </c>
      <c r="D1019" s="14" t="str">
        <f t="shared" si="93"/>
        <v>9</v>
      </c>
      <c r="E1019" s="14" t="str">
        <f t="shared" si="94"/>
        <v>34</v>
      </c>
      <c r="F1019" s="14" t="str">
        <f t="shared" si="95"/>
        <v>00</v>
      </c>
      <c r="G1019" s="56">
        <v>19193400</v>
      </c>
      <c r="H1019" s="14" t="s">
        <v>2077</v>
      </c>
      <c r="I1019" s="15" t="s">
        <v>2078</v>
      </c>
      <c r="J1019" s="14"/>
      <c r="K1019" s="14"/>
      <c r="L1019" s="14"/>
      <c r="M1019" s="14"/>
    </row>
    <row r="1020" spans="1:13" ht="25.5" x14ac:dyDescent="0.25">
      <c r="A1020" s="14" t="str">
        <f t="shared" si="90"/>
        <v>1</v>
      </c>
      <c r="B1020" s="14" t="str">
        <f t="shared" si="91"/>
        <v>9</v>
      </c>
      <c r="C1020" s="14" t="str">
        <f t="shared" si="92"/>
        <v>1</v>
      </c>
      <c r="D1020" s="14" t="str">
        <f t="shared" si="93"/>
        <v>9</v>
      </c>
      <c r="E1020" s="14" t="str">
        <f t="shared" si="94"/>
        <v>35</v>
      </c>
      <c r="F1020" s="14" t="str">
        <f t="shared" si="95"/>
        <v>00</v>
      </c>
      <c r="G1020" s="56">
        <v>19193500</v>
      </c>
      <c r="H1020" s="14" t="s">
        <v>2079</v>
      </c>
      <c r="I1020" s="15" t="s">
        <v>2080</v>
      </c>
      <c r="J1020" s="14"/>
      <c r="K1020" s="14"/>
      <c r="L1020" s="14"/>
      <c r="M1020" s="14"/>
    </row>
    <row r="1021" spans="1:13" ht="25.5" x14ac:dyDescent="0.25">
      <c r="A1021" s="16" t="str">
        <f t="shared" si="90"/>
        <v>1</v>
      </c>
      <c r="B1021" s="16" t="str">
        <f t="shared" si="91"/>
        <v>9</v>
      </c>
      <c r="C1021" s="16" t="str">
        <f t="shared" si="92"/>
        <v>1</v>
      </c>
      <c r="D1021" s="16" t="str">
        <f t="shared" si="93"/>
        <v>9</v>
      </c>
      <c r="E1021" s="16" t="str">
        <f t="shared" si="94"/>
        <v>35</v>
      </c>
      <c r="F1021" s="16" t="str">
        <f t="shared" si="95"/>
        <v>10</v>
      </c>
      <c r="G1021" s="57">
        <v>19193510</v>
      </c>
      <c r="H1021" s="16" t="s">
        <v>2081</v>
      </c>
      <c r="I1021" s="17" t="s">
        <v>2082</v>
      </c>
      <c r="J1021" s="16"/>
      <c r="K1021" s="16"/>
      <c r="L1021" s="16"/>
      <c r="M1021" s="17"/>
    </row>
    <row r="1022" spans="1:13" x14ac:dyDescent="0.25">
      <c r="A1022" s="16" t="str">
        <f t="shared" si="90"/>
        <v>1</v>
      </c>
      <c r="B1022" s="16" t="str">
        <f t="shared" si="91"/>
        <v>9</v>
      </c>
      <c r="C1022" s="16" t="str">
        <f t="shared" si="92"/>
        <v>1</v>
      </c>
      <c r="D1022" s="16" t="str">
        <f t="shared" si="93"/>
        <v>9</v>
      </c>
      <c r="E1022" s="16" t="str">
        <f t="shared" si="94"/>
        <v>35</v>
      </c>
      <c r="F1022" s="16" t="str">
        <f t="shared" si="95"/>
        <v>20</v>
      </c>
      <c r="G1022" s="57">
        <v>19193520</v>
      </c>
      <c r="H1022" s="16" t="s">
        <v>2083</v>
      </c>
      <c r="I1022" s="17" t="s">
        <v>2084</v>
      </c>
      <c r="J1022" s="16"/>
      <c r="K1022" s="16"/>
      <c r="L1022" s="16"/>
      <c r="M1022" s="17"/>
    </row>
    <row r="1023" spans="1:13" ht="25.5" x14ac:dyDescent="0.25">
      <c r="A1023" s="14" t="str">
        <f t="shared" si="90"/>
        <v>1</v>
      </c>
      <c r="B1023" s="14" t="str">
        <f t="shared" si="91"/>
        <v>9</v>
      </c>
      <c r="C1023" s="14" t="str">
        <f t="shared" si="92"/>
        <v>1</v>
      </c>
      <c r="D1023" s="14" t="str">
        <f t="shared" si="93"/>
        <v>9</v>
      </c>
      <c r="E1023" s="14" t="str">
        <f t="shared" si="94"/>
        <v>36</v>
      </c>
      <c r="F1023" s="14" t="str">
        <f t="shared" si="95"/>
        <v>00</v>
      </c>
      <c r="G1023" s="56">
        <v>19193600</v>
      </c>
      <c r="H1023" s="14" t="s">
        <v>2085</v>
      </c>
      <c r="I1023" s="15" t="s">
        <v>2086</v>
      </c>
      <c r="J1023" s="14"/>
      <c r="K1023" s="14"/>
      <c r="L1023" s="14"/>
      <c r="M1023" s="14"/>
    </row>
    <row r="1024" spans="1:13" ht="25.5" x14ac:dyDescent="0.25">
      <c r="A1024" s="14" t="str">
        <f t="shared" si="90"/>
        <v>1</v>
      </c>
      <c r="B1024" s="14" t="str">
        <f t="shared" si="91"/>
        <v>9</v>
      </c>
      <c r="C1024" s="14" t="str">
        <f t="shared" si="92"/>
        <v>1</v>
      </c>
      <c r="D1024" s="14" t="str">
        <f t="shared" si="93"/>
        <v>9</v>
      </c>
      <c r="E1024" s="14" t="str">
        <f t="shared" si="94"/>
        <v>37</v>
      </c>
      <c r="F1024" s="14" t="str">
        <f t="shared" si="95"/>
        <v>00</v>
      </c>
      <c r="G1024" s="56">
        <v>19193700</v>
      </c>
      <c r="H1024" s="14" t="s">
        <v>2087</v>
      </c>
      <c r="I1024" s="15" t="s">
        <v>2088</v>
      </c>
      <c r="J1024" s="14"/>
      <c r="K1024" s="14"/>
      <c r="L1024" s="14"/>
      <c r="M1024" s="14"/>
    </row>
    <row r="1025" spans="1:13" ht="25.5" x14ac:dyDescent="0.25">
      <c r="A1025" s="14" t="str">
        <f t="shared" si="90"/>
        <v>1</v>
      </c>
      <c r="B1025" s="14" t="str">
        <f t="shared" si="91"/>
        <v>9</v>
      </c>
      <c r="C1025" s="14" t="str">
        <f t="shared" si="92"/>
        <v>1</v>
      </c>
      <c r="D1025" s="14" t="str">
        <f t="shared" si="93"/>
        <v>9</v>
      </c>
      <c r="E1025" s="14" t="str">
        <f t="shared" si="94"/>
        <v>38</v>
      </c>
      <c r="F1025" s="14" t="str">
        <f t="shared" si="95"/>
        <v>00</v>
      </c>
      <c r="G1025" s="56">
        <v>19193800</v>
      </c>
      <c r="H1025" s="14" t="s">
        <v>2089</v>
      </c>
      <c r="I1025" s="15" t="s">
        <v>2090</v>
      </c>
      <c r="J1025" s="14"/>
      <c r="K1025" s="14"/>
      <c r="L1025" s="14"/>
      <c r="M1025" s="14"/>
    </row>
    <row r="1026" spans="1:13" ht="25.5" x14ac:dyDescent="0.25">
      <c r="A1026" s="14" t="str">
        <f t="shared" si="90"/>
        <v>1</v>
      </c>
      <c r="B1026" s="14" t="str">
        <f t="shared" si="91"/>
        <v>9</v>
      </c>
      <c r="C1026" s="14" t="str">
        <f t="shared" si="92"/>
        <v>1</v>
      </c>
      <c r="D1026" s="14" t="str">
        <f t="shared" si="93"/>
        <v>9</v>
      </c>
      <c r="E1026" s="14" t="str">
        <f t="shared" si="94"/>
        <v>41</v>
      </c>
      <c r="F1026" s="14" t="str">
        <f t="shared" si="95"/>
        <v>00</v>
      </c>
      <c r="G1026" s="56">
        <v>19194100</v>
      </c>
      <c r="H1026" s="14" t="s">
        <v>2091</v>
      </c>
      <c r="I1026" s="15" t="s">
        <v>2092</v>
      </c>
      <c r="J1026" s="14"/>
      <c r="K1026" s="14"/>
      <c r="L1026" s="14"/>
      <c r="M1026" s="14"/>
    </row>
    <row r="1027" spans="1:13" ht="25.5" x14ac:dyDescent="0.25">
      <c r="A1027" s="14" t="str">
        <f t="shared" si="90"/>
        <v>1</v>
      </c>
      <c r="B1027" s="14" t="str">
        <f t="shared" si="91"/>
        <v>9</v>
      </c>
      <c r="C1027" s="14" t="str">
        <f t="shared" si="92"/>
        <v>1</v>
      </c>
      <c r="D1027" s="14" t="str">
        <f t="shared" si="93"/>
        <v>9</v>
      </c>
      <c r="E1027" s="14" t="str">
        <f t="shared" si="94"/>
        <v>48</v>
      </c>
      <c r="F1027" s="14" t="str">
        <f t="shared" si="95"/>
        <v>00</v>
      </c>
      <c r="G1027" s="56">
        <v>19194800</v>
      </c>
      <c r="H1027" s="14" t="s">
        <v>2093</v>
      </c>
      <c r="I1027" s="15" t="s">
        <v>2094</v>
      </c>
      <c r="J1027" s="14"/>
      <c r="K1027" s="14"/>
      <c r="L1027" s="14"/>
      <c r="M1027" s="14"/>
    </row>
    <row r="1028" spans="1:13" ht="38.25" x14ac:dyDescent="0.25">
      <c r="A1028" s="14" t="str">
        <f t="shared" ref="A1028:A1091" si="96">MID(G1028,1,1)</f>
        <v>1</v>
      </c>
      <c r="B1028" s="14" t="str">
        <f t="shared" ref="B1028:B1091" si="97">MID(G1028,2,1)</f>
        <v>9</v>
      </c>
      <c r="C1028" s="14" t="str">
        <f t="shared" ref="C1028:C1091" si="98">MID(G1028,3,1)</f>
        <v>1</v>
      </c>
      <c r="D1028" s="14" t="str">
        <f t="shared" ref="D1028:D1091" si="99">MID(G1028,4,1)</f>
        <v>9</v>
      </c>
      <c r="E1028" s="14" t="str">
        <f t="shared" ref="E1028:E1091" si="100">MID(G1028,5,2)</f>
        <v>49</v>
      </c>
      <c r="F1028" s="14" t="str">
        <f t="shared" ref="F1028:F1091" si="101">MID(G1028,7,2)</f>
        <v>00</v>
      </c>
      <c r="G1028" s="56">
        <v>19194900</v>
      </c>
      <c r="H1028" s="14" t="s">
        <v>2095</v>
      </c>
      <c r="I1028" s="15" t="s">
        <v>2096</v>
      </c>
      <c r="J1028" s="14"/>
      <c r="K1028" s="14"/>
      <c r="L1028" s="14"/>
      <c r="M1028" s="14"/>
    </row>
    <row r="1029" spans="1:13" ht="25.5" x14ac:dyDescent="0.25">
      <c r="A1029" s="14" t="str">
        <f t="shared" si="96"/>
        <v>1</v>
      </c>
      <c r="B1029" s="14" t="str">
        <f t="shared" si="97"/>
        <v>9</v>
      </c>
      <c r="C1029" s="14" t="str">
        <f t="shared" si="98"/>
        <v>1</v>
      </c>
      <c r="D1029" s="14" t="str">
        <f t="shared" si="99"/>
        <v>9</v>
      </c>
      <c r="E1029" s="14" t="str">
        <f t="shared" si="100"/>
        <v>50</v>
      </c>
      <c r="F1029" s="14" t="str">
        <f t="shared" si="101"/>
        <v>00</v>
      </c>
      <c r="G1029" s="56">
        <v>19195000</v>
      </c>
      <c r="H1029" s="14" t="s">
        <v>2097</v>
      </c>
      <c r="I1029" s="15" t="s">
        <v>2098</v>
      </c>
      <c r="J1029" s="14"/>
      <c r="K1029" s="14" t="s">
        <v>151</v>
      </c>
      <c r="L1029" s="14" t="s">
        <v>2060</v>
      </c>
      <c r="M1029" s="14"/>
    </row>
    <row r="1030" spans="1:13" ht="25.5" x14ac:dyDescent="0.25">
      <c r="A1030" s="14" t="str">
        <f t="shared" si="96"/>
        <v>1</v>
      </c>
      <c r="B1030" s="14" t="str">
        <f t="shared" si="97"/>
        <v>9</v>
      </c>
      <c r="C1030" s="14" t="str">
        <f t="shared" si="98"/>
        <v>1</v>
      </c>
      <c r="D1030" s="14" t="str">
        <f t="shared" si="99"/>
        <v>9</v>
      </c>
      <c r="E1030" s="14" t="str">
        <f t="shared" si="100"/>
        <v>51</v>
      </c>
      <c r="F1030" s="14" t="str">
        <f t="shared" si="101"/>
        <v>00</v>
      </c>
      <c r="G1030" s="56">
        <v>19195100</v>
      </c>
      <c r="H1030" s="14" t="s">
        <v>2099</v>
      </c>
      <c r="I1030" s="15" t="s">
        <v>2100</v>
      </c>
      <c r="J1030" s="14"/>
      <c r="K1030" s="14" t="s">
        <v>151</v>
      </c>
      <c r="L1030" s="14" t="s">
        <v>2060</v>
      </c>
      <c r="M1030" s="14"/>
    </row>
    <row r="1031" spans="1:13" ht="38.25" x14ac:dyDescent="0.25">
      <c r="A1031" s="16" t="str">
        <f t="shared" si="96"/>
        <v>1</v>
      </c>
      <c r="B1031" s="16" t="str">
        <f t="shared" si="97"/>
        <v>9</v>
      </c>
      <c r="C1031" s="16" t="str">
        <f t="shared" si="98"/>
        <v>1</v>
      </c>
      <c r="D1031" s="16" t="str">
        <f t="shared" si="99"/>
        <v>9</v>
      </c>
      <c r="E1031" s="16" t="str">
        <f t="shared" si="100"/>
        <v>51</v>
      </c>
      <c r="F1031" s="16" t="str">
        <f t="shared" si="101"/>
        <v>10</v>
      </c>
      <c r="G1031" s="57">
        <v>19195110</v>
      </c>
      <c r="H1031" s="16" t="s">
        <v>2101</v>
      </c>
      <c r="I1031" s="17" t="s">
        <v>2102</v>
      </c>
      <c r="J1031" s="16"/>
      <c r="K1031" s="16" t="s">
        <v>217</v>
      </c>
      <c r="L1031" s="16" t="s">
        <v>2103</v>
      </c>
      <c r="M1031" s="17"/>
    </row>
    <row r="1032" spans="1:13" ht="38.25" x14ac:dyDescent="0.25">
      <c r="A1032" s="16" t="str">
        <f t="shared" si="96"/>
        <v>1</v>
      </c>
      <c r="B1032" s="16" t="str">
        <f t="shared" si="97"/>
        <v>9</v>
      </c>
      <c r="C1032" s="16" t="str">
        <f t="shared" si="98"/>
        <v>1</v>
      </c>
      <c r="D1032" s="16" t="str">
        <f t="shared" si="99"/>
        <v>9</v>
      </c>
      <c r="E1032" s="16" t="str">
        <f t="shared" si="100"/>
        <v>51</v>
      </c>
      <c r="F1032" s="16" t="str">
        <f t="shared" si="101"/>
        <v>20</v>
      </c>
      <c r="G1032" s="57">
        <v>19195120</v>
      </c>
      <c r="H1032" s="16" t="s">
        <v>2104</v>
      </c>
      <c r="I1032" s="17" t="s">
        <v>2105</v>
      </c>
      <c r="J1032" s="16"/>
      <c r="K1032" s="16" t="s">
        <v>217</v>
      </c>
      <c r="L1032" s="16" t="s">
        <v>2103</v>
      </c>
      <c r="M1032" s="17"/>
    </row>
    <row r="1033" spans="1:13" ht="38.25" x14ac:dyDescent="0.25">
      <c r="A1033" s="16" t="str">
        <f t="shared" si="96"/>
        <v>1</v>
      </c>
      <c r="B1033" s="16" t="str">
        <f t="shared" si="97"/>
        <v>9</v>
      </c>
      <c r="C1033" s="16" t="str">
        <f t="shared" si="98"/>
        <v>1</v>
      </c>
      <c r="D1033" s="16" t="str">
        <f t="shared" si="99"/>
        <v>9</v>
      </c>
      <c r="E1033" s="16" t="str">
        <f t="shared" si="100"/>
        <v>51</v>
      </c>
      <c r="F1033" s="16" t="str">
        <f t="shared" si="101"/>
        <v>30</v>
      </c>
      <c r="G1033" s="57">
        <v>19195130</v>
      </c>
      <c r="H1033" s="16" t="s">
        <v>2106</v>
      </c>
      <c r="I1033" s="17" t="s">
        <v>2107</v>
      </c>
      <c r="J1033" s="16"/>
      <c r="K1033" s="16" t="s">
        <v>217</v>
      </c>
      <c r="L1033" s="16" t="s">
        <v>2103</v>
      </c>
      <c r="M1033" s="17"/>
    </row>
    <row r="1034" spans="1:13" ht="51" x14ac:dyDescent="0.25">
      <c r="A1034" s="16" t="str">
        <f t="shared" si="96"/>
        <v>1</v>
      </c>
      <c r="B1034" s="16" t="str">
        <f t="shared" si="97"/>
        <v>9</v>
      </c>
      <c r="C1034" s="16" t="str">
        <f t="shared" si="98"/>
        <v>1</v>
      </c>
      <c r="D1034" s="16" t="str">
        <f t="shared" si="99"/>
        <v>9</v>
      </c>
      <c r="E1034" s="16" t="str">
        <f t="shared" si="100"/>
        <v>51</v>
      </c>
      <c r="F1034" s="16" t="str">
        <f t="shared" si="101"/>
        <v>40</v>
      </c>
      <c r="G1034" s="57">
        <v>19195140</v>
      </c>
      <c r="H1034" s="16" t="s">
        <v>2108</v>
      </c>
      <c r="I1034" s="17" t="s">
        <v>2109</v>
      </c>
      <c r="J1034" s="16"/>
      <c r="K1034" s="16" t="s">
        <v>217</v>
      </c>
      <c r="L1034" s="16" t="s">
        <v>2103</v>
      </c>
      <c r="M1034" s="17"/>
    </row>
    <row r="1035" spans="1:13" ht="25.5" x14ac:dyDescent="0.25">
      <c r="A1035" s="16" t="str">
        <f t="shared" si="96"/>
        <v>1</v>
      </c>
      <c r="B1035" s="16" t="str">
        <f t="shared" si="97"/>
        <v>9</v>
      </c>
      <c r="C1035" s="16" t="str">
        <f t="shared" si="98"/>
        <v>1</v>
      </c>
      <c r="D1035" s="16" t="str">
        <f t="shared" si="99"/>
        <v>9</v>
      </c>
      <c r="E1035" s="16" t="str">
        <f t="shared" si="100"/>
        <v>51</v>
      </c>
      <c r="F1035" s="16" t="str">
        <f t="shared" si="101"/>
        <v>50</v>
      </c>
      <c r="G1035" s="57">
        <v>19195150</v>
      </c>
      <c r="H1035" s="16" t="s">
        <v>2110</v>
      </c>
      <c r="I1035" s="17" t="s">
        <v>2111</v>
      </c>
      <c r="J1035" s="16"/>
      <c r="K1035" s="16" t="s">
        <v>217</v>
      </c>
      <c r="L1035" s="16" t="s">
        <v>2103</v>
      </c>
      <c r="M1035" s="17"/>
    </row>
    <row r="1036" spans="1:13" x14ac:dyDescent="0.25">
      <c r="A1036" s="14" t="str">
        <f t="shared" si="96"/>
        <v>1</v>
      </c>
      <c r="B1036" s="14" t="str">
        <f t="shared" si="97"/>
        <v>9</v>
      </c>
      <c r="C1036" s="14" t="str">
        <f t="shared" si="98"/>
        <v>1</v>
      </c>
      <c r="D1036" s="14" t="str">
        <f t="shared" si="99"/>
        <v>9</v>
      </c>
      <c r="E1036" s="14" t="str">
        <f t="shared" si="100"/>
        <v>52</v>
      </c>
      <c r="F1036" s="14" t="str">
        <f t="shared" si="101"/>
        <v>00</v>
      </c>
      <c r="G1036" s="56">
        <v>19195200</v>
      </c>
      <c r="H1036" s="14" t="s">
        <v>2112</v>
      </c>
      <c r="I1036" s="15" t="s">
        <v>2113</v>
      </c>
      <c r="J1036" s="14"/>
      <c r="K1036" s="14"/>
      <c r="L1036" s="14"/>
      <c r="M1036" s="14"/>
    </row>
    <row r="1037" spans="1:13" ht="25.5" x14ac:dyDescent="0.25">
      <c r="A1037" s="14" t="str">
        <f t="shared" si="96"/>
        <v>1</v>
      </c>
      <c r="B1037" s="14" t="str">
        <f t="shared" si="97"/>
        <v>9</v>
      </c>
      <c r="C1037" s="14" t="str">
        <f t="shared" si="98"/>
        <v>1</v>
      </c>
      <c r="D1037" s="14" t="str">
        <f t="shared" si="99"/>
        <v>9</v>
      </c>
      <c r="E1037" s="14" t="str">
        <f t="shared" si="100"/>
        <v>53</v>
      </c>
      <c r="F1037" s="14" t="str">
        <f t="shared" si="101"/>
        <v>00</v>
      </c>
      <c r="G1037" s="56">
        <v>19195300</v>
      </c>
      <c r="H1037" s="14" t="s">
        <v>2114</v>
      </c>
      <c r="I1037" s="15" t="s">
        <v>2115</v>
      </c>
      <c r="J1037" s="14"/>
      <c r="K1037" s="14"/>
      <c r="L1037" s="14"/>
      <c r="M1037" s="14"/>
    </row>
    <row r="1038" spans="1:13" ht="25.5" x14ac:dyDescent="0.25">
      <c r="A1038" s="14" t="str">
        <f t="shared" si="96"/>
        <v>1</v>
      </c>
      <c r="B1038" s="14" t="str">
        <f t="shared" si="97"/>
        <v>9</v>
      </c>
      <c r="C1038" s="14" t="str">
        <f t="shared" si="98"/>
        <v>1</v>
      </c>
      <c r="D1038" s="14" t="str">
        <f t="shared" si="99"/>
        <v>9</v>
      </c>
      <c r="E1038" s="14" t="str">
        <f t="shared" si="100"/>
        <v>60</v>
      </c>
      <c r="F1038" s="14" t="str">
        <f t="shared" si="101"/>
        <v>00</v>
      </c>
      <c r="G1038" s="56">
        <v>19196000</v>
      </c>
      <c r="H1038" s="14" t="s">
        <v>2116</v>
      </c>
      <c r="I1038" s="15" t="s">
        <v>2117</v>
      </c>
      <c r="J1038" s="14"/>
      <c r="K1038" s="14"/>
      <c r="L1038" s="14"/>
      <c r="M1038" s="14"/>
    </row>
    <row r="1039" spans="1:13" ht="25.5" x14ac:dyDescent="0.25">
      <c r="A1039" s="14" t="str">
        <f t="shared" si="96"/>
        <v>1</v>
      </c>
      <c r="B1039" s="14" t="str">
        <f t="shared" si="97"/>
        <v>9</v>
      </c>
      <c r="C1039" s="14" t="str">
        <f t="shared" si="98"/>
        <v>1</v>
      </c>
      <c r="D1039" s="14" t="str">
        <f t="shared" si="99"/>
        <v>9</v>
      </c>
      <c r="E1039" s="14" t="str">
        <f t="shared" si="100"/>
        <v>70</v>
      </c>
      <c r="F1039" s="14" t="str">
        <f t="shared" si="101"/>
        <v>00</v>
      </c>
      <c r="G1039" s="56">
        <v>19197000</v>
      </c>
      <c r="H1039" s="14" t="s">
        <v>2118</v>
      </c>
      <c r="I1039" s="15" t="s">
        <v>2119</v>
      </c>
      <c r="J1039" s="14"/>
      <c r="K1039" s="14"/>
      <c r="L1039" s="14"/>
      <c r="M1039" s="14"/>
    </row>
    <row r="1040" spans="1:13" ht="38.25" x14ac:dyDescent="0.25">
      <c r="A1040" s="16" t="str">
        <f t="shared" si="96"/>
        <v>1</v>
      </c>
      <c r="B1040" s="16" t="str">
        <f t="shared" si="97"/>
        <v>9</v>
      </c>
      <c r="C1040" s="16" t="str">
        <f t="shared" si="98"/>
        <v>1</v>
      </c>
      <c r="D1040" s="16" t="str">
        <f t="shared" si="99"/>
        <v>9</v>
      </c>
      <c r="E1040" s="16" t="str">
        <f t="shared" si="100"/>
        <v>70</v>
      </c>
      <c r="F1040" s="16" t="str">
        <f t="shared" si="101"/>
        <v>01</v>
      </c>
      <c r="G1040" s="57">
        <v>19197001</v>
      </c>
      <c r="H1040" s="16" t="s">
        <v>2120</v>
      </c>
      <c r="I1040" s="17" t="s">
        <v>2121</v>
      </c>
      <c r="J1040" s="16"/>
      <c r="K1040" s="16"/>
      <c r="L1040" s="16"/>
      <c r="M1040" s="17"/>
    </row>
    <row r="1041" spans="1:13" ht="51" x14ac:dyDescent="0.25">
      <c r="A1041" s="16" t="str">
        <f t="shared" si="96"/>
        <v>1</v>
      </c>
      <c r="B1041" s="16" t="str">
        <f t="shared" si="97"/>
        <v>9</v>
      </c>
      <c r="C1041" s="16" t="str">
        <f t="shared" si="98"/>
        <v>1</v>
      </c>
      <c r="D1041" s="16" t="str">
        <f t="shared" si="99"/>
        <v>9</v>
      </c>
      <c r="E1041" s="16" t="str">
        <f t="shared" si="100"/>
        <v>70</v>
      </c>
      <c r="F1041" s="16" t="str">
        <f t="shared" si="101"/>
        <v>02</v>
      </c>
      <c r="G1041" s="57">
        <v>19197002</v>
      </c>
      <c r="H1041" s="16" t="s">
        <v>2122</v>
      </c>
      <c r="I1041" s="17" t="s">
        <v>2123</v>
      </c>
      <c r="J1041" s="16"/>
      <c r="K1041" s="16"/>
      <c r="L1041" s="16"/>
      <c r="M1041" s="17"/>
    </row>
    <row r="1042" spans="1:13" x14ac:dyDescent="0.25">
      <c r="A1042" s="14" t="str">
        <f t="shared" si="96"/>
        <v>1</v>
      </c>
      <c r="B1042" s="14" t="str">
        <f t="shared" si="97"/>
        <v>9</v>
      </c>
      <c r="C1042" s="14" t="str">
        <f t="shared" si="98"/>
        <v>1</v>
      </c>
      <c r="D1042" s="14" t="str">
        <f t="shared" si="99"/>
        <v>9</v>
      </c>
      <c r="E1042" s="14" t="str">
        <f t="shared" si="100"/>
        <v>99</v>
      </c>
      <c r="F1042" s="14" t="str">
        <f t="shared" si="101"/>
        <v>00</v>
      </c>
      <c r="G1042" s="56">
        <v>19199900</v>
      </c>
      <c r="H1042" s="14" t="s">
        <v>2124</v>
      </c>
      <c r="I1042" s="15" t="s">
        <v>2125</v>
      </c>
      <c r="J1042" s="14"/>
      <c r="K1042" s="14" t="s">
        <v>151</v>
      </c>
      <c r="L1042" s="14" t="s">
        <v>2126</v>
      </c>
      <c r="M1042" s="14"/>
    </row>
    <row r="1043" spans="1:13" x14ac:dyDescent="0.25">
      <c r="A1043" s="10" t="str">
        <f t="shared" si="96"/>
        <v>1</v>
      </c>
      <c r="B1043" s="10" t="str">
        <f t="shared" si="97"/>
        <v>9</v>
      </c>
      <c r="C1043" s="10" t="str">
        <f t="shared" si="98"/>
        <v>2</v>
      </c>
      <c r="D1043" s="10" t="str">
        <f t="shared" si="99"/>
        <v>0</v>
      </c>
      <c r="E1043" s="10" t="str">
        <f t="shared" si="100"/>
        <v>00</v>
      </c>
      <c r="F1043" s="10" t="str">
        <f t="shared" si="101"/>
        <v>00</v>
      </c>
      <c r="G1043" s="54">
        <v>19200000</v>
      </c>
      <c r="H1043" s="10" t="s">
        <v>2127</v>
      </c>
      <c r="I1043" s="11" t="s">
        <v>2128</v>
      </c>
      <c r="J1043" s="10"/>
      <c r="K1043" s="10"/>
      <c r="L1043" s="10"/>
      <c r="M1043" s="11"/>
    </row>
    <row r="1044" spans="1:13" ht="25.5" x14ac:dyDescent="0.25">
      <c r="A1044" s="12" t="str">
        <f t="shared" si="96"/>
        <v>1</v>
      </c>
      <c r="B1044" s="12" t="str">
        <f t="shared" si="97"/>
        <v>9</v>
      </c>
      <c r="C1044" s="12" t="str">
        <f t="shared" si="98"/>
        <v>2</v>
      </c>
      <c r="D1044" s="12" t="str">
        <f t="shared" si="99"/>
        <v>1</v>
      </c>
      <c r="E1044" s="12" t="str">
        <f t="shared" si="100"/>
        <v>00</v>
      </c>
      <c r="F1044" s="12" t="str">
        <f t="shared" si="101"/>
        <v>00</v>
      </c>
      <c r="G1044" s="55">
        <v>19210000</v>
      </c>
      <c r="H1044" s="12" t="s">
        <v>2129</v>
      </c>
      <c r="I1044" s="13" t="s">
        <v>2130</v>
      </c>
      <c r="J1044" s="12"/>
      <c r="K1044" s="12"/>
      <c r="L1044" s="12"/>
      <c r="M1044" s="13"/>
    </row>
    <row r="1045" spans="1:13" ht="25.5" x14ac:dyDescent="0.25">
      <c r="A1045" s="14" t="str">
        <f t="shared" si="96"/>
        <v>1</v>
      </c>
      <c r="B1045" s="14" t="str">
        <f t="shared" si="97"/>
        <v>9</v>
      </c>
      <c r="C1045" s="14" t="str">
        <f t="shared" si="98"/>
        <v>2</v>
      </c>
      <c r="D1045" s="14" t="str">
        <f t="shared" si="99"/>
        <v>1</v>
      </c>
      <c r="E1045" s="14" t="str">
        <f t="shared" si="100"/>
        <v>05</v>
      </c>
      <c r="F1045" s="14" t="str">
        <f t="shared" si="101"/>
        <v>00</v>
      </c>
      <c r="G1045" s="56">
        <v>19210500</v>
      </c>
      <c r="H1045" s="14" t="s">
        <v>2131</v>
      </c>
      <c r="I1045" s="15" t="s">
        <v>2132</v>
      </c>
      <c r="J1045" s="14"/>
      <c r="K1045" s="14" t="s">
        <v>151</v>
      </c>
      <c r="L1045" s="14" t="s">
        <v>2133</v>
      </c>
      <c r="M1045" s="14"/>
    </row>
    <row r="1046" spans="1:13" ht="25.5" x14ac:dyDescent="0.25">
      <c r="A1046" s="14" t="str">
        <f t="shared" si="96"/>
        <v>1</v>
      </c>
      <c r="B1046" s="14" t="str">
        <f t="shared" si="97"/>
        <v>9</v>
      </c>
      <c r="C1046" s="14" t="str">
        <f t="shared" si="98"/>
        <v>2</v>
      </c>
      <c r="D1046" s="14" t="str">
        <f t="shared" si="99"/>
        <v>1</v>
      </c>
      <c r="E1046" s="14" t="str">
        <f t="shared" si="100"/>
        <v>06</v>
      </c>
      <c r="F1046" s="14" t="str">
        <f t="shared" si="101"/>
        <v>00</v>
      </c>
      <c r="G1046" s="56">
        <v>19210600</v>
      </c>
      <c r="H1046" s="14" t="s">
        <v>2134</v>
      </c>
      <c r="I1046" s="15" t="s">
        <v>2135</v>
      </c>
      <c r="J1046" s="14"/>
      <c r="K1046" s="14" t="s">
        <v>151</v>
      </c>
      <c r="L1046" s="14" t="s">
        <v>2060</v>
      </c>
      <c r="M1046" s="14"/>
    </row>
    <row r="1047" spans="1:13" ht="25.5" x14ac:dyDescent="0.25">
      <c r="A1047" s="14" t="str">
        <f t="shared" si="96"/>
        <v>1</v>
      </c>
      <c r="B1047" s="14" t="str">
        <f t="shared" si="97"/>
        <v>9</v>
      </c>
      <c r="C1047" s="14" t="str">
        <f t="shared" si="98"/>
        <v>2</v>
      </c>
      <c r="D1047" s="14" t="str">
        <f t="shared" si="99"/>
        <v>1</v>
      </c>
      <c r="E1047" s="14" t="str">
        <f t="shared" si="100"/>
        <v>07</v>
      </c>
      <c r="F1047" s="14" t="str">
        <f t="shared" si="101"/>
        <v>00</v>
      </c>
      <c r="G1047" s="56">
        <v>19210700</v>
      </c>
      <c r="H1047" s="14" t="s">
        <v>2136</v>
      </c>
      <c r="I1047" s="15" t="s">
        <v>2137</v>
      </c>
      <c r="J1047" s="14"/>
      <c r="K1047" s="14"/>
      <c r="L1047" s="14"/>
      <c r="M1047" s="14"/>
    </row>
    <row r="1048" spans="1:13" x14ac:dyDescent="0.25">
      <c r="A1048" s="14" t="str">
        <f t="shared" si="96"/>
        <v>1</v>
      </c>
      <c r="B1048" s="14" t="str">
        <f t="shared" si="97"/>
        <v>9</v>
      </c>
      <c r="C1048" s="14" t="str">
        <f t="shared" si="98"/>
        <v>2</v>
      </c>
      <c r="D1048" s="14" t="str">
        <f t="shared" si="99"/>
        <v>1</v>
      </c>
      <c r="E1048" s="14" t="str">
        <f t="shared" si="100"/>
        <v>99</v>
      </c>
      <c r="F1048" s="14" t="str">
        <f t="shared" si="101"/>
        <v>00</v>
      </c>
      <c r="G1048" s="56">
        <v>19219900</v>
      </c>
      <c r="H1048" s="14" t="s">
        <v>2138</v>
      </c>
      <c r="I1048" s="15" t="s">
        <v>2139</v>
      </c>
      <c r="J1048" s="14"/>
      <c r="K1048" s="14"/>
      <c r="L1048" s="14"/>
      <c r="M1048" s="14"/>
    </row>
    <row r="1049" spans="1:13" ht="25.5" x14ac:dyDescent="0.25">
      <c r="A1049" s="12" t="str">
        <f t="shared" si="96"/>
        <v>1</v>
      </c>
      <c r="B1049" s="12" t="str">
        <f t="shared" si="97"/>
        <v>9</v>
      </c>
      <c r="C1049" s="12" t="str">
        <f t="shared" si="98"/>
        <v>2</v>
      </c>
      <c r="D1049" s="12" t="str">
        <f t="shared" si="99"/>
        <v>2</v>
      </c>
      <c r="E1049" s="12" t="str">
        <f t="shared" si="100"/>
        <v>00</v>
      </c>
      <c r="F1049" s="12" t="str">
        <f t="shared" si="101"/>
        <v>00</v>
      </c>
      <c r="G1049" s="55">
        <v>19220000</v>
      </c>
      <c r="H1049" s="12" t="s">
        <v>2140</v>
      </c>
      <c r="I1049" s="13" t="s">
        <v>2141</v>
      </c>
      <c r="J1049" s="12"/>
      <c r="K1049" s="12"/>
      <c r="L1049" s="12"/>
      <c r="M1049" s="13"/>
    </row>
    <row r="1050" spans="1:13" ht="25.5" x14ac:dyDescent="0.25">
      <c r="A1050" s="14" t="str">
        <f t="shared" si="96"/>
        <v>1</v>
      </c>
      <c r="B1050" s="14" t="str">
        <f t="shared" si="97"/>
        <v>9</v>
      </c>
      <c r="C1050" s="14" t="str">
        <f t="shared" si="98"/>
        <v>2</v>
      </c>
      <c r="D1050" s="14" t="str">
        <f t="shared" si="99"/>
        <v>2</v>
      </c>
      <c r="E1050" s="14" t="str">
        <f t="shared" si="100"/>
        <v>01</v>
      </c>
      <c r="F1050" s="14" t="str">
        <f t="shared" si="101"/>
        <v>00</v>
      </c>
      <c r="G1050" s="56">
        <v>19220100</v>
      </c>
      <c r="H1050" s="14" t="s">
        <v>2142</v>
      </c>
      <c r="I1050" s="15" t="s">
        <v>2143</v>
      </c>
      <c r="J1050" s="14"/>
      <c r="K1050" s="14" t="s">
        <v>655</v>
      </c>
      <c r="L1050" s="14" t="s">
        <v>2144</v>
      </c>
      <c r="M1050" s="14"/>
    </row>
    <row r="1051" spans="1:13" ht="25.5" x14ac:dyDescent="0.25">
      <c r="A1051" s="16" t="str">
        <f t="shared" si="96"/>
        <v>1</v>
      </c>
      <c r="B1051" s="16" t="str">
        <f t="shared" si="97"/>
        <v>9</v>
      </c>
      <c r="C1051" s="16" t="str">
        <f t="shared" si="98"/>
        <v>2</v>
      </c>
      <c r="D1051" s="16" t="str">
        <f t="shared" si="99"/>
        <v>2</v>
      </c>
      <c r="E1051" s="16" t="str">
        <f t="shared" si="100"/>
        <v>01</v>
      </c>
      <c r="F1051" s="16" t="str">
        <f t="shared" si="101"/>
        <v>10</v>
      </c>
      <c r="G1051" s="57">
        <v>19220110</v>
      </c>
      <c r="H1051" s="16" t="s">
        <v>2145</v>
      </c>
      <c r="I1051" s="17" t="s">
        <v>2146</v>
      </c>
      <c r="J1051" s="16"/>
      <c r="K1051" s="16" t="s">
        <v>217</v>
      </c>
      <c r="L1051" s="16" t="s">
        <v>2147</v>
      </c>
      <c r="M1051" s="17"/>
    </row>
    <row r="1052" spans="1:13" ht="25.5" x14ac:dyDescent="0.25">
      <c r="A1052" s="16" t="str">
        <f t="shared" si="96"/>
        <v>1</v>
      </c>
      <c r="B1052" s="16" t="str">
        <f t="shared" si="97"/>
        <v>9</v>
      </c>
      <c r="C1052" s="16" t="str">
        <f t="shared" si="98"/>
        <v>2</v>
      </c>
      <c r="D1052" s="16" t="str">
        <f t="shared" si="99"/>
        <v>2</v>
      </c>
      <c r="E1052" s="16" t="str">
        <f t="shared" si="100"/>
        <v>01</v>
      </c>
      <c r="F1052" s="16" t="str">
        <f t="shared" si="101"/>
        <v>20</v>
      </c>
      <c r="G1052" s="57">
        <v>19220120</v>
      </c>
      <c r="H1052" s="16" t="s">
        <v>2148</v>
      </c>
      <c r="I1052" s="17" t="s">
        <v>2149</v>
      </c>
      <c r="J1052" s="16"/>
      <c r="K1052" s="16" t="s">
        <v>217</v>
      </c>
      <c r="L1052" s="16" t="s">
        <v>2147</v>
      </c>
      <c r="M1052" s="17"/>
    </row>
    <row r="1053" spans="1:13" ht="25.5" x14ac:dyDescent="0.25">
      <c r="A1053" s="14" t="str">
        <f t="shared" si="96"/>
        <v>1</v>
      </c>
      <c r="B1053" s="14" t="str">
        <f t="shared" si="97"/>
        <v>9</v>
      </c>
      <c r="C1053" s="14" t="str">
        <f t="shared" si="98"/>
        <v>2</v>
      </c>
      <c r="D1053" s="14" t="str">
        <f t="shared" si="99"/>
        <v>2</v>
      </c>
      <c r="E1053" s="14" t="str">
        <f t="shared" si="100"/>
        <v>02</v>
      </c>
      <c r="F1053" s="14" t="str">
        <f t="shared" si="101"/>
        <v>00</v>
      </c>
      <c r="G1053" s="56">
        <v>19220200</v>
      </c>
      <c r="H1053" s="14" t="s">
        <v>2150</v>
      </c>
      <c r="I1053" s="15" t="s">
        <v>2151</v>
      </c>
      <c r="J1053" s="14"/>
      <c r="K1053" s="14" t="s">
        <v>151</v>
      </c>
      <c r="L1053" s="14" t="s">
        <v>2152</v>
      </c>
      <c r="M1053" s="14"/>
    </row>
    <row r="1054" spans="1:13" ht="38.25" x14ac:dyDescent="0.25">
      <c r="A1054" s="16" t="str">
        <f t="shared" si="96"/>
        <v>1</v>
      </c>
      <c r="B1054" s="16" t="str">
        <f t="shared" si="97"/>
        <v>9</v>
      </c>
      <c r="C1054" s="16" t="str">
        <f t="shared" si="98"/>
        <v>2</v>
      </c>
      <c r="D1054" s="16" t="str">
        <f t="shared" si="99"/>
        <v>2</v>
      </c>
      <c r="E1054" s="16" t="str">
        <f t="shared" si="100"/>
        <v>02</v>
      </c>
      <c r="F1054" s="16" t="str">
        <f t="shared" si="101"/>
        <v>10</v>
      </c>
      <c r="G1054" s="57">
        <v>19220210</v>
      </c>
      <c r="H1054" s="16" t="s">
        <v>2153</v>
      </c>
      <c r="I1054" s="17" t="s">
        <v>2154</v>
      </c>
      <c r="J1054" s="16"/>
      <c r="K1054" s="16" t="s">
        <v>217</v>
      </c>
      <c r="L1054" s="16" t="s">
        <v>2103</v>
      </c>
      <c r="M1054" s="17"/>
    </row>
    <row r="1055" spans="1:13" ht="38.25" x14ac:dyDescent="0.25">
      <c r="A1055" s="16" t="str">
        <f t="shared" si="96"/>
        <v>1</v>
      </c>
      <c r="B1055" s="16" t="str">
        <f t="shared" si="97"/>
        <v>9</v>
      </c>
      <c r="C1055" s="16" t="str">
        <f t="shared" si="98"/>
        <v>2</v>
      </c>
      <c r="D1055" s="16" t="str">
        <f t="shared" si="99"/>
        <v>2</v>
      </c>
      <c r="E1055" s="16" t="str">
        <f t="shared" si="100"/>
        <v>02</v>
      </c>
      <c r="F1055" s="16" t="str">
        <f t="shared" si="101"/>
        <v>20</v>
      </c>
      <c r="G1055" s="57">
        <v>19220220</v>
      </c>
      <c r="H1055" s="16" t="s">
        <v>2155</v>
      </c>
      <c r="I1055" s="17" t="s">
        <v>2156</v>
      </c>
      <c r="J1055" s="16"/>
      <c r="K1055" s="16" t="s">
        <v>217</v>
      </c>
      <c r="L1055" s="16" t="s">
        <v>2103</v>
      </c>
      <c r="M1055" s="17"/>
    </row>
    <row r="1056" spans="1:13" ht="25.5" x14ac:dyDescent="0.25">
      <c r="A1056" s="16" t="str">
        <f t="shared" si="96"/>
        <v>1</v>
      </c>
      <c r="B1056" s="16" t="str">
        <f t="shared" si="97"/>
        <v>9</v>
      </c>
      <c r="C1056" s="16" t="str">
        <f t="shared" si="98"/>
        <v>2</v>
      </c>
      <c r="D1056" s="16" t="str">
        <f t="shared" si="99"/>
        <v>2</v>
      </c>
      <c r="E1056" s="16" t="str">
        <f t="shared" si="100"/>
        <v>02</v>
      </c>
      <c r="F1056" s="16" t="str">
        <f t="shared" si="101"/>
        <v>30</v>
      </c>
      <c r="G1056" s="57">
        <v>19220230</v>
      </c>
      <c r="H1056" s="16" t="s">
        <v>2157</v>
      </c>
      <c r="I1056" s="17" t="s">
        <v>2158</v>
      </c>
      <c r="J1056" s="16"/>
      <c r="K1056" s="16" t="s">
        <v>217</v>
      </c>
      <c r="L1056" s="16" t="s">
        <v>2103</v>
      </c>
      <c r="M1056" s="17"/>
    </row>
    <row r="1057" spans="1:13" ht="25.5" x14ac:dyDescent="0.25">
      <c r="A1057" s="16" t="str">
        <f t="shared" si="96"/>
        <v>1</v>
      </c>
      <c r="B1057" s="16" t="str">
        <f t="shared" si="97"/>
        <v>9</v>
      </c>
      <c r="C1057" s="16" t="str">
        <f t="shared" si="98"/>
        <v>2</v>
      </c>
      <c r="D1057" s="16" t="str">
        <f t="shared" si="99"/>
        <v>2</v>
      </c>
      <c r="E1057" s="16" t="str">
        <f t="shared" si="100"/>
        <v>02</v>
      </c>
      <c r="F1057" s="16" t="str">
        <f t="shared" si="101"/>
        <v>40</v>
      </c>
      <c r="G1057" s="57">
        <v>19220240</v>
      </c>
      <c r="H1057" s="16" t="s">
        <v>2159</v>
      </c>
      <c r="I1057" s="17" t="s">
        <v>2160</v>
      </c>
      <c r="J1057" s="16"/>
      <c r="K1057" s="16" t="s">
        <v>217</v>
      </c>
      <c r="L1057" s="16" t="s">
        <v>2103</v>
      </c>
      <c r="M1057" s="17"/>
    </row>
    <row r="1058" spans="1:13" ht="25.5" x14ac:dyDescent="0.25">
      <c r="A1058" s="16" t="str">
        <f t="shared" si="96"/>
        <v>1</v>
      </c>
      <c r="B1058" s="16" t="str">
        <f t="shared" si="97"/>
        <v>9</v>
      </c>
      <c r="C1058" s="16" t="str">
        <f t="shared" si="98"/>
        <v>2</v>
      </c>
      <c r="D1058" s="16" t="str">
        <f t="shared" si="99"/>
        <v>2</v>
      </c>
      <c r="E1058" s="16" t="str">
        <f t="shared" si="100"/>
        <v>02</v>
      </c>
      <c r="F1058" s="16" t="str">
        <f t="shared" si="101"/>
        <v>50</v>
      </c>
      <c r="G1058" s="57">
        <v>19220250</v>
      </c>
      <c r="H1058" s="16" t="s">
        <v>2161</v>
      </c>
      <c r="I1058" s="17" t="s">
        <v>2162</v>
      </c>
      <c r="J1058" s="16"/>
      <c r="K1058" s="16" t="s">
        <v>217</v>
      </c>
      <c r="L1058" s="16" t="s">
        <v>2103</v>
      </c>
      <c r="M1058" s="17"/>
    </row>
    <row r="1059" spans="1:13" ht="38.25" x14ac:dyDescent="0.25">
      <c r="A1059" s="16" t="str">
        <f t="shared" si="96"/>
        <v>1</v>
      </c>
      <c r="B1059" s="16" t="str">
        <f t="shared" si="97"/>
        <v>9</v>
      </c>
      <c r="C1059" s="16" t="str">
        <f t="shared" si="98"/>
        <v>2</v>
      </c>
      <c r="D1059" s="16" t="str">
        <f t="shared" si="99"/>
        <v>2</v>
      </c>
      <c r="E1059" s="16" t="str">
        <f t="shared" si="100"/>
        <v>02</v>
      </c>
      <c r="F1059" s="16" t="str">
        <f t="shared" si="101"/>
        <v>60</v>
      </c>
      <c r="G1059" s="57">
        <v>19220260</v>
      </c>
      <c r="H1059" s="16" t="s">
        <v>2163</v>
      </c>
      <c r="I1059" s="17" t="s">
        <v>2164</v>
      </c>
      <c r="J1059" s="16"/>
      <c r="K1059" s="16" t="s">
        <v>217</v>
      </c>
      <c r="L1059" s="16" t="s">
        <v>2103</v>
      </c>
      <c r="M1059" s="17"/>
    </row>
    <row r="1060" spans="1:13" ht="25.5" x14ac:dyDescent="0.25">
      <c r="A1060" s="16" t="str">
        <f t="shared" si="96"/>
        <v>1</v>
      </c>
      <c r="B1060" s="16" t="str">
        <f t="shared" si="97"/>
        <v>9</v>
      </c>
      <c r="C1060" s="16" t="str">
        <f t="shared" si="98"/>
        <v>2</v>
      </c>
      <c r="D1060" s="16" t="str">
        <f t="shared" si="99"/>
        <v>2</v>
      </c>
      <c r="E1060" s="16" t="str">
        <f t="shared" si="100"/>
        <v>02</v>
      </c>
      <c r="F1060" s="16" t="str">
        <f t="shared" si="101"/>
        <v>70</v>
      </c>
      <c r="G1060" s="57">
        <v>19220270</v>
      </c>
      <c r="H1060" s="16" t="s">
        <v>2165</v>
      </c>
      <c r="I1060" s="17" t="s">
        <v>2166</v>
      </c>
      <c r="J1060" s="16"/>
      <c r="K1060" s="16" t="s">
        <v>217</v>
      </c>
      <c r="L1060" s="16" t="s">
        <v>2103</v>
      </c>
      <c r="M1060" s="17"/>
    </row>
    <row r="1061" spans="1:13" ht="51" x14ac:dyDescent="0.25">
      <c r="A1061" s="16" t="str">
        <f t="shared" si="96"/>
        <v>1</v>
      </c>
      <c r="B1061" s="16" t="str">
        <f t="shared" si="97"/>
        <v>9</v>
      </c>
      <c r="C1061" s="16" t="str">
        <f t="shared" si="98"/>
        <v>2</v>
      </c>
      <c r="D1061" s="16" t="str">
        <f t="shared" si="99"/>
        <v>2</v>
      </c>
      <c r="E1061" s="16" t="str">
        <f t="shared" si="100"/>
        <v>02</v>
      </c>
      <c r="F1061" s="16" t="str">
        <f t="shared" si="101"/>
        <v>80</v>
      </c>
      <c r="G1061" s="57">
        <v>19220280</v>
      </c>
      <c r="H1061" s="16" t="s">
        <v>2167</v>
      </c>
      <c r="I1061" s="17" t="s">
        <v>2168</v>
      </c>
      <c r="J1061" s="16"/>
      <c r="K1061" s="16" t="s">
        <v>217</v>
      </c>
      <c r="L1061" s="16" t="s">
        <v>2103</v>
      </c>
      <c r="M1061" s="17"/>
    </row>
    <row r="1062" spans="1:13" x14ac:dyDescent="0.25">
      <c r="A1062" s="16" t="str">
        <f t="shared" si="96"/>
        <v>1</v>
      </c>
      <c r="B1062" s="16" t="str">
        <f t="shared" si="97"/>
        <v>9</v>
      </c>
      <c r="C1062" s="16" t="str">
        <f t="shared" si="98"/>
        <v>2</v>
      </c>
      <c r="D1062" s="16" t="str">
        <f t="shared" si="99"/>
        <v>2</v>
      </c>
      <c r="E1062" s="16" t="str">
        <f t="shared" si="100"/>
        <v>02</v>
      </c>
      <c r="F1062" s="16" t="str">
        <f t="shared" si="101"/>
        <v>90</v>
      </c>
      <c r="G1062" s="57">
        <v>19220290</v>
      </c>
      <c r="H1062" s="16" t="s">
        <v>2169</v>
      </c>
      <c r="I1062" s="17" t="s">
        <v>2170</v>
      </c>
      <c r="J1062" s="16"/>
      <c r="K1062" s="16" t="s">
        <v>217</v>
      </c>
      <c r="L1062" s="16" t="s">
        <v>2103</v>
      </c>
      <c r="M1062" s="17"/>
    </row>
    <row r="1063" spans="1:13" ht="25.5" x14ac:dyDescent="0.25">
      <c r="A1063" s="16" t="str">
        <f t="shared" si="96"/>
        <v>1</v>
      </c>
      <c r="B1063" s="16" t="str">
        <f t="shared" si="97"/>
        <v>9</v>
      </c>
      <c r="C1063" s="16" t="str">
        <f t="shared" si="98"/>
        <v>2</v>
      </c>
      <c r="D1063" s="16" t="str">
        <f t="shared" si="99"/>
        <v>2</v>
      </c>
      <c r="E1063" s="16" t="str">
        <f t="shared" si="100"/>
        <v>02</v>
      </c>
      <c r="F1063" s="16" t="str">
        <f t="shared" si="101"/>
        <v>91</v>
      </c>
      <c r="G1063" s="57">
        <v>19220291</v>
      </c>
      <c r="H1063" s="16" t="s">
        <v>2171</v>
      </c>
      <c r="I1063" s="17" t="s">
        <v>2172</v>
      </c>
      <c r="J1063" s="16"/>
      <c r="K1063" s="16" t="s">
        <v>217</v>
      </c>
      <c r="L1063" s="16" t="s">
        <v>2103</v>
      </c>
      <c r="M1063" s="17"/>
    </row>
    <row r="1064" spans="1:13" ht="25.5" x14ac:dyDescent="0.25">
      <c r="A1064" s="16" t="str">
        <f t="shared" si="96"/>
        <v>1</v>
      </c>
      <c r="B1064" s="16" t="str">
        <f t="shared" si="97"/>
        <v>9</v>
      </c>
      <c r="C1064" s="16" t="str">
        <f t="shared" si="98"/>
        <v>2</v>
      </c>
      <c r="D1064" s="16" t="str">
        <f t="shared" si="99"/>
        <v>2</v>
      </c>
      <c r="E1064" s="16" t="str">
        <f t="shared" si="100"/>
        <v>02</v>
      </c>
      <c r="F1064" s="16" t="str">
        <f t="shared" si="101"/>
        <v>92</v>
      </c>
      <c r="G1064" s="57">
        <v>19220292</v>
      </c>
      <c r="H1064" s="16" t="s">
        <v>2173</v>
      </c>
      <c r="I1064" s="17" t="s">
        <v>2174</v>
      </c>
      <c r="J1064" s="16"/>
      <c r="K1064" s="16" t="s">
        <v>217</v>
      </c>
      <c r="L1064" s="16" t="s">
        <v>2103</v>
      </c>
      <c r="M1064" s="17"/>
    </row>
    <row r="1065" spans="1:13" ht="25.5" x14ac:dyDescent="0.25">
      <c r="A1065" s="16" t="str">
        <f t="shared" si="96"/>
        <v>1</v>
      </c>
      <c r="B1065" s="16" t="str">
        <f t="shared" si="97"/>
        <v>9</v>
      </c>
      <c r="C1065" s="16" t="str">
        <f t="shared" si="98"/>
        <v>2</v>
      </c>
      <c r="D1065" s="16" t="str">
        <f t="shared" si="99"/>
        <v>2</v>
      </c>
      <c r="E1065" s="16" t="str">
        <f t="shared" si="100"/>
        <v>02</v>
      </c>
      <c r="F1065" s="16" t="str">
        <f t="shared" si="101"/>
        <v>93</v>
      </c>
      <c r="G1065" s="57">
        <v>19220293</v>
      </c>
      <c r="H1065" s="16" t="s">
        <v>2175</v>
      </c>
      <c r="I1065" s="17" t="s">
        <v>2176</v>
      </c>
      <c r="J1065" s="16"/>
      <c r="K1065" s="16" t="s">
        <v>217</v>
      </c>
      <c r="L1065" s="16" t="s">
        <v>2103</v>
      </c>
      <c r="M1065" s="17"/>
    </row>
    <row r="1066" spans="1:13" ht="25.5" x14ac:dyDescent="0.25">
      <c r="A1066" s="14" t="str">
        <f t="shared" si="96"/>
        <v>1</v>
      </c>
      <c r="B1066" s="14" t="str">
        <f t="shared" si="97"/>
        <v>9</v>
      </c>
      <c r="C1066" s="14" t="str">
        <f t="shared" si="98"/>
        <v>2</v>
      </c>
      <c r="D1066" s="14" t="str">
        <f t="shared" si="99"/>
        <v>2</v>
      </c>
      <c r="E1066" s="14" t="str">
        <f t="shared" si="100"/>
        <v>03</v>
      </c>
      <c r="F1066" s="14" t="str">
        <f t="shared" si="101"/>
        <v>00</v>
      </c>
      <c r="G1066" s="56">
        <v>19220300</v>
      </c>
      <c r="H1066" s="14" t="s">
        <v>2177</v>
      </c>
      <c r="I1066" s="15" t="s">
        <v>2178</v>
      </c>
      <c r="J1066" s="14"/>
      <c r="K1066" s="14"/>
      <c r="L1066" s="14"/>
      <c r="M1066" s="14"/>
    </row>
    <row r="1067" spans="1:13" ht="25.5" x14ac:dyDescent="0.25">
      <c r="A1067" s="14" t="str">
        <f t="shared" si="96"/>
        <v>1</v>
      </c>
      <c r="B1067" s="14" t="str">
        <f t="shared" si="97"/>
        <v>9</v>
      </c>
      <c r="C1067" s="14" t="str">
        <f t="shared" si="98"/>
        <v>2</v>
      </c>
      <c r="D1067" s="14" t="str">
        <f t="shared" si="99"/>
        <v>2</v>
      </c>
      <c r="E1067" s="14" t="str">
        <f t="shared" si="100"/>
        <v>04</v>
      </c>
      <c r="F1067" s="14" t="str">
        <f t="shared" si="101"/>
        <v>00</v>
      </c>
      <c r="G1067" s="56">
        <v>19220400</v>
      </c>
      <c r="H1067" s="14" t="s">
        <v>2179</v>
      </c>
      <c r="I1067" s="15" t="s">
        <v>2180</v>
      </c>
      <c r="J1067" s="14"/>
      <c r="K1067" s="14"/>
      <c r="L1067" s="14"/>
      <c r="M1067" s="14"/>
    </row>
    <row r="1068" spans="1:13" ht="25.5" x14ac:dyDescent="0.25">
      <c r="A1068" s="14" t="str">
        <f t="shared" si="96"/>
        <v>1</v>
      </c>
      <c r="B1068" s="14" t="str">
        <f t="shared" si="97"/>
        <v>9</v>
      </c>
      <c r="C1068" s="14" t="str">
        <f t="shared" si="98"/>
        <v>2</v>
      </c>
      <c r="D1068" s="14" t="str">
        <f t="shared" si="99"/>
        <v>2</v>
      </c>
      <c r="E1068" s="14" t="str">
        <f t="shared" si="100"/>
        <v>05</v>
      </c>
      <c r="F1068" s="14" t="str">
        <f t="shared" si="101"/>
        <v>00</v>
      </c>
      <c r="G1068" s="56">
        <v>19220500</v>
      </c>
      <c r="H1068" s="14" t="s">
        <v>2181</v>
      </c>
      <c r="I1068" s="15" t="s">
        <v>2182</v>
      </c>
      <c r="J1068" s="14"/>
      <c r="K1068" s="14"/>
      <c r="L1068" s="14"/>
      <c r="M1068" s="14"/>
    </row>
    <row r="1069" spans="1:13" ht="25.5" x14ac:dyDescent="0.25">
      <c r="A1069" s="14" t="str">
        <f t="shared" si="96"/>
        <v>1</v>
      </c>
      <c r="B1069" s="14" t="str">
        <f t="shared" si="97"/>
        <v>9</v>
      </c>
      <c r="C1069" s="14" t="str">
        <f t="shared" si="98"/>
        <v>2</v>
      </c>
      <c r="D1069" s="14" t="str">
        <f t="shared" si="99"/>
        <v>2</v>
      </c>
      <c r="E1069" s="14" t="str">
        <f t="shared" si="100"/>
        <v>06</v>
      </c>
      <c r="F1069" s="14" t="str">
        <f t="shared" si="101"/>
        <v>00</v>
      </c>
      <c r="G1069" s="56">
        <v>19220600</v>
      </c>
      <c r="H1069" s="14" t="s">
        <v>2183</v>
      </c>
      <c r="I1069" s="15" t="s">
        <v>2184</v>
      </c>
      <c r="J1069" s="14"/>
      <c r="K1069" s="14"/>
      <c r="L1069" s="14"/>
      <c r="M1069" s="14"/>
    </row>
    <row r="1070" spans="1:13" ht="25.5" x14ac:dyDescent="0.25">
      <c r="A1070" s="14" t="str">
        <f t="shared" si="96"/>
        <v>1</v>
      </c>
      <c r="B1070" s="14" t="str">
        <f t="shared" si="97"/>
        <v>9</v>
      </c>
      <c r="C1070" s="14" t="str">
        <f t="shared" si="98"/>
        <v>2</v>
      </c>
      <c r="D1070" s="14" t="str">
        <f t="shared" si="99"/>
        <v>2</v>
      </c>
      <c r="E1070" s="14" t="str">
        <f t="shared" si="100"/>
        <v>07</v>
      </c>
      <c r="F1070" s="14" t="str">
        <f t="shared" si="101"/>
        <v>00</v>
      </c>
      <c r="G1070" s="56">
        <v>19220700</v>
      </c>
      <c r="H1070" s="14" t="s">
        <v>2185</v>
      </c>
      <c r="I1070" s="15" t="s">
        <v>2186</v>
      </c>
      <c r="J1070" s="14"/>
      <c r="K1070" s="14"/>
      <c r="L1070" s="14"/>
      <c r="M1070" s="14"/>
    </row>
    <row r="1071" spans="1:13" ht="25.5" x14ac:dyDescent="0.25">
      <c r="A1071" s="14" t="str">
        <f t="shared" si="96"/>
        <v>1</v>
      </c>
      <c r="B1071" s="14" t="str">
        <f t="shared" si="97"/>
        <v>9</v>
      </c>
      <c r="C1071" s="14" t="str">
        <f t="shared" si="98"/>
        <v>2</v>
      </c>
      <c r="D1071" s="14" t="str">
        <f t="shared" si="99"/>
        <v>2</v>
      </c>
      <c r="E1071" s="14" t="str">
        <f t="shared" si="100"/>
        <v>08</v>
      </c>
      <c r="F1071" s="14" t="str">
        <f t="shared" si="101"/>
        <v>00</v>
      </c>
      <c r="G1071" s="56">
        <v>19220800</v>
      </c>
      <c r="H1071" s="14" t="s">
        <v>2187</v>
      </c>
      <c r="I1071" s="15" t="s">
        <v>2188</v>
      </c>
      <c r="J1071" s="14"/>
      <c r="K1071" s="14"/>
      <c r="L1071" s="14"/>
      <c r="M1071" s="14"/>
    </row>
    <row r="1072" spans="1:13" ht="38.25" x14ac:dyDescent="0.25">
      <c r="A1072" s="14" t="str">
        <f t="shared" si="96"/>
        <v>1</v>
      </c>
      <c r="B1072" s="14" t="str">
        <f t="shared" si="97"/>
        <v>9</v>
      </c>
      <c r="C1072" s="14" t="str">
        <f t="shared" si="98"/>
        <v>2</v>
      </c>
      <c r="D1072" s="14" t="str">
        <f t="shared" si="99"/>
        <v>2</v>
      </c>
      <c r="E1072" s="14" t="str">
        <f t="shared" si="100"/>
        <v>09</v>
      </c>
      <c r="F1072" s="14" t="str">
        <f t="shared" si="101"/>
        <v>00</v>
      </c>
      <c r="G1072" s="56">
        <v>19220900</v>
      </c>
      <c r="H1072" s="14" t="s">
        <v>2189</v>
      </c>
      <c r="I1072" s="15" t="s">
        <v>2190</v>
      </c>
      <c r="J1072" s="14"/>
      <c r="K1072" s="14"/>
      <c r="L1072" s="14"/>
      <c r="M1072" s="14"/>
    </row>
    <row r="1073" spans="1:13" ht="38.25" x14ac:dyDescent="0.25">
      <c r="A1073" s="14" t="str">
        <f t="shared" si="96"/>
        <v>1</v>
      </c>
      <c r="B1073" s="14" t="str">
        <f t="shared" si="97"/>
        <v>9</v>
      </c>
      <c r="C1073" s="14" t="str">
        <f t="shared" si="98"/>
        <v>2</v>
      </c>
      <c r="D1073" s="14" t="str">
        <f t="shared" si="99"/>
        <v>2</v>
      </c>
      <c r="E1073" s="14" t="str">
        <f t="shared" si="100"/>
        <v>10</v>
      </c>
      <c r="F1073" s="14" t="str">
        <f t="shared" si="101"/>
        <v>00</v>
      </c>
      <c r="G1073" s="56">
        <v>19221000</v>
      </c>
      <c r="H1073" s="14" t="s">
        <v>2191</v>
      </c>
      <c r="I1073" s="15" t="s">
        <v>2192</v>
      </c>
      <c r="J1073" s="14"/>
      <c r="K1073" s="14"/>
      <c r="L1073" s="14"/>
      <c r="M1073" s="14"/>
    </row>
    <row r="1074" spans="1:13" ht="38.25" x14ac:dyDescent="0.25">
      <c r="A1074" s="16" t="str">
        <f t="shared" si="96"/>
        <v>1</v>
      </c>
      <c r="B1074" s="16" t="str">
        <f t="shared" si="97"/>
        <v>9</v>
      </c>
      <c r="C1074" s="16" t="str">
        <f t="shared" si="98"/>
        <v>2</v>
      </c>
      <c r="D1074" s="16" t="str">
        <f t="shared" si="99"/>
        <v>2</v>
      </c>
      <c r="E1074" s="16" t="str">
        <f t="shared" si="100"/>
        <v>10</v>
      </c>
      <c r="F1074" s="16" t="str">
        <f t="shared" si="101"/>
        <v>01</v>
      </c>
      <c r="G1074" s="57">
        <v>19221001</v>
      </c>
      <c r="H1074" s="16" t="s">
        <v>2193</v>
      </c>
      <c r="I1074" s="17" t="s">
        <v>2194</v>
      </c>
      <c r="J1074" s="16"/>
      <c r="K1074" s="16"/>
      <c r="L1074" s="16"/>
      <c r="M1074" s="17"/>
    </row>
    <row r="1075" spans="1:13" ht="51" x14ac:dyDescent="0.25">
      <c r="A1075" s="16" t="str">
        <f t="shared" si="96"/>
        <v>1</v>
      </c>
      <c r="B1075" s="16" t="str">
        <f t="shared" si="97"/>
        <v>9</v>
      </c>
      <c r="C1075" s="16" t="str">
        <f t="shared" si="98"/>
        <v>2</v>
      </c>
      <c r="D1075" s="16" t="str">
        <f t="shared" si="99"/>
        <v>2</v>
      </c>
      <c r="E1075" s="16" t="str">
        <f t="shared" si="100"/>
        <v>10</v>
      </c>
      <c r="F1075" s="16" t="str">
        <f t="shared" si="101"/>
        <v>02</v>
      </c>
      <c r="G1075" s="57">
        <v>19221002</v>
      </c>
      <c r="H1075" s="16" t="s">
        <v>2195</v>
      </c>
      <c r="I1075" s="17" t="s">
        <v>2196</v>
      </c>
      <c r="J1075" s="16"/>
      <c r="K1075" s="16"/>
      <c r="L1075" s="16"/>
      <c r="M1075" s="17"/>
    </row>
    <row r="1076" spans="1:13" ht="38.25" x14ac:dyDescent="0.25">
      <c r="A1076" s="14" t="str">
        <f t="shared" si="96"/>
        <v>1</v>
      </c>
      <c r="B1076" s="14" t="str">
        <f t="shared" si="97"/>
        <v>9</v>
      </c>
      <c r="C1076" s="14" t="str">
        <f t="shared" si="98"/>
        <v>2</v>
      </c>
      <c r="D1076" s="14" t="str">
        <f t="shared" si="99"/>
        <v>2</v>
      </c>
      <c r="E1076" s="14" t="str">
        <f t="shared" si="100"/>
        <v>11</v>
      </c>
      <c r="F1076" s="14" t="str">
        <f t="shared" si="101"/>
        <v>00</v>
      </c>
      <c r="G1076" s="56">
        <v>19221100</v>
      </c>
      <c r="H1076" s="14" t="s">
        <v>2197</v>
      </c>
      <c r="I1076" s="15" t="s">
        <v>2198</v>
      </c>
      <c r="J1076" s="14"/>
      <c r="K1076" s="14"/>
      <c r="L1076" s="14"/>
      <c r="M1076" s="14"/>
    </row>
    <row r="1077" spans="1:13" ht="25.5" x14ac:dyDescent="0.25">
      <c r="A1077" s="14" t="str">
        <f t="shared" si="96"/>
        <v>1</v>
      </c>
      <c r="B1077" s="14" t="str">
        <f t="shared" si="97"/>
        <v>9</v>
      </c>
      <c r="C1077" s="14" t="str">
        <f t="shared" si="98"/>
        <v>2</v>
      </c>
      <c r="D1077" s="14" t="str">
        <f t="shared" si="99"/>
        <v>2</v>
      </c>
      <c r="E1077" s="14" t="str">
        <f t="shared" si="100"/>
        <v>20</v>
      </c>
      <c r="F1077" s="14" t="str">
        <f t="shared" si="101"/>
        <v>00</v>
      </c>
      <c r="G1077" s="56">
        <v>19222000</v>
      </c>
      <c r="H1077" s="14" t="s">
        <v>2199</v>
      </c>
      <c r="I1077" s="15" t="s">
        <v>2200</v>
      </c>
      <c r="J1077" s="14"/>
      <c r="K1077" s="14"/>
      <c r="L1077" s="14"/>
      <c r="M1077" s="14"/>
    </row>
    <row r="1078" spans="1:13" ht="25.5" x14ac:dyDescent="0.25">
      <c r="A1078" s="14" t="str">
        <f t="shared" si="96"/>
        <v>1</v>
      </c>
      <c r="B1078" s="14" t="str">
        <f t="shared" si="97"/>
        <v>9</v>
      </c>
      <c r="C1078" s="14" t="str">
        <f t="shared" si="98"/>
        <v>2</v>
      </c>
      <c r="D1078" s="14" t="str">
        <f t="shared" si="99"/>
        <v>2</v>
      </c>
      <c r="E1078" s="14" t="str">
        <f t="shared" si="100"/>
        <v>21</v>
      </c>
      <c r="F1078" s="14" t="str">
        <f t="shared" si="101"/>
        <v>00</v>
      </c>
      <c r="G1078" s="56">
        <v>19222100</v>
      </c>
      <c r="H1078" s="14" t="s">
        <v>2201</v>
      </c>
      <c r="I1078" s="15" t="s">
        <v>2202</v>
      </c>
      <c r="J1078" s="14"/>
      <c r="K1078" s="14"/>
      <c r="L1078" s="14"/>
      <c r="M1078" s="14"/>
    </row>
    <row r="1079" spans="1:13" ht="38.25" x14ac:dyDescent="0.25">
      <c r="A1079" s="14" t="str">
        <f t="shared" si="96"/>
        <v>1</v>
      </c>
      <c r="B1079" s="14" t="str">
        <f t="shared" si="97"/>
        <v>9</v>
      </c>
      <c r="C1079" s="14" t="str">
        <f t="shared" si="98"/>
        <v>2</v>
      </c>
      <c r="D1079" s="14" t="str">
        <f t="shared" si="99"/>
        <v>2</v>
      </c>
      <c r="E1079" s="14" t="str">
        <f t="shared" si="100"/>
        <v>22</v>
      </c>
      <c r="F1079" s="14" t="str">
        <f t="shared" si="101"/>
        <v>00</v>
      </c>
      <c r="G1079" s="56">
        <v>19222200</v>
      </c>
      <c r="H1079" s="14" t="s">
        <v>2203</v>
      </c>
      <c r="I1079" s="15" t="s">
        <v>2204</v>
      </c>
      <c r="J1079" s="14"/>
      <c r="K1079" s="14"/>
      <c r="L1079" s="14"/>
      <c r="M1079" s="14"/>
    </row>
    <row r="1080" spans="1:13" ht="38.25" x14ac:dyDescent="0.25">
      <c r="A1080" s="14" t="str">
        <f t="shared" si="96"/>
        <v>1</v>
      </c>
      <c r="B1080" s="14" t="str">
        <f t="shared" si="97"/>
        <v>9</v>
      </c>
      <c r="C1080" s="14" t="str">
        <f t="shared" si="98"/>
        <v>2</v>
      </c>
      <c r="D1080" s="14" t="str">
        <f t="shared" si="99"/>
        <v>2</v>
      </c>
      <c r="E1080" s="14" t="str">
        <f t="shared" si="100"/>
        <v>23</v>
      </c>
      <c r="F1080" s="14" t="str">
        <f t="shared" si="101"/>
        <v>00</v>
      </c>
      <c r="G1080" s="56">
        <v>19222300</v>
      </c>
      <c r="H1080" s="14" t="s">
        <v>2205</v>
      </c>
      <c r="I1080" s="15" t="s">
        <v>2206</v>
      </c>
      <c r="J1080" s="14"/>
      <c r="K1080" s="14"/>
      <c r="L1080" s="14"/>
      <c r="M1080" s="14"/>
    </row>
    <row r="1081" spans="1:13" ht="25.5" x14ac:dyDescent="0.25">
      <c r="A1081" s="14" t="str">
        <f t="shared" si="96"/>
        <v>1</v>
      </c>
      <c r="B1081" s="14" t="str">
        <f t="shared" si="97"/>
        <v>9</v>
      </c>
      <c r="C1081" s="14" t="str">
        <f t="shared" si="98"/>
        <v>2</v>
      </c>
      <c r="D1081" s="14" t="str">
        <f t="shared" si="99"/>
        <v>2</v>
      </c>
      <c r="E1081" s="14" t="str">
        <f t="shared" si="100"/>
        <v>24</v>
      </c>
      <c r="F1081" s="14" t="str">
        <f t="shared" si="101"/>
        <v>00</v>
      </c>
      <c r="G1081" s="56">
        <v>19222400</v>
      </c>
      <c r="H1081" s="14" t="s">
        <v>2207</v>
      </c>
      <c r="I1081" s="15" t="s">
        <v>2208</v>
      </c>
      <c r="J1081" s="14"/>
      <c r="K1081" s="14" t="s">
        <v>217</v>
      </c>
      <c r="L1081" s="14" t="s">
        <v>2209</v>
      </c>
      <c r="M1081" s="14"/>
    </row>
    <row r="1082" spans="1:13" ht="51" x14ac:dyDescent="0.25">
      <c r="A1082" s="14" t="str">
        <f t="shared" si="96"/>
        <v>1</v>
      </c>
      <c r="B1082" s="14" t="str">
        <f t="shared" si="97"/>
        <v>9</v>
      </c>
      <c r="C1082" s="14" t="str">
        <f t="shared" si="98"/>
        <v>2</v>
      </c>
      <c r="D1082" s="14" t="str">
        <f t="shared" si="99"/>
        <v>2</v>
      </c>
      <c r="E1082" s="14" t="str">
        <f t="shared" si="100"/>
        <v>30</v>
      </c>
      <c r="F1082" s="14" t="str">
        <f t="shared" si="101"/>
        <v>00</v>
      </c>
      <c r="G1082" s="56">
        <v>19223000</v>
      </c>
      <c r="H1082" s="14" t="s">
        <v>2210</v>
      </c>
      <c r="I1082" s="15" t="s">
        <v>2211</v>
      </c>
      <c r="J1082" s="14"/>
      <c r="K1082" s="14"/>
      <c r="L1082" s="14"/>
      <c r="M1082" s="14"/>
    </row>
    <row r="1083" spans="1:13" x14ac:dyDescent="0.25">
      <c r="A1083" s="14" t="str">
        <f t="shared" si="96"/>
        <v>1</v>
      </c>
      <c r="B1083" s="14" t="str">
        <f t="shared" si="97"/>
        <v>9</v>
      </c>
      <c r="C1083" s="14" t="str">
        <f t="shared" si="98"/>
        <v>2</v>
      </c>
      <c r="D1083" s="14" t="str">
        <f t="shared" si="99"/>
        <v>2</v>
      </c>
      <c r="E1083" s="14" t="str">
        <f t="shared" si="100"/>
        <v>99</v>
      </c>
      <c r="F1083" s="14" t="str">
        <f t="shared" si="101"/>
        <v>00</v>
      </c>
      <c r="G1083" s="56">
        <v>19229900</v>
      </c>
      <c r="H1083" s="14" t="s">
        <v>2212</v>
      </c>
      <c r="I1083" s="15" t="s">
        <v>2213</v>
      </c>
      <c r="J1083" s="14"/>
      <c r="K1083" s="14" t="s">
        <v>151</v>
      </c>
      <c r="L1083" s="14" t="s">
        <v>2060</v>
      </c>
      <c r="M1083" s="14"/>
    </row>
    <row r="1084" spans="1:13" ht="25.5" x14ac:dyDescent="0.25">
      <c r="A1084" s="14" t="str">
        <f t="shared" si="96"/>
        <v>1</v>
      </c>
      <c r="B1084" s="14" t="str">
        <f t="shared" si="97"/>
        <v>9</v>
      </c>
      <c r="C1084" s="14" t="str">
        <f t="shared" si="98"/>
        <v>2</v>
      </c>
      <c r="D1084" s="14" t="str">
        <f t="shared" si="99"/>
        <v>3</v>
      </c>
      <c r="E1084" s="14" t="str">
        <f t="shared" si="100"/>
        <v>01</v>
      </c>
      <c r="F1084" s="14" t="str">
        <f t="shared" si="101"/>
        <v>00</v>
      </c>
      <c r="G1084" s="56">
        <v>19230100</v>
      </c>
      <c r="H1084" s="14" t="s">
        <v>2214</v>
      </c>
      <c r="I1084" s="15" t="s">
        <v>2215</v>
      </c>
      <c r="J1084" s="14"/>
      <c r="K1084" s="14"/>
      <c r="L1084" s="14"/>
      <c r="M1084" s="14"/>
    </row>
    <row r="1085" spans="1:13" ht="25.5" x14ac:dyDescent="0.25">
      <c r="A1085" s="10" t="str">
        <f t="shared" si="96"/>
        <v>1</v>
      </c>
      <c r="B1085" s="10" t="str">
        <f t="shared" si="97"/>
        <v>9</v>
      </c>
      <c r="C1085" s="10" t="str">
        <f t="shared" si="98"/>
        <v>3</v>
      </c>
      <c r="D1085" s="10" t="str">
        <f t="shared" si="99"/>
        <v>0</v>
      </c>
      <c r="E1085" s="10" t="str">
        <f t="shared" si="100"/>
        <v>00</v>
      </c>
      <c r="F1085" s="10" t="str">
        <f t="shared" si="101"/>
        <v>00</v>
      </c>
      <c r="G1085" s="54">
        <v>19300000</v>
      </c>
      <c r="H1085" s="10" t="s">
        <v>2216</v>
      </c>
      <c r="I1085" s="11" t="s">
        <v>2217</v>
      </c>
      <c r="J1085" s="10"/>
      <c r="K1085" s="10"/>
      <c r="L1085" s="10"/>
      <c r="M1085" s="11"/>
    </row>
    <row r="1086" spans="1:13" ht="25.5" x14ac:dyDescent="0.25">
      <c r="A1086" s="12" t="str">
        <f t="shared" si="96"/>
        <v>1</v>
      </c>
      <c r="B1086" s="12" t="str">
        <f t="shared" si="97"/>
        <v>9</v>
      </c>
      <c r="C1086" s="12" t="str">
        <f t="shared" si="98"/>
        <v>3</v>
      </c>
      <c r="D1086" s="12" t="str">
        <f t="shared" si="99"/>
        <v>1</v>
      </c>
      <c r="E1086" s="12" t="str">
        <f t="shared" si="100"/>
        <v>00</v>
      </c>
      <c r="F1086" s="12" t="str">
        <f t="shared" si="101"/>
        <v>00</v>
      </c>
      <c r="G1086" s="55">
        <v>19310000</v>
      </c>
      <c r="H1086" s="12" t="s">
        <v>2218</v>
      </c>
      <c r="I1086" s="13" t="s">
        <v>2219</v>
      </c>
      <c r="J1086" s="12"/>
      <c r="K1086" s="12"/>
      <c r="L1086" s="12"/>
      <c r="M1086" s="13"/>
    </row>
    <row r="1087" spans="1:13" ht="25.5" x14ac:dyDescent="0.25">
      <c r="A1087" s="14" t="str">
        <f t="shared" si="96"/>
        <v>1</v>
      </c>
      <c r="B1087" s="14" t="str">
        <f t="shared" si="97"/>
        <v>9</v>
      </c>
      <c r="C1087" s="14" t="str">
        <f t="shared" si="98"/>
        <v>3</v>
      </c>
      <c r="D1087" s="14" t="str">
        <f t="shared" si="99"/>
        <v>1</v>
      </c>
      <c r="E1087" s="14" t="str">
        <f t="shared" si="100"/>
        <v>01</v>
      </c>
      <c r="F1087" s="14" t="str">
        <f t="shared" si="101"/>
        <v>00</v>
      </c>
      <c r="G1087" s="56">
        <v>19310100</v>
      </c>
      <c r="H1087" s="14" t="s">
        <v>2220</v>
      </c>
      <c r="I1087" s="15" t="s">
        <v>2221</v>
      </c>
      <c r="J1087" s="14"/>
      <c r="K1087" s="14"/>
      <c r="L1087" s="14"/>
      <c r="M1087" s="14"/>
    </row>
    <row r="1088" spans="1:13" ht="25.5" x14ac:dyDescent="0.25">
      <c r="A1088" s="16" t="str">
        <f t="shared" si="96"/>
        <v>1</v>
      </c>
      <c r="B1088" s="16" t="str">
        <f t="shared" si="97"/>
        <v>9</v>
      </c>
      <c r="C1088" s="16" t="str">
        <f t="shared" si="98"/>
        <v>3</v>
      </c>
      <c r="D1088" s="16" t="str">
        <f t="shared" si="99"/>
        <v>1</v>
      </c>
      <c r="E1088" s="16" t="str">
        <f t="shared" si="100"/>
        <v>01</v>
      </c>
      <c r="F1088" s="16" t="str">
        <f t="shared" si="101"/>
        <v>01</v>
      </c>
      <c r="G1088" s="57">
        <v>19310101</v>
      </c>
      <c r="H1088" s="16" t="s">
        <v>2222</v>
      </c>
      <c r="I1088" s="17" t="s">
        <v>2223</v>
      </c>
      <c r="J1088" s="16"/>
      <c r="K1088" s="16"/>
      <c r="L1088" s="16"/>
      <c r="M1088" s="17"/>
    </row>
    <row r="1089" spans="1:13" ht="25.5" x14ac:dyDescent="0.25">
      <c r="A1089" s="16" t="str">
        <f t="shared" si="96"/>
        <v>1</v>
      </c>
      <c r="B1089" s="16" t="str">
        <f t="shared" si="97"/>
        <v>9</v>
      </c>
      <c r="C1089" s="16" t="str">
        <f t="shared" si="98"/>
        <v>3</v>
      </c>
      <c r="D1089" s="16" t="str">
        <f t="shared" si="99"/>
        <v>1</v>
      </c>
      <c r="E1089" s="16" t="str">
        <f t="shared" si="100"/>
        <v>01</v>
      </c>
      <c r="F1089" s="16" t="str">
        <f t="shared" si="101"/>
        <v>02</v>
      </c>
      <c r="G1089" s="57">
        <v>19310102</v>
      </c>
      <c r="H1089" s="16" t="s">
        <v>2224</v>
      </c>
      <c r="I1089" s="17" t="s">
        <v>2225</v>
      </c>
      <c r="J1089" s="16"/>
      <c r="K1089" s="16"/>
      <c r="L1089" s="16"/>
      <c r="M1089" s="17"/>
    </row>
    <row r="1090" spans="1:13" ht="25.5" x14ac:dyDescent="0.25">
      <c r="A1090" s="16" t="str">
        <f t="shared" si="96"/>
        <v>1</v>
      </c>
      <c r="B1090" s="16" t="str">
        <f t="shared" si="97"/>
        <v>9</v>
      </c>
      <c r="C1090" s="16" t="str">
        <f t="shared" si="98"/>
        <v>3</v>
      </c>
      <c r="D1090" s="16" t="str">
        <f t="shared" si="99"/>
        <v>1</v>
      </c>
      <c r="E1090" s="16" t="str">
        <f t="shared" si="100"/>
        <v>01</v>
      </c>
      <c r="F1090" s="16" t="str">
        <f t="shared" si="101"/>
        <v>03</v>
      </c>
      <c r="G1090" s="57">
        <v>19310103</v>
      </c>
      <c r="H1090" s="16" t="s">
        <v>2226</v>
      </c>
      <c r="I1090" s="17" t="s">
        <v>2227</v>
      </c>
      <c r="J1090" s="16"/>
      <c r="K1090" s="16"/>
      <c r="L1090" s="16"/>
      <c r="M1090" s="17"/>
    </row>
    <row r="1091" spans="1:13" ht="38.25" x14ac:dyDescent="0.25">
      <c r="A1091" s="16" t="str">
        <f t="shared" si="96"/>
        <v>1</v>
      </c>
      <c r="B1091" s="16" t="str">
        <f t="shared" si="97"/>
        <v>9</v>
      </c>
      <c r="C1091" s="16" t="str">
        <f t="shared" si="98"/>
        <v>3</v>
      </c>
      <c r="D1091" s="16" t="str">
        <f t="shared" si="99"/>
        <v>1</v>
      </c>
      <c r="E1091" s="16" t="str">
        <f t="shared" si="100"/>
        <v>01</v>
      </c>
      <c r="F1091" s="16" t="str">
        <f t="shared" si="101"/>
        <v>04</v>
      </c>
      <c r="G1091" s="57">
        <v>19310104</v>
      </c>
      <c r="H1091" s="16" t="s">
        <v>2228</v>
      </c>
      <c r="I1091" s="17" t="s">
        <v>2229</v>
      </c>
      <c r="J1091" s="16"/>
      <c r="K1091" s="16"/>
      <c r="L1091" s="16"/>
      <c r="M1091" s="17"/>
    </row>
    <row r="1092" spans="1:13" ht="25.5" x14ac:dyDescent="0.25">
      <c r="A1092" s="16" t="str">
        <f t="shared" ref="A1092:A1155" si="102">MID(G1092,1,1)</f>
        <v>1</v>
      </c>
      <c r="B1092" s="16" t="str">
        <f t="shared" ref="B1092:B1155" si="103">MID(G1092,2,1)</f>
        <v>9</v>
      </c>
      <c r="C1092" s="16" t="str">
        <f t="shared" ref="C1092:C1155" si="104">MID(G1092,3,1)</f>
        <v>3</v>
      </c>
      <c r="D1092" s="16" t="str">
        <f t="shared" ref="D1092:D1155" si="105">MID(G1092,4,1)</f>
        <v>1</v>
      </c>
      <c r="E1092" s="16" t="str">
        <f t="shared" ref="E1092:E1155" si="106">MID(G1092,5,2)</f>
        <v>01</v>
      </c>
      <c r="F1092" s="16" t="str">
        <f t="shared" ref="F1092:F1155" si="107">MID(G1092,7,2)</f>
        <v>05</v>
      </c>
      <c r="G1092" s="57">
        <v>19310105</v>
      </c>
      <c r="H1092" s="16" t="s">
        <v>2230</v>
      </c>
      <c r="I1092" s="17" t="s">
        <v>2231</v>
      </c>
      <c r="J1092" s="16"/>
      <c r="K1092" s="16"/>
      <c r="L1092" s="16"/>
      <c r="M1092" s="17"/>
    </row>
    <row r="1093" spans="1:13" ht="38.25" x14ac:dyDescent="0.25">
      <c r="A1093" s="16" t="str">
        <f t="shared" si="102"/>
        <v>1</v>
      </c>
      <c r="B1093" s="16" t="str">
        <f t="shared" si="103"/>
        <v>9</v>
      </c>
      <c r="C1093" s="16" t="str">
        <f t="shared" si="104"/>
        <v>3</v>
      </c>
      <c r="D1093" s="16" t="str">
        <f t="shared" si="105"/>
        <v>1</v>
      </c>
      <c r="E1093" s="16" t="str">
        <f t="shared" si="106"/>
        <v>01</v>
      </c>
      <c r="F1093" s="16" t="str">
        <f t="shared" si="107"/>
        <v>06</v>
      </c>
      <c r="G1093" s="57">
        <v>19310106</v>
      </c>
      <c r="H1093" s="16" t="s">
        <v>2232</v>
      </c>
      <c r="I1093" s="17" t="s">
        <v>2233</v>
      </c>
      <c r="J1093" s="16"/>
      <c r="K1093" s="16"/>
      <c r="L1093" s="16"/>
      <c r="M1093" s="17"/>
    </row>
    <row r="1094" spans="1:13" ht="25.5" x14ac:dyDescent="0.25">
      <c r="A1094" s="16" t="str">
        <f t="shared" si="102"/>
        <v>1</v>
      </c>
      <c r="B1094" s="16" t="str">
        <f t="shared" si="103"/>
        <v>9</v>
      </c>
      <c r="C1094" s="16" t="str">
        <f t="shared" si="104"/>
        <v>3</v>
      </c>
      <c r="D1094" s="16" t="str">
        <f t="shared" si="105"/>
        <v>1</v>
      </c>
      <c r="E1094" s="16" t="str">
        <f t="shared" si="106"/>
        <v>01</v>
      </c>
      <c r="F1094" s="16" t="str">
        <f t="shared" si="107"/>
        <v>07</v>
      </c>
      <c r="G1094" s="57">
        <v>19310107</v>
      </c>
      <c r="H1094" s="16" t="s">
        <v>2234</v>
      </c>
      <c r="I1094" s="17" t="s">
        <v>2235</v>
      </c>
      <c r="J1094" s="16"/>
      <c r="K1094" s="16"/>
      <c r="L1094" s="16"/>
      <c r="M1094" s="17"/>
    </row>
    <row r="1095" spans="1:13" ht="25.5" x14ac:dyDescent="0.25">
      <c r="A1095" s="14" t="str">
        <f t="shared" si="102"/>
        <v>1</v>
      </c>
      <c r="B1095" s="14" t="str">
        <f t="shared" si="103"/>
        <v>9</v>
      </c>
      <c r="C1095" s="14" t="str">
        <f t="shared" si="104"/>
        <v>3</v>
      </c>
      <c r="D1095" s="14" t="str">
        <f t="shared" si="105"/>
        <v>1</v>
      </c>
      <c r="E1095" s="14" t="str">
        <f t="shared" si="106"/>
        <v>02</v>
      </c>
      <c r="F1095" s="14" t="str">
        <f t="shared" si="107"/>
        <v>00</v>
      </c>
      <c r="G1095" s="56">
        <v>19310200</v>
      </c>
      <c r="H1095" s="14" t="s">
        <v>2236</v>
      </c>
      <c r="I1095" s="15" t="s">
        <v>2237</v>
      </c>
      <c r="J1095" s="14"/>
      <c r="K1095" s="14"/>
      <c r="L1095" s="14"/>
      <c r="M1095" s="14"/>
    </row>
    <row r="1096" spans="1:13" ht="25.5" x14ac:dyDescent="0.25">
      <c r="A1096" s="16" t="str">
        <f t="shared" si="102"/>
        <v>1</v>
      </c>
      <c r="B1096" s="16" t="str">
        <f t="shared" si="103"/>
        <v>9</v>
      </c>
      <c r="C1096" s="16" t="str">
        <f t="shared" si="104"/>
        <v>3</v>
      </c>
      <c r="D1096" s="16" t="str">
        <f t="shared" si="105"/>
        <v>1</v>
      </c>
      <c r="E1096" s="16" t="str">
        <f t="shared" si="106"/>
        <v>02</v>
      </c>
      <c r="F1096" s="16" t="str">
        <f t="shared" si="107"/>
        <v>01</v>
      </c>
      <c r="G1096" s="57">
        <v>19310201</v>
      </c>
      <c r="H1096" s="16" t="s">
        <v>2238</v>
      </c>
      <c r="I1096" s="17" t="s">
        <v>2239</v>
      </c>
      <c r="J1096" s="16"/>
      <c r="K1096" s="16"/>
      <c r="L1096" s="16"/>
      <c r="M1096" s="17"/>
    </row>
    <row r="1097" spans="1:13" ht="25.5" x14ac:dyDescent="0.25">
      <c r="A1097" s="16" t="str">
        <f t="shared" si="102"/>
        <v>1</v>
      </c>
      <c r="B1097" s="16" t="str">
        <f t="shared" si="103"/>
        <v>9</v>
      </c>
      <c r="C1097" s="16" t="str">
        <f t="shared" si="104"/>
        <v>3</v>
      </c>
      <c r="D1097" s="16" t="str">
        <f t="shared" si="105"/>
        <v>1</v>
      </c>
      <c r="E1097" s="16" t="str">
        <f t="shared" si="106"/>
        <v>02</v>
      </c>
      <c r="F1097" s="16" t="str">
        <f t="shared" si="107"/>
        <v>02</v>
      </c>
      <c r="G1097" s="57">
        <v>19310202</v>
      </c>
      <c r="H1097" s="16" t="s">
        <v>2240</v>
      </c>
      <c r="I1097" s="17" t="s">
        <v>2241</v>
      </c>
      <c r="J1097" s="16"/>
      <c r="K1097" s="16"/>
      <c r="L1097" s="16"/>
      <c r="M1097" s="17"/>
    </row>
    <row r="1098" spans="1:13" ht="38.25" x14ac:dyDescent="0.25">
      <c r="A1098" s="16" t="str">
        <f t="shared" si="102"/>
        <v>1</v>
      </c>
      <c r="B1098" s="16" t="str">
        <f t="shared" si="103"/>
        <v>9</v>
      </c>
      <c r="C1098" s="16" t="str">
        <f t="shared" si="104"/>
        <v>3</v>
      </c>
      <c r="D1098" s="16" t="str">
        <f t="shared" si="105"/>
        <v>1</v>
      </c>
      <c r="E1098" s="16" t="str">
        <f t="shared" si="106"/>
        <v>02</v>
      </c>
      <c r="F1098" s="16" t="str">
        <f t="shared" si="107"/>
        <v>03</v>
      </c>
      <c r="G1098" s="57">
        <v>19310203</v>
      </c>
      <c r="H1098" s="16" t="s">
        <v>2242</v>
      </c>
      <c r="I1098" s="17" t="s">
        <v>2243</v>
      </c>
      <c r="J1098" s="16"/>
      <c r="K1098" s="16"/>
      <c r="L1098" s="16"/>
      <c r="M1098" s="17"/>
    </row>
    <row r="1099" spans="1:13" ht="38.25" x14ac:dyDescent="0.25">
      <c r="A1099" s="14" t="str">
        <f t="shared" si="102"/>
        <v>1</v>
      </c>
      <c r="B1099" s="14" t="str">
        <f t="shared" si="103"/>
        <v>9</v>
      </c>
      <c r="C1099" s="14" t="str">
        <f t="shared" si="104"/>
        <v>3</v>
      </c>
      <c r="D1099" s="14" t="str">
        <f t="shared" si="105"/>
        <v>1</v>
      </c>
      <c r="E1099" s="14" t="str">
        <f t="shared" si="106"/>
        <v>03</v>
      </c>
      <c r="F1099" s="14" t="str">
        <f t="shared" si="107"/>
        <v>00</v>
      </c>
      <c r="G1099" s="56">
        <v>19310300</v>
      </c>
      <c r="H1099" s="14" t="s">
        <v>2244</v>
      </c>
      <c r="I1099" s="15" t="s">
        <v>2245</v>
      </c>
      <c r="J1099" s="14"/>
      <c r="K1099" s="14"/>
      <c r="L1099" s="14"/>
      <c r="M1099" s="14"/>
    </row>
    <row r="1100" spans="1:13" ht="51" x14ac:dyDescent="0.25">
      <c r="A1100" s="16" t="str">
        <f t="shared" si="102"/>
        <v>1</v>
      </c>
      <c r="B1100" s="16" t="str">
        <f t="shared" si="103"/>
        <v>9</v>
      </c>
      <c r="C1100" s="16" t="str">
        <f t="shared" si="104"/>
        <v>3</v>
      </c>
      <c r="D1100" s="16" t="str">
        <f t="shared" si="105"/>
        <v>1</v>
      </c>
      <c r="E1100" s="16" t="str">
        <f t="shared" si="106"/>
        <v>03</v>
      </c>
      <c r="F1100" s="16" t="str">
        <f t="shared" si="107"/>
        <v>01</v>
      </c>
      <c r="G1100" s="57">
        <v>19310301</v>
      </c>
      <c r="H1100" s="16" t="s">
        <v>2246</v>
      </c>
      <c r="I1100" s="17" t="s">
        <v>2247</v>
      </c>
      <c r="J1100" s="16"/>
      <c r="K1100" s="16"/>
      <c r="L1100" s="16"/>
      <c r="M1100" s="17"/>
    </row>
    <row r="1101" spans="1:13" ht="51" x14ac:dyDescent="0.25">
      <c r="A1101" s="16" t="str">
        <f t="shared" si="102"/>
        <v>1</v>
      </c>
      <c r="B1101" s="16" t="str">
        <f t="shared" si="103"/>
        <v>9</v>
      </c>
      <c r="C1101" s="16" t="str">
        <f t="shared" si="104"/>
        <v>3</v>
      </c>
      <c r="D1101" s="16" t="str">
        <f t="shared" si="105"/>
        <v>1</v>
      </c>
      <c r="E1101" s="16" t="str">
        <f t="shared" si="106"/>
        <v>03</v>
      </c>
      <c r="F1101" s="16" t="str">
        <f t="shared" si="107"/>
        <v>02</v>
      </c>
      <c r="G1101" s="57">
        <v>19310302</v>
      </c>
      <c r="H1101" s="16" t="s">
        <v>2248</v>
      </c>
      <c r="I1101" s="17" t="s">
        <v>2249</v>
      </c>
      <c r="J1101" s="16"/>
      <c r="K1101" s="16"/>
      <c r="L1101" s="16"/>
      <c r="M1101" s="17"/>
    </row>
    <row r="1102" spans="1:13" ht="25.5" x14ac:dyDescent="0.25">
      <c r="A1102" s="14" t="str">
        <f t="shared" si="102"/>
        <v>1</v>
      </c>
      <c r="B1102" s="14" t="str">
        <f t="shared" si="103"/>
        <v>9</v>
      </c>
      <c r="C1102" s="14" t="str">
        <f t="shared" si="104"/>
        <v>3</v>
      </c>
      <c r="D1102" s="14" t="str">
        <f t="shared" si="105"/>
        <v>1</v>
      </c>
      <c r="E1102" s="14" t="str">
        <f t="shared" si="106"/>
        <v>04</v>
      </c>
      <c r="F1102" s="14" t="str">
        <f t="shared" si="107"/>
        <v>00</v>
      </c>
      <c r="G1102" s="56">
        <v>19310400</v>
      </c>
      <c r="H1102" s="14" t="s">
        <v>2250</v>
      </c>
      <c r="I1102" s="15" t="s">
        <v>2251</v>
      </c>
      <c r="J1102" s="14"/>
      <c r="K1102" s="14"/>
      <c r="L1102" s="14"/>
      <c r="M1102" s="14"/>
    </row>
    <row r="1103" spans="1:13" ht="38.25" x14ac:dyDescent="0.25">
      <c r="A1103" s="16" t="str">
        <f t="shared" si="102"/>
        <v>1</v>
      </c>
      <c r="B1103" s="16" t="str">
        <f t="shared" si="103"/>
        <v>9</v>
      </c>
      <c r="C1103" s="16" t="str">
        <f t="shared" si="104"/>
        <v>3</v>
      </c>
      <c r="D1103" s="16" t="str">
        <f t="shared" si="105"/>
        <v>1</v>
      </c>
      <c r="E1103" s="16" t="str">
        <f t="shared" si="106"/>
        <v>04</v>
      </c>
      <c r="F1103" s="16" t="str">
        <f t="shared" si="107"/>
        <v>01</v>
      </c>
      <c r="G1103" s="57">
        <v>19310401</v>
      </c>
      <c r="H1103" s="16" t="s">
        <v>2252</v>
      </c>
      <c r="I1103" s="17" t="s">
        <v>2253</v>
      </c>
      <c r="J1103" s="16"/>
      <c r="K1103" s="16"/>
      <c r="L1103" s="16"/>
      <c r="M1103" s="17"/>
    </row>
    <row r="1104" spans="1:13" ht="38.25" x14ac:dyDescent="0.25">
      <c r="A1104" s="16" t="str">
        <f t="shared" si="102"/>
        <v>1</v>
      </c>
      <c r="B1104" s="16" t="str">
        <f t="shared" si="103"/>
        <v>9</v>
      </c>
      <c r="C1104" s="16" t="str">
        <f t="shared" si="104"/>
        <v>3</v>
      </c>
      <c r="D1104" s="16" t="str">
        <f t="shared" si="105"/>
        <v>1</v>
      </c>
      <c r="E1104" s="16" t="str">
        <f t="shared" si="106"/>
        <v>04</v>
      </c>
      <c r="F1104" s="16" t="str">
        <f t="shared" si="107"/>
        <v>02</v>
      </c>
      <c r="G1104" s="57">
        <v>19310402</v>
      </c>
      <c r="H1104" s="16" t="s">
        <v>2254</v>
      </c>
      <c r="I1104" s="17" t="s">
        <v>2255</v>
      </c>
      <c r="J1104" s="16"/>
      <c r="K1104" s="16"/>
      <c r="L1104" s="16"/>
      <c r="M1104" s="17"/>
    </row>
    <row r="1105" spans="1:13" ht="25.5" x14ac:dyDescent="0.25">
      <c r="A1105" s="14" t="str">
        <f t="shared" si="102"/>
        <v>1</v>
      </c>
      <c r="B1105" s="14" t="str">
        <f t="shared" si="103"/>
        <v>9</v>
      </c>
      <c r="C1105" s="14" t="str">
        <f t="shared" si="104"/>
        <v>3</v>
      </c>
      <c r="D1105" s="14" t="str">
        <f t="shared" si="105"/>
        <v>1</v>
      </c>
      <c r="E1105" s="14" t="str">
        <f t="shared" si="106"/>
        <v>05</v>
      </c>
      <c r="F1105" s="14" t="str">
        <f t="shared" si="107"/>
        <v>00</v>
      </c>
      <c r="G1105" s="56">
        <v>19310500</v>
      </c>
      <c r="H1105" s="14" t="s">
        <v>2256</v>
      </c>
      <c r="I1105" s="15" t="s">
        <v>2257</v>
      </c>
      <c r="J1105" s="14"/>
      <c r="K1105" s="14"/>
      <c r="L1105" s="14"/>
      <c r="M1105" s="14"/>
    </row>
    <row r="1106" spans="1:13" ht="25.5" x14ac:dyDescent="0.25">
      <c r="A1106" s="16" t="str">
        <f t="shared" si="102"/>
        <v>1</v>
      </c>
      <c r="B1106" s="16" t="str">
        <f t="shared" si="103"/>
        <v>9</v>
      </c>
      <c r="C1106" s="16" t="str">
        <f t="shared" si="104"/>
        <v>3</v>
      </c>
      <c r="D1106" s="16" t="str">
        <f t="shared" si="105"/>
        <v>1</v>
      </c>
      <c r="E1106" s="16" t="str">
        <f t="shared" si="106"/>
        <v>05</v>
      </c>
      <c r="F1106" s="16" t="str">
        <f t="shared" si="107"/>
        <v>01</v>
      </c>
      <c r="G1106" s="57">
        <v>19310501</v>
      </c>
      <c r="H1106" s="16" t="s">
        <v>2258</v>
      </c>
      <c r="I1106" s="17" t="s">
        <v>2259</v>
      </c>
      <c r="J1106" s="16"/>
      <c r="K1106" s="16"/>
      <c r="L1106" s="16"/>
      <c r="M1106" s="17"/>
    </row>
    <row r="1107" spans="1:13" ht="25.5" x14ac:dyDescent="0.25">
      <c r="A1107" s="16" t="str">
        <f t="shared" si="102"/>
        <v>1</v>
      </c>
      <c r="B1107" s="16" t="str">
        <f t="shared" si="103"/>
        <v>9</v>
      </c>
      <c r="C1107" s="16" t="str">
        <f t="shared" si="104"/>
        <v>3</v>
      </c>
      <c r="D1107" s="16" t="str">
        <f t="shared" si="105"/>
        <v>1</v>
      </c>
      <c r="E1107" s="16" t="str">
        <f t="shared" si="106"/>
        <v>05</v>
      </c>
      <c r="F1107" s="16" t="str">
        <f t="shared" si="107"/>
        <v>02</v>
      </c>
      <c r="G1107" s="57">
        <v>19310502</v>
      </c>
      <c r="H1107" s="16" t="s">
        <v>2260</v>
      </c>
      <c r="I1107" s="17" t="s">
        <v>2261</v>
      </c>
      <c r="J1107" s="16"/>
      <c r="K1107" s="16"/>
      <c r="L1107" s="16"/>
      <c r="M1107" s="17"/>
    </row>
    <row r="1108" spans="1:13" ht="25.5" x14ac:dyDescent="0.25">
      <c r="A1108" s="14" t="str">
        <f t="shared" si="102"/>
        <v>1</v>
      </c>
      <c r="B1108" s="14" t="str">
        <f t="shared" si="103"/>
        <v>9</v>
      </c>
      <c r="C1108" s="14" t="str">
        <f t="shared" si="104"/>
        <v>3</v>
      </c>
      <c r="D1108" s="14" t="str">
        <f t="shared" si="105"/>
        <v>1</v>
      </c>
      <c r="E1108" s="14" t="str">
        <f t="shared" si="106"/>
        <v>06</v>
      </c>
      <c r="F1108" s="14" t="str">
        <f t="shared" si="107"/>
        <v>00</v>
      </c>
      <c r="G1108" s="56">
        <v>19310600</v>
      </c>
      <c r="H1108" s="14" t="s">
        <v>2262</v>
      </c>
      <c r="I1108" s="15" t="s">
        <v>2263</v>
      </c>
      <c r="J1108" s="14"/>
      <c r="K1108" s="14"/>
      <c r="L1108" s="14"/>
      <c r="M1108" s="14"/>
    </row>
    <row r="1109" spans="1:13" ht="25.5" x14ac:dyDescent="0.25">
      <c r="A1109" s="16" t="str">
        <f t="shared" si="102"/>
        <v>1</v>
      </c>
      <c r="B1109" s="16" t="str">
        <f t="shared" si="103"/>
        <v>9</v>
      </c>
      <c r="C1109" s="16" t="str">
        <f t="shared" si="104"/>
        <v>3</v>
      </c>
      <c r="D1109" s="16" t="str">
        <f t="shared" si="105"/>
        <v>1</v>
      </c>
      <c r="E1109" s="16" t="str">
        <f t="shared" si="106"/>
        <v>06</v>
      </c>
      <c r="F1109" s="16" t="str">
        <f t="shared" si="107"/>
        <v>01</v>
      </c>
      <c r="G1109" s="57">
        <v>19310601</v>
      </c>
      <c r="H1109" s="16" t="s">
        <v>2264</v>
      </c>
      <c r="I1109" s="17" t="s">
        <v>2265</v>
      </c>
      <c r="J1109" s="16"/>
      <c r="K1109" s="16"/>
      <c r="L1109" s="16"/>
      <c r="M1109" s="17"/>
    </row>
    <row r="1110" spans="1:13" ht="25.5" x14ac:dyDescent="0.25">
      <c r="A1110" s="16" t="str">
        <f t="shared" si="102"/>
        <v>1</v>
      </c>
      <c r="B1110" s="16" t="str">
        <f t="shared" si="103"/>
        <v>9</v>
      </c>
      <c r="C1110" s="16" t="str">
        <f t="shared" si="104"/>
        <v>3</v>
      </c>
      <c r="D1110" s="16" t="str">
        <f t="shared" si="105"/>
        <v>1</v>
      </c>
      <c r="E1110" s="16" t="str">
        <f t="shared" si="106"/>
        <v>06</v>
      </c>
      <c r="F1110" s="16" t="str">
        <f t="shared" si="107"/>
        <v>02</v>
      </c>
      <c r="G1110" s="57">
        <v>19310602</v>
      </c>
      <c r="H1110" s="16" t="s">
        <v>2266</v>
      </c>
      <c r="I1110" s="17" t="s">
        <v>2267</v>
      </c>
      <c r="J1110" s="16"/>
      <c r="K1110" s="16"/>
      <c r="L1110" s="16"/>
      <c r="M1110" s="17"/>
    </row>
    <row r="1111" spans="1:13" x14ac:dyDescent="0.25">
      <c r="A1111" s="14" t="str">
        <f t="shared" si="102"/>
        <v>1</v>
      </c>
      <c r="B1111" s="14" t="str">
        <f t="shared" si="103"/>
        <v>9</v>
      </c>
      <c r="C1111" s="14" t="str">
        <f t="shared" si="104"/>
        <v>3</v>
      </c>
      <c r="D1111" s="14" t="str">
        <f t="shared" si="105"/>
        <v>1</v>
      </c>
      <c r="E1111" s="14" t="str">
        <f t="shared" si="106"/>
        <v>07</v>
      </c>
      <c r="F1111" s="14" t="str">
        <f t="shared" si="107"/>
        <v>00</v>
      </c>
      <c r="G1111" s="56">
        <v>19310700</v>
      </c>
      <c r="H1111" s="14" t="s">
        <v>2268</v>
      </c>
      <c r="I1111" s="15" t="s">
        <v>2269</v>
      </c>
      <c r="J1111" s="14"/>
      <c r="K1111" s="14"/>
      <c r="L1111" s="14"/>
      <c r="M1111" s="14"/>
    </row>
    <row r="1112" spans="1:13" ht="25.5" x14ac:dyDescent="0.25">
      <c r="A1112" s="14" t="str">
        <f t="shared" si="102"/>
        <v>1</v>
      </c>
      <c r="B1112" s="14" t="str">
        <f t="shared" si="103"/>
        <v>9</v>
      </c>
      <c r="C1112" s="14" t="str">
        <f t="shared" si="104"/>
        <v>3</v>
      </c>
      <c r="D1112" s="14" t="str">
        <f t="shared" si="105"/>
        <v>1</v>
      </c>
      <c r="E1112" s="14" t="str">
        <f t="shared" si="106"/>
        <v>08</v>
      </c>
      <c r="F1112" s="14" t="str">
        <f t="shared" si="107"/>
        <v>00</v>
      </c>
      <c r="G1112" s="56">
        <v>19310800</v>
      </c>
      <c r="H1112" s="14" t="s">
        <v>2270</v>
      </c>
      <c r="I1112" s="15" t="s">
        <v>2271</v>
      </c>
      <c r="J1112" s="14"/>
      <c r="K1112" s="14" t="s">
        <v>151</v>
      </c>
      <c r="L1112" s="14" t="s">
        <v>1436</v>
      </c>
      <c r="M1112" s="14"/>
    </row>
    <row r="1113" spans="1:13" ht="25.5" x14ac:dyDescent="0.25">
      <c r="A1113" s="16" t="str">
        <f t="shared" si="102"/>
        <v>1</v>
      </c>
      <c r="B1113" s="16" t="str">
        <f t="shared" si="103"/>
        <v>9</v>
      </c>
      <c r="C1113" s="16" t="str">
        <f t="shared" si="104"/>
        <v>3</v>
      </c>
      <c r="D1113" s="16" t="str">
        <f t="shared" si="105"/>
        <v>1</v>
      </c>
      <c r="E1113" s="16" t="str">
        <f t="shared" si="106"/>
        <v>08</v>
      </c>
      <c r="F1113" s="16" t="str">
        <f t="shared" si="107"/>
        <v>01</v>
      </c>
      <c r="G1113" s="57">
        <v>19310801</v>
      </c>
      <c r="H1113" s="16" t="s">
        <v>2272</v>
      </c>
      <c r="I1113" s="17" t="s">
        <v>2273</v>
      </c>
      <c r="J1113" s="16"/>
      <c r="K1113" s="16" t="s">
        <v>217</v>
      </c>
      <c r="L1113" s="16" t="s">
        <v>1439</v>
      </c>
      <c r="M1113" s="17"/>
    </row>
    <row r="1114" spans="1:13" ht="25.5" x14ac:dyDescent="0.25">
      <c r="A1114" s="16" t="str">
        <f t="shared" si="102"/>
        <v>1</v>
      </c>
      <c r="B1114" s="16" t="str">
        <f t="shared" si="103"/>
        <v>9</v>
      </c>
      <c r="C1114" s="16" t="str">
        <f t="shared" si="104"/>
        <v>3</v>
      </c>
      <c r="D1114" s="16" t="str">
        <f t="shared" si="105"/>
        <v>1</v>
      </c>
      <c r="E1114" s="16" t="str">
        <f t="shared" si="106"/>
        <v>08</v>
      </c>
      <c r="F1114" s="16" t="str">
        <f t="shared" si="107"/>
        <v>02</v>
      </c>
      <c r="G1114" s="57">
        <v>19310802</v>
      </c>
      <c r="H1114" s="16" t="s">
        <v>2274</v>
      </c>
      <c r="I1114" s="17" t="s">
        <v>2275</v>
      </c>
      <c r="J1114" s="16"/>
      <c r="K1114" s="16" t="s">
        <v>217</v>
      </c>
      <c r="L1114" s="16" t="s">
        <v>1439</v>
      </c>
      <c r="M1114" s="17"/>
    </row>
    <row r="1115" spans="1:13" ht="25.5" x14ac:dyDescent="0.25">
      <c r="A1115" s="14" t="str">
        <f t="shared" si="102"/>
        <v>1</v>
      </c>
      <c r="B1115" s="14" t="str">
        <f t="shared" si="103"/>
        <v>9</v>
      </c>
      <c r="C1115" s="14" t="str">
        <f t="shared" si="104"/>
        <v>3</v>
      </c>
      <c r="D1115" s="14" t="str">
        <f t="shared" si="105"/>
        <v>1</v>
      </c>
      <c r="E1115" s="14" t="str">
        <f t="shared" si="106"/>
        <v>09</v>
      </c>
      <c r="F1115" s="14" t="str">
        <f t="shared" si="107"/>
        <v>00</v>
      </c>
      <c r="G1115" s="56">
        <v>19310900</v>
      </c>
      <c r="H1115" s="14" t="s">
        <v>2276</v>
      </c>
      <c r="I1115" s="15" t="s">
        <v>2277</v>
      </c>
      <c r="J1115" s="14"/>
      <c r="K1115" s="14"/>
      <c r="L1115" s="14"/>
      <c r="M1115" s="14"/>
    </row>
    <row r="1116" spans="1:13" ht="38.25" x14ac:dyDescent="0.25">
      <c r="A1116" s="14" t="str">
        <f t="shared" si="102"/>
        <v>1</v>
      </c>
      <c r="B1116" s="14" t="str">
        <f t="shared" si="103"/>
        <v>9</v>
      </c>
      <c r="C1116" s="14" t="str">
        <f t="shared" si="104"/>
        <v>3</v>
      </c>
      <c r="D1116" s="14" t="str">
        <f t="shared" si="105"/>
        <v>1</v>
      </c>
      <c r="E1116" s="14" t="str">
        <f t="shared" si="106"/>
        <v>11</v>
      </c>
      <c r="F1116" s="14" t="str">
        <f t="shared" si="107"/>
        <v>00</v>
      </c>
      <c r="G1116" s="56">
        <v>19311100</v>
      </c>
      <c r="H1116" s="14" t="s">
        <v>2278</v>
      </c>
      <c r="I1116" s="15" t="s">
        <v>2279</v>
      </c>
      <c r="J1116" s="14"/>
      <c r="K1116" s="14"/>
      <c r="L1116" s="14"/>
      <c r="M1116" s="14"/>
    </row>
    <row r="1117" spans="1:13" ht="38.25" x14ac:dyDescent="0.25">
      <c r="A1117" s="14" t="str">
        <f t="shared" si="102"/>
        <v>1</v>
      </c>
      <c r="B1117" s="14" t="str">
        <f t="shared" si="103"/>
        <v>9</v>
      </c>
      <c r="C1117" s="14" t="str">
        <f t="shared" si="104"/>
        <v>3</v>
      </c>
      <c r="D1117" s="14" t="str">
        <f t="shared" si="105"/>
        <v>1</v>
      </c>
      <c r="E1117" s="14" t="str">
        <f t="shared" si="106"/>
        <v>12</v>
      </c>
      <c r="F1117" s="14" t="str">
        <f t="shared" si="107"/>
        <v>00</v>
      </c>
      <c r="G1117" s="56">
        <v>19311200</v>
      </c>
      <c r="H1117" s="14" t="s">
        <v>2280</v>
      </c>
      <c r="I1117" s="15" t="s">
        <v>2281</v>
      </c>
      <c r="J1117" s="14"/>
      <c r="K1117" s="14"/>
      <c r="L1117" s="14"/>
      <c r="M1117" s="14"/>
    </row>
    <row r="1118" spans="1:13" ht="25.5" x14ac:dyDescent="0.25">
      <c r="A1118" s="14" t="str">
        <f t="shared" si="102"/>
        <v>1</v>
      </c>
      <c r="B1118" s="14" t="str">
        <f t="shared" si="103"/>
        <v>9</v>
      </c>
      <c r="C1118" s="14" t="str">
        <f t="shared" si="104"/>
        <v>3</v>
      </c>
      <c r="D1118" s="14" t="str">
        <f t="shared" si="105"/>
        <v>1</v>
      </c>
      <c r="E1118" s="14" t="str">
        <f t="shared" si="106"/>
        <v>13</v>
      </c>
      <c r="F1118" s="14" t="str">
        <f t="shared" si="107"/>
        <v>00</v>
      </c>
      <c r="G1118" s="56">
        <v>19311300</v>
      </c>
      <c r="H1118" s="14" t="s">
        <v>2282</v>
      </c>
      <c r="I1118" s="15" t="s">
        <v>2283</v>
      </c>
      <c r="J1118" s="14"/>
      <c r="K1118" s="14"/>
      <c r="L1118" s="14"/>
      <c r="M1118" s="14"/>
    </row>
    <row r="1119" spans="1:13" ht="38.25" x14ac:dyDescent="0.25">
      <c r="A1119" s="14" t="str">
        <f t="shared" si="102"/>
        <v>1</v>
      </c>
      <c r="B1119" s="14" t="str">
        <f t="shared" si="103"/>
        <v>9</v>
      </c>
      <c r="C1119" s="14" t="str">
        <f t="shared" si="104"/>
        <v>3</v>
      </c>
      <c r="D1119" s="14" t="str">
        <f t="shared" si="105"/>
        <v>1</v>
      </c>
      <c r="E1119" s="14" t="str">
        <f t="shared" si="106"/>
        <v>14</v>
      </c>
      <c r="F1119" s="14" t="str">
        <f t="shared" si="107"/>
        <v>00</v>
      </c>
      <c r="G1119" s="56">
        <v>19311400</v>
      </c>
      <c r="H1119" s="14" t="s">
        <v>2284</v>
      </c>
      <c r="I1119" s="15" t="s">
        <v>2285</v>
      </c>
      <c r="J1119" s="14"/>
      <c r="K1119" s="14"/>
      <c r="L1119" s="14"/>
      <c r="M1119" s="14"/>
    </row>
    <row r="1120" spans="1:13" ht="38.25" x14ac:dyDescent="0.25">
      <c r="A1120" s="14" t="str">
        <f t="shared" si="102"/>
        <v>1</v>
      </c>
      <c r="B1120" s="14" t="str">
        <f t="shared" si="103"/>
        <v>9</v>
      </c>
      <c r="C1120" s="14" t="str">
        <f t="shared" si="104"/>
        <v>3</v>
      </c>
      <c r="D1120" s="14" t="str">
        <f t="shared" si="105"/>
        <v>1</v>
      </c>
      <c r="E1120" s="14" t="str">
        <f t="shared" si="106"/>
        <v>15</v>
      </c>
      <c r="F1120" s="14" t="str">
        <f t="shared" si="107"/>
        <v>00</v>
      </c>
      <c r="G1120" s="56">
        <v>19311500</v>
      </c>
      <c r="H1120" s="14" t="s">
        <v>2286</v>
      </c>
      <c r="I1120" s="15" t="s">
        <v>2287</v>
      </c>
      <c r="J1120" s="14"/>
      <c r="K1120" s="14"/>
      <c r="L1120" s="14"/>
      <c r="M1120" s="14"/>
    </row>
    <row r="1121" spans="1:13" ht="38.25" x14ac:dyDescent="0.25">
      <c r="A1121" s="14" t="str">
        <f t="shared" si="102"/>
        <v>1</v>
      </c>
      <c r="B1121" s="14" t="str">
        <f t="shared" si="103"/>
        <v>9</v>
      </c>
      <c r="C1121" s="14" t="str">
        <f t="shared" si="104"/>
        <v>3</v>
      </c>
      <c r="D1121" s="14" t="str">
        <f t="shared" si="105"/>
        <v>1</v>
      </c>
      <c r="E1121" s="14" t="str">
        <f t="shared" si="106"/>
        <v>20</v>
      </c>
      <c r="F1121" s="14" t="str">
        <f t="shared" si="107"/>
        <v>00</v>
      </c>
      <c r="G1121" s="56">
        <v>19312000</v>
      </c>
      <c r="H1121" s="14" t="s">
        <v>2288</v>
      </c>
      <c r="I1121" s="15" t="s">
        <v>2289</v>
      </c>
      <c r="J1121" s="14"/>
      <c r="K1121" s="14"/>
      <c r="L1121" s="14"/>
      <c r="M1121" s="14"/>
    </row>
    <row r="1122" spans="1:13" ht="25.5" x14ac:dyDescent="0.25">
      <c r="A1122" s="14" t="str">
        <f t="shared" si="102"/>
        <v>1</v>
      </c>
      <c r="B1122" s="14" t="str">
        <f t="shared" si="103"/>
        <v>9</v>
      </c>
      <c r="C1122" s="14" t="str">
        <f t="shared" si="104"/>
        <v>3</v>
      </c>
      <c r="D1122" s="14" t="str">
        <f t="shared" si="105"/>
        <v>1</v>
      </c>
      <c r="E1122" s="14" t="str">
        <f t="shared" si="106"/>
        <v>35</v>
      </c>
      <c r="F1122" s="14" t="str">
        <f t="shared" si="107"/>
        <v>00</v>
      </c>
      <c r="G1122" s="56">
        <v>19313500</v>
      </c>
      <c r="H1122" s="14" t="s">
        <v>2290</v>
      </c>
      <c r="I1122" s="15" t="s">
        <v>2291</v>
      </c>
      <c r="J1122" s="14"/>
      <c r="K1122" s="14"/>
      <c r="L1122" s="14"/>
      <c r="M1122" s="14"/>
    </row>
    <row r="1123" spans="1:13" ht="25.5" x14ac:dyDescent="0.25">
      <c r="A1123" s="14" t="str">
        <f t="shared" si="102"/>
        <v>1</v>
      </c>
      <c r="B1123" s="14" t="str">
        <f t="shared" si="103"/>
        <v>9</v>
      </c>
      <c r="C1123" s="14" t="str">
        <f t="shared" si="104"/>
        <v>3</v>
      </c>
      <c r="D1123" s="14" t="str">
        <f t="shared" si="105"/>
        <v>1</v>
      </c>
      <c r="E1123" s="14" t="str">
        <f t="shared" si="106"/>
        <v>36</v>
      </c>
      <c r="F1123" s="14" t="str">
        <f t="shared" si="107"/>
        <v>00</v>
      </c>
      <c r="G1123" s="56">
        <v>19313600</v>
      </c>
      <c r="H1123" s="14" t="s">
        <v>2292</v>
      </c>
      <c r="I1123" s="15" t="s">
        <v>2293</v>
      </c>
      <c r="J1123" s="14"/>
      <c r="K1123" s="14"/>
      <c r="L1123" s="14"/>
      <c r="M1123" s="14"/>
    </row>
    <row r="1124" spans="1:13" ht="25.5" x14ac:dyDescent="0.25">
      <c r="A1124" s="14" t="str">
        <f t="shared" si="102"/>
        <v>1</v>
      </c>
      <c r="B1124" s="14" t="str">
        <f t="shared" si="103"/>
        <v>9</v>
      </c>
      <c r="C1124" s="14" t="str">
        <f t="shared" si="104"/>
        <v>3</v>
      </c>
      <c r="D1124" s="14" t="str">
        <f t="shared" si="105"/>
        <v>1</v>
      </c>
      <c r="E1124" s="14" t="str">
        <f t="shared" si="106"/>
        <v>98</v>
      </c>
      <c r="F1124" s="14" t="str">
        <f t="shared" si="107"/>
        <v>00</v>
      </c>
      <c r="G1124" s="56">
        <v>19319800</v>
      </c>
      <c r="H1124" s="14" t="s">
        <v>2294</v>
      </c>
      <c r="I1124" s="15" t="s">
        <v>2295</v>
      </c>
      <c r="J1124" s="14"/>
      <c r="K1124" s="14"/>
      <c r="L1124" s="14"/>
      <c r="M1124" s="14"/>
    </row>
    <row r="1125" spans="1:13" ht="25.5" x14ac:dyDescent="0.25">
      <c r="A1125" s="14" t="str">
        <f t="shared" si="102"/>
        <v>1</v>
      </c>
      <c r="B1125" s="14" t="str">
        <f t="shared" si="103"/>
        <v>9</v>
      </c>
      <c r="C1125" s="14" t="str">
        <f t="shared" si="104"/>
        <v>3</v>
      </c>
      <c r="D1125" s="14" t="str">
        <f t="shared" si="105"/>
        <v>1</v>
      </c>
      <c r="E1125" s="14" t="str">
        <f t="shared" si="106"/>
        <v>99</v>
      </c>
      <c r="F1125" s="14" t="str">
        <f t="shared" si="107"/>
        <v>00</v>
      </c>
      <c r="G1125" s="56">
        <v>19319900</v>
      </c>
      <c r="H1125" s="14" t="s">
        <v>2296</v>
      </c>
      <c r="I1125" s="15" t="s">
        <v>2297</v>
      </c>
      <c r="J1125" s="14"/>
      <c r="K1125" s="14"/>
      <c r="L1125" s="14"/>
      <c r="M1125" s="14"/>
    </row>
    <row r="1126" spans="1:13" ht="25.5" x14ac:dyDescent="0.25">
      <c r="A1126" s="16" t="str">
        <f t="shared" si="102"/>
        <v>1</v>
      </c>
      <c r="B1126" s="16" t="str">
        <f t="shared" si="103"/>
        <v>9</v>
      </c>
      <c r="C1126" s="16" t="str">
        <f t="shared" si="104"/>
        <v>3</v>
      </c>
      <c r="D1126" s="16" t="str">
        <f t="shared" si="105"/>
        <v>1</v>
      </c>
      <c r="E1126" s="16" t="str">
        <f t="shared" si="106"/>
        <v>99</v>
      </c>
      <c r="F1126" s="16" t="str">
        <f t="shared" si="107"/>
        <v>01</v>
      </c>
      <c r="G1126" s="57">
        <v>19319901</v>
      </c>
      <c r="H1126" s="16" t="s">
        <v>2298</v>
      </c>
      <c r="I1126" s="17" t="s">
        <v>2299</v>
      </c>
      <c r="J1126" s="16"/>
      <c r="K1126" s="16"/>
      <c r="L1126" s="16"/>
      <c r="M1126" s="17"/>
    </row>
    <row r="1127" spans="1:13" ht="25.5" x14ac:dyDescent="0.25">
      <c r="A1127" s="16" t="str">
        <f t="shared" si="102"/>
        <v>1</v>
      </c>
      <c r="B1127" s="16" t="str">
        <f t="shared" si="103"/>
        <v>9</v>
      </c>
      <c r="C1127" s="16" t="str">
        <f t="shared" si="104"/>
        <v>3</v>
      </c>
      <c r="D1127" s="16" t="str">
        <f t="shared" si="105"/>
        <v>1</v>
      </c>
      <c r="E1127" s="16" t="str">
        <f t="shared" si="106"/>
        <v>99</v>
      </c>
      <c r="F1127" s="16" t="str">
        <f t="shared" si="107"/>
        <v>02</v>
      </c>
      <c r="G1127" s="57">
        <v>19319902</v>
      </c>
      <c r="H1127" s="16" t="s">
        <v>2300</v>
      </c>
      <c r="I1127" s="17" t="s">
        <v>2301</v>
      </c>
      <c r="J1127" s="16"/>
      <c r="K1127" s="16"/>
      <c r="L1127" s="16"/>
      <c r="M1127" s="17"/>
    </row>
    <row r="1128" spans="1:13" ht="38.25" x14ac:dyDescent="0.25">
      <c r="A1128" s="12" t="str">
        <f t="shared" si="102"/>
        <v>1</v>
      </c>
      <c r="B1128" s="12" t="str">
        <f t="shared" si="103"/>
        <v>9</v>
      </c>
      <c r="C1128" s="12" t="str">
        <f t="shared" si="104"/>
        <v>3</v>
      </c>
      <c r="D1128" s="12" t="str">
        <f t="shared" si="105"/>
        <v>2</v>
      </c>
      <c r="E1128" s="12" t="str">
        <f t="shared" si="106"/>
        <v>00</v>
      </c>
      <c r="F1128" s="12" t="str">
        <f t="shared" si="107"/>
        <v>00</v>
      </c>
      <c r="G1128" s="55">
        <v>19320000</v>
      </c>
      <c r="H1128" s="12" t="s">
        <v>2302</v>
      </c>
      <c r="I1128" s="13" t="s">
        <v>2303</v>
      </c>
      <c r="J1128" s="12"/>
      <c r="K1128" s="12"/>
      <c r="L1128" s="12"/>
      <c r="M1128" s="13"/>
    </row>
    <row r="1129" spans="1:13" ht="38.25" x14ac:dyDescent="0.25">
      <c r="A1129" s="14" t="str">
        <f t="shared" si="102"/>
        <v>1</v>
      </c>
      <c r="B1129" s="14" t="str">
        <f t="shared" si="103"/>
        <v>9</v>
      </c>
      <c r="C1129" s="14" t="str">
        <f t="shared" si="104"/>
        <v>3</v>
      </c>
      <c r="D1129" s="14" t="str">
        <f t="shared" si="105"/>
        <v>2</v>
      </c>
      <c r="E1129" s="14" t="str">
        <f t="shared" si="106"/>
        <v>01</v>
      </c>
      <c r="F1129" s="14" t="str">
        <f t="shared" si="107"/>
        <v>00</v>
      </c>
      <c r="G1129" s="56">
        <v>19320100</v>
      </c>
      <c r="H1129" s="14" t="s">
        <v>2304</v>
      </c>
      <c r="I1129" s="15" t="s">
        <v>2305</v>
      </c>
      <c r="J1129" s="14"/>
      <c r="K1129" s="14"/>
      <c r="L1129" s="14"/>
      <c r="M1129" s="14"/>
    </row>
    <row r="1130" spans="1:13" ht="38.25" x14ac:dyDescent="0.25">
      <c r="A1130" s="16" t="str">
        <f t="shared" si="102"/>
        <v>1</v>
      </c>
      <c r="B1130" s="16" t="str">
        <f t="shared" si="103"/>
        <v>9</v>
      </c>
      <c r="C1130" s="16" t="str">
        <f t="shared" si="104"/>
        <v>3</v>
      </c>
      <c r="D1130" s="16" t="str">
        <f t="shared" si="105"/>
        <v>2</v>
      </c>
      <c r="E1130" s="16" t="str">
        <f t="shared" si="106"/>
        <v>01</v>
      </c>
      <c r="F1130" s="16" t="str">
        <f t="shared" si="107"/>
        <v>01</v>
      </c>
      <c r="G1130" s="57">
        <v>19320101</v>
      </c>
      <c r="H1130" s="16" t="s">
        <v>2306</v>
      </c>
      <c r="I1130" s="17" t="s">
        <v>2307</v>
      </c>
      <c r="J1130" s="16"/>
      <c r="K1130" s="16"/>
      <c r="L1130" s="16"/>
      <c r="M1130" s="17"/>
    </row>
    <row r="1131" spans="1:13" ht="25.5" x14ac:dyDescent="0.25">
      <c r="A1131" s="16" t="str">
        <f t="shared" si="102"/>
        <v>1</v>
      </c>
      <c r="B1131" s="16" t="str">
        <f t="shared" si="103"/>
        <v>9</v>
      </c>
      <c r="C1131" s="16" t="str">
        <f t="shared" si="104"/>
        <v>3</v>
      </c>
      <c r="D1131" s="16" t="str">
        <f t="shared" si="105"/>
        <v>2</v>
      </c>
      <c r="E1131" s="16" t="str">
        <f t="shared" si="106"/>
        <v>01</v>
      </c>
      <c r="F1131" s="16" t="str">
        <f t="shared" si="107"/>
        <v>02</v>
      </c>
      <c r="G1131" s="57">
        <v>19320102</v>
      </c>
      <c r="H1131" s="16" t="s">
        <v>2308</v>
      </c>
      <c r="I1131" s="17" t="s">
        <v>2309</v>
      </c>
      <c r="J1131" s="16"/>
      <c r="K1131" s="16"/>
      <c r="L1131" s="16"/>
      <c r="M1131" s="17"/>
    </row>
    <row r="1132" spans="1:13" ht="38.25" x14ac:dyDescent="0.25">
      <c r="A1132" s="16" t="str">
        <f t="shared" si="102"/>
        <v>1</v>
      </c>
      <c r="B1132" s="16" t="str">
        <f t="shared" si="103"/>
        <v>9</v>
      </c>
      <c r="C1132" s="16" t="str">
        <f t="shared" si="104"/>
        <v>3</v>
      </c>
      <c r="D1132" s="16" t="str">
        <f t="shared" si="105"/>
        <v>2</v>
      </c>
      <c r="E1132" s="16" t="str">
        <f t="shared" si="106"/>
        <v>01</v>
      </c>
      <c r="F1132" s="16" t="str">
        <f t="shared" si="107"/>
        <v>03</v>
      </c>
      <c r="G1132" s="57">
        <v>19320103</v>
      </c>
      <c r="H1132" s="16" t="s">
        <v>2310</v>
      </c>
      <c r="I1132" s="17" t="s">
        <v>2311</v>
      </c>
      <c r="J1132" s="16"/>
      <c r="K1132" s="16"/>
      <c r="L1132" s="16"/>
      <c r="M1132" s="17"/>
    </row>
    <row r="1133" spans="1:13" ht="38.25" x14ac:dyDescent="0.25">
      <c r="A1133" s="16" t="str">
        <f t="shared" si="102"/>
        <v>1</v>
      </c>
      <c r="B1133" s="16" t="str">
        <f t="shared" si="103"/>
        <v>9</v>
      </c>
      <c r="C1133" s="16" t="str">
        <f t="shared" si="104"/>
        <v>3</v>
      </c>
      <c r="D1133" s="16" t="str">
        <f t="shared" si="105"/>
        <v>2</v>
      </c>
      <c r="E1133" s="16" t="str">
        <f t="shared" si="106"/>
        <v>01</v>
      </c>
      <c r="F1133" s="16" t="str">
        <f t="shared" si="107"/>
        <v>04</v>
      </c>
      <c r="G1133" s="57">
        <v>19320104</v>
      </c>
      <c r="H1133" s="16" t="s">
        <v>2312</v>
      </c>
      <c r="I1133" s="17" t="s">
        <v>2313</v>
      </c>
      <c r="J1133" s="16"/>
      <c r="K1133" s="16"/>
      <c r="L1133" s="16"/>
      <c r="M1133" s="17"/>
    </row>
    <row r="1134" spans="1:13" ht="38.25" x14ac:dyDescent="0.25">
      <c r="A1134" s="16" t="str">
        <f t="shared" si="102"/>
        <v>1</v>
      </c>
      <c r="B1134" s="16" t="str">
        <f t="shared" si="103"/>
        <v>9</v>
      </c>
      <c r="C1134" s="16" t="str">
        <f t="shared" si="104"/>
        <v>3</v>
      </c>
      <c r="D1134" s="16" t="str">
        <f t="shared" si="105"/>
        <v>2</v>
      </c>
      <c r="E1134" s="16" t="str">
        <f t="shared" si="106"/>
        <v>01</v>
      </c>
      <c r="F1134" s="16" t="str">
        <f t="shared" si="107"/>
        <v>05</v>
      </c>
      <c r="G1134" s="57">
        <v>19320105</v>
      </c>
      <c r="H1134" s="16" t="s">
        <v>2314</v>
      </c>
      <c r="I1134" s="17" t="s">
        <v>2315</v>
      </c>
      <c r="J1134" s="16"/>
      <c r="K1134" s="16"/>
      <c r="L1134" s="16"/>
      <c r="M1134" s="17"/>
    </row>
    <row r="1135" spans="1:13" ht="25.5" x14ac:dyDescent="0.25">
      <c r="A1135" s="16" t="str">
        <f t="shared" si="102"/>
        <v>1</v>
      </c>
      <c r="B1135" s="16" t="str">
        <f t="shared" si="103"/>
        <v>9</v>
      </c>
      <c r="C1135" s="16" t="str">
        <f t="shared" si="104"/>
        <v>3</v>
      </c>
      <c r="D1135" s="16" t="str">
        <f t="shared" si="105"/>
        <v>2</v>
      </c>
      <c r="E1135" s="16" t="str">
        <f t="shared" si="106"/>
        <v>01</v>
      </c>
      <c r="F1135" s="16" t="str">
        <f t="shared" si="107"/>
        <v>06</v>
      </c>
      <c r="G1135" s="57">
        <v>19320106</v>
      </c>
      <c r="H1135" s="16" t="s">
        <v>2316</v>
      </c>
      <c r="I1135" s="17" t="s">
        <v>2317</v>
      </c>
      <c r="J1135" s="16"/>
      <c r="K1135" s="16"/>
      <c r="L1135" s="16"/>
      <c r="M1135" s="17"/>
    </row>
    <row r="1136" spans="1:13" ht="38.25" x14ac:dyDescent="0.25">
      <c r="A1136" s="16" t="str">
        <f t="shared" si="102"/>
        <v>1</v>
      </c>
      <c r="B1136" s="16" t="str">
        <f t="shared" si="103"/>
        <v>9</v>
      </c>
      <c r="C1136" s="16" t="str">
        <f t="shared" si="104"/>
        <v>3</v>
      </c>
      <c r="D1136" s="16" t="str">
        <f t="shared" si="105"/>
        <v>2</v>
      </c>
      <c r="E1136" s="16" t="str">
        <f t="shared" si="106"/>
        <v>01</v>
      </c>
      <c r="F1136" s="16" t="str">
        <f t="shared" si="107"/>
        <v>07</v>
      </c>
      <c r="G1136" s="57">
        <v>19320107</v>
      </c>
      <c r="H1136" s="16" t="s">
        <v>2318</v>
      </c>
      <c r="I1136" s="17" t="s">
        <v>2319</v>
      </c>
      <c r="J1136" s="16"/>
      <c r="K1136" s="16"/>
      <c r="L1136" s="16"/>
      <c r="M1136" s="17"/>
    </row>
    <row r="1137" spans="1:13" ht="38.25" x14ac:dyDescent="0.25">
      <c r="A1137" s="16" t="str">
        <f t="shared" si="102"/>
        <v>1</v>
      </c>
      <c r="B1137" s="16" t="str">
        <f t="shared" si="103"/>
        <v>9</v>
      </c>
      <c r="C1137" s="16" t="str">
        <f t="shared" si="104"/>
        <v>3</v>
      </c>
      <c r="D1137" s="16" t="str">
        <f t="shared" si="105"/>
        <v>2</v>
      </c>
      <c r="E1137" s="16" t="str">
        <f t="shared" si="106"/>
        <v>01</v>
      </c>
      <c r="F1137" s="16" t="str">
        <f t="shared" si="107"/>
        <v>08</v>
      </c>
      <c r="G1137" s="57">
        <v>19320108</v>
      </c>
      <c r="H1137" s="16" t="s">
        <v>2320</v>
      </c>
      <c r="I1137" s="17" t="s">
        <v>2321</v>
      </c>
      <c r="J1137" s="16"/>
      <c r="K1137" s="16"/>
      <c r="L1137" s="16"/>
      <c r="M1137" s="17"/>
    </row>
    <row r="1138" spans="1:13" ht="38.25" x14ac:dyDescent="0.25">
      <c r="A1138" s="16" t="str">
        <f t="shared" si="102"/>
        <v>1</v>
      </c>
      <c r="B1138" s="16" t="str">
        <f t="shared" si="103"/>
        <v>9</v>
      </c>
      <c r="C1138" s="16" t="str">
        <f t="shared" si="104"/>
        <v>3</v>
      </c>
      <c r="D1138" s="16" t="str">
        <f t="shared" si="105"/>
        <v>2</v>
      </c>
      <c r="E1138" s="16" t="str">
        <f t="shared" si="106"/>
        <v>01</v>
      </c>
      <c r="F1138" s="16" t="str">
        <f t="shared" si="107"/>
        <v>09</v>
      </c>
      <c r="G1138" s="57">
        <v>19320109</v>
      </c>
      <c r="H1138" s="16" t="s">
        <v>2322</v>
      </c>
      <c r="I1138" s="17" t="s">
        <v>2323</v>
      </c>
      <c r="J1138" s="16"/>
      <c r="K1138" s="16"/>
      <c r="L1138" s="16"/>
      <c r="M1138" s="17"/>
    </row>
    <row r="1139" spans="1:13" ht="38.25" x14ac:dyDescent="0.25">
      <c r="A1139" s="16" t="str">
        <f t="shared" si="102"/>
        <v>1</v>
      </c>
      <c r="B1139" s="16" t="str">
        <f t="shared" si="103"/>
        <v>9</v>
      </c>
      <c r="C1139" s="16" t="str">
        <f t="shared" si="104"/>
        <v>3</v>
      </c>
      <c r="D1139" s="16" t="str">
        <f t="shared" si="105"/>
        <v>2</v>
      </c>
      <c r="E1139" s="16" t="str">
        <f t="shared" si="106"/>
        <v>01</v>
      </c>
      <c r="F1139" s="16" t="str">
        <f t="shared" si="107"/>
        <v>10</v>
      </c>
      <c r="G1139" s="57">
        <v>19320110</v>
      </c>
      <c r="H1139" s="16" t="s">
        <v>2324</v>
      </c>
      <c r="I1139" s="17" t="s">
        <v>2325</v>
      </c>
      <c r="J1139" s="16"/>
      <c r="K1139" s="16"/>
      <c r="L1139" s="16"/>
      <c r="M1139" s="17"/>
    </row>
    <row r="1140" spans="1:13" ht="38.25" x14ac:dyDescent="0.25">
      <c r="A1140" s="16" t="str">
        <f t="shared" si="102"/>
        <v>1</v>
      </c>
      <c r="B1140" s="16" t="str">
        <f t="shared" si="103"/>
        <v>9</v>
      </c>
      <c r="C1140" s="16" t="str">
        <f t="shared" si="104"/>
        <v>3</v>
      </c>
      <c r="D1140" s="16" t="str">
        <f t="shared" si="105"/>
        <v>2</v>
      </c>
      <c r="E1140" s="16" t="str">
        <f t="shared" si="106"/>
        <v>01</v>
      </c>
      <c r="F1140" s="16" t="str">
        <f t="shared" si="107"/>
        <v>11</v>
      </c>
      <c r="G1140" s="57">
        <v>19320111</v>
      </c>
      <c r="H1140" s="16" t="s">
        <v>2326</v>
      </c>
      <c r="I1140" s="17" t="s">
        <v>2327</v>
      </c>
      <c r="J1140" s="16"/>
      <c r="K1140" s="16"/>
      <c r="L1140" s="16"/>
      <c r="M1140" s="17"/>
    </row>
    <row r="1141" spans="1:13" ht="25.5" x14ac:dyDescent="0.25">
      <c r="A1141" s="16" t="str">
        <f t="shared" si="102"/>
        <v>1</v>
      </c>
      <c r="B1141" s="16" t="str">
        <f t="shared" si="103"/>
        <v>9</v>
      </c>
      <c r="C1141" s="16" t="str">
        <f t="shared" si="104"/>
        <v>3</v>
      </c>
      <c r="D1141" s="16" t="str">
        <f t="shared" si="105"/>
        <v>2</v>
      </c>
      <c r="E1141" s="16" t="str">
        <f t="shared" si="106"/>
        <v>01</v>
      </c>
      <c r="F1141" s="16" t="str">
        <f t="shared" si="107"/>
        <v>12</v>
      </c>
      <c r="G1141" s="57">
        <v>19320112</v>
      </c>
      <c r="H1141" s="16" t="s">
        <v>2328</v>
      </c>
      <c r="I1141" s="17" t="s">
        <v>2329</v>
      </c>
      <c r="J1141" s="16"/>
      <c r="K1141" s="16"/>
      <c r="L1141" s="16"/>
      <c r="M1141" s="17"/>
    </row>
    <row r="1142" spans="1:13" ht="25.5" x14ac:dyDescent="0.25">
      <c r="A1142" s="16" t="str">
        <f t="shared" si="102"/>
        <v>1</v>
      </c>
      <c r="B1142" s="16" t="str">
        <f t="shared" si="103"/>
        <v>9</v>
      </c>
      <c r="C1142" s="16" t="str">
        <f t="shared" si="104"/>
        <v>3</v>
      </c>
      <c r="D1142" s="16" t="str">
        <f t="shared" si="105"/>
        <v>2</v>
      </c>
      <c r="E1142" s="16" t="str">
        <f t="shared" si="106"/>
        <v>01</v>
      </c>
      <c r="F1142" s="16" t="str">
        <f t="shared" si="107"/>
        <v>13</v>
      </c>
      <c r="G1142" s="57">
        <v>19320113</v>
      </c>
      <c r="H1142" s="16" t="s">
        <v>2330</v>
      </c>
      <c r="I1142" s="17" t="s">
        <v>2331</v>
      </c>
      <c r="J1142" s="16"/>
      <c r="K1142" s="16"/>
      <c r="L1142" s="16"/>
      <c r="M1142" s="17"/>
    </row>
    <row r="1143" spans="1:13" ht="38.25" x14ac:dyDescent="0.25">
      <c r="A1143" s="16" t="str">
        <f t="shared" si="102"/>
        <v>1</v>
      </c>
      <c r="B1143" s="16" t="str">
        <f t="shared" si="103"/>
        <v>9</v>
      </c>
      <c r="C1143" s="16" t="str">
        <f t="shared" si="104"/>
        <v>3</v>
      </c>
      <c r="D1143" s="16" t="str">
        <f t="shared" si="105"/>
        <v>2</v>
      </c>
      <c r="E1143" s="16" t="str">
        <f t="shared" si="106"/>
        <v>01</v>
      </c>
      <c r="F1143" s="16" t="str">
        <f t="shared" si="107"/>
        <v>14</v>
      </c>
      <c r="G1143" s="57">
        <v>19320114</v>
      </c>
      <c r="H1143" s="16" t="s">
        <v>2332</v>
      </c>
      <c r="I1143" s="17" t="s">
        <v>2333</v>
      </c>
      <c r="J1143" s="16"/>
      <c r="K1143" s="16"/>
      <c r="L1143" s="16"/>
      <c r="M1143" s="17"/>
    </row>
    <row r="1144" spans="1:13" ht="38.25" x14ac:dyDescent="0.25">
      <c r="A1144" s="16" t="str">
        <f t="shared" si="102"/>
        <v>1</v>
      </c>
      <c r="B1144" s="16" t="str">
        <f t="shared" si="103"/>
        <v>9</v>
      </c>
      <c r="C1144" s="16" t="str">
        <f t="shared" si="104"/>
        <v>3</v>
      </c>
      <c r="D1144" s="16" t="str">
        <f t="shared" si="105"/>
        <v>2</v>
      </c>
      <c r="E1144" s="16" t="str">
        <f t="shared" si="106"/>
        <v>01</v>
      </c>
      <c r="F1144" s="16" t="str">
        <f t="shared" si="107"/>
        <v>15</v>
      </c>
      <c r="G1144" s="57">
        <v>19320115</v>
      </c>
      <c r="H1144" s="16" t="s">
        <v>2334</v>
      </c>
      <c r="I1144" s="17" t="s">
        <v>2335</v>
      </c>
      <c r="J1144" s="16"/>
      <c r="K1144" s="16"/>
      <c r="L1144" s="16"/>
      <c r="M1144" s="17"/>
    </row>
    <row r="1145" spans="1:13" ht="38.25" x14ac:dyDescent="0.25">
      <c r="A1145" s="16" t="str">
        <f t="shared" si="102"/>
        <v>1</v>
      </c>
      <c r="B1145" s="16" t="str">
        <f t="shared" si="103"/>
        <v>9</v>
      </c>
      <c r="C1145" s="16" t="str">
        <f t="shared" si="104"/>
        <v>3</v>
      </c>
      <c r="D1145" s="16" t="str">
        <f t="shared" si="105"/>
        <v>2</v>
      </c>
      <c r="E1145" s="16" t="str">
        <f t="shared" si="106"/>
        <v>01</v>
      </c>
      <c r="F1145" s="16" t="str">
        <f t="shared" si="107"/>
        <v>16</v>
      </c>
      <c r="G1145" s="57">
        <v>19320116</v>
      </c>
      <c r="H1145" s="16" t="s">
        <v>2336</v>
      </c>
      <c r="I1145" s="17" t="s">
        <v>2337</v>
      </c>
      <c r="J1145" s="16"/>
      <c r="K1145" s="16"/>
      <c r="L1145" s="16"/>
      <c r="M1145" s="17"/>
    </row>
    <row r="1146" spans="1:13" ht="38.25" x14ac:dyDescent="0.25">
      <c r="A1146" s="16" t="str">
        <f t="shared" si="102"/>
        <v>1</v>
      </c>
      <c r="B1146" s="16" t="str">
        <f t="shared" si="103"/>
        <v>9</v>
      </c>
      <c r="C1146" s="16" t="str">
        <f t="shared" si="104"/>
        <v>3</v>
      </c>
      <c r="D1146" s="16" t="str">
        <f t="shared" si="105"/>
        <v>2</v>
      </c>
      <c r="E1146" s="16" t="str">
        <f t="shared" si="106"/>
        <v>01</v>
      </c>
      <c r="F1146" s="16" t="str">
        <f t="shared" si="107"/>
        <v>17</v>
      </c>
      <c r="G1146" s="57">
        <v>19320117</v>
      </c>
      <c r="H1146" s="16" t="s">
        <v>2338</v>
      </c>
      <c r="I1146" s="17" t="s">
        <v>2339</v>
      </c>
      <c r="J1146" s="16"/>
      <c r="K1146" s="16"/>
      <c r="L1146" s="16"/>
      <c r="M1146" s="17"/>
    </row>
    <row r="1147" spans="1:13" ht="38.25" x14ac:dyDescent="0.25">
      <c r="A1147" s="16" t="str">
        <f t="shared" si="102"/>
        <v>1</v>
      </c>
      <c r="B1147" s="16" t="str">
        <f t="shared" si="103"/>
        <v>9</v>
      </c>
      <c r="C1147" s="16" t="str">
        <f t="shared" si="104"/>
        <v>3</v>
      </c>
      <c r="D1147" s="16" t="str">
        <f t="shared" si="105"/>
        <v>2</v>
      </c>
      <c r="E1147" s="16" t="str">
        <f t="shared" si="106"/>
        <v>01</v>
      </c>
      <c r="F1147" s="16" t="str">
        <f t="shared" si="107"/>
        <v>18</v>
      </c>
      <c r="G1147" s="57">
        <v>19320118</v>
      </c>
      <c r="H1147" s="16" t="s">
        <v>2340</v>
      </c>
      <c r="I1147" s="17" t="s">
        <v>2341</v>
      </c>
      <c r="J1147" s="16"/>
      <c r="K1147" s="16"/>
      <c r="L1147" s="16"/>
      <c r="M1147" s="17"/>
    </row>
    <row r="1148" spans="1:13" ht="38.25" x14ac:dyDescent="0.25">
      <c r="A1148" s="16" t="str">
        <f t="shared" si="102"/>
        <v>1</v>
      </c>
      <c r="B1148" s="16" t="str">
        <f t="shared" si="103"/>
        <v>9</v>
      </c>
      <c r="C1148" s="16" t="str">
        <f t="shared" si="104"/>
        <v>3</v>
      </c>
      <c r="D1148" s="16" t="str">
        <f t="shared" si="105"/>
        <v>2</v>
      </c>
      <c r="E1148" s="16" t="str">
        <f t="shared" si="106"/>
        <v>01</v>
      </c>
      <c r="F1148" s="16" t="str">
        <f t="shared" si="107"/>
        <v>19</v>
      </c>
      <c r="G1148" s="57">
        <v>19320119</v>
      </c>
      <c r="H1148" s="16" t="s">
        <v>2342</v>
      </c>
      <c r="I1148" s="17" t="s">
        <v>2343</v>
      </c>
      <c r="J1148" s="16"/>
      <c r="K1148" s="16"/>
      <c r="L1148" s="16"/>
      <c r="M1148" s="17"/>
    </row>
    <row r="1149" spans="1:13" ht="25.5" x14ac:dyDescent="0.25">
      <c r="A1149" s="16" t="str">
        <f t="shared" si="102"/>
        <v>1</v>
      </c>
      <c r="B1149" s="16" t="str">
        <f t="shared" si="103"/>
        <v>9</v>
      </c>
      <c r="C1149" s="16" t="str">
        <f t="shared" si="104"/>
        <v>3</v>
      </c>
      <c r="D1149" s="16" t="str">
        <f t="shared" si="105"/>
        <v>2</v>
      </c>
      <c r="E1149" s="16" t="str">
        <f t="shared" si="106"/>
        <v>01</v>
      </c>
      <c r="F1149" s="16" t="str">
        <f t="shared" si="107"/>
        <v>20</v>
      </c>
      <c r="G1149" s="57">
        <v>19320120</v>
      </c>
      <c r="H1149" s="16" t="s">
        <v>2344</v>
      </c>
      <c r="I1149" s="17" t="s">
        <v>2345</v>
      </c>
      <c r="J1149" s="16"/>
      <c r="K1149" s="16"/>
      <c r="L1149" s="16"/>
      <c r="M1149" s="17"/>
    </row>
    <row r="1150" spans="1:13" ht="38.25" x14ac:dyDescent="0.25">
      <c r="A1150" s="16" t="str">
        <f t="shared" si="102"/>
        <v>1</v>
      </c>
      <c r="B1150" s="16" t="str">
        <f t="shared" si="103"/>
        <v>9</v>
      </c>
      <c r="C1150" s="16" t="str">
        <f t="shared" si="104"/>
        <v>3</v>
      </c>
      <c r="D1150" s="16" t="str">
        <f t="shared" si="105"/>
        <v>2</v>
      </c>
      <c r="E1150" s="16" t="str">
        <f t="shared" si="106"/>
        <v>01</v>
      </c>
      <c r="F1150" s="16" t="str">
        <f t="shared" si="107"/>
        <v>21</v>
      </c>
      <c r="G1150" s="57">
        <v>19320121</v>
      </c>
      <c r="H1150" s="16" t="s">
        <v>2346</v>
      </c>
      <c r="I1150" s="17" t="s">
        <v>2347</v>
      </c>
      <c r="J1150" s="16"/>
      <c r="K1150" s="16"/>
      <c r="L1150" s="16"/>
      <c r="M1150" s="17"/>
    </row>
    <row r="1151" spans="1:13" ht="25.5" x14ac:dyDescent="0.25">
      <c r="A1151" s="16" t="str">
        <f t="shared" si="102"/>
        <v>1</v>
      </c>
      <c r="B1151" s="16" t="str">
        <f t="shared" si="103"/>
        <v>9</v>
      </c>
      <c r="C1151" s="16" t="str">
        <f t="shared" si="104"/>
        <v>3</v>
      </c>
      <c r="D1151" s="16" t="str">
        <f t="shared" si="105"/>
        <v>2</v>
      </c>
      <c r="E1151" s="16" t="str">
        <f t="shared" si="106"/>
        <v>01</v>
      </c>
      <c r="F1151" s="16" t="str">
        <f t="shared" si="107"/>
        <v>22</v>
      </c>
      <c r="G1151" s="57">
        <v>19320122</v>
      </c>
      <c r="H1151" s="16" t="s">
        <v>2348</v>
      </c>
      <c r="I1151" s="17" t="s">
        <v>2349</v>
      </c>
      <c r="J1151" s="16"/>
      <c r="K1151" s="16"/>
      <c r="L1151" s="16"/>
      <c r="M1151" s="17"/>
    </row>
    <row r="1152" spans="1:13" ht="89.25" x14ac:dyDescent="0.25">
      <c r="A1152" s="16" t="str">
        <f t="shared" si="102"/>
        <v>1</v>
      </c>
      <c r="B1152" s="16" t="str">
        <f t="shared" si="103"/>
        <v>9</v>
      </c>
      <c r="C1152" s="16" t="str">
        <f t="shared" si="104"/>
        <v>3</v>
      </c>
      <c r="D1152" s="16" t="str">
        <f t="shared" si="105"/>
        <v>2</v>
      </c>
      <c r="E1152" s="16" t="str">
        <f t="shared" si="106"/>
        <v>01</v>
      </c>
      <c r="F1152" s="16" t="str">
        <f t="shared" si="107"/>
        <v>24</v>
      </c>
      <c r="G1152" s="57">
        <v>19320124</v>
      </c>
      <c r="H1152" s="16" t="s">
        <v>2350</v>
      </c>
      <c r="I1152" s="17" t="s">
        <v>2351</v>
      </c>
      <c r="J1152" s="16"/>
      <c r="K1152" s="16"/>
      <c r="L1152" s="16"/>
      <c r="M1152" s="17"/>
    </row>
    <row r="1153" spans="1:13" ht="25.5" x14ac:dyDescent="0.25">
      <c r="A1153" s="16" t="str">
        <f t="shared" si="102"/>
        <v>1</v>
      </c>
      <c r="B1153" s="16" t="str">
        <f t="shared" si="103"/>
        <v>9</v>
      </c>
      <c r="C1153" s="16" t="str">
        <f t="shared" si="104"/>
        <v>3</v>
      </c>
      <c r="D1153" s="16" t="str">
        <f t="shared" si="105"/>
        <v>2</v>
      </c>
      <c r="E1153" s="16" t="str">
        <f t="shared" si="106"/>
        <v>01</v>
      </c>
      <c r="F1153" s="16" t="str">
        <f t="shared" si="107"/>
        <v>99</v>
      </c>
      <c r="G1153" s="57">
        <v>19320199</v>
      </c>
      <c r="H1153" s="16" t="s">
        <v>2352</v>
      </c>
      <c r="I1153" s="17" t="s">
        <v>2353</v>
      </c>
      <c r="J1153" s="16"/>
      <c r="K1153" s="16"/>
      <c r="L1153" s="16"/>
      <c r="M1153" s="17"/>
    </row>
    <row r="1154" spans="1:13" ht="38.25" x14ac:dyDescent="0.25">
      <c r="A1154" s="14" t="str">
        <f t="shared" si="102"/>
        <v>1</v>
      </c>
      <c r="B1154" s="14" t="str">
        <f t="shared" si="103"/>
        <v>9</v>
      </c>
      <c r="C1154" s="14" t="str">
        <f t="shared" si="104"/>
        <v>3</v>
      </c>
      <c r="D1154" s="14" t="str">
        <f t="shared" si="105"/>
        <v>2</v>
      </c>
      <c r="E1154" s="14" t="str">
        <f t="shared" si="106"/>
        <v>02</v>
      </c>
      <c r="F1154" s="14" t="str">
        <f t="shared" si="107"/>
        <v>00</v>
      </c>
      <c r="G1154" s="56">
        <v>19320200</v>
      </c>
      <c r="H1154" s="14" t="s">
        <v>2354</v>
      </c>
      <c r="I1154" s="15" t="s">
        <v>2355</v>
      </c>
      <c r="J1154" s="14"/>
      <c r="K1154" s="14"/>
      <c r="L1154" s="14"/>
      <c r="M1154" s="14"/>
    </row>
    <row r="1155" spans="1:13" ht="38.25" x14ac:dyDescent="0.25">
      <c r="A1155" s="16" t="str">
        <f t="shared" si="102"/>
        <v>1</v>
      </c>
      <c r="B1155" s="16" t="str">
        <f t="shared" si="103"/>
        <v>9</v>
      </c>
      <c r="C1155" s="16" t="str">
        <f t="shared" si="104"/>
        <v>3</v>
      </c>
      <c r="D1155" s="16" t="str">
        <f t="shared" si="105"/>
        <v>2</v>
      </c>
      <c r="E1155" s="16" t="str">
        <f t="shared" si="106"/>
        <v>02</v>
      </c>
      <c r="F1155" s="16" t="str">
        <f t="shared" si="107"/>
        <v>01</v>
      </c>
      <c r="G1155" s="57">
        <v>19320201</v>
      </c>
      <c r="H1155" s="16" t="s">
        <v>2356</v>
      </c>
      <c r="I1155" s="17" t="s">
        <v>2357</v>
      </c>
      <c r="J1155" s="16"/>
      <c r="K1155" s="16"/>
      <c r="L1155" s="16"/>
      <c r="M1155" s="17"/>
    </row>
    <row r="1156" spans="1:13" ht="38.25" x14ac:dyDescent="0.25">
      <c r="A1156" s="16" t="str">
        <f t="shared" ref="A1156:A1219" si="108">MID(G1156,1,1)</f>
        <v>1</v>
      </c>
      <c r="B1156" s="16" t="str">
        <f t="shared" ref="B1156:B1219" si="109">MID(G1156,2,1)</f>
        <v>9</v>
      </c>
      <c r="C1156" s="16" t="str">
        <f t="shared" ref="C1156:C1219" si="110">MID(G1156,3,1)</f>
        <v>3</v>
      </c>
      <c r="D1156" s="16" t="str">
        <f t="shared" ref="D1156:D1219" si="111">MID(G1156,4,1)</f>
        <v>2</v>
      </c>
      <c r="E1156" s="16" t="str">
        <f t="shared" ref="E1156:E1219" si="112">MID(G1156,5,2)</f>
        <v>02</v>
      </c>
      <c r="F1156" s="16" t="str">
        <f t="shared" ref="F1156:F1219" si="113">MID(G1156,7,2)</f>
        <v>02</v>
      </c>
      <c r="G1156" s="57">
        <v>19320202</v>
      </c>
      <c r="H1156" s="16" t="s">
        <v>2358</v>
      </c>
      <c r="I1156" s="17" t="s">
        <v>2359</v>
      </c>
      <c r="J1156" s="16"/>
      <c r="K1156" s="16"/>
      <c r="L1156" s="16"/>
      <c r="M1156" s="17"/>
    </row>
    <row r="1157" spans="1:13" ht="25.5" x14ac:dyDescent="0.25">
      <c r="A1157" s="14" t="str">
        <f t="shared" si="108"/>
        <v>1</v>
      </c>
      <c r="B1157" s="14" t="str">
        <f t="shared" si="109"/>
        <v>9</v>
      </c>
      <c r="C1157" s="14" t="str">
        <f t="shared" si="110"/>
        <v>3</v>
      </c>
      <c r="D1157" s="14" t="str">
        <f t="shared" si="111"/>
        <v>2</v>
      </c>
      <c r="E1157" s="14" t="str">
        <f t="shared" si="112"/>
        <v>03</v>
      </c>
      <c r="F1157" s="14" t="str">
        <f t="shared" si="113"/>
        <v>00</v>
      </c>
      <c r="G1157" s="56">
        <v>19320300</v>
      </c>
      <c r="H1157" s="14" t="s">
        <v>2360</v>
      </c>
      <c r="I1157" s="15" t="s">
        <v>2361</v>
      </c>
      <c r="J1157" s="14"/>
      <c r="K1157" s="14"/>
      <c r="L1157" s="14"/>
      <c r="M1157" s="14"/>
    </row>
    <row r="1158" spans="1:13" ht="51" x14ac:dyDescent="0.25">
      <c r="A1158" s="14" t="str">
        <f t="shared" si="108"/>
        <v>1</v>
      </c>
      <c r="B1158" s="14" t="str">
        <f t="shared" si="109"/>
        <v>9</v>
      </c>
      <c r="C1158" s="14" t="str">
        <f t="shared" si="110"/>
        <v>3</v>
      </c>
      <c r="D1158" s="14" t="str">
        <f t="shared" si="111"/>
        <v>2</v>
      </c>
      <c r="E1158" s="14" t="str">
        <f t="shared" si="112"/>
        <v>04</v>
      </c>
      <c r="F1158" s="14" t="str">
        <f t="shared" si="113"/>
        <v>00</v>
      </c>
      <c r="G1158" s="56">
        <v>19320400</v>
      </c>
      <c r="H1158" s="14" t="s">
        <v>2362</v>
      </c>
      <c r="I1158" s="15" t="s">
        <v>2363</v>
      </c>
      <c r="J1158" s="14"/>
      <c r="K1158" s="14"/>
      <c r="L1158" s="14"/>
      <c r="M1158" s="14"/>
    </row>
    <row r="1159" spans="1:13" ht="51" x14ac:dyDescent="0.25">
      <c r="A1159" s="16" t="str">
        <f t="shared" si="108"/>
        <v>1</v>
      </c>
      <c r="B1159" s="16" t="str">
        <f t="shared" si="109"/>
        <v>9</v>
      </c>
      <c r="C1159" s="16" t="str">
        <f t="shared" si="110"/>
        <v>3</v>
      </c>
      <c r="D1159" s="16" t="str">
        <f t="shared" si="111"/>
        <v>2</v>
      </c>
      <c r="E1159" s="16" t="str">
        <f t="shared" si="112"/>
        <v>04</v>
      </c>
      <c r="F1159" s="16" t="str">
        <f t="shared" si="113"/>
        <v>01</v>
      </c>
      <c r="G1159" s="57">
        <v>19320401</v>
      </c>
      <c r="H1159" s="16" t="s">
        <v>2364</v>
      </c>
      <c r="I1159" s="17" t="s">
        <v>2365</v>
      </c>
      <c r="J1159" s="16"/>
      <c r="K1159" s="16"/>
      <c r="L1159" s="16"/>
      <c r="M1159" s="17"/>
    </row>
    <row r="1160" spans="1:13" ht="51" x14ac:dyDescent="0.25">
      <c r="A1160" s="16" t="str">
        <f t="shared" si="108"/>
        <v>1</v>
      </c>
      <c r="B1160" s="16" t="str">
        <f t="shared" si="109"/>
        <v>9</v>
      </c>
      <c r="C1160" s="16" t="str">
        <f t="shared" si="110"/>
        <v>3</v>
      </c>
      <c r="D1160" s="16" t="str">
        <f t="shared" si="111"/>
        <v>2</v>
      </c>
      <c r="E1160" s="16" t="str">
        <f t="shared" si="112"/>
        <v>04</v>
      </c>
      <c r="F1160" s="16" t="str">
        <f t="shared" si="113"/>
        <v>02</v>
      </c>
      <c r="G1160" s="57">
        <v>19320402</v>
      </c>
      <c r="H1160" s="16" t="s">
        <v>2366</v>
      </c>
      <c r="I1160" s="17" t="s">
        <v>2367</v>
      </c>
      <c r="J1160" s="16"/>
      <c r="K1160" s="16"/>
      <c r="L1160" s="16"/>
      <c r="M1160" s="17"/>
    </row>
    <row r="1161" spans="1:13" ht="25.5" x14ac:dyDescent="0.25">
      <c r="A1161" s="14" t="str">
        <f t="shared" si="108"/>
        <v>1</v>
      </c>
      <c r="B1161" s="14" t="str">
        <f t="shared" si="109"/>
        <v>9</v>
      </c>
      <c r="C1161" s="14" t="str">
        <f t="shared" si="110"/>
        <v>3</v>
      </c>
      <c r="D1161" s="14" t="str">
        <f t="shared" si="111"/>
        <v>2</v>
      </c>
      <c r="E1161" s="14" t="str">
        <f t="shared" si="112"/>
        <v>05</v>
      </c>
      <c r="F1161" s="14" t="str">
        <f t="shared" si="113"/>
        <v>00</v>
      </c>
      <c r="G1161" s="56">
        <v>19320500</v>
      </c>
      <c r="H1161" s="14" t="s">
        <v>2368</v>
      </c>
      <c r="I1161" s="15" t="s">
        <v>2369</v>
      </c>
      <c r="J1161" s="14"/>
      <c r="K1161" s="14"/>
      <c r="L1161" s="14"/>
      <c r="M1161" s="14"/>
    </row>
    <row r="1162" spans="1:13" ht="25.5" x14ac:dyDescent="0.25">
      <c r="A1162" s="16" t="str">
        <f t="shared" si="108"/>
        <v>1</v>
      </c>
      <c r="B1162" s="16" t="str">
        <f t="shared" si="109"/>
        <v>9</v>
      </c>
      <c r="C1162" s="16" t="str">
        <f t="shared" si="110"/>
        <v>3</v>
      </c>
      <c r="D1162" s="16" t="str">
        <f t="shared" si="111"/>
        <v>2</v>
      </c>
      <c r="E1162" s="16" t="str">
        <f t="shared" si="112"/>
        <v>05</v>
      </c>
      <c r="F1162" s="16" t="str">
        <f t="shared" si="113"/>
        <v>01</v>
      </c>
      <c r="G1162" s="57">
        <v>19320501</v>
      </c>
      <c r="H1162" s="16" t="s">
        <v>2370</v>
      </c>
      <c r="I1162" s="17" t="s">
        <v>2371</v>
      </c>
      <c r="J1162" s="16"/>
      <c r="K1162" s="16"/>
      <c r="L1162" s="16"/>
      <c r="M1162" s="17"/>
    </row>
    <row r="1163" spans="1:13" ht="25.5" x14ac:dyDescent="0.25">
      <c r="A1163" s="16" t="str">
        <f t="shared" si="108"/>
        <v>1</v>
      </c>
      <c r="B1163" s="16" t="str">
        <f t="shared" si="109"/>
        <v>9</v>
      </c>
      <c r="C1163" s="16" t="str">
        <f t="shared" si="110"/>
        <v>3</v>
      </c>
      <c r="D1163" s="16" t="str">
        <f t="shared" si="111"/>
        <v>2</v>
      </c>
      <c r="E1163" s="16" t="str">
        <f t="shared" si="112"/>
        <v>05</v>
      </c>
      <c r="F1163" s="16" t="str">
        <f t="shared" si="113"/>
        <v>02</v>
      </c>
      <c r="G1163" s="57">
        <v>19320502</v>
      </c>
      <c r="H1163" s="16" t="s">
        <v>2372</v>
      </c>
      <c r="I1163" s="17" t="s">
        <v>2373</v>
      </c>
      <c r="J1163" s="16"/>
      <c r="K1163" s="16"/>
      <c r="L1163" s="16"/>
      <c r="M1163" s="17"/>
    </row>
    <row r="1164" spans="1:13" ht="38.25" x14ac:dyDescent="0.25">
      <c r="A1164" s="14" t="str">
        <f t="shared" si="108"/>
        <v>1</v>
      </c>
      <c r="B1164" s="14" t="str">
        <f t="shared" si="109"/>
        <v>9</v>
      </c>
      <c r="C1164" s="14" t="str">
        <f t="shared" si="110"/>
        <v>3</v>
      </c>
      <c r="D1164" s="14" t="str">
        <f t="shared" si="111"/>
        <v>2</v>
      </c>
      <c r="E1164" s="14" t="str">
        <f t="shared" si="112"/>
        <v>06</v>
      </c>
      <c r="F1164" s="14" t="str">
        <f t="shared" si="113"/>
        <v>00</v>
      </c>
      <c r="G1164" s="56">
        <v>19320600</v>
      </c>
      <c r="H1164" s="14" t="s">
        <v>2374</v>
      </c>
      <c r="I1164" s="15" t="s">
        <v>2375</v>
      </c>
      <c r="J1164" s="14"/>
      <c r="K1164" s="14"/>
      <c r="L1164" s="14"/>
      <c r="M1164" s="14"/>
    </row>
    <row r="1165" spans="1:13" ht="38.25" x14ac:dyDescent="0.25">
      <c r="A1165" s="16" t="str">
        <f t="shared" si="108"/>
        <v>1</v>
      </c>
      <c r="B1165" s="16" t="str">
        <f t="shared" si="109"/>
        <v>9</v>
      </c>
      <c r="C1165" s="16" t="str">
        <f t="shared" si="110"/>
        <v>3</v>
      </c>
      <c r="D1165" s="16" t="str">
        <f t="shared" si="111"/>
        <v>2</v>
      </c>
      <c r="E1165" s="16" t="str">
        <f t="shared" si="112"/>
        <v>06</v>
      </c>
      <c r="F1165" s="16" t="str">
        <f t="shared" si="113"/>
        <v>01</v>
      </c>
      <c r="G1165" s="57">
        <v>19320601</v>
      </c>
      <c r="H1165" s="16" t="s">
        <v>2376</v>
      </c>
      <c r="I1165" s="17" t="s">
        <v>2377</v>
      </c>
      <c r="J1165" s="16"/>
      <c r="K1165" s="16"/>
      <c r="L1165" s="16"/>
      <c r="M1165" s="17"/>
    </row>
    <row r="1166" spans="1:13" ht="38.25" x14ac:dyDescent="0.25">
      <c r="A1166" s="16" t="str">
        <f t="shared" si="108"/>
        <v>1</v>
      </c>
      <c r="B1166" s="16" t="str">
        <f t="shared" si="109"/>
        <v>9</v>
      </c>
      <c r="C1166" s="16" t="str">
        <f t="shared" si="110"/>
        <v>3</v>
      </c>
      <c r="D1166" s="16" t="str">
        <f t="shared" si="111"/>
        <v>2</v>
      </c>
      <c r="E1166" s="16" t="str">
        <f t="shared" si="112"/>
        <v>06</v>
      </c>
      <c r="F1166" s="16" t="str">
        <f t="shared" si="113"/>
        <v>02</v>
      </c>
      <c r="G1166" s="57">
        <v>19320602</v>
      </c>
      <c r="H1166" s="16" t="s">
        <v>2378</v>
      </c>
      <c r="I1166" s="17" t="s">
        <v>2379</v>
      </c>
      <c r="J1166" s="16"/>
      <c r="K1166" s="16"/>
      <c r="L1166" s="16"/>
      <c r="M1166" s="17"/>
    </row>
    <row r="1167" spans="1:13" ht="25.5" x14ac:dyDescent="0.25">
      <c r="A1167" s="14" t="str">
        <f t="shared" si="108"/>
        <v>1</v>
      </c>
      <c r="B1167" s="14" t="str">
        <f t="shared" si="109"/>
        <v>9</v>
      </c>
      <c r="C1167" s="14" t="str">
        <f t="shared" si="110"/>
        <v>3</v>
      </c>
      <c r="D1167" s="14" t="str">
        <f t="shared" si="111"/>
        <v>2</v>
      </c>
      <c r="E1167" s="14" t="str">
        <f t="shared" si="112"/>
        <v>07</v>
      </c>
      <c r="F1167" s="14" t="str">
        <f t="shared" si="113"/>
        <v>00</v>
      </c>
      <c r="G1167" s="56">
        <v>19320700</v>
      </c>
      <c r="H1167" s="14" t="s">
        <v>2380</v>
      </c>
      <c r="I1167" s="15" t="s">
        <v>2381</v>
      </c>
      <c r="J1167" s="14"/>
      <c r="K1167" s="14"/>
      <c r="L1167" s="14"/>
      <c r="M1167" s="14"/>
    </row>
    <row r="1168" spans="1:13" ht="25.5" x14ac:dyDescent="0.25">
      <c r="A1168" s="16" t="str">
        <f t="shared" si="108"/>
        <v>1</v>
      </c>
      <c r="B1168" s="16" t="str">
        <f t="shared" si="109"/>
        <v>9</v>
      </c>
      <c r="C1168" s="16" t="str">
        <f t="shared" si="110"/>
        <v>3</v>
      </c>
      <c r="D1168" s="16" t="str">
        <f t="shared" si="111"/>
        <v>2</v>
      </c>
      <c r="E1168" s="16" t="str">
        <f t="shared" si="112"/>
        <v>07</v>
      </c>
      <c r="F1168" s="16" t="str">
        <f t="shared" si="113"/>
        <v>01</v>
      </c>
      <c r="G1168" s="57">
        <v>19320701</v>
      </c>
      <c r="H1168" s="16" t="s">
        <v>2382</v>
      </c>
      <c r="I1168" s="17" t="s">
        <v>2383</v>
      </c>
      <c r="J1168" s="16"/>
      <c r="K1168" s="16" t="s">
        <v>151</v>
      </c>
      <c r="L1168" s="16" t="s">
        <v>423</v>
      </c>
      <c r="M1168" s="17"/>
    </row>
    <row r="1169" spans="1:13" ht="25.5" x14ac:dyDescent="0.25">
      <c r="A1169" s="16" t="str">
        <f t="shared" si="108"/>
        <v>1</v>
      </c>
      <c r="B1169" s="16" t="str">
        <f t="shared" si="109"/>
        <v>9</v>
      </c>
      <c r="C1169" s="16" t="str">
        <f t="shared" si="110"/>
        <v>3</v>
      </c>
      <c r="D1169" s="16" t="str">
        <f t="shared" si="111"/>
        <v>2</v>
      </c>
      <c r="E1169" s="16" t="str">
        <f t="shared" si="112"/>
        <v>07</v>
      </c>
      <c r="F1169" s="16" t="str">
        <f t="shared" si="113"/>
        <v>02</v>
      </c>
      <c r="G1169" s="57">
        <v>19320702</v>
      </c>
      <c r="H1169" s="16" t="s">
        <v>2384</v>
      </c>
      <c r="I1169" s="17" t="s">
        <v>2385</v>
      </c>
      <c r="J1169" s="16"/>
      <c r="K1169" s="16" t="s">
        <v>151</v>
      </c>
      <c r="L1169" s="16" t="s">
        <v>423</v>
      </c>
      <c r="M1169" s="17"/>
    </row>
    <row r="1170" spans="1:13" ht="38.25" x14ac:dyDescent="0.25">
      <c r="A1170" s="16" t="str">
        <f t="shared" si="108"/>
        <v>1</v>
      </c>
      <c r="B1170" s="16" t="str">
        <f t="shared" si="109"/>
        <v>9</v>
      </c>
      <c r="C1170" s="16" t="str">
        <f t="shared" si="110"/>
        <v>3</v>
      </c>
      <c r="D1170" s="16" t="str">
        <f t="shared" si="111"/>
        <v>2</v>
      </c>
      <c r="E1170" s="16" t="str">
        <f t="shared" si="112"/>
        <v>07</v>
      </c>
      <c r="F1170" s="16" t="str">
        <f t="shared" si="113"/>
        <v>03</v>
      </c>
      <c r="G1170" s="57">
        <v>19320703</v>
      </c>
      <c r="H1170" s="16" t="s">
        <v>2386</v>
      </c>
      <c r="I1170" s="17" t="s">
        <v>2387</v>
      </c>
      <c r="J1170" s="16"/>
      <c r="K1170" s="16" t="s">
        <v>151</v>
      </c>
      <c r="L1170" s="16" t="s">
        <v>423</v>
      </c>
      <c r="M1170" s="17"/>
    </row>
    <row r="1171" spans="1:13" ht="25.5" x14ac:dyDescent="0.25">
      <c r="A1171" s="16" t="str">
        <f t="shared" si="108"/>
        <v>1</v>
      </c>
      <c r="B1171" s="16" t="str">
        <f t="shared" si="109"/>
        <v>9</v>
      </c>
      <c r="C1171" s="16" t="str">
        <f t="shared" si="110"/>
        <v>3</v>
      </c>
      <c r="D1171" s="16" t="str">
        <f t="shared" si="111"/>
        <v>2</v>
      </c>
      <c r="E1171" s="16" t="str">
        <f t="shared" si="112"/>
        <v>07</v>
      </c>
      <c r="F1171" s="16" t="str">
        <f t="shared" si="113"/>
        <v>04</v>
      </c>
      <c r="G1171" s="57">
        <v>19320704</v>
      </c>
      <c r="H1171" s="16" t="s">
        <v>2388</v>
      </c>
      <c r="I1171" s="17" t="s">
        <v>2389</v>
      </c>
      <c r="J1171" s="16"/>
      <c r="K1171" s="16" t="s">
        <v>151</v>
      </c>
      <c r="L1171" s="16" t="s">
        <v>423</v>
      </c>
      <c r="M1171" s="17"/>
    </row>
    <row r="1172" spans="1:13" ht="25.5" x14ac:dyDescent="0.25">
      <c r="A1172" s="16" t="str">
        <f t="shared" si="108"/>
        <v>1</v>
      </c>
      <c r="B1172" s="16" t="str">
        <f t="shared" si="109"/>
        <v>9</v>
      </c>
      <c r="C1172" s="16" t="str">
        <f t="shared" si="110"/>
        <v>3</v>
      </c>
      <c r="D1172" s="16" t="str">
        <f t="shared" si="111"/>
        <v>2</v>
      </c>
      <c r="E1172" s="16" t="str">
        <f t="shared" si="112"/>
        <v>07</v>
      </c>
      <c r="F1172" s="16" t="str">
        <f t="shared" si="113"/>
        <v>05</v>
      </c>
      <c r="G1172" s="57">
        <v>19320705</v>
      </c>
      <c r="H1172" s="16" t="s">
        <v>2390</v>
      </c>
      <c r="I1172" s="17" t="s">
        <v>2391</v>
      </c>
      <c r="J1172" s="16"/>
      <c r="K1172" s="16" t="s">
        <v>151</v>
      </c>
      <c r="L1172" s="16" t="s">
        <v>423</v>
      </c>
      <c r="M1172" s="17"/>
    </row>
    <row r="1173" spans="1:13" ht="25.5" x14ac:dyDescent="0.25">
      <c r="A1173" s="16" t="str">
        <f t="shared" si="108"/>
        <v>1</v>
      </c>
      <c r="B1173" s="16" t="str">
        <f t="shared" si="109"/>
        <v>9</v>
      </c>
      <c r="C1173" s="16" t="str">
        <f t="shared" si="110"/>
        <v>3</v>
      </c>
      <c r="D1173" s="16" t="str">
        <f t="shared" si="111"/>
        <v>2</v>
      </c>
      <c r="E1173" s="16" t="str">
        <f t="shared" si="112"/>
        <v>07</v>
      </c>
      <c r="F1173" s="16" t="str">
        <f t="shared" si="113"/>
        <v>06</v>
      </c>
      <c r="G1173" s="57">
        <v>19320706</v>
      </c>
      <c r="H1173" s="16" t="s">
        <v>2392</v>
      </c>
      <c r="I1173" s="17" t="s">
        <v>2393</v>
      </c>
      <c r="J1173" s="16"/>
      <c r="K1173" s="16" t="s">
        <v>151</v>
      </c>
      <c r="L1173" s="16" t="s">
        <v>423</v>
      </c>
      <c r="M1173" s="17"/>
    </row>
    <row r="1174" spans="1:13" ht="25.5" x14ac:dyDescent="0.25">
      <c r="A1174" s="14" t="str">
        <f t="shared" si="108"/>
        <v>1</v>
      </c>
      <c r="B1174" s="14" t="str">
        <f t="shared" si="109"/>
        <v>9</v>
      </c>
      <c r="C1174" s="14" t="str">
        <f t="shared" si="110"/>
        <v>3</v>
      </c>
      <c r="D1174" s="14" t="str">
        <f t="shared" si="111"/>
        <v>2</v>
      </c>
      <c r="E1174" s="14" t="str">
        <f t="shared" si="112"/>
        <v>08</v>
      </c>
      <c r="F1174" s="14" t="str">
        <f t="shared" si="113"/>
        <v>00</v>
      </c>
      <c r="G1174" s="56">
        <v>19320800</v>
      </c>
      <c r="H1174" s="14" t="s">
        <v>2394</v>
      </c>
      <c r="I1174" s="15" t="s">
        <v>2395</v>
      </c>
      <c r="J1174" s="14"/>
      <c r="K1174" s="14"/>
      <c r="L1174" s="14" t="s">
        <v>423</v>
      </c>
      <c r="M1174" s="14"/>
    </row>
    <row r="1175" spans="1:13" ht="38.25" x14ac:dyDescent="0.25">
      <c r="A1175" s="14" t="str">
        <f t="shared" si="108"/>
        <v>1</v>
      </c>
      <c r="B1175" s="14" t="str">
        <f t="shared" si="109"/>
        <v>9</v>
      </c>
      <c r="C1175" s="14" t="str">
        <f t="shared" si="110"/>
        <v>3</v>
      </c>
      <c r="D1175" s="14" t="str">
        <f t="shared" si="111"/>
        <v>2</v>
      </c>
      <c r="E1175" s="14" t="str">
        <f t="shared" si="112"/>
        <v>09</v>
      </c>
      <c r="F1175" s="14" t="str">
        <f t="shared" si="113"/>
        <v>00</v>
      </c>
      <c r="G1175" s="56">
        <v>19320900</v>
      </c>
      <c r="H1175" s="14" t="s">
        <v>2396</v>
      </c>
      <c r="I1175" s="15" t="s">
        <v>2397</v>
      </c>
      <c r="J1175" s="14"/>
      <c r="K1175" s="14"/>
      <c r="L1175" s="14" t="s">
        <v>423</v>
      </c>
      <c r="M1175" s="14"/>
    </row>
    <row r="1176" spans="1:13" ht="25.5" x14ac:dyDescent="0.25">
      <c r="A1176" s="14" t="str">
        <f t="shared" si="108"/>
        <v>1</v>
      </c>
      <c r="B1176" s="14" t="str">
        <f t="shared" si="109"/>
        <v>9</v>
      </c>
      <c r="C1176" s="14" t="str">
        <f t="shared" si="110"/>
        <v>3</v>
      </c>
      <c r="D1176" s="14" t="str">
        <f t="shared" si="111"/>
        <v>2</v>
      </c>
      <c r="E1176" s="14" t="str">
        <f t="shared" si="112"/>
        <v>10</v>
      </c>
      <c r="F1176" s="14" t="str">
        <f t="shared" si="113"/>
        <v>00</v>
      </c>
      <c r="G1176" s="56">
        <v>19321000</v>
      </c>
      <c r="H1176" s="14" t="s">
        <v>2398</v>
      </c>
      <c r="I1176" s="15" t="s">
        <v>2399</v>
      </c>
      <c r="J1176" s="14"/>
      <c r="K1176" s="14" t="s">
        <v>151</v>
      </c>
      <c r="L1176" s="14" t="s">
        <v>423</v>
      </c>
      <c r="M1176" s="14"/>
    </row>
    <row r="1177" spans="1:13" x14ac:dyDescent="0.25">
      <c r="A1177" s="14" t="str">
        <f t="shared" si="108"/>
        <v>1</v>
      </c>
      <c r="B1177" s="14" t="str">
        <f t="shared" si="109"/>
        <v>9</v>
      </c>
      <c r="C1177" s="14" t="str">
        <f t="shared" si="110"/>
        <v>3</v>
      </c>
      <c r="D1177" s="14" t="str">
        <f t="shared" si="111"/>
        <v>2</v>
      </c>
      <c r="E1177" s="14" t="str">
        <f t="shared" si="112"/>
        <v>11</v>
      </c>
      <c r="F1177" s="14" t="str">
        <f t="shared" si="113"/>
        <v>00</v>
      </c>
      <c r="G1177" s="56">
        <v>19321100</v>
      </c>
      <c r="H1177" s="14" t="s">
        <v>2400</v>
      </c>
      <c r="I1177" s="15" t="s">
        <v>2401</v>
      </c>
      <c r="J1177" s="14"/>
      <c r="K1177" s="14"/>
      <c r="L1177" s="14"/>
      <c r="M1177" s="14"/>
    </row>
    <row r="1178" spans="1:13" x14ac:dyDescent="0.25">
      <c r="A1178" s="14" t="str">
        <f t="shared" si="108"/>
        <v>1</v>
      </c>
      <c r="B1178" s="14" t="str">
        <f t="shared" si="109"/>
        <v>9</v>
      </c>
      <c r="C1178" s="14" t="str">
        <f t="shared" si="110"/>
        <v>3</v>
      </c>
      <c r="D1178" s="14" t="str">
        <f t="shared" si="111"/>
        <v>2</v>
      </c>
      <c r="E1178" s="14" t="str">
        <f t="shared" si="112"/>
        <v>12</v>
      </c>
      <c r="F1178" s="14" t="str">
        <f t="shared" si="113"/>
        <v>00</v>
      </c>
      <c r="G1178" s="56">
        <v>19321200</v>
      </c>
      <c r="H1178" s="14" t="s">
        <v>2402</v>
      </c>
      <c r="I1178" s="15" t="s">
        <v>2403</v>
      </c>
      <c r="J1178" s="14"/>
      <c r="K1178" s="14"/>
      <c r="L1178" s="14"/>
      <c r="M1178" s="14"/>
    </row>
    <row r="1179" spans="1:13" ht="25.5" x14ac:dyDescent="0.25">
      <c r="A1179" s="14" t="str">
        <f t="shared" si="108"/>
        <v>1</v>
      </c>
      <c r="B1179" s="14" t="str">
        <f t="shared" si="109"/>
        <v>9</v>
      </c>
      <c r="C1179" s="14" t="str">
        <f t="shared" si="110"/>
        <v>3</v>
      </c>
      <c r="D1179" s="14" t="str">
        <f t="shared" si="111"/>
        <v>2</v>
      </c>
      <c r="E1179" s="14" t="str">
        <f t="shared" si="112"/>
        <v>13</v>
      </c>
      <c r="F1179" s="14" t="str">
        <f t="shared" si="113"/>
        <v>00</v>
      </c>
      <c r="G1179" s="56">
        <v>19321300</v>
      </c>
      <c r="H1179" s="14" t="s">
        <v>2404</v>
      </c>
      <c r="I1179" s="15" t="s">
        <v>2405</v>
      </c>
      <c r="J1179" s="14"/>
      <c r="K1179" s="14"/>
      <c r="L1179" s="14"/>
      <c r="M1179" s="14"/>
    </row>
    <row r="1180" spans="1:13" x14ac:dyDescent="0.25">
      <c r="A1180" s="14" t="str">
        <f t="shared" si="108"/>
        <v>1</v>
      </c>
      <c r="B1180" s="14" t="str">
        <f t="shared" si="109"/>
        <v>9</v>
      </c>
      <c r="C1180" s="14" t="str">
        <f t="shared" si="110"/>
        <v>3</v>
      </c>
      <c r="D1180" s="14" t="str">
        <f t="shared" si="111"/>
        <v>2</v>
      </c>
      <c r="E1180" s="14" t="str">
        <f t="shared" si="112"/>
        <v>14</v>
      </c>
      <c r="F1180" s="14" t="str">
        <f t="shared" si="113"/>
        <v>00</v>
      </c>
      <c r="G1180" s="56">
        <v>19321400</v>
      </c>
      <c r="H1180" s="14" t="s">
        <v>2406</v>
      </c>
      <c r="I1180" s="15" t="s">
        <v>2407</v>
      </c>
      <c r="J1180" s="14"/>
      <c r="K1180" s="14"/>
      <c r="L1180" s="14"/>
      <c r="M1180" s="14"/>
    </row>
    <row r="1181" spans="1:13" x14ac:dyDescent="0.25">
      <c r="A1181" s="14" t="str">
        <f t="shared" si="108"/>
        <v>1</v>
      </c>
      <c r="B1181" s="14" t="str">
        <f t="shared" si="109"/>
        <v>9</v>
      </c>
      <c r="C1181" s="14" t="str">
        <f t="shared" si="110"/>
        <v>3</v>
      </c>
      <c r="D1181" s="14" t="str">
        <f t="shared" si="111"/>
        <v>2</v>
      </c>
      <c r="E1181" s="14" t="str">
        <f t="shared" si="112"/>
        <v>15</v>
      </c>
      <c r="F1181" s="14" t="str">
        <f t="shared" si="113"/>
        <v>00</v>
      </c>
      <c r="G1181" s="56">
        <v>19321500</v>
      </c>
      <c r="H1181" s="14" t="s">
        <v>2408</v>
      </c>
      <c r="I1181" s="15" t="s">
        <v>2409</v>
      </c>
      <c r="J1181" s="14"/>
      <c r="K1181" s="14"/>
      <c r="L1181" s="14"/>
      <c r="M1181" s="14"/>
    </row>
    <row r="1182" spans="1:13" ht="25.5" x14ac:dyDescent="0.25">
      <c r="A1182" s="14" t="str">
        <f t="shared" si="108"/>
        <v>1</v>
      </c>
      <c r="B1182" s="14" t="str">
        <f t="shared" si="109"/>
        <v>9</v>
      </c>
      <c r="C1182" s="14" t="str">
        <f t="shared" si="110"/>
        <v>3</v>
      </c>
      <c r="D1182" s="14" t="str">
        <f t="shared" si="111"/>
        <v>2</v>
      </c>
      <c r="E1182" s="14" t="str">
        <f t="shared" si="112"/>
        <v>16</v>
      </c>
      <c r="F1182" s="14" t="str">
        <f t="shared" si="113"/>
        <v>00</v>
      </c>
      <c r="G1182" s="56">
        <v>19321600</v>
      </c>
      <c r="H1182" s="14" t="s">
        <v>2410</v>
      </c>
      <c r="I1182" s="15" t="s">
        <v>2411</v>
      </c>
      <c r="J1182" s="14"/>
      <c r="K1182" s="14"/>
      <c r="L1182" s="14"/>
      <c r="M1182" s="14"/>
    </row>
    <row r="1183" spans="1:13" ht="25.5" x14ac:dyDescent="0.25">
      <c r="A1183" s="16" t="str">
        <f t="shared" si="108"/>
        <v>1</v>
      </c>
      <c r="B1183" s="16" t="str">
        <f t="shared" si="109"/>
        <v>9</v>
      </c>
      <c r="C1183" s="16" t="str">
        <f t="shared" si="110"/>
        <v>3</v>
      </c>
      <c r="D1183" s="16" t="str">
        <f t="shared" si="111"/>
        <v>2</v>
      </c>
      <c r="E1183" s="16" t="str">
        <f t="shared" si="112"/>
        <v>16</v>
      </c>
      <c r="F1183" s="16" t="str">
        <f t="shared" si="113"/>
        <v>01</v>
      </c>
      <c r="G1183" s="57">
        <v>19321601</v>
      </c>
      <c r="H1183" s="16" t="s">
        <v>2412</v>
      </c>
      <c r="I1183" s="17" t="s">
        <v>2413</v>
      </c>
      <c r="J1183" s="16"/>
      <c r="K1183" s="16"/>
      <c r="L1183" s="16"/>
      <c r="M1183" s="17"/>
    </row>
    <row r="1184" spans="1:13" ht="25.5" x14ac:dyDescent="0.25">
      <c r="A1184" s="16" t="str">
        <f t="shared" si="108"/>
        <v>1</v>
      </c>
      <c r="B1184" s="16" t="str">
        <f t="shared" si="109"/>
        <v>9</v>
      </c>
      <c r="C1184" s="16" t="str">
        <f t="shared" si="110"/>
        <v>3</v>
      </c>
      <c r="D1184" s="16" t="str">
        <f t="shared" si="111"/>
        <v>2</v>
      </c>
      <c r="E1184" s="16" t="str">
        <f t="shared" si="112"/>
        <v>16</v>
      </c>
      <c r="F1184" s="16" t="str">
        <f t="shared" si="113"/>
        <v>02</v>
      </c>
      <c r="G1184" s="57">
        <v>19321602</v>
      </c>
      <c r="H1184" s="16" t="s">
        <v>2414</v>
      </c>
      <c r="I1184" s="17" t="s">
        <v>2415</v>
      </c>
      <c r="J1184" s="16"/>
      <c r="K1184" s="16"/>
      <c r="L1184" s="16"/>
      <c r="M1184" s="17"/>
    </row>
    <row r="1185" spans="1:13" ht="51" x14ac:dyDescent="0.25">
      <c r="A1185" s="16" t="str">
        <f t="shared" si="108"/>
        <v>1</v>
      </c>
      <c r="B1185" s="16" t="str">
        <f t="shared" si="109"/>
        <v>9</v>
      </c>
      <c r="C1185" s="16" t="str">
        <f t="shared" si="110"/>
        <v>3</v>
      </c>
      <c r="D1185" s="16" t="str">
        <f t="shared" si="111"/>
        <v>2</v>
      </c>
      <c r="E1185" s="16" t="str">
        <f t="shared" si="112"/>
        <v>16</v>
      </c>
      <c r="F1185" s="16" t="str">
        <f t="shared" si="113"/>
        <v>03</v>
      </c>
      <c r="G1185" s="57">
        <v>19321603</v>
      </c>
      <c r="H1185" s="16" t="s">
        <v>2416</v>
      </c>
      <c r="I1185" s="17" t="s">
        <v>2417</v>
      </c>
      <c r="J1185" s="16"/>
      <c r="K1185" s="16" t="s">
        <v>217</v>
      </c>
      <c r="L1185" s="16" t="s">
        <v>1439</v>
      </c>
      <c r="M1185" s="17"/>
    </row>
    <row r="1186" spans="1:13" ht="25.5" x14ac:dyDescent="0.25">
      <c r="A1186" s="16" t="str">
        <f t="shared" si="108"/>
        <v>1</v>
      </c>
      <c r="B1186" s="16" t="str">
        <f t="shared" si="109"/>
        <v>9</v>
      </c>
      <c r="C1186" s="16" t="str">
        <f t="shared" si="110"/>
        <v>3</v>
      </c>
      <c r="D1186" s="16" t="str">
        <f t="shared" si="111"/>
        <v>2</v>
      </c>
      <c r="E1186" s="16" t="str">
        <f t="shared" si="112"/>
        <v>16</v>
      </c>
      <c r="F1186" s="16" t="str">
        <f t="shared" si="113"/>
        <v>04</v>
      </c>
      <c r="G1186" s="57">
        <v>19321604</v>
      </c>
      <c r="H1186" s="16" t="s">
        <v>2418</v>
      </c>
      <c r="I1186" s="17" t="s">
        <v>2419</v>
      </c>
      <c r="J1186" s="16"/>
      <c r="K1186" s="16" t="s">
        <v>217</v>
      </c>
      <c r="L1186" s="16" t="s">
        <v>1439</v>
      </c>
      <c r="M1186" s="17"/>
    </row>
    <row r="1187" spans="1:13" ht="25.5" x14ac:dyDescent="0.25">
      <c r="A1187" s="14" t="str">
        <f t="shared" si="108"/>
        <v>1</v>
      </c>
      <c r="B1187" s="14" t="str">
        <f t="shared" si="109"/>
        <v>9</v>
      </c>
      <c r="C1187" s="14" t="str">
        <f t="shared" si="110"/>
        <v>3</v>
      </c>
      <c r="D1187" s="14" t="str">
        <f t="shared" si="111"/>
        <v>2</v>
      </c>
      <c r="E1187" s="14" t="str">
        <f t="shared" si="112"/>
        <v>17</v>
      </c>
      <c r="F1187" s="14" t="str">
        <f t="shared" si="113"/>
        <v>00</v>
      </c>
      <c r="G1187" s="56">
        <v>19321700</v>
      </c>
      <c r="H1187" s="14" t="s">
        <v>2420</v>
      </c>
      <c r="I1187" s="15" t="s">
        <v>2421</v>
      </c>
      <c r="J1187" s="14"/>
      <c r="K1187" s="14"/>
      <c r="L1187" s="14"/>
      <c r="M1187" s="14"/>
    </row>
    <row r="1188" spans="1:13" ht="38.25" x14ac:dyDescent="0.25">
      <c r="A1188" s="14" t="str">
        <f t="shared" si="108"/>
        <v>1</v>
      </c>
      <c r="B1188" s="14" t="str">
        <f t="shared" si="109"/>
        <v>9</v>
      </c>
      <c r="C1188" s="14" t="str">
        <f t="shared" si="110"/>
        <v>3</v>
      </c>
      <c r="D1188" s="14" t="str">
        <f t="shared" si="111"/>
        <v>2</v>
      </c>
      <c r="E1188" s="14" t="str">
        <f t="shared" si="112"/>
        <v>18</v>
      </c>
      <c r="F1188" s="14" t="str">
        <f t="shared" si="113"/>
        <v>00</v>
      </c>
      <c r="G1188" s="56">
        <v>19321800</v>
      </c>
      <c r="H1188" s="14" t="s">
        <v>2422</v>
      </c>
      <c r="I1188" s="15" t="s">
        <v>2423</v>
      </c>
      <c r="J1188" s="14"/>
      <c r="K1188" s="14" t="s">
        <v>151</v>
      </c>
      <c r="L1188" s="14" t="s">
        <v>423</v>
      </c>
      <c r="M1188" s="14"/>
    </row>
    <row r="1189" spans="1:13" ht="38.25" x14ac:dyDescent="0.25">
      <c r="A1189" s="14" t="str">
        <f t="shared" si="108"/>
        <v>1</v>
      </c>
      <c r="B1189" s="14" t="str">
        <f t="shared" si="109"/>
        <v>9</v>
      </c>
      <c r="C1189" s="14" t="str">
        <f t="shared" si="110"/>
        <v>3</v>
      </c>
      <c r="D1189" s="14" t="str">
        <f t="shared" si="111"/>
        <v>2</v>
      </c>
      <c r="E1189" s="14" t="str">
        <f t="shared" si="112"/>
        <v>19</v>
      </c>
      <c r="F1189" s="14" t="str">
        <f t="shared" si="113"/>
        <v>00</v>
      </c>
      <c r="G1189" s="56">
        <v>19321900</v>
      </c>
      <c r="H1189" s="14" t="s">
        <v>2424</v>
      </c>
      <c r="I1189" s="15" t="s">
        <v>2425</v>
      </c>
      <c r="J1189" s="14"/>
      <c r="K1189" s="14" t="s">
        <v>151</v>
      </c>
      <c r="L1189" s="14" t="s">
        <v>423</v>
      </c>
      <c r="M1189" s="14"/>
    </row>
    <row r="1190" spans="1:13" ht="51" x14ac:dyDescent="0.25">
      <c r="A1190" s="14" t="str">
        <f t="shared" si="108"/>
        <v>1</v>
      </c>
      <c r="B1190" s="14" t="str">
        <f t="shared" si="109"/>
        <v>9</v>
      </c>
      <c r="C1190" s="14" t="str">
        <f t="shared" si="110"/>
        <v>3</v>
      </c>
      <c r="D1190" s="14" t="str">
        <f t="shared" si="111"/>
        <v>2</v>
      </c>
      <c r="E1190" s="14" t="str">
        <f t="shared" si="112"/>
        <v>20</v>
      </c>
      <c r="F1190" s="14" t="str">
        <f t="shared" si="113"/>
        <v>00</v>
      </c>
      <c r="G1190" s="56">
        <v>19322000</v>
      </c>
      <c r="H1190" s="14" t="s">
        <v>2426</v>
      </c>
      <c r="I1190" s="15" t="s">
        <v>2427</v>
      </c>
      <c r="J1190" s="14"/>
      <c r="K1190" s="14"/>
      <c r="L1190" s="14"/>
      <c r="M1190" s="14"/>
    </row>
    <row r="1191" spans="1:13" ht="51" x14ac:dyDescent="0.25">
      <c r="A1191" s="16" t="str">
        <f t="shared" si="108"/>
        <v>1</v>
      </c>
      <c r="B1191" s="16" t="str">
        <f t="shared" si="109"/>
        <v>9</v>
      </c>
      <c r="C1191" s="16" t="str">
        <f t="shared" si="110"/>
        <v>3</v>
      </c>
      <c r="D1191" s="16" t="str">
        <f t="shared" si="111"/>
        <v>2</v>
      </c>
      <c r="E1191" s="16" t="str">
        <f t="shared" si="112"/>
        <v>20</v>
      </c>
      <c r="F1191" s="16" t="str">
        <f t="shared" si="113"/>
        <v>01</v>
      </c>
      <c r="G1191" s="57">
        <v>19322001</v>
      </c>
      <c r="H1191" s="16" t="s">
        <v>2428</v>
      </c>
      <c r="I1191" s="17" t="s">
        <v>2429</v>
      </c>
      <c r="J1191" s="16"/>
      <c r="K1191" s="16"/>
      <c r="L1191" s="16"/>
      <c r="M1191" s="17"/>
    </row>
    <row r="1192" spans="1:13" ht="63.75" x14ac:dyDescent="0.25">
      <c r="A1192" s="16" t="str">
        <f t="shared" si="108"/>
        <v>1</v>
      </c>
      <c r="B1192" s="16" t="str">
        <f t="shared" si="109"/>
        <v>9</v>
      </c>
      <c r="C1192" s="16" t="str">
        <f t="shared" si="110"/>
        <v>3</v>
      </c>
      <c r="D1192" s="16" t="str">
        <f t="shared" si="111"/>
        <v>2</v>
      </c>
      <c r="E1192" s="16" t="str">
        <f t="shared" si="112"/>
        <v>20</v>
      </c>
      <c r="F1192" s="16" t="str">
        <f t="shared" si="113"/>
        <v>02</v>
      </c>
      <c r="G1192" s="57">
        <v>19322002</v>
      </c>
      <c r="H1192" s="16" t="s">
        <v>2430</v>
      </c>
      <c r="I1192" s="17" t="s">
        <v>2431</v>
      </c>
      <c r="J1192" s="16"/>
      <c r="K1192" s="16"/>
      <c r="L1192" s="16"/>
      <c r="M1192" s="17"/>
    </row>
    <row r="1193" spans="1:13" ht="25.5" x14ac:dyDescent="0.25">
      <c r="A1193" s="14" t="str">
        <f t="shared" si="108"/>
        <v>1</v>
      </c>
      <c r="B1193" s="14" t="str">
        <f t="shared" si="109"/>
        <v>9</v>
      </c>
      <c r="C1193" s="14" t="str">
        <f t="shared" si="110"/>
        <v>3</v>
      </c>
      <c r="D1193" s="14" t="str">
        <f t="shared" si="111"/>
        <v>2</v>
      </c>
      <c r="E1193" s="14" t="str">
        <f t="shared" si="112"/>
        <v>21</v>
      </c>
      <c r="F1193" s="14" t="str">
        <f t="shared" si="113"/>
        <v>00</v>
      </c>
      <c r="G1193" s="56">
        <v>19322100</v>
      </c>
      <c r="H1193" s="14" t="s">
        <v>2432</v>
      </c>
      <c r="I1193" s="15" t="s">
        <v>2433</v>
      </c>
      <c r="J1193" s="14"/>
      <c r="K1193" s="14"/>
      <c r="L1193" s="14"/>
      <c r="M1193" s="14"/>
    </row>
    <row r="1194" spans="1:13" ht="25.5" x14ac:dyDescent="0.25">
      <c r="A1194" s="16" t="str">
        <f t="shared" si="108"/>
        <v>1</v>
      </c>
      <c r="B1194" s="16" t="str">
        <f t="shared" si="109"/>
        <v>9</v>
      </c>
      <c r="C1194" s="16" t="str">
        <f t="shared" si="110"/>
        <v>3</v>
      </c>
      <c r="D1194" s="16" t="str">
        <f t="shared" si="111"/>
        <v>2</v>
      </c>
      <c r="E1194" s="16" t="str">
        <f t="shared" si="112"/>
        <v>21</v>
      </c>
      <c r="F1194" s="16" t="str">
        <f t="shared" si="113"/>
        <v>01</v>
      </c>
      <c r="G1194" s="57">
        <v>19322101</v>
      </c>
      <c r="H1194" s="16" t="s">
        <v>2434</v>
      </c>
      <c r="I1194" s="17" t="s">
        <v>2435</v>
      </c>
      <c r="J1194" s="16"/>
      <c r="K1194" s="16"/>
      <c r="L1194" s="16"/>
      <c r="M1194" s="17"/>
    </row>
    <row r="1195" spans="1:13" ht="25.5" x14ac:dyDescent="0.25">
      <c r="A1195" s="16" t="str">
        <f t="shared" si="108"/>
        <v>1</v>
      </c>
      <c r="B1195" s="16" t="str">
        <f t="shared" si="109"/>
        <v>9</v>
      </c>
      <c r="C1195" s="16" t="str">
        <f t="shared" si="110"/>
        <v>3</v>
      </c>
      <c r="D1195" s="16" t="str">
        <f t="shared" si="111"/>
        <v>2</v>
      </c>
      <c r="E1195" s="16" t="str">
        <f t="shared" si="112"/>
        <v>21</v>
      </c>
      <c r="F1195" s="16" t="str">
        <f t="shared" si="113"/>
        <v>02</v>
      </c>
      <c r="G1195" s="57">
        <v>19322102</v>
      </c>
      <c r="H1195" s="16" t="s">
        <v>2436</v>
      </c>
      <c r="I1195" s="17" t="s">
        <v>2437</v>
      </c>
      <c r="J1195" s="16"/>
      <c r="K1195" s="16"/>
      <c r="L1195" s="16"/>
      <c r="M1195" s="17"/>
    </row>
    <row r="1196" spans="1:13" ht="25.5" x14ac:dyDescent="0.25">
      <c r="A1196" s="16" t="str">
        <f t="shared" si="108"/>
        <v>1</v>
      </c>
      <c r="B1196" s="16" t="str">
        <f t="shared" si="109"/>
        <v>9</v>
      </c>
      <c r="C1196" s="16" t="str">
        <f t="shared" si="110"/>
        <v>3</v>
      </c>
      <c r="D1196" s="16" t="str">
        <f t="shared" si="111"/>
        <v>2</v>
      </c>
      <c r="E1196" s="16" t="str">
        <f t="shared" si="112"/>
        <v>21</v>
      </c>
      <c r="F1196" s="16" t="str">
        <f t="shared" si="113"/>
        <v>04</v>
      </c>
      <c r="G1196" s="57">
        <v>19322104</v>
      </c>
      <c r="H1196" s="16" t="s">
        <v>2438</v>
      </c>
      <c r="I1196" s="17" t="s">
        <v>2439</v>
      </c>
      <c r="J1196" s="16"/>
      <c r="K1196" s="16"/>
      <c r="L1196" s="16"/>
      <c r="M1196" s="17"/>
    </row>
    <row r="1197" spans="1:13" ht="38.25" x14ac:dyDescent="0.25">
      <c r="A1197" s="16" t="str">
        <f t="shared" si="108"/>
        <v>1</v>
      </c>
      <c r="B1197" s="16" t="str">
        <f t="shared" si="109"/>
        <v>9</v>
      </c>
      <c r="C1197" s="16" t="str">
        <f t="shared" si="110"/>
        <v>3</v>
      </c>
      <c r="D1197" s="16" t="str">
        <f t="shared" si="111"/>
        <v>2</v>
      </c>
      <c r="E1197" s="16" t="str">
        <f t="shared" si="112"/>
        <v>21</v>
      </c>
      <c r="F1197" s="16" t="str">
        <f t="shared" si="113"/>
        <v>05</v>
      </c>
      <c r="G1197" s="57">
        <v>19322105</v>
      </c>
      <c r="H1197" s="16" t="s">
        <v>2440</v>
      </c>
      <c r="I1197" s="17" t="s">
        <v>2441</v>
      </c>
      <c r="J1197" s="16"/>
      <c r="K1197" s="16"/>
      <c r="L1197" s="16"/>
      <c r="M1197" s="17"/>
    </row>
    <row r="1198" spans="1:13" ht="25.5" x14ac:dyDescent="0.25">
      <c r="A1198" s="14" t="str">
        <f t="shared" si="108"/>
        <v>1</v>
      </c>
      <c r="B1198" s="14" t="str">
        <f t="shared" si="109"/>
        <v>9</v>
      </c>
      <c r="C1198" s="14" t="str">
        <f t="shared" si="110"/>
        <v>3</v>
      </c>
      <c r="D1198" s="14" t="str">
        <f t="shared" si="111"/>
        <v>2</v>
      </c>
      <c r="E1198" s="14" t="str">
        <f t="shared" si="112"/>
        <v>22</v>
      </c>
      <c r="F1198" s="14" t="str">
        <f t="shared" si="113"/>
        <v>00</v>
      </c>
      <c r="G1198" s="56">
        <v>19322200</v>
      </c>
      <c r="H1198" s="14" t="s">
        <v>2442</v>
      </c>
      <c r="I1198" s="15" t="s">
        <v>2443</v>
      </c>
      <c r="J1198" s="14"/>
      <c r="K1198" s="14"/>
      <c r="L1198" s="14"/>
      <c r="M1198" s="14"/>
    </row>
    <row r="1199" spans="1:13" ht="25.5" x14ac:dyDescent="0.25">
      <c r="A1199" s="14" t="str">
        <f t="shared" si="108"/>
        <v>1</v>
      </c>
      <c r="B1199" s="14" t="str">
        <f t="shared" si="109"/>
        <v>9</v>
      </c>
      <c r="C1199" s="14" t="str">
        <f t="shared" si="110"/>
        <v>3</v>
      </c>
      <c r="D1199" s="14" t="str">
        <f t="shared" si="111"/>
        <v>2</v>
      </c>
      <c r="E1199" s="14" t="str">
        <f t="shared" si="112"/>
        <v>23</v>
      </c>
      <c r="F1199" s="14" t="str">
        <f t="shared" si="113"/>
        <v>00</v>
      </c>
      <c r="G1199" s="56">
        <v>19322300</v>
      </c>
      <c r="H1199" s="14" t="s">
        <v>2444</v>
      </c>
      <c r="I1199" s="15" t="s">
        <v>2445</v>
      </c>
      <c r="J1199" s="14"/>
      <c r="K1199" s="14"/>
      <c r="L1199" s="14"/>
      <c r="M1199" s="14"/>
    </row>
    <row r="1200" spans="1:13" ht="25.5" x14ac:dyDescent="0.25">
      <c r="A1200" s="14" t="str">
        <f t="shared" si="108"/>
        <v>1</v>
      </c>
      <c r="B1200" s="14" t="str">
        <f t="shared" si="109"/>
        <v>9</v>
      </c>
      <c r="C1200" s="14" t="str">
        <f t="shared" si="110"/>
        <v>3</v>
      </c>
      <c r="D1200" s="14" t="str">
        <f t="shared" si="111"/>
        <v>2</v>
      </c>
      <c r="E1200" s="14" t="str">
        <f t="shared" si="112"/>
        <v>24</v>
      </c>
      <c r="F1200" s="14" t="str">
        <f t="shared" si="113"/>
        <v>00</v>
      </c>
      <c r="G1200" s="56">
        <v>19322400</v>
      </c>
      <c r="H1200" s="14" t="s">
        <v>2446</v>
      </c>
      <c r="I1200" s="15" t="s">
        <v>2447</v>
      </c>
      <c r="J1200" s="14"/>
      <c r="K1200" s="14"/>
      <c r="L1200" s="14"/>
      <c r="M1200" s="14"/>
    </row>
    <row r="1201" spans="1:13" ht="25.5" x14ac:dyDescent="0.25">
      <c r="A1201" s="14" t="str">
        <f t="shared" si="108"/>
        <v>1</v>
      </c>
      <c r="B1201" s="14" t="str">
        <f t="shared" si="109"/>
        <v>9</v>
      </c>
      <c r="C1201" s="14" t="str">
        <f t="shared" si="110"/>
        <v>3</v>
      </c>
      <c r="D1201" s="14" t="str">
        <f t="shared" si="111"/>
        <v>2</v>
      </c>
      <c r="E1201" s="14" t="str">
        <f t="shared" si="112"/>
        <v>25</v>
      </c>
      <c r="F1201" s="14" t="str">
        <f t="shared" si="113"/>
        <v>00</v>
      </c>
      <c r="G1201" s="56">
        <v>19322500</v>
      </c>
      <c r="H1201" s="14" t="s">
        <v>2448</v>
      </c>
      <c r="I1201" s="15" t="s">
        <v>2449</v>
      </c>
      <c r="J1201" s="14"/>
      <c r="K1201" s="14"/>
      <c r="L1201" s="14"/>
      <c r="M1201" s="14"/>
    </row>
    <row r="1202" spans="1:13" ht="38.25" x14ac:dyDescent="0.25">
      <c r="A1202" s="14" t="str">
        <f t="shared" si="108"/>
        <v>1</v>
      </c>
      <c r="B1202" s="14" t="str">
        <f t="shared" si="109"/>
        <v>9</v>
      </c>
      <c r="C1202" s="14" t="str">
        <f t="shared" si="110"/>
        <v>3</v>
      </c>
      <c r="D1202" s="14" t="str">
        <f t="shared" si="111"/>
        <v>2</v>
      </c>
      <c r="E1202" s="14" t="str">
        <f t="shared" si="112"/>
        <v>26</v>
      </c>
      <c r="F1202" s="14" t="str">
        <f t="shared" si="113"/>
        <v>00</v>
      </c>
      <c r="G1202" s="56">
        <v>19322600</v>
      </c>
      <c r="H1202" s="14" t="s">
        <v>2450</v>
      </c>
      <c r="I1202" s="15" t="s">
        <v>2451</v>
      </c>
      <c r="J1202" s="14"/>
      <c r="K1202" s="14"/>
      <c r="L1202" s="14"/>
      <c r="M1202" s="14"/>
    </row>
    <row r="1203" spans="1:13" ht="25.5" x14ac:dyDescent="0.25">
      <c r="A1203" s="14" t="str">
        <f t="shared" si="108"/>
        <v>1</v>
      </c>
      <c r="B1203" s="14" t="str">
        <f t="shared" si="109"/>
        <v>9</v>
      </c>
      <c r="C1203" s="14" t="str">
        <f t="shared" si="110"/>
        <v>3</v>
      </c>
      <c r="D1203" s="14" t="str">
        <f t="shared" si="111"/>
        <v>2</v>
      </c>
      <c r="E1203" s="14" t="str">
        <f t="shared" si="112"/>
        <v>27</v>
      </c>
      <c r="F1203" s="14" t="str">
        <f t="shared" si="113"/>
        <v>00</v>
      </c>
      <c r="G1203" s="56">
        <v>19322700</v>
      </c>
      <c r="H1203" s="14" t="s">
        <v>2452</v>
      </c>
      <c r="I1203" s="15" t="s">
        <v>2453</v>
      </c>
      <c r="J1203" s="14"/>
      <c r="K1203" s="14" t="s">
        <v>151</v>
      </c>
      <c r="L1203" s="14" t="s">
        <v>1436</v>
      </c>
      <c r="M1203" s="14"/>
    </row>
    <row r="1204" spans="1:13" ht="25.5" x14ac:dyDescent="0.25">
      <c r="A1204" s="16" t="str">
        <f t="shared" si="108"/>
        <v>1</v>
      </c>
      <c r="B1204" s="16" t="str">
        <f t="shared" si="109"/>
        <v>9</v>
      </c>
      <c r="C1204" s="16" t="str">
        <f t="shared" si="110"/>
        <v>3</v>
      </c>
      <c r="D1204" s="16" t="str">
        <f t="shared" si="111"/>
        <v>2</v>
      </c>
      <c r="E1204" s="16" t="str">
        <f t="shared" si="112"/>
        <v>27</v>
      </c>
      <c r="F1204" s="16" t="str">
        <f t="shared" si="113"/>
        <v>01</v>
      </c>
      <c r="G1204" s="57">
        <v>19322701</v>
      </c>
      <c r="H1204" s="16" t="s">
        <v>2454</v>
      </c>
      <c r="I1204" s="17" t="s">
        <v>2455</v>
      </c>
      <c r="J1204" s="16"/>
      <c r="K1204" s="16" t="s">
        <v>217</v>
      </c>
      <c r="L1204" s="16" t="s">
        <v>1439</v>
      </c>
      <c r="M1204" s="17"/>
    </row>
    <row r="1205" spans="1:13" ht="38.25" x14ac:dyDescent="0.25">
      <c r="A1205" s="16" t="str">
        <f t="shared" si="108"/>
        <v>1</v>
      </c>
      <c r="B1205" s="16" t="str">
        <f t="shared" si="109"/>
        <v>9</v>
      </c>
      <c r="C1205" s="16" t="str">
        <f t="shared" si="110"/>
        <v>3</v>
      </c>
      <c r="D1205" s="16" t="str">
        <f t="shared" si="111"/>
        <v>2</v>
      </c>
      <c r="E1205" s="16" t="str">
        <f t="shared" si="112"/>
        <v>27</v>
      </c>
      <c r="F1205" s="16" t="str">
        <f t="shared" si="113"/>
        <v>02</v>
      </c>
      <c r="G1205" s="57">
        <v>19322702</v>
      </c>
      <c r="H1205" s="16" t="s">
        <v>2456</v>
      </c>
      <c r="I1205" s="17" t="s">
        <v>2457</v>
      </c>
      <c r="J1205" s="16"/>
      <c r="K1205" s="16" t="s">
        <v>217</v>
      </c>
      <c r="L1205" s="16" t="s">
        <v>1439</v>
      </c>
      <c r="M1205" s="17"/>
    </row>
    <row r="1206" spans="1:13" ht="25.5" x14ac:dyDescent="0.25">
      <c r="A1206" s="16" t="str">
        <f t="shared" si="108"/>
        <v>1</v>
      </c>
      <c r="B1206" s="16" t="str">
        <f t="shared" si="109"/>
        <v>9</v>
      </c>
      <c r="C1206" s="16" t="str">
        <f t="shared" si="110"/>
        <v>3</v>
      </c>
      <c r="D1206" s="16" t="str">
        <f t="shared" si="111"/>
        <v>2</v>
      </c>
      <c r="E1206" s="16" t="str">
        <f t="shared" si="112"/>
        <v>27</v>
      </c>
      <c r="F1206" s="16" t="str">
        <f t="shared" si="113"/>
        <v>03</v>
      </c>
      <c r="G1206" s="57">
        <v>19322703</v>
      </c>
      <c r="H1206" s="16" t="s">
        <v>2458</v>
      </c>
      <c r="I1206" s="17" t="s">
        <v>2459</v>
      </c>
      <c r="J1206" s="16"/>
      <c r="K1206" s="16" t="s">
        <v>217</v>
      </c>
      <c r="L1206" s="16" t="s">
        <v>1439</v>
      </c>
      <c r="M1206" s="17"/>
    </row>
    <row r="1207" spans="1:13" ht="51" x14ac:dyDescent="0.25">
      <c r="A1207" s="16" t="str">
        <f t="shared" si="108"/>
        <v>1</v>
      </c>
      <c r="B1207" s="16" t="str">
        <f t="shared" si="109"/>
        <v>9</v>
      </c>
      <c r="C1207" s="16" t="str">
        <f t="shared" si="110"/>
        <v>3</v>
      </c>
      <c r="D1207" s="16" t="str">
        <f t="shared" si="111"/>
        <v>2</v>
      </c>
      <c r="E1207" s="16" t="str">
        <f t="shared" si="112"/>
        <v>27</v>
      </c>
      <c r="F1207" s="16" t="str">
        <f t="shared" si="113"/>
        <v>04</v>
      </c>
      <c r="G1207" s="57">
        <v>19322704</v>
      </c>
      <c r="H1207" s="16" t="s">
        <v>2460</v>
      </c>
      <c r="I1207" s="17" t="s">
        <v>2461</v>
      </c>
      <c r="J1207" s="16"/>
      <c r="K1207" s="16" t="s">
        <v>217</v>
      </c>
      <c r="L1207" s="16" t="s">
        <v>1439</v>
      </c>
      <c r="M1207" s="17"/>
    </row>
    <row r="1208" spans="1:13" ht="25.5" x14ac:dyDescent="0.25">
      <c r="A1208" s="16" t="str">
        <f t="shared" si="108"/>
        <v>1</v>
      </c>
      <c r="B1208" s="16" t="str">
        <f t="shared" si="109"/>
        <v>9</v>
      </c>
      <c r="C1208" s="16" t="str">
        <f t="shared" si="110"/>
        <v>3</v>
      </c>
      <c r="D1208" s="16" t="str">
        <f t="shared" si="111"/>
        <v>2</v>
      </c>
      <c r="E1208" s="16" t="str">
        <f t="shared" si="112"/>
        <v>27</v>
      </c>
      <c r="F1208" s="16" t="str">
        <f t="shared" si="113"/>
        <v>06</v>
      </c>
      <c r="G1208" s="57">
        <v>19322706</v>
      </c>
      <c r="H1208" s="16" t="s">
        <v>2462</v>
      </c>
      <c r="I1208" s="17" t="s">
        <v>2463</v>
      </c>
      <c r="J1208" s="16"/>
      <c r="K1208" s="16" t="s">
        <v>217</v>
      </c>
      <c r="L1208" s="16" t="s">
        <v>1439</v>
      </c>
      <c r="M1208" s="17"/>
    </row>
    <row r="1209" spans="1:13" ht="38.25" x14ac:dyDescent="0.25">
      <c r="A1209" s="16" t="str">
        <f t="shared" si="108"/>
        <v>1</v>
      </c>
      <c r="B1209" s="16" t="str">
        <f t="shared" si="109"/>
        <v>9</v>
      </c>
      <c r="C1209" s="16" t="str">
        <f t="shared" si="110"/>
        <v>3</v>
      </c>
      <c r="D1209" s="16" t="str">
        <f t="shared" si="111"/>
        <v>2</v>
      </c>
      <c r="E1209" s="16" t="str">
        <f t="shared" si="112"/>
        <v>27</v>
      </c>
      <c r="F1209" s="16" t="str">
        <f t="shared" si="113"/>
        <v>07</v>
      </c>
      <c r="G1209" s="57">
        <v>19322707</v>
      </c>
      <c r="H1209" s="16" t="s">
        <v>2464</v>
      </c>
      <c r="I1209" s="17" t="s">
        <v>2465</v>
      </c>
      <c r="J1209" s="16"/>
      <c r="K1209" s="16" t="s">
        <v>217</v>
      </c>
      <c r="L1209" s="16" t="s">
        <v>1439</v>
      </c>
      <c r="M1209" s="17"/>
    </row>
    <row r="1210" spans="1:13" ht="38.25" x14ac:dyDescent="0.25">
      <c r="A1210" s="14" t="str">
        <f t="shared" si="108"/>
        <v>1</v>
      </c>
      <c r="B1210" s="14" t="str">
        <f t="shared" si="109"/>
        <v>9</v>
      </c>
      <c r="C1210" s="14" t="str">
        <f t="shared" si="110"/>
        <v>3</v>
      </c>
      <c r="D1210" s="14" t="str">
        <f t="shared" si="111"/>
        <v>2</v>
      </c>
      <c r="E1210" s="14" t="str">
        <f t="shared" si="112"/>
        <v>28</v>
      </c>
      <c r="F1210" s="14" t="str">
        <f t="shared" si="113"/>
        <v>00</v>
      </c>
      <c r="G1210" s="56">
        <v>19322800</v>
      </c>
      <c r="H1210" s="14" t="s">
        <v>2466</v>
      </c>
      <c r="I1210" s="15" t="s">
        <v>2467</v>
      </c>
      <c r="J1210" s="14"/>
      <c r="K1210" s="14"/>
      <c r="L1210" s="14"/>
      <c r="M1210" s="14"/>
    </row>
    <row r="1211" spans="1:13" ht="51" x14ac:dyDescent="0.25">
      <c r="A1211" s="14" t="str">
        <f t="shared" si="108"/>
        <v>1</v>
      </c>
      <c r="B1211" s="14" t="str">
        <f t="shared" si="109"/>
        <v>9</v>
      </c>
      <c r="C1211" s="14" t="str">
        <f t="shared" si="110"/>
        <v>3</v>
      </c>
      <c r="D1211" s="14" t="str">
        <f t="shared" si="111"/>
        <v>2</v>
      </c>
      <c r="E1211" s="14" t="str">
        <f t="shared" si="112"/>
        <v>29</v>
      </c>
      <c r="F1211" s="14" t="str">
        <f t="shared" si="113"/>
        <v>00</v>
      </c>
      <c r="G1211" s="56">
        <v>19322900</v>
      </c>
      <c r="H1211" s="14" t="s">
        <v>2468</v>
      </c>
      <c r="I1211" s="15" t="s">
        <v>2469</v>
      </c>
      <c r="J1211" s="14"/>
      <c r="K1211" s="14"/>
      <c r="L1211" s="14"/>
      <c r="M1211" s="14"/>
    </row>
    <row r="1212" spans="1:13" ht="25.5" x14ac:dyDescent="0.25">
      <c r="A1212" s="14" t="str">
        <f t="shared" si="108"/>
        <v>1</v>
      </c>
      <c r="B1212" s="14" t="str">
        <f t="shared" si="109"/>
        <v>9</v>
      </c>
      <c r="C1212" s="14" t="str">
        <f t="shared" si="110"/>
        <v>3</v>
      </c>
      <c r="D1212" s="14" t="str">
        <f t="shared" si="111"/>
        <v>2</v>
      </c>
      <c r="E1212" s="14" t="str">
        <f t="shared" si="112"/>
        <v>30</v>
      </c>
      <c r="F1212" s="14" t="str">
        <f t="shared" si="113"/>
        <v>00</v>
      </c>
      <c r="G1212" s="56">
        <v>19323000</v>
      </c>
      <c r="H1212" s="14" t="s">
        <v>2470</v>
      </c>
      <c r="I1212" s="15" t="s">
        <v>2471</v>
      </c>
      <c r="J1212" s="14"/>
      <c r="K1212" s="14"/>
      <c r="L1212" s="14"/>
      <c r="M1212" s="14"/>
    </row>
    <row r="1213" spans="1:13" ht="25.5" x14ac:dyDescent="0.25">
      <c r="A1213" s="14" t="str">
        <f t="shared" si="108"/>
        <v>1</v>
      </c>
      <c r="B1213" s="14" t="str">
        <f t="shared" si="109"/>
        <v>9</v>
      </c>
      <c r="C1213" s="14" t="str">
        <f t="shared" si="110"/>
        <v>3</v>
      </c>
      <c r="D1213" s="14" t="str">
        <f t="shared" si="111"/>
        <v>2</v>
      </c>
      <c r="E1213" s="14" t="str">
        <f t="shared" si="112"/>
        <v>31</v>
      </c>
      <c r="F1213" s="14" t="str">
        <f t="shared" si="113"/>
        <v>00</v>
      </c>
      <c r="G1213" s="56">
        <v>19323100</v>
      </c>
      <c r="H1213" s="14" t="s">
        <v>2472</v>
      </c>
      <c r="I1213" s="15" t="s">
        <v>2473</v>
      </c>
      <c r="J1213" s="14"/>
      <c r="K1213" s="14"/>
      <c r="L1213" s="14"/>
      <c r="M1213" s="14"/>
    </row>
    <row r="1214" spans="1:13" ht="38.25" x14ac:dyDescent="0.25">
      <c r="A1214" s="14" t="str">
        <f t="shared" si="108"/>
        <v>1</v>
      </c>
      <c r="B1214" s="14" t="str">
        <f t="shared" si="109"/>
        <v>9</v>
      </c>
      <c r="C1214" s="14" t="str">
        <f t="shared" si="110"/>
        <v>3</v>
      </c>
      <c r="D1214" s="14" t="str">
        <f t="shared" si="111"/>
        <v>2</v>
      </c>
      <c r="E1214" s="14" t="str">
        <f t="shared" si="112"/>
        <v>32</v>
      </c>
      <c r="F1214" s="14" t="str">
        <f t="shared" si="113"/>
        <v>00</v>
      </c>
      <c r="G1214" s="56">
        <v>19323200</v>
      </c>
      <c r="H1214" s="14" t="s">
        <v>2474</v>
      </c>
      <c r="I1214" s="15" t="s">
        <v>2475</v>
      </c>
      <c r="J1214" s="14"/>
      <c r="K1214" s="14"/>
      <c r="L1214" s="14"/>
      <c r="M1214" s="14"/>
    </row>
    <row r="1215" spans="1:13" ht="38.25" x14ac:dyDescent="0.25">
      <c r="A1215" s="14" t="str">
        <f t="shared" si="108"/>
        <v>1</v>
      </c>
      <c r="B1215" s="14" t="str">
        <f t="shared" si="109"/>
        <v>9</v>
      </c>
      <c r="C1215" s="14" t="str">
        <f t="shared" si="110"/>
        <v>3</v>
      </c>
      <c r="D1215" s="14" t="str">
        <f t="shared" si="111"/>
        <v>2</v>
      </c>
      <c r="E1215" s="14" t="str">
        <f t="shared" si="112"/>
        <v>33</v>
      </c>
      <c r="F1215" s="14" t="str">
        <f t="shared" si="113"/>
        <v>00</v>
      </c>
      <c r="G1215" s="56">
        <v>19323300</v>
      </c>
      <c r="H1215" s="14" t="s">
        <v>2476</v>
      </c>
      <c r="I1215" s="15" t="s">
        <v>2477</v>
      </c>
      <c r="J1215" s="14"/>
      <c r="K1215" s="14"/>
      <c r="L1215" s="14"/>
      <c r="M1215" s="14"/>
    </row>
    <row r="1216" spans="1:13" ht="38.25" x14ac:dyDescent="0.25">
      <c r="A1216" s="14" t="str">
        <f t="shared" si="108"/>
        <v>1</v>
      </c>
      <c r="B1216" s="14" t="str">
        <f t="shared" si="109"/>
        <v>9</v>
      </c>
      <c r="C1216" s="14" t="str">
        <f t="shared" si="110"/>
        <v>3</v>
      </c>
      <c r="D1216" s="14" t="str">
        <f t="shared" si="111"/>
        <v>2</v>
      </c>
      <c r="E1216" s="14" t="str">
        <f t="shared" si="112"/>
        <v>34</v>
      </c>
      <c r="F1216" s="14" t="str">
        <f t="shared" si="113"/>
        <v>00</v>
      </c>
      <c r="G1216" s="56">
        <v>19323400</v>
      </c>
      <c r="H1216" s="14" t="s">
        <v>2478</v>
      </c>
      <c r="I1216" s="15" t="s">
        <v>2479</v>
      </c>
      <c r="J1216" s="14"/>
      <c r="K1216" s="14"/>
      <c r="L1216" s="14"/>
      <c r="M1216" s="14"/>
    </row>
    <row r="1217" spans="1:13" ht="51" x14ac:dyDescent="0.25">
      <c r="A1217" s="14" t="str">
        <f t="shared" si="108"/>
        <v>1</v>
      </c>
      <c r="B1217" s="14" t="str">
        <f t="shared" si="109"/>
        <v>9</v>
      </c>
      <c r="C1217" s="14" t="str">
        <f t="shared" si="110"/>
        <v>3</v>
      </c>
      <c r="D1217" s="14" t="str">
        <f t="shared" si="111"/>
        <v>2</v>
      </c>
      <c r="E1217" s="14" t="str">
        <f t="shared" si="112"/>
        <v>35</v>
      </c>
      <c r="F1217" s="14" t="str">
        <f t="shared" si="113"/>
        <v>00</v>
      </c>
      <c r="G1217" s="56">
        <v>19323500</v>
      </c>
      <c r="H1217" s="14" t="s">
        <v>2480</v>
      </c>
      <c r="I1217" s="15" t="s">
        <v>2481</v>
      </c>
      <c r="J1217" s="14"/>
      <c r="K1217" s="14"/>
      <c r="L1217" s="14"/>
      <c r="M1217" s="14"/>
    </row>
    <row r="1218" spans="1:13" ht="25.5" x14ac:dyDescent="0.25">
      <c r="A1218" s="14" t="str">
        <f t="shared" si="108"/>
        <v>1</v>
      </c>
      <c r="B1218" s="14" t="str">
        <f t="shared" si="109"/>
        <v>9</v>
      </c>
      <c r="C1218" s="14" t="str">
        <f t="shared" si="110"/>
        <v>3</v>
      </c>
      <c r="D1218" s="14" t="str">
        <f t="shared" si="111"/>
        <v>2</v>
      </c>
      <c r="E1218" s="14" t="str">
        <f t="shared" si="112"/>
        <v>36</v>
      </c>
      <c r="F1218" s="14" t="str">
        <f t="shared" si="113"/>
        <v>00</v>
      </c>
      <c r="G1218" s="56">
        <v>19323600</v>
      </c>
      <c r="H1218" s="14" t="s">
        <v>2482</v>
      </c>
      <c r="I1218" s="15" t="s">
        <v>2483</v>
      </c>
      <c r="J1218" s="14"/>
      <c r="K1218" s="14"/>
      <c r="L1218" s="14"/>
      <c r="M1218" s="14"/>
    </row>
    <row r="1219" spans="1:13" ht="25.5" x14ac:dyDescent="0.25">
      <c r="A1219" s="14" t="str">
        <f t="shared" si="108"/>
        <v>1</v>
      </c>
      <c r="B1219" s="14" t="str">
        <f t="shared" si="109"/>
        <v>9</v>
      </c>
      <c r="C1219" s="14" t="str">
        <f t="shared" si="110"/>
        <v>3</v>
      </c>
      <c r="D1219" s="14" t="str">
        <f t="shared" si="111"/>
        <v>2</v>
      </c>
      <c r="E1219" s="14" t="str">
        <f t="shared" si="112"/>
        <v>37</v>
      </c>
      <c r="F1219" s="14" t="str">
        <f t="shared" si="113"/>
        <v>00</v>
      </c>
      <c r="G1219" s="56">
        <v>19323700</v>
      </c>
      <c r="H1219" s="14" t="s">
        <v>2484</v>
      </c>
      <c r="I1219" s="15" t="s">
        <v>2485</v>
      </c>
      <c r="J1219" s="14"/>
      <c r="K1219" s="14"/>
      <c r="L1219" s="14"/>
      <c r="M1219" s="14"/>
    </row>
    <row r="1220" spans="1:13" ht="25.5" x14ac:dyDescent="0.25">
      <c r="A1220" s="14" t="str">
        <f t="shared" ref="A1220:A1283" si="114">MID(G1220,1,1)</f>
        <v>1</v>
      </c>
      <c r="B1220" s="14" t="str">
        <f t="shared" ref="B1220:B1283" si="115">MID(G1220,2,1)</f>
        <v>9</v>
      </c>
      <c r="C1220" s="14" t="str">
        <f t="shared" ref="C1220:C1283" si="116">MID(G1220,3,1)</f>
        <v>3</v>
      </c>
      <c r="D1220" s="14" t="str">
        <f t="shared" ref="D1220:D1283" si="117">MID(G1220,4,1)</f>
        <v>2</v>
      </c>
      <c r="E1220" s="14" t="str">
        <f t="shared" ref="E1220:E1283" si="118">MID(G1220,5,2)</f>
        <v>38</v>
      </c>
      <c r="F1220" s="14" t="str">
        <f t="shared" ref="F1220:F1283" si="119">MID(G1220,7,2)</f>
        <v>00</v>
      </c>
      <c r="G1220" s="56">
        <v>19323800</v>
      </c>
      <c r="H1220" s="14" t="s">
        <v>2486</v>
      </c>
      <c r="I1220" s="15" t="s">
        <v>2487</v>
      </c>
      <c r="J1220" s="14"/>
      <c r="K1220" s="14"/>
      <c r="L1220" s="14"/>
      <c r="M1220" s="14"/>
    </row>
    <row r="1221" spans="1:13" ht="38.25" x14ac:dyDescent="0.25">
      <c r="A1221" s="14" t="str">
        <f t="shared" si="114"/>
        <v>1</v>
      </c>
      <c r="B1221" s="14" t="str">
        <f t="shared" si="115"/>
        <v>9</v>
      </c>
      <c r="C1221" s="14" t="str">
        <f t="shared" si="116"/>
        <v>3</v>
      </c>
      <c r="D1221" s="14" t="str">
        <f t="shared" si="117"/>
        <v>2</v>
      </c>
      <c r="E1221" s="14" t="str">
        <f t="shared" si="118"/>
        <v>39</v>
      </c>
      <c r="F1221" s="14" t="str">
        <f t="shared" si="119"/>
        <v>00</v>
      </c>
      <c r="G1221" s="56">
        <v>19323900</v>
      </c>
      <c r="H1221" s="14" t="s">
        <v>2488</v>
      </c>
      <c r="I1221" s="15" t="s">
        <v>2489</v>
      </c>
      <c r="J1221" s="14"/>
      <c r="K1221" s="14"/>
      <c r="L1221" s="14"/>
      <c r="M1221" s="14"/>
    </row>
    <row r="1222" spans="1:13" ht="25.5" x14ac:dyDescent="0.25">
      <c r="A1222" s="14" t="str">
        <f t="shared" si="114"/>
        <v>1</v>
      </c>
      <c r="B1222" s="14" t="str">
        <f t="shared" si="115"/>
        <v>9</v>
      </c>
      <c r="C1222" s="14" t="str">
        <f t="shared" si="116"/>
        <v>3</v>
      </c>
      <c r="D1222" s="14" t="str">
        <f t="shared" si="117"/>
        <v>2</v>
      </c>
      <c r="E1222" s="14" t="str">
        <f t="shared" si="118"/>
        <v>40</v>
      </c>
      <c r="F1222" s="14" t="str">
        <f t="shared" si="119"/>
        <v>00</v>
      </c>
      <c r="G1222" s="56">
        <v>19324000</v>
      </c>
      <c r="H1222" s="14" t="s">
        <v>2490</v>
      </c>
      <c r="I1222" s="15" t="s">
        <v>2491</v>
      </c>
      <c r="J1222" s="14"/>
      <c r="K1222" s="14"/>
      <c r="L1222" s="14"/>
      <c r="M1222" s="14"/>
    </row>
    <row r="1223" spans="1:13" ht="25.5" x14ac:dyDescent="0.25">
      <c r="A1223" s="14" t="str">
        <f t="shared" si="114"/>
        <v>1</v>
      </c>
      <c r="B1223" s="14" t="str">
        <f t="shared" si="115"/>
        <v>9</v>
      </c>
      <c r="C1223" s="14" t="str">
        <f t="shared" si="116"/>
        <v>3</v>
      </c>
      <c r="D1223" s="14" t="str">
        <f t="shared" si="117"/>
        <v>2</v>
      </c>
      <c r="E1223" s="14" t="str">
        <f t="shared" si="118"/>
        <v>41</v>
      </c>
      <c r="F1223" s="14" t="str">
        <f t="shared" si="119"/>
        <v>00</v>
      </c>
      <c r="G1223" s="56">
        <v>19324100</v>
      </c>
      <c r="H1223" s="14" t="s">
        <v>2492</v>
      </c>
      <c r="I1223" s="15" t="s">
        <v>2493</v>
      </c>
      <c r="J1223" s="14"/>
      <c r="K1223" s="14"/>
      <c r="L1223" s="14"/>
      <c r="M1223" s="14"/>
    </row>
    <row r="1224" spans="1:13" ht="25.5" x14ac:dyDescent="0.25">
      <c r="A1224" s="14" t="str">
        <f t="shared" si="114"/>
        <v>1</v>
      </c>
      <c r="B1224" s="14" t="str">
        <f t="shared" si="115"/>
        <v>9</v>
      </c>
      <c r="C1224" s="14" t="str">
        <f t="shared" si="116"/>
        <v>3</v>
      </c>
      <c r="D1224" s="14" t="str">
        <f t="shared" si="117"/>
        <v>2</v>
      </c>
      <c r="E1224" s="14" t="str">
        <f t="shared" si="118"/>
        <v>42</v>
      </c>
      <c r="F1224" s="14" t="str">
        <f t="shared" si="119"/>
        <v>00</v>
      </c>
      <c r="G1224" s="56">
        <v>19324200</v>
      </c>
      <c r="H1224" s="14" t="s">
        <v>2494</v>
      </c>
      <c r="I1224" s="15" t="s">
        <v>2495</v>
      </c>
      <c r="J1224" s="14"/>
      <c r="K1224" s="14"/>
      <c r="L1224" s="14"/>
      <c r="M1224" s="14"/>
    </row>
    <row r="1225" spans="1:13" ht="38.25" x14ac:dyDescent="0.25">
      <c r="A1225" s="14" t="str">
        <f t="shared" si="114"/>
        <v>1</v>
      </c>
      <c r="B1225" s="14" t="str">
        <f t="shared" si="115"/>
        <v>9</v>
      </c>
      <c r="C1225" s="14" t="str">
        <f t="shared" si="116"/>
        <v>3</v>
      </c>
      <c r="D1225" s="14" t="str">
        <f t="shared" si="117"/>
        <v>2</v>
      </c>
      <c r="E1225" s="14" t="str">
        <f t="shared" si="118"/>
        <v>43</v>
      </c>
      <c r="F1225" s="14" t="str">
        <f t="shared" si="119"/>
        <v>00</v>
      </c>
      <c r="G1225" s="56">
        <v>19324300</v>
      </c>
      <c r="H1225" s="14" t="s">
        <v>2496</v>
      </c>
      <c r="I1225" s="15" t="s">
        <v>2497</v>
      </c>
      <c r="J1225" s="14"/>
      <c r="K1225" s="14"/>
      <c r="L1225" s="14"/>
      <c r="M1225" s="14"/>
    </row>
    <row r="1226" spans="1:13" ht="25.5" x14ac:dyDescent="0.25">
      <c r="A1226" s="14" t="str">
        <f t="shared" si="114"/>
        <v>1</v>
      </c>
      <c r="B1226" s="14" t="str">
        <f t="shared" si="115"/>
        <v>9</v>
      </c>
      <c r="C1226" s="14" t="str">
        <f t="shared" si="116"/>
        <v>3</v>
      </c>
      <c r="D1226" s="14" t="str">
        <f t="shared" si="117"/>
        <v>2</v>
      </c>
      <c r="E1226" s="14" t="str">
        <f t="shared" si="118"/>
        <v>44</v>
      </c>
      <c r="F1226" s="14" t="str">
        <f t="shared" si="119"/>
        <v>00</v>
      </c>
      <c r="G1226" s="56">
        <v>19324400</v>
      </c>
      <c r="H1226" s="14" t="s">
        <v>2498</v>
      </c>
      <c r="I1226" s="15" t="s">
        <v>2499</v>
      </c>
      <c r="J1226" s="14"/>
      <c r="K1226" s="14"/>
      <c r="L1226" s="14"/>
      <c r="M1226" s="14"/>
    </row>
    <row r="1227" spans="1:13" ht="38.25" x14ac:dyDescent="0.25">
      <c r="A1227" s="14" t="str">
        <f t="shared" si="114"/>
        <v>1</v>
      </c>
      <c r="B1227" s="14" t="str">
        <f t="shared" si="115"/>
        <v>9</v>
      </c>
      <c r="C1227" s="14" t="str">
        <f t="shared" si="116"/>
        <v>3</v>
      </c>
      <c r="D1227" s="14" t="str">
        <f t="shared" si="117"/>
        <v>2</v>
      </c>
      <c r="E1227" s="14" t="str">
        <f t="shared" si="118"/>
        <v>45</v>
      </c>
      <c r="F1227" s="14" t="str">
        <f t="shared" si="119"/>
        <v>00</v>
      </c>
      <c r="G1227" s="56">
        <v>19324500</v>
      </c>
      <c r="H1227" s="14" t="s">
        <v>2500</v>
      </c>
      <c r="I1227" s="15" t="s">
        <v>2501</v>
      </c>
      <c r="J1227" s="14"/>
      <c r="K1227" s="14"/>
      <c r="L1227" s="14"/>
      <c r="M1227" s="14"/>
    </row>
    <row r="1228" spans="1:13" ht="38.25" x14ac:dyDescent="0.25">
      <c r="A1228" s="14" t="str">
        <f t="shared" si="114"/>
        <v>1</v>
      </c>
      <c r="B1228" s="14" t="str">
        <f t="shared" si="115"/>
        <v>9</v>
      </c>
      <c r="C1228" s="14" t="str">
        <f t="shared" si="116"/>
        <v>3</v>
      </c>
      <c r="D1228" s="14" t="str">
        <f t="shared" si="117"/>
        <v>2</v>
      </c>
      <c r="E1228" s="14" t="str">
        <f t="shared" si="118"/>
        <v>46</v>
      </c>
      <c r="F1228" s="14" t="str">
        <f t="shared" si="119"/>
        <v>00</v>
      </c>
      <c r="G1228" s="56">
        <v>19324600</v>
      </c>
      <c r="H1228" s="14" t="s">
        <v>2502</v>
      </c>
      <c r="I1228" s="15" t="s">
        <v>2503</v>
      </c>
      <c r="J1228" s="14"/>
      <c r="K1228" s="14"/>
      <c r="L1228" s="14"/>
      <c r="M1228" s="14"/>
    </row>
    <row r="1229" spans="1:13" ht="25.5" x14ac:dyDescent="0.25">
      <c r="A1229" s="14" t="str">
        <f t="shared" si="114"/>
        <v>1</v>
      </c>
      <c r="B1229" s="14" t="str">
        <f t="shared" si="115"/>
        <v>9</v>
      </c>
      <c r="C1229" s="14" t="str">
        <f t="shared" si="116"/>
        <v>3</v>
      </c>
      <c r="D1229" s="14" t="str">
        <f t="shared" si="117"/>
        <v>2</v>
      </c>
      <c r="E1229" s="14" t="str">
        <f t="shared" si="118"/>
        <v>47</v>
      </c>
      <c r="F1229" s="14" t="str">
        <f t="shared" si="119"/>
        <v>00</v>
      </c>
      <c r="G1229" s="56">
        <v>19324700</v>
      </c>
      <c r="H1229" s="14" t="s">
        <v>2504</v>
      </c>
      <c r="I1229" s="15" t="s">
        <v>2505</v>
      </c>
      <c r="J1229" s="14"/>
      <c r="K1229" s="14"/>
      <c r="L1229" s="14"/>
      <c r="M1229" s="14"/>
    </row>
    <row r="1230" spans="1:13" ht="38.25" x14ac:dyDescent="0.25">
      <c r="A1230" s="16" t="str">
        <f t="shared" si="114"/>
        <v>1</v>
      </c>
      <c r="B1230" s="16" t="str">
        <f t="shared" si="115"/>
        <v>9</v>
      </c>
      <c r="C1230" s="16" t="str">
        <f t="shared" si="116"/>
        <v>3</v>
      </c>
      <c r="D1230" s="16" t="str">
        <f t="shared" si="117"/>
        <v>2</v>
      </c>
      <c r="E1230" s="16" t="str">
        <f t="shared" si="118"/>
        <v>47</v>
      </c>
      <c r="F1230" s="16" t="str">
        <f t="shared" si="119"/>
        <v>10</v>
      </c>
      <c r="G1230" s="57">
        <v>19324710</v>
      </c>
      <c r="H1230" s="16" t="s">
        <v>2506</v>
      </c>
      <c r="I1230" s="17" t="s">
        <v>2507</v>
      </c>
      <c r="J1230" s="16"/>
      <c r="K1230" s="16"/>
      <c r="L1230" s="16"/>
      <c r="M1230" s="17"/>
    </row>
    <row r="1231" spans="1:13" ht="25.5" x14ac:dyDescent="0.25">
      <c r="A1231" s="16" t="str">
        <f t="shared" si="114"/>
        <v>1</v>
      </c>
      <c r="B1231" s="16" t="str">
        <f t="shared" si="115"/>
        <v>9</v>
      </c>
      <c r="C1231" s="16" t="str">
        <f t="shared" si="116"/>
        <v>3</v>
      </c>
      <c r="D1231" s="16" t="str">
        <f t="shared" si="117"/>
        <v>2</v>
      </c>
      <c r="E1231" s="16" t="str">
        <f t="shared" si="118"/>
        <v>47</v>
      </c>
      <c r="F1231" s="16" t="str">
        <f t="shared" si="119"/>
        <v>20</v>
      </c>
      <c r="G1231" s="57">
        <v>19324720</v>
      </c>
      <c r="H1231" s="16" t="s">
        <v>2508</v>
      </c>
      <c r="I1231" s="17" t="s">
        <v>2509</v>
      </c>
      <c r="J1231" s="16"/>
      <c r="K1231" s="16"/>
      <c r="L1231" s="16"/>
      <c r="M1231" s="17"/>
    </row>
    <row r="1232" spans="1:13" ht="25.5" x14ac:dyDescent="0.25">
      <c r="A1232" s="14" t="str">
        <f t="shared" si="114"/>
        <v>1</v>
      </c>
      <c r="B1232" s="14" t="str">
        <f t="shared" si="115"/>
        <v>9</v>
      </c>
      <c r="C1232" s="14" t="str">
        <f t="shared" si="116"/>
        <v>3</v>
      </c>
      <c r="D1232" s="14" t="str">
        <f t="shared" si="117"/>
        <v>2</v>
      </c>
      <c r="E1232" s="14" t="str">
        <f t="shared" si="118"/>
        <v>99</v>
      </c>
      <c r="F1232" s="14" t="str">
        <f t="shared" si="119"/>
        <v>00</v>
      </c>
      <c r="G1232" s="56">
        <v>19329900</v>
      </c>
      <c r="H1232" s="14" t="s">
        <v>2510</v>
      </c>
      <c r="I1232" s="15" t="s">
        <v>2511</v>
      </c>
      <c r="J1232" s="14"/>
      <c r="K1232" s="14"/>
      <c r="L1232" s="14"/>
      <c r="M1232" s="14"/>
    </row>
    <row r="1233" spans="1:13" ht="25.5" x14ac:dyDescent="0.25">
      <c r="A1233" s="16" t="str">
        <f t="shared" si="114"/>
        <v>1</v>
      </c>
      <c r="B1233" s="16" t="str">
        <f t="shared" si="115"/>
        <v>9</v>
      </c>
      <c r="C1233" s="16" t="str">
        <f t="shared" si="116"/>
        <v>3</v>
      </c>
      <c r="D1233" s="16" t="str">
        <f t="shared" si="117"/>
        <v>2</v>
      </c>
      <c r="E1233" s="16" t="str">
        <f t="shared" si="118"/>
        <v>99</v>
      </c>
      <c r="F1233" s="16" t="str">
        <f t="shared" si="119"/>
        <v>01</v>
      </c>
      <c r="G1233" s="57">
        <v>19329901</v>
      </c>
      <c r="H1233" s="16" t="s">
        <v>2512</v>
      </c>
      <c r="I1233" s="17" t="s">
        <v>2513</v>
      </c>
      <c r="J1233" s="16"/>
      <c r="K1233" s="16"/>
      <c r="L1233" s="16"/>
      <c r="M1233" s="17"/>
    </row>
    <row r="1234" spans="1:13" ht="25.5" x14ac:dyDescent="0.25">
      <c r="A1234" s="16" t="str">
        <f t="shared" si="114"/>
        <v>1</v>
      </c>
      <c r="B1234" s="16" t="str">
        <f t="shared" si="115"/>
        <v>9</v>
      </c>
      <c r="C1234" s="16" t="str">
        <f t="shared" si="116"/>
        <v>3</v>
      </c>
      <c r="D1234" s="16" t="str">
        <f t="shared" si="117"/>
        <v>2</v>
      </c>
      <c r="E1234" s="16" t="str">
        <f t="shared" si="118"/>
        <v>99</v>
      </c>
      <c r="F1234" s="16" t="str">
        <f t="shared" si="119"/>
        <v>02</v>
      </c>
      <c r="G1234" s="57">
        <v>19329902</v>
      </c>
      <c r="H1234" s="16" t="s">
        <v>2514</v>
      </c>
      <c r="I1234" s="17" t="s">
        <v>2515</v>
      </c>
      <c r="J1234" s="16"/>
      <c r="K1234" s="16"/>
      <c r="L1234" s="16"/>
      <c r="M1234" s="17"/>
    </row>
    <row r="1235" spans="1:13" ht="38.25" x14ac:dyDescent="0.25">
      <c r="A1235" s="10" t="str">
        <f t="shared" si="114"/>
        <v>1</v>
      </c>
      <c r="B1235" s="10" t="str">
        <f t="shared" si="115"/>
        <v>9</v>
      </c>
      <c r="C1235" s="10" t="str">
        <f t="shared" si="116"/>
        <v>4</v>
      </c>
      <c r="D1235" s="10" t="str">
        <f t="shared" si="117"/>
        <v>0</v>
      </c>
      <c r="E1235" s="10" t="str">
        <f t="shared" si="118"/>
        <v>00</v>
      </c>
      <c r="F1235" s="10" t="str">
        <f t="shared" si="119"/>
        <v>00</v>
      </c>
      <c r="G1235" s="54">
        <v>19400000</v>
      </c>
      <c r="H1235" s="10" t="s">
        <v>2516</v>
      </c>
      <c r="I1235" s="11" t="s">
        <v>2517</v>
      </c>
      <c r="J1235" s="10"/>
      <c r="K1235" s="10"/>
      <c r="L1235" s="10"/>
      <c r="M1235" s="11"/>
    </row>
    <row r="1236" spans="1:13" ht="25.5" x14ac:dyDescent="0.25">
      <c r="A1236" s="10" t="str">
        <f t="shared" si="114"/>
        <v>1</v>
      </c>
      <c r="B1236" s="10" t="str">
        <f t="shared" si="115"/>
        <v>9</v>
      </c>
      <c r="C1236" s="10" t="str">
        <f t="shared" si="116"/>
        <v>5</v>
      </c>
      <c r="D1236" s="10" t="str">
        <f t="shared" si="117"/>
        <v>0</v>
      </c>
      <c r="E1236" s="10" t="str">
        <f t="shared" si="118"/>
        <v>00</v>
      </c>
      <c r="F1236" s="10" t="str">
        <f t="shared" si="119"/>
        <v>00</v>
      </c>
      <c r="G1236" s="54">
        <v>19500000</v>
      </c>
      <c r="H1236" s="10" t="s">
        <v>2518</v>
      </c>
      <c r="I1236" s="11" t="s">
        <v>2519</v>
      </c>
      <c r="J1236" s="10"/>
      <c r="K1236" s="10" t="s">
        <v>217</v>
      </c>
      <c r="L1236" s="10" t="s">
        <v>2520</v>
      </c>
      <c r="M1236" s="11"/>
    </row>
    <row r="1237" spans="1:13" ht="38.25" x14ac:dyDescent="0.25">
      <c r="A1237" s="10" t="str">
        <f t="shared" si="114"/>
        <v>1</v>
      </c>
      <c r="B1237" s="10" t="str">
        <f t="shared" si="115"/>
        <v>9</v>
      </c>
      <c r="C1237" s="10" t="str">
        <f t="shared" si="116"/>
        <v>9</v>
      </c>
      <c r="D1237" s="10" t="str">
        <f t="shared" si="117"/>
        <v>0</v>
      </c>
      <c r="E1237" s="10" t="str">
        <f t="shared" si="118"/>
        <v>00</v>
      </c>
      <c r="F1237" s="10" t="str">
        <f t="shared" si="119"/>
        <v>00</v>
      </c>
      <c r="G1237" s="54">
        <v>19900000</v>
      </c>
      <c r="H1237" s="10" t="s">
        <v>2521</v>
      </c>
      <c r="I1237" s="11" t="s">
        <v>2522</v>
      </c>
      <c r="J1237" s="10"/>
      <c r="K1237" s="10"/>
      <c r="L1237" s="10"/>
      <c r="M1237" s="11"/>
    </row>
    <row r="1238" spans="1:13" ht="25.5" x14ac:dyDescent="0.25">
      <c r="A1238" s="14" t="str">
        <f t="shared" si="114"/>
        <v>1</v>
      </c>
      <c r="B1238" s="14" t="str">
        <f t="shared" si="115"/>
        <v>9</v>
      </c>
      <c r="C1238" s="14" t="str">
        <f t="shared" si="116"/>
        <v>9</v>
      </c>
      <c r="D1238" s="14" t="str">
        <f t="shared" si="117"/>
        <v>0</v>
      </c>
      <c r="E1238" s="14" t="str">
        <f t="shared" si="118"/>
        <v>01</v>
      </c>
      <c r="F1238" s="14" t="str">
        <f t="shared" si="119"/>
        <v>00</v>
      </c>
      <c r="G1238" s="56">
        <v>19900100</v>
      </c>
      <c r="H1238" s="14" t="s">
        <v>2523</v>
      </c>
      <c r="I1238" s="15" t="s">
        <v>2524</v>
      </c>
      <c r="J1238" s="14"/>
      <c r="K1238" s="14"/>
      <c r="L1238" s="14"/>
      <c r="M1238" s="14"/>
    </row>
    <row r="1239" spans="1:13" ht="38.25" x14ac:dyDescent="0.25">
      <c r="A1239" s="14" t="str">
        <f t="shared" si="114"/>
        <v>1</v>
      </c>
      <c r="B1239" s="14" t="str">
        <f t="shared" si="115"/>
        <v>9</v>
      </c>
      <c r="C1239" s="14" t="str">
        <f t="shared" si="116"/>
        <v>9</v>
      </c>
      <c r="D1239" s="14" t="str">
        <f t="shared" si="117"/>
        <v>0</v>
      </c>
      <c r="E1239" s="14" t="str">
        <f t="shared" si="118"/>
        <v>02</v>
      </c>
      <c r="F1239" s="14" t="str">
        <f t="shared" si="119"/>
        <v>00</v>
      </c>
      <c r="G1239" s="56">
        <v>19900200</v>
      </c>
      <c r="H1239" s="14" t="s">
        <v>2525</v>
      </c>
      <c r="I1239" s="15" t="s">
        <v>2526</v>
      </c>
      <c r="J1239" s="14"/>
      <c r="K1239" s="14" t="s">
        <v>151</v>
      </c>
      <c r="L1239" s="14" t="s">
        <v>2527</v>
      </c>
      <c r="M1239" s="14"/>
    </row>
    <row r="1240" spans="1:13" ht="38.25" x14ac:dyDescent="0.25">
      <c r="A1240" s="16" t="str">
        <f t="shared" si="114"/>
        <v>1</v>
      </c>
      <c r="B1240" s="16" t="str">
        <f t="shared" si="115"/>
        <v>9</v>
      </c>
      <c r="C1240" s="16" t="str">
        <f t="shared" si="116"/>
        <v>9</v>
      </c>
      <c r="D1240" s="16" t="str">
        <f t="shared" si="117"/>
        <v>0</v>
      </c>
      <c r="E1240" s="16" t="str">
        <f t="shared" si="118"/>
        <v>02</v>
      </c>
      <c r="F1240" s="16" t="str">
        <f t="shared" si="119"/>
        <v>01</v>
      </c>
      <c r="G1240" s="57">
        <v>19900201</v>
      </c>
      <c r="H1240" s="16" t="s">
        <v>2528</v>
      </c>
      <c r="I1240" s="17" t="s">
        <v>2529</v>
      </c>
      <c r="J1240" s="16"/>
      <c r="K1240" s="16" t="s">
        <v>151</v>
      </c>
      <c r="L1240" s="16" t="s">
        <v>2527</v>
      </c>
      <c r="M1240" s="17" t="s">
        <v>2530</v>
      </c>
    </row>
    <row r="1241" spans="1:13" x14ac:dyDescent="0.25">
      <c r="A1241" s="16" t="str">
        <f t="shared" si="114"/>
        <v>1</v>
      </c>
      <c r="B1241" s="16" t="str">
        <f t="shared" si="115"/>
        <v>9</v>
      </c>
      <c r="C1241" s="16" t="str">
        <f t="shared" si="116"/>
        <v>9</v>
      </c>
      <c r="D1241" s="16" t="str">
        <f t="shared" si="117"/>
        <v>0</v>
      </c>
      <c r="E1241" s="16" t="str">
        <f t="shared" si="118"/>
        <v>02</v>
      </c>
      <c r="F1241" s="16" t="str">
        <f t="shared" si="119"/>
        <v>02</v>
      </c>
      <c r="G1241" s="57">
        <v>19900202</v>
      </c>
      <c r="H1241" s="16" t="s">
        <v>2531</v>
      </c>
      <c r="I1241" s="17" t="s">
        <v>2532</v>
      </c>
      <c r="J1241" s="16"/>
      <c r="K1241" s="16"/>
      <c r="L1241" s="16"/>
      <c r="M1241" s="17"/>
    </row>
    <row r="1242" spans="1:13" ht="25.5" x14ac:dyDescent="0.25">
      <c r="A1242" s="14" t="str">
        <f t="shared" si="114"/>
        <v>1</v>
      </c>
      <c r="B1242" s="14" t="str">
        <f t="shared" si="115"/>
        <v>9</v>
      </c>
      <c r="C1242" s="14" t="str">
        <f t="shared" si="116"/>
        <v>9</v>
      </c>
      <c r="D1242" s="14" t="str">
        <f t="shared" si="117"/>
        <v>0</v>
      </c>
      <c r="E1242" s="14" t="str">
        <f t="shared" si="118"/>
        <v>03</v>
      </c>
      <c r="F1242" s="14" t="str">
        <f t="shared" si="119"/>
        <v>00</v>
      </c>
      <c r="G1242" s="56">
        <v>19900300</v>
      </c>
      <c r="H1242" s="14" t="s">
        <v>2533</v>
      </c>
      <c r="I1242" s="15" t="s">
        <v>2534</v>
      </c>
      <c r="J1242" s="14"/>
      <c r="K1242" s="14"/>
      <c r="L1242" s="14"/>
      <c r="M1242" s="14"/>
    </row>
    <row r="1243" spans="1:13" ht="38.25" x14ac:dyDescent="0.25">
      <c r="A1243" s="16" t="str">
        <f t="shared" si="114"/>
        <v>1</v>
      </c>
      <c r="B1243" s="16" t="str">
        <f t="shared" si="115"/>
        <v>9</v>
      </c>
      <c r="C1243" s="16" t="str">
        <f t="shared" si="116"/>
        <v>9</v>
      </c>
      <c r="D1243" s="16" t="str">
        <f t="shared" si="117"/>
        <v>0</v>
      </c>
      <c r="E1243" s="16" t="str">
        <f t="shared" si="118"/>
        <v>03</v>
      </c>
      <c r="F1243" s="16" t="str">
        <f t="shared" si="119"/>
        <v>01</v>
      </c>
      <c r="G1243" s="57">
        <v>19900301</v>
      </c>
      <c r="H1243" s="16" t="s">
        <v>2535</v>
      </c>
      <c r="I1243" s="17" t="s">
        <v>2536</v>
      </c>
      <c r="J1243" s="16"/>
      <c r="K1243" s="16"/>
      <c r="L1243" s="16"/>
      <c r="M1243" s="17"/>
    </row>
    <row r="1244" spans="1:13" ht="51" x14ac:dyDescent="0.25">
      <c r="A1244" s="16" t="str">
        <f t="shared" si="114"/>
        <v>1</v>
      </c>
      <c r="B1244" s="16" t="str">
        <f t="shared" si="115"/>
        <v>9</v>
      </c>
      <c r="C1244" s="16" t="str">
        <f t="shared" si="116"/>
        <v>9</v>
      </c>
      <c r="D1244" s="16" t="str">
        <f t="shared" si="117"/>
        <v>0</v>
      </c>
      <c r="E1244" s="16" t="str">
        <f t="shared" si="118"/>
        <v>03</v>
      </c>
      <c r="F1244" s="16" t="str">
        <f t="shared" si="119"/>
        <v>02</v>
      </c>
      <c r="G1244" s="57">
        <v>19900302</v>
      </c>
      <c r="H1244" s="16" t="s">
        <v>2537</v>
      </c>
      <c r="I1244" s="17" t="s">
        <v>2538</v>
      </c>
      <c r="J1244" s="16"/>
      <c r="K1244" s="16"/>
      <c r="L1244" s="16"/>
      <c r="M1244" s="17"/>
    </row>
    <row r="1245" spans="1:13" ht="25.5" x14ac:dyDescent="0.25">
      <c r="A1245" s="16" t="str">
        <f t="shared" si="114"/>
        <v>1</v>
      </c>
      <c r="B1245" s="16" t="str">
        <f t="shared" si="115"/>
        <v>9</v>
      </c>
      <c r="C1245" s="16" t="str">
        <f t="shared" si="116"/>
        <v>9</v>
      </c>
      <c r="D1245" s="16" t="str">
        <f t="shared" si="117"/>
        <v>0</v>
      </c>
      <c r="E1245" s="16" t="str">
        <f t="shared" si="118"/>
        <v>03</v>
      </c>
      <c r="F1245" s="16" t="str">
        <f t="shared" si="119"/>
        <v>03</v>
      </c>
      <c r="G1245" s="57">
        <v>19900303</v>
      </c>
      <c r="H1245" s="16" t="s">
        <v>2539</v>
      </c>
      <c r="I1245" s="17" t="s">
        <v>2540</v>
      </c>
      <c r="J1245" s="16"/>
      <c r="K1245" s="16"/>
      <c r="L1245" s="16"/>
      <c r="M1245" s="17"/>
    </row>
    <row r="1246" spans="1:13" ht="38.25" x14ac:dyDescent="0.25">
      <c r="A1246" s="16" t="str">
        <f t="shared" si="114"/>
        <v>1</v>
      </c>
      <c r="B1246" s="16" t="str">
        <f t="shared" si="115"/>
        <v>9</v>
      </c>
      <c r="C1246" s="16" t="str">
        <f t="shared" si="116"/>
        <v>9</v>
      </c>
      <c r="D1246" s="16" t="str">
        <f t="shared" si="117"/>
        <v>0</v>
      </c>
      <c r="E1246" s="16" t="str">
        <f t="shared" si="118"/>
        <v>03</v>
      </c>
      <c r="F1246" s="16" t="str">
        <f t="shared" si="119"/>
        <v>04</v>
      </c>
      <c r="G1246" s="57">
        <v>19900304</v>
      </c>
      <c r="H1246" s="16" t="s">
        <v>2541</v>
      </c>
      <c r="I1246" s="17" t="s">
        <v>2542</v>
      </c>
      <c r="J1246" s="16"/>
      <c r="K1246" s="16"/>
      <c r="L1246" s="16"/>
      <c r="M1246" s="17"/>
    </row>
    <row r="1247" spans="1:13" ht="38.25" x14ac:dyDescent="0.25">
      <c r="A1247" s="16" t="str">
        <f t="shared" si="114"/>
        <v>1</v>
      </c>
      <c r="B1247" s="16" t="str">
        <f t="shared" si="115"/>
        <v>9</v>
      </c>
      <c r="C1247" s="16" t="str">
        <f t="shared" si="116"/>
        <v>9</v>
      </c>
      <c r="D1247" s="16" t="str">
        <f t="shared" si="117"/>
        <v>0</v>
      </c>
      <c r="E1247" s="16" t="str">
        <f t="shared" si="118"/>
        <v>03</v>
      </c>
      <c r="F1247" s="16" t="str">
        <f t="shared" si="119"/>
        <v>05</v>
      </c>
      <c r="G1247" s="57">
        <v>19900305</v>
      </c>
      <c r="H1247" s="16" t="s">
        <v>2543</v>
      </c>
      <c r="I1247" s="17" t="s">
        <v>2544</v>
      </c>
      <c r="J1247" s="16"/>
      <c r="K1247" s="16"/>
      <c r="L1247" s="16"/>
      <c r="M1247" s="17"/>
    </row>
    <row r="1248" spans="1:13" ht="25.5" x14ac:dyDescent="0.25">
      <c r="A1248" s="14" t="str">
        <f t="shared" si="114"/>
        <v>1</v>
      </c>
      <c r="B1248" s="14" t="str">
        <f t="shared" si="115"/>
        <v>9</v>
      </c>
      <c r="C1248" s="14" t="str">
        <f t="shared" si="116"/>
        <v>9</v>
      </c>
      <c r="D1248" s="14" t="str">
        <f t="shared" si="117"/>
        <v>0</v>
      </c>
      <c r="E1248" s="14" t="str">
        <f t="shared" si="118"/>
        <v>04</v>
      </c>
      <c r="F1248" s="14" t="str">
        <f t="shared" si="119"/>
        <v>00</v>
      </c>
      <c r="G1248" s="56">
        <v>19900400</v>
      </c>
      <c r="H1248" s="14" t="s">
        <v>2545</v>
      </c>
      <c r="I1248" s="15" t="s">
        <v>2546</v>
      </c>
      <c r="J1248" s="14"/>
      <c r="K1248" s="14"/>
      <c r="L1248" s="14"/>
      <c r="M1248" s="14"/>
    </row>
    <row r="1249" spans="1:13" ht="25.5" x14ac:dyDescent="0.25">
      <c r="A1249" s="14" t="str">
        <f t="shared" si="114"/>
        <v>1</v>
      </c>
      <c r="B1249" s="14" t="str">
        <f t="shared" si="115"/>
        <v>9</v>
      </c>
      <c r="C1249" s="14" t="str">
        <f t="shared" si="116"/>
        <v>9</v>
      </c>
      <c r="D1249" s="14" t="str">
        <f t="shared" si="117"/>
        <v>0</v>
      </c>
      <c r="E1249" s="14" t="str">
        <f t="shared" si="118"/>
        <v>05</v>
      </c>
      <c r="F1249" s="14" t="str">
        <f t="shared" si="119"/>
        <v>00</v>
      </c>
      <c r="G1249" s="56">
        <v>19900500</v>
      </c>
      <c r="H1249" s="14" t="s">
        <v>2547</v>
      </c>
      <c r="I1249" s="15" t="s">
        <v>2548</v>
      </c>
      <c r="J1249" s="14"/>
      <c r="K1249" s="14"/>
      <c r="L1249" s="14"/>
      <c r="M1249" s="14"/>
    </row>
    <row r="1250" spans="1:13" ht="25.5" x14ac:dyDescent="0.25">
      <c r="A1250" s="16" t="str">
        <f t="shared" si="114"/>
        <v>1</v>
      </c>
      <c r="B1250" s="16" t="str">
        <f t="shared" si="115"/>
        <v>9</v>
      </c>
      <c r="C1250" s="16" t="str">
        <f t="shared" si="116"/>
        <v>9</v>
      </c>
      <c r="D1250" s="16" t="str">
        <f t="shared" si="117"/>
        <v>0</v>
      </c>
      <c r="E1250" s="16" t="str">
        <f t="shared" si="118"/>
        <v>05</v>
      </c>
      <c r="F1250" s="16" t="str">
        <f t="shared" si="119"/>
        <v>10</v>
      </c>
      <c r="G1250" s="57">
        <v>19900510</v>
      </c>
      <c r="H1250" s="16" t="s">
        <v>2549</v>
      </c>
      <c r="I1250" s="17" t="s">
        <v>2550</v>
      </c>
      <c r="J1250" s="16"/>
      <c r="K1250" s="16"/>
      <c r="L1250" s="16"/>
      <c r="M1250" s="17"/>
    </row>
    <row r="1251" spans="1:13" ht="25.5" x14ac:dyDescent="0.25">
      <c r="A1251" s="16" t="str">
        <f t="shared" si="114"/>
        <v>1</v>
      </c>
      <c r="B1251" s="16" t="str">
        <f t="shared" si="115"/>
        <v>9</v>
      </c>
      <c r="C1251" s="16" t="str">
        <f t="shared" si="116"/>
        <v>9</v>
      </c>
      <c r="D1251" s="16" t="str">
        <f t="shared" si="117"/>
        <v>0</v>
      </c>
      <c r="E1251" s="16" t="str">
        <f t="shared" si="118"/>
        <v>05</v>
      </c>
      <c r="F1251" s="16" t="str">
        <f t="shared" si="119"/>
        <v>20</v>
      </c>
      <c r="G1251" s="57">
        <v>19900520</v>
      </c>
      <c r="H1251" s="16" t="s">
        <v>2551</v>
      </c>
      <c r="I1251" s="17" t="s">
        <v>2552</v>
      </c>
      <c r="J1251" s="16"/>
      <c r="K1251" s="16"/>
      <c r="L1251" s="16"/>
      <c r="M1251" s="17"/>
    </row>
    <row r="1252" spans="1:13" ht="38.25" x14ac:dyDescent="0.25">
      <c r="A1252" s="14" t="str">
        <f t="shared" si="114"/>
        <v>1</v>
      </c>
      <c r="B1252" s="14" t="str">
        <f t="shared" si="115"/>
        <v>9</v>
      </c>
      <c r="C1252" s="14" t="str">
        <f t="shared" si="116"/>
        <v>9</v>
      </c>
      <c r="D1252" s="14" t="str">
        <f t="shared" si="117"/>
        <v>0</v>
      </c>
      <c r="E1252" s="14" t="str">
        <f t="shared" si="118"/>
        <v>06</v>
      </c>
      <c r="F1252" s="14" t="str">
        <f t="shared" si="119"/>
        <v>00</v>
      </c>
      <c r="G1252" s="56">
        <v>19900600</v>
      </c>
      <c r="H1252" s="14" t="s">
        <v>2553</v>
      </c>
      <c r="I1252" s="15" t="s">
        <v>2554</v>
      </c>
      <c r="J1252" s="14"/>
      <c r="K1252" s="14" t="s">
        <v>151</v>
      </c>
      <c r="L1252" s="14" t="s">
        <v>2555</v>
      </c>
      <c r="M1252" s="14"/>
    </row>
    <row r="1253" spans="1:13" ht="38.25" x14ac:dyDescent="0.25">
      <c r="A1253" s="42" t="str">
        <f t="shared" si="114"/>
        <v>1</v>
      </c>
      <c r="B1253" s="42" t="str">
        <f t="shared" si="115"/>
        <v>9</v>
      </c>
      <c r="C1253" s="42" t="str">
        <f t="shared" si="116"/>
        <v>9</v>
      </c>
      <c r="D1253" s="42" t="str">
        <f t="shared" si="117"/>
        <v>0</v>
      </c>
      <c r="E1253" s="42" t="str">
        <f t="shared" si="118"/>
        <v>06</v>
      </c>
      <c r="F1253" s="42" t="str">
        <f t="shared" si="119"/>
        <v>01</v>
      </c>
      <c r="G1253" s="67">
        <v>19900601</v>
      </c>
      <c r="H1253" s="42" t="s">
        <v>2556</v>
      </c>
      <c r="I1253" s="43" t="s">
        <v>2557</v>
      </c>
      <c r="J1253" s="42"/>
      <c r="K1253" s="42" t="s">
        <v>217</v>
      </c>
      <c r="L1253" s="42" t="s">
        <v>2558</v>
      </c>
      <c r="M1253" s="42"/>
    </row>
    <row r="1254" spans="1:13" ht="51" x14ac:dyDescent="0.25">
      <c r="A1254" s="42" t="str">
        <f t="shared" si="114"/>
        <v>1</v>
      </c>
      <c r="B1254" s="42" t="str">
        <f t="shared" si="115"/>
        <v>9</v>
      </c>
      <c r="C1254" s="42" t="str">
        <f t="shared" si="116"/>
        <v>9</v>
      </c>
      <c r="D1254" s="42" t="str">
        <f t="shared" si="117"/>
        <v>0</v>
      </c>
      <c r="E1254" s="42" t="str">
        <f t="shared" si="118"/>
        <v>06</v>
      </c>
      <c r="F1254" s="42" t="str">
        <f t="shared" si="119"/>
        <v>02</v>
      </c>
      <c r="G1254" s="67">
        <v>19900602</v>
      </c>
      <c r="H1254" s="42" t="s">
        <v>2559</v>
      </c>
      <c r="I1254" s="43" t="s">
        <v>2560</v>
      </c>
      <c r="J1254" s="42"/>
      <c r="K1254" s="42" t="s">
        <v>217</v>
      </c>
      <c r="L1254" s="42" t="s">
        <v>2558</v>
      </c>
      <c r="M1254" s="42"/>
    </row>
    <row r="1255" spans="1:13" ht="25.5" x14ac:dyDescent="0.25">
      <c r="A1255" s="14" t="str">
        <f t="shared" si="114"/>
        <v>1</v>
      </c>
      <c r="B1255" s="14" t="str">
        <f t="shared" si="115"/>
        <v>9</v>
      </c>
      <c r="C1255" s="14" t="str">
        <f t="shared" si="116"/>
        <v>9</v>
      </c>
      <c r="D1255" s="14" t="str">
        <f t="shared" si="117"/>
        <v>0</v>
      </c>
      <c r="E1255" s="14" t="str">
        <f t="shared" si="118"/>
        <v>07</v>
      </c>
      <c r="F1255" s="14" t="str">
        <f t="shared" si="119"/>
        <v>00</v>
      </c>
      <c r="G1255" s="56">
        <v>19900700</v>
      </c>
      <c r="H1255" s="14" t="s">
        <v>2561</v>
      </c>
      <c r="I1255" s="15" t="s">
        <v>2562</v>
      </c>
      <c r="J1255" s="14"/>
      <c r="K1255" s="14"/>
      <c r="L1255" s="14"/>
      <c r="M1255" s="14"/>
    </row>
    <row r="1256" spans="1:13" ht="51" x14ac:dyDescent="0.25">
      <c r="A1256" s="14" t="str">
        <f t="shared" si="114"/>
        <v>1</v>
      </c>
      <c r="B1256" s="14" t="str">
        <f t="shared" si="115"/>
        <v>9</v>
      </c>
      <c r="C1256" s="14" t="str">
        <f t="shared" si="116"/>
        <v>9</v>
      </c>
      <c r="D1256" s="14" t="str">
        <f t="shared" si="117"/>
        <v>0</v>
      </c>
      <c r="E1256" s="14" t="str">
        <f t="shared" si="118"/>
        <v>08</v>
      </c>
      <c r="F1256" s="14" t="str">
        <f t="shared" si="119"/>
        <v>00</v>
      </c>
      <c r="G1256" s="56">
        <v>19900800</v>
      </c>
      <c r="H1256" s="14" t="s">
        <v>2563</v>
      </c>
      <c r="I1256" s="15" t="s">
        <v>2564</v>
      </c>
      <c r="J1256" s="14"/>
      <c r="K1256" s="14"/>
      <c r="L1256" s="14"/>
      <c r="M1256" s="14"/>
    </row>
    <row r="1257" spans="1:13" ht="38.25" x14ac:dyDescent="0.25">
      <c r="A1257" s="14" t="str">
        <f t="shared" si="114"/>
        <v>1</v>
      </c>
      <c r="B1257" s="14" t="str">
        <f t="shared" si="115"/>
        <v>9</v>
      </c>
      <c r="C1257" s="14" t="str">
        <f t="shared" si="116"/>
        <v>9</v>
      </c>
      <c r="D1257" s="14" t="str">
        <f t="shared" si="117"/>
        <v>0</v>
      </c>
      <c r="E1257" s="14" t="str">
        <f t="shared" si="118"/>
        <v>10</v>
      </c>
      <c r="F1257" s="14" t="str">
        <f t="shared" si="119"/>
        <v>00</v>
      </c>
      <c r="G1257" s="56">
        <v>19901000</v>
      </c>
      <c r="H1257" s="14" t="s">
        <v>2565</v>
      </c>
      <c r="I1257" s="15" t="s">
        <v>2566</v>
      </c>
      <c r="J1257" s="14"/>
      <c r="K1257" s="14"/>
      <c r="L1257" s="14"/>
      <c r="M1257" s="14"/>
    </row>
    <row r="1258" spans="1:13" ht="25.5" x14ac:dyDescent="0.25">
      <c r="A1258" s="14" t="str">
        <f t="shared" si="114"/>
        <v>1</v>
      </c>
      <c r="B1258" s="14" t="str">
        <f t="shared" si="115"/>
        <v>9</v>
      </c>
      <c r="C1258" s="14" t="str">
        <f t="shared" si="116"/>
        <v>9</v>
      </c>
      <c r="D1258" s="14" t="str">
        <f t="shared" si="117"/>
        <v>0</v>
      </c>
      <c r="E1258" s="14" t="str">
        <f t="shared" si="118"/>
        <v>16</v>
      </c>
      <c r="F1258" s="14" t="str">
        <f t="shared" si="119"/>
        <v>00</v>
      </c>
      <c r="G1258" s="56">
        <v>19901600</v>
      </c>
      <c r="H1258" s="14" t="s">
        <v>2567</v>
      </c>
      <c r="I1258" s="15" t="s">
        <v>2568</v>
      </c>
      <c r="J1258" s="14"/>
      <c r="K1258" s="14" t="s">
        <v>655</v>
      </c>
      <c r="L1258" s="14" t="s">
        <v>2569</v>
      </c>
      <c r="M1258" s="14"/>
    </row>
    <row r="1259" spans="1:13" ht="25.5" x14ac:dyDescent="0.25">
      <c r="A1259" s="14" t="str">
        <f t="shared" si="114"/>
        <v>1</v>
      </c>
      <c r="B1259" s="14" t="str">
        <f t="shared" si="115"/>
        <v>9</v>
      </c>
      <c r="C1259" s="14" t="str">
        <f t="shared" si="116"/>
        <v>9</v>
      </c>
      <c r="D1259" s="14" t="str">
        <f t="shared" si="117"/>
        <v>0</v>
      </c>
      <c r="E1259" s="14" t="str">
        <f t="shared" si="118"/>
        <v>18</v>
      </c>
      <c r="F1259" s="14" t="str">
        <f t="shared" si="119"/>
        <v>00</v>
      </c>
      <c r="G1259" s="56">
        <v>19901800</v>
      </c>
      <c r="H1259" s="14" t="s">
        <v>2570</v>
      </c>
      <c r="I1259" s="15" t="s">
        <v>2571</v>
      </c>
      <c r="J1259" s="14"/>
      <c r="K1259" s="14"/>
      <c r="L1259" s="14"/>
      <c r="M1259" s="14"/>
    </row>
    <row r="1260" spans="1:13" ht="25.5" x14ac:dyDescent="0.25">
      <c r="A1260" s="14" t="str">
        <f t="shared" si="114"/>
        <v>1</v>
      </c>
      <c r="B1260" s="14" t="str">
        <f t="shared" si="115"/>
        <v>9</v>
      </c>
      <c r="C1260" s="14" t="str">
        <f t="shared" si="116"/>
        <v>9</v>
      </c>
      <c r="D1260" s="14" t="str">
        <f t="shared" si="117"/>
        <v>0</v>
      </c>
      <c r="E1260" s="14" t="str">
        <f t="shared" si="118"/>
        <v>19</v>
      </c>
      <c r="F1260" s="14" t="str">
        <f t="shared" si="119"/>
        <v>00</v>
      </c>
      <c r="G1260" s="56">
        <v>19901900</v>
      </c>
      <c r="H1260" s="14" t="s">
        <v>2572</v>
      </c>
      <c r="I1260" s="15" t="s">
        <v>2573</v>
      </c>
      <c r="J1260" s="14"/>
      <c r="K1260" s="14"/>
      <c r="L1260" s="14"/>
      <c r="M1260" s="14"/>
    </row>
    <row r="1261" spans="1:13" ht="25.5" x14ac:dyDescent="0.25">
      <c r="A1261" s="14" t="str">
        <f t="shared" si="114"/>
        <v>1</v>
      </c>
      <c r="B1261" s="14" t="str">
        <f t="shared" si="115"/>
        <v>9</v>
      </c>
      <c r="C1261" s="14" t="str">
        <f t="shared" si="116"/>
        <v>9</v>
      </c>
      <c r="D1261" s="14" t="str">
        <f t="shared" si="117"/>
        <v>0</v>
      </c>
      <c r="E1261" s="14" t="str">
        <f t="shared" si="118"/>
        <v>20</v>
      </c>
      <c r="F1261" s="14" t="str">
        <f t="shared" si="119"/>
        <v>00</v>
      </c>
      <c r="G1261" s="56">
        <v>19902000</v>
      </c>
      <c r="H1261" s="14" t="s">
        <v>2574</v>
      </c>
      <c r="I1261" s="15" t="s">
        <v>2575</v>
      </c>
      <c r="J1261" s="14"/>
      <c r="K1261" s="14"/>
      <c r="L1261" s="14"/>
      <c r="M1261" s="14"/>
    </row>
    <row r="1262" spans="1:13" ht="38.25" x14ac:dyDescent="0.25">
      <c r="A1262" s="14" t="str">
        <f t="shared" si="114"/>
        <v>1</v>
      </c>
      <c r="B1262" s="14" t="str">
        <f t="shared" si="115"/>
        <v>9</v>
      </c>
      <c r="C1262" s="14" t="str">
        <f t="shared" si="116"/>
        <v>9</v>
      </c>
      <c r="D1262" s="14" t="str">
        <f t="shared" si="117"/>
        <v>0</v>
      </c>
      <c r="E1262" s="14" t="str">
        <f t="shared" si="118"/>
        <v>21</v>
      </c>
      <c r="F1262" s="14" t="str">
        <f t="shared" si="119"/>
        <v>00</v>
      </c>
      <c r="G1262" s="56">
        <v>19902100</v>
      </c>
      <c r="H1262" s="14" t="s">
        <v>2576</v>
      </c>
      <c r="I1262" s="15" t="s">
        <v>2577</v>
      </c>
      <c r="J1262" s="14"/>
      <c r="K1262" s="14" t="s">
        <v>151</v>
      </c>
      <c r="L1262" s="14" t="s">
        <v>2578</v>
      </c>
      <c r="M1262" s="14"/>
    </row>
    <row r="1263" spans="1:13" ht="25.5" x14ac:dyDescent="0.25">
      <c r="A1263" s="14" t="str">
        <f t="shared" si="114"/>
        <v>1</v>
      </c>
      <c r="B1263" s="14" t="str">
        <f t="shared" si="115"/>
        <v>9</v>
      </c>
      <c r="C1263" s="14" t="str">
        <f t="shared" si="116"/>
        <v>9</v>
      </c>
      <c r="D1263" s="14" t="str">
        <f t="shared" si="117"/>
        <v>0</v>
      </c>
      <c r="E1263" s="14" t="str">
        <f t="shared" si="118"/>
        <v>24</v>
      </c>
      <c r="F1263" s="14" t="str">
        <f t="shared" si="119"/>
        <v>00</v>
      </c>
      <c r="G1263" s="56">
        <v>19902400</v>
      </c>
      <c r="H1263" s="14" t="s">
        <v>2579</v>
      </c>
      <c r="I1263" s="15" t="s">
        <v>2580</v>
      </c>
      <c r="J1263" s="14"/>
      <c r="K1263" s="14"/>
      <c r="L1263" s="14"/>
      <c r="M1263" s="14"/>
    </row>
    <row r="1264" spans="1:13" ht="25.5" x14ac:dyDescent="0.25">
      <c r="A1264" s="14" t="str">
        <f t="shared" si="114"/>
        <v>1</v>
      </c>
      <c r="B1264" s="14" t="str">
        <f t="shared" si="115"/>
        <v>9</v>
      </c>
      <c r="C1264" s="14" t="str">
        <f t="shared" si="116"/>
        <v>9</v>
      </c>
      <c r="D1264" s="14" t="str">
        <f t="shared" si="117"/>
        <v>0</v>
      </c>
      <c r="E1264" s="14" t="str">
        <f t="shared" si="118"/>
        <v>25</v>
      </c>
      <c r="F1264" s="14" t="str">
        <f t="shared" si="119"/>
        <v>00</v>
      </c>
      <c r="G1264" s="56">
        <v>19902500</v>
      </c>
      <c r="H1264" s="14" t="s">
        <v>2581</v>
      </c>
      <c r="I1264" s="15" t="s">
        <v>2582</v>
      </c>
      <c r="J1264" s="14"/>
      <c r="K1264" s="14"/>
      <c r="L1264" s="14"/>
      <c r="M1264" s="14"/>
    </row>
    <row r="1265" spans="1:13" ht="25.5" x14ac:dyDescent="0.25">
      <c r="A1265" s="14" t="str">
        <f t="shared" si="114"/>
        <v>1</v>
      </c>
      <c r="B1265" s="14" t="str">
        <f t="shared" si="115"/>
        <v>9</v>
      </c>
      <c r="C1265" s="14" t="str">
        <f t="shared" si="116"/>
        <v>9</v>
      </c>
      <c r="D1265" s="14" t="str">
        <f t="shared" si="117"/>
        <v>0</v>
      </c>
      <c r="E1265" s="14" t="str">
        <f t="shared" si="118"/>
        <v>26</v>
      </c>
      <c r="F1265" s="14" t="str">
        <f t="shared" si="119"/>
        <v>00</v>
      </c>
      <c r="G1265" s="56">
        <v>19902600</v>
      </c>
      <c r="H1265" s="14" t="s">
        <v>2583</v>
      </c>
      <c r="I1265" s="15" t="s">
        <v>2584</v>
      </c>
      <c r="J1265" s="14"/>
      <c r="K1265" s="14"/>
      <c r="L1265" s="14"/>
      <c r="M1265" s="14"/>
    </row>
    <row r="1266" spans="1:13" ht="38.25" x14ac:dyDescent="0.25">
      <c r="A1266" s="16" t="str">
        <f t="shared" si="114"/>
        <v>1</v>
      </c>
      <c r="B1266" s="16" t="str">
        <f t="shared" si="115"/>
        <v>9</v>
      </c>
      <c r="C1266" s="16" t="str">
        <f t="shared" si="116"/>
        <v>9</v>
      </c>
      <c r="D1266" s="16" t="str">
        <f t="shared" si="117"/>
        <v>0</v>
      </c>
      <c r="E1266" s="16" t="str">
        <f t="shared" si="118"/>
        <v>26</v>
      </c>
      <c r="F1266" s="16" t="str">
        <f t="shared" si="119"/>
        <v>01</v>
      </c>
      <c r="G1266" s="57">
        <v>19902601</v>
      </c>
      <c r="H1266" s="16" t="s">
        <v>2585</v>
      </c>
      <c r="I1266" s="17" t="s">
        <v>2586</v>
      </c>
      <c r="J1266" s="16"/>
      <c r="K1266" s="16" t="s">
        <v>151</v>
      </c>
      <c r="L1266" s="16" t="s">
        <v>2587</v>
      </c>
      <c r="M1266" s="17"/>
    </row>
    <row r="1267" spans="1:13" ht="38.25" x14ac:dyDescent="0.25">
      <c r="A1267" s="16" t="str">
        <f t="shared" si="114"/>
        <v>1</v>
      </c>
      <c r="B1267" s="16" t="str">
        <f t="shared" si="115"/>
        <v>9</v>
      </c>
      <c r="C1267" s="16" t="str">
        <f t="shared" si="116"/>
        <v>9</v>
      </c>
      <c r="D1267" s="16" t="str">
        <f t="shared" si="117"/>
        <v>0</v>
      </c>
      <c r="E1267" s="16" t="str">
        <f t="shared" si="118"/>
        <v>26</v>
      </c>
      <c r="F1267" s="16" t="str">
        <f t="shared" si="119"/>
        <v>02</v>
      </c>
      <c r="G1267" s="57">
        <v>19902602</v>
      </c>
      <c r="H1267" s="16" t="s">
        <v>2588</v>
      </c>
      <c r="I1267" s="17" t="s">
        <v>2589</v>
      </c>
      <c r="J1267" s="16"/>
      <c r="K1267" s="16" t="s">
        <v>151</v>
      </c>
      <c r="L1267" s="16" t="s">
        <v>2590</v>
      </c>
      <c r="M1267" s="17"/>
    </row>
    <row r="1268" spans="1:13" ht="38.25" x14ac:dyDescent="0.25">
      <c r="A1268" s="16" t="str">
        <f t="shared" si="114"/>
        <v>1</v>
      </c>
      <c r="B1268" s="16" t="str">
        <f t="shared" si="115"/>
        <v>9</v>
      </c>
      <c r="C1268" s="16" t="str">
        <f t="shared" si="116"/>
        <v>9</v>
      </c>
      <c r="D1268" s="16" t="str">
        <f t="shared" si="117"/>
        <v>0</v>
      </c>
      <c r="E1268" s="16" t="str">
        <f t="shared" si="118"/>
        <v>26</v>
      </c>
      <c r="F1268" s="16" t="str">
        <f t="shared" si="119"/>
        <v>03</v>
      </c>
      <c r="G1268" s="57">
        <v>19902603</v>
      </c>
      <c r="H1268" s="16" t="s">
        <v>2591</v>
      </c>
      <c r="I1268" s="17" t="s">
        <v>2592</v>
      </c>
      <c r="J1268" s="16"/>
      <c r="K1268" s="16"/>
      <c r="L1268" s="16"/>
      <c r="M1268" s="17"/>
    </row>
    <row r="1269" spans="1:13" ht="38.25" x14ac:dyDescent="0.25">
      <c r="A1269" s="14" t="str">
        <f t="shared" si="114"/>
        <v>1</v>
      </c>
      <c r="B1269" s="14" t="str">
        <f t="shared" si="115"/>
        <v>9</v>
      </c>
      <c r="C1269" s="14" t="str">
        <f t="shared" si="116"/>
        <v>9</v>
      </c>
      <c r="D1269" s="14" t="str">
        <f t="shared" si="117"/>
        <v>0</v>
      </c>
      <c r="E1269" s="14" t="str">
        <f t="shared" si="118"/>
        <v>27</v>
      </c>
      <c r="F1269" s="14" t="str">
        <f t="shared" si="119"/>
        <v>00</v>
      </c>
      <c r="G1269" s="56">
        <v>19902700</v>
      </c>
      <c r="H1269" s="14" t="s">
        <v>2593</v>
      </c>
      <c r="I1269" s="15" t="s">
        <v>2594</v>
      </c>
      <c r="J1269" s="14"/>
      <c r="K1269" s="14"/>
      <c r="L1269" s="14"/>
      <c r="M1269" s="14"/>
    </row>
    <row r="1270" spans="1:13" ht="25.5" x14ac:dyDescent="0.25">
      <c r="A1270" s="14" t="str">
        <f t="shared" si="114"/>
        <v>1</v>
      </c>
      <c r="B1270" s="14" t="str">
        <f t="shared" si="115"/>
        <v>9</v>
      </c>
      <c r="C1270" s="14" t="str">
        <f t="shared" si="116"/>
        <v>9</v>
      </c>
      <c r="D1270" s="14" t="str">
        <f t="shared" si="117"/>
        <v>0</v>
      </c>
      <c r="E1270" s="14" t="str">
        <f t="shared" si="118"/>
        <v>28</v>
      </c>
      <c r="F1270" s="14" t="str">
        <f t="shared" si="119"/>
        <v>00</v>
      </c>
      <c r="G1270" s="56">
        <v>19902800</v>
      </c>
      <c r="H1270" s="14" t="s">
        <v>2595</v>
      </c>
      <c r="I1270" s="15" t="s">
        <v>2596</v>
      </c>
      <c r="J1270" s="14"/>
      <c r="K1270" s="14" t="s">
        <v>217</v>
      </c>
      <c r="L1270" s="14" t="s">
        <v>2209</v>
      </c>
      <c r="M1270" s="14"/>
    </row>
    <row r="1271" spans="1:13" ht="25.5" x14ac:dyDescent="0.25">
      <c r="A1271" s="14" t="str">
        <f t="shared" si="114"/>
        <v>1</v>
      </c>
      <c r="B1271" s="14" t="str">
        <f t="shared" si="115"/>
        <v>9</v>
      </c>
      <c r="C1271" s="14" t="str">
        <f t="shared" si="116"/>
        <v>9</v>
      </c>
      <c r="D1271" s="14" t="str">
        <f t="shared" si="117"/>
        <v>0</v>
      </c>
      <c r="E1271" s="14" t="str">
        <f t="shared" si="118"/>
        <v>96</v>
      </c>
      <c r="F1271" s="14" t="str">
        <f t="shared" si="119"/>
        <v>00</v>
      </c>
      <c r="G1271" s="56">
        <v>19909600</v>
      </c>
      <c r="H1271" s="14" t="s">
        <v>2597</v>
      </c>
      <c r="I1271" s="15" t="s">
        <v>2598</v>
      </c>
      <c r="J1271" s="14"/>
      <c r="K1271" s="14"/>
      <c r="L1271" s="14"/>
      <c r="M1271" s="14"/>
    </row>
    <row r="1272" spans="1:13" x14ac:dyDescent="0.25">
      <c r="A1272" s="14" t="str">
        <f t="shared" si="114"/>
        <v>1</v>
      </c>
      <c r="B1272" s="14" t="str">
        <f t="shared" si="115"/>
        <v>9</v>
      </c>
      <c r="C1272" s="14" t="str">
        <f t="shared" si="116"/>
        <v>9</v>
      </c>
      <c r="D1272" s="14" t="str">
        <f t="shared" si="117"/>
        <v>0</v>
      </c>
      <c r="E1272" s="14" t="str">
        <f t="shared" si="118"/>
        <v>98</v>
      </c>
      <c r="F1272" s="14" t="str">
        <f t="shared" si="119"/>
        <v>00</v>
      </c>
      <c r="G1272" s="56">
        <v>19909800</v>
      </c>
      <c r="H1272" s="14" t="s">
        <v>2599</v>
      </c>
      <c r="I1272" s="15" t="s">
        <v>2600</v>
      </c>
      <c r="J1272" s="14"/>
      <c r="K1272" s="14"/>
      <c r="L1272" s="14"/>
      <c r="M1272" s="14"/>
    </row>
    <row r="1273" spans="1:13" x14ac:dyDescent="0.25">
      <c r="A1273" s="14" t="str">
        <f t="shared" si="114"/>
        <v>1</v>
      </c>
      <c r="B1273" s="14" t="str">
        <f t="shared" si="115"/>
        <v>9</v>
      </c>
      <c r="C1273" s="14" t="str">
        <f t="shared" si="116"/>
        <v>9</v>
      </c>
      <c r="D1273" s="14" t="str">
        <f t="shared" si="117"/>
        <v>0</v>
      </c>
      <c r="E1273" s="14" t="str">
        <f t="shared" si="118"/>
        <v>99</v>
      </c>
      <c r="F1273" s="14" t="str">
        <f t="shared" si="119"/>
        <v>00</v>
      </c>
      <c r="G1273" s="56">
        <v>19909900</v>
      </c>
      <c r="H1273" s="14" t="s">
        <v>2601</v>
      </c>
      <c r="I1273" s="15" t="s">
        <v>2602</v>
      </c>
      <c r="J1273" s="14"/>
      <c r="K1273" s="14" t="s">
        <v>151</v>
      </c>
      <c r="L1273" s="14" t="s">
        <v>2060</v>
      </c>
      <c r="M1273" s="14"/>
    </row>
    <row r="1274" spans="1:13" x14ac:dyDescent="0.25">
      <c r="A1274" s="42" t="str">
        <f t="shared" si="114"/>
        <v>1</v>
      </c>
      <c r="B1274" s="42" t="str">
        <f t="shared" si="115"/>
        <v>9</v>
      </c>
      <c r="C1274" s="42" t="str">
        <f t="shared" si="116"/>
        <v>9</v>
      </c>
      <c r="D1274" s="42" t="str">
        <f t="shared" si="117"/>
        <v>0</v>
      </c>
      <c r="E1274" s="42" t="str">
        <f t="shared" si="118"/>
        <v>99</v>
      </c>
      <c r="F1274" s="42" t="str">
        <f t="shared" si="119"/>
        <v>01</v>
      </c>
      <c r="G1274" s="67">
        <v>19909901</v>
      </c>
      <c r="H1274" s="42" t="s">
        <v>2603</v>
      </c>
      <c r="I1274" s="43" t="s">
        <v>2604</v>
      </c>
      <c r="J1274" s="42"/>
      <c r="K1274" s="42" t="s">
        <v>217</v>
      </c>
      <c r="L1274" s="42" t="s">
        <v>2605</v>
      </c>
      <c r="M1274" s="42"/>
    </row>
    <row r="1275" spans="1:13" x14ac:dyDescent="0.25">
      <c r="A1275" s="42" t="str">
        <f t="shared" si="114"/>
        <v>1</v>
      </c>
      <c r="B1275" s="42" t="str">
        <f t="shared" si="115"/>
        <v>9</v>
      </c>
      <c r="C1275" s="42" t="str">
        <f t="shared" si="116"/>
        <v>9</v>
      </c>
      <c r="D1275" s="42" t="str">
        <f t="shared" si="117"/>
        <v>0</v>
      </c>
      <c r="E1275" s="42" t="str">
        <f t="shared" si="118"/>
        <v>99</v>
      </c>
      <c r="F1275" s="42" t="str">
        <f t="shared" si="119"/>
        <v>02</v>
      </c>
      <c r="G1275" s="67">
        <v>19909902</v>
      </c>
      <c r="H1275" s="42" t="s">
        <v>2606</v>
      </c>
      <c r="I1275" s="43" t="s">
        <v>2607</v>
      </c>
      <c r="J1275" s="42"/>
      <c r="K1275" s="42" t="s">
        <v>217</v>
      </c>
      <c r="L1275" s="42" t="s">
        <v>2605</v>
      </c>
      <c r="M1275" s="42"/>
    </row>
    <row r="1276" spans="1:13" ht="25.5" x14ac:dyDescent="0.25">
      <c r="A1276" s="6" t="str">
        <f t="shared" si="114"/>
        <v>2</v>
      </c>
      <c r="B1276" s="6" t="str">
        <f t="shared" si="115"/>
        <v>0</v>
      </c>
      <c r="C1276" s="6" t="str">
        <f t="shared" si="116"/>
        <v>0</v>
      </c>
      <c r="D1276" s="6" t="str">
        <f t="shared" si="117"/>
        <v>0</v>
      </c>
      <c r="E1276" s="6" t="str">
        <f t="shared" si="118"/>
        <v>00</v>
      </c>
      <c r="F1276" s="6" t="str">
        <f t="shared" si="119"/>
        <v>00</v>
      </c>
      <c r="G1276" s="52">
        <v>20000000</v>
      </c>
      <c r="H1276" s="6" t="s">
        <v>2608</v>
      </c>
      <c r="I1276" s="7" t="s">
        <v>2609</v>
      </c>
      <c r="J1276" s="6"/>
      <c r="K1276" s="6"/>
      <c r="L1276" s="6"/>
      <c r="M1276" s="7"/>
    </row>
    <row r="1277" spans="1:13" ht="25.5" x14ac:dyDescent="0.25">
      <c r="A1277" s="8" t="str">
        <f t="shared" si="114"/>
        <v>2</v>
      </c>
      <c r="B1277" s="8" t="str">
        <f t="shared" si="115"/>
        <v>1</v>
      </c>
      <c r="C1277" s="8" t="str">
        <f t="shared" si="116"/>
        <v>0</v>
      </c>
      <c r="D1277" s="8" t="str">
        <f t="shared" si="117"/>
        <v>0</v>
      </c>
      <c r="E1277" s="8" t="str">
        <f t="shared" si="118"/>
        <v>00</v>
      </c>
      <c r="F1277" s="8" t="str">
        <f t="shared" si="119"/>
        <v>00</v>
      </c>
      <c r="G1277" s="53">
        <v>21000000</v>
      </c>
      <c r="H1277" s="8" t="s">
        <v>2610</v>
      </c>
      <c r="I1277" s="9" t="s">
        <v>2611</v>
      </c>
      <c r="J1277" s="8"/>
      <c r="K1277" s="8"/>
      <c r="L1277" s="8"/>
      <c r="M1277" s="9"/>
    </row>
    <row r="1278" spans="1:13" ht="25.5" x14ac:dyDescent="0.25">
      <c r="A1278" s="10" t="str">
        <f t="shared" si="114"/>
        <v>2</v>
      </c>
      <c r="B1278" s="10" t="str">
        <f t="shared" si="115"/>
        <v>1</v>
      </c>
      <c r="C1278" s="10" t="str">
        <f t="shared" si="116"/>
        <v>1</v>
      </c>
      <c r="D1278" s="10" t="str">
        <f t="shared" si="117"/>
        <v>0</v>
      </c>
      <c r="E1278" s="10" t="str">
        <f t="shared" si="118"/>
        <v>00</v>
      </c>
      <c r="F1278" s="10" t="str">
        <f t="shared" si="119"/>
        <v>00</v>
      </c>
      <c r="G1278" s="54">
        <v>21100000</v>
      </c>
      <c r="H1278" s="10" t="s">
        <v>2612</v>
      </c>
      <c r="I1278" s="11" t="s">
        <v>2613</v>
      </c>
      <c r="J1278" s="10"/>
      <c r="K1278" s="10"/>
      <c r="L1278" s="10"/>
      <c r="M1278" s="11"/>
    </row>
    <row r="1279" spans="1:13" x14ac:dyDescent="0.25">
      <c r="A1279" s="12" t="str">
        <f t="shared" si="114"/>
        <v>2</v>
      </c>
      <c r="B1279" s="12" t="str">
        <f t="shared" si="115"/>
        <v>1</v>
      </c>
      <c r="C1279" s="12" t="str">
        <f t="shared" si="116"/>
        <v>1</v>
      </c>
      <c r="D1279" s="12" t="str">
        <f t="shared" si="117"/>
        <v>1</v>
      </c>
      <c r="E1279" s="12" t="str">
        <f t="shared" si="118"/>
        <v>00</v>
      </c>
      <c r="F1279" s="12" t="str">
        <f t="shared" si="119"/>
        <v>00</v>
      </c>
      <c r="G1279" s="55">
        <v>21110000</v>
      </c>
      <c r="H1279" s="12" t="s">
        <v>2614</v>
      </c>
      <c r="I1279" s="13" t="s">
        <v>2615</v>
      </c>
      <c r="J1279" s="12"/>
      <c r="K1279" s="12"/>
      <c r="L1279" s="12"/>
      <c r="M1279" s="13"/>
    </row>
    <row r="1280" spans="1:13" ht="25.5" x14ac:dyDescent="0.25">
      <c r="A1280" s="14" t="str">
        <f t="shared" si="114"/>
        <v>2</v>
      </c>
      <c r="B1280" s="14" t="str">
        <f t="shared" si="115"/>
        <v>1</v>
      </c>
      <c r="C1280" s="14" t="str">
        <f t="shared" si="116"/>
        <v>1</v>
      </c>
      <c r="D1280" s="14" t="str">
        <f t="shared" si="117"/>
        <v>1</v>
      </c>
      <c r="E1280" s="14" t="str">
        <f t="shared" si="118"/>
        <v>01</v>
      </c>
      <c r="F1280" s="14" t="str">
        <f t="shared" si="119"/>
        <v>00</v>
      </c>
      <c r="G1280" s="56">
        <v>21110100</v>
      </c>
      <c r="H1280" s="14" t="s">
        <v>2616</v>
      </c>
      <c r="I1280" s="15" t="s">
        <v>2617</v>
      </c>
      <c r="J1280" s="14"/>
      <c r="K1280" s="14"/>
      <c r="L1280" s="14"/>
      <c r="M1280" s="14"/>
    </row>
    <row r="1281" spans="1:13" ht="25.5" x14ac:dyDescent="0.25">
      <c r="A1281" s="14" t="str">
        <f t="shared" si="114"/>
        <v>2</v>
      </c>
      <c r="B1281" s="14" t="str">
        <f t="shared" si="115"/>
        <v>1</v>
      </c>
      <c r="C1281" s="14" t="str">
        <f t="shared" si="116"/>
        <v>1</v>
      </c>
      <c r="D1281" s="14" t="str">
        <f t="shared" si="117"/>
        <v>1</v>
      </c>
      <c r="E1281" s="14" t="str">
        <f t="shared" si="118"/>
        <v>02</v>
      </c>
      <c r="F1281" s="14" t="str">
        <f t="shared" si="119"/>
        <v>00</v>
      </c>
      <c r="G1281" s="56">
        <v>21110200</v>
      </c>
      <c r="H1281" s="14" t="s">
        <v>2618</v>
      </c>
      <c r="I1281" s="15" t="s">
        <v>2619</v>
      </c>
      <c r="J1281" s="14"/>
      <c r="K1281" s="14"/>
      <c r="L1281" s="14"/>
      <c r="M1281" s="14"/>
    </row>
    <row r="1282" spans="1:13" ht="25.5" x14ac:dyDescent="0.25">
      <c r="A1282" s="14" t="str">
        <f t="shared" si="114"/>
        <v>2</v>
      </c>
      <c r="B1282" s="14" t="str">
        <f t="shared" si="115"/>
        <v>1</v>
      </c>
      <c r="C1282" s="14" t="str">
        <f t="shared" si="116"/>
        <v>1</v>
      </c>
      <c r="D1282" s="14" t="str">
        <f t="shared" si="117"/>
        <v>1</v>
      </c>
      <c r="E1282" s="14" t="str">
        <f t="shared" si="118"/>
        <v>03</v>
      </c>
      <c r="F1282" s="14" t="str">
        <f t="shared" si="119"/>
        <v>00</v>
      </c>
      <c r="G1282" s="56">
        <v>21110300</v>
      </c>
      <c r="H1282" s="14" t="s">
        <v>2620</v>
      </c>
      <c r="I1282" s="15" t="s">
        <v>2621</v>
      </c>
      <c r="J1282" s="14"/>
      <c r="K1282" s="14"/>
      <c r="L1282" s="14"/>
      <c r="M1282" s="14"/>
    </row>
    <row r="1283" spans="1:13" ht="25.5" x14ac:dyDescent="0.25">
      <c r="A1283" s="12" t="str">
        <f t="shared" si="114"/>
        <v>2</v>
      </c>
      <c r="B1283" s="12" t="str">
        <f t="shared" si="115"/>
        <v>1</v>
      </c>
      <c r="C1283" s="12" t="str">
        <f t="shared" si="116"/>
        <v>1</v>
      </c>
      <c r="D1283" s="12" t="str">
        <f t="shared" si="117"/>
        <v>2</v>
      </c>
      <c r="E1283" s="12" t="str">
        <f t="shared" si="118"/>
        <v>00</v>
      </c>
      <c r="F1283" s="12" t="str">
        <f t="shared" si="119"/>
        <v>00</v>
      </c>
      <c r="G1283" s="55">
        <v>21120000</v>
      </c>
      <c r="H1283" s="12" t="s">
        <v>2622</v>
      </c>
      <c r="I1283" s="13" t="s">
        <v>2623</v>
      </c>
      <c r="J1283" s="12"/>
      <c r="K1283" s="12"/>
      <c r="L1283" s="12"/>
      <c r="M1283" s="13"/>
    </row>
    <row r="1284" spans="1:13" ht="25.5" x14ac:dyDescent="0.25">
      <c r="A1284" s="12" t="str">
        <f t="shared" ref="A1284:A1347" si="120">MID(G1284,1,1)</f>
        <v>2</v>
      </c>
      <c r="B1284" s="12" t="str">
        <f t="shared" ref="B1284:B1347" si="121">MID(G1284,2,1)</f>
        <v>1</v>
      </c>
      <c r="C1284" s="12" t="str">
        <f t="shared" ref="C1284:C1347" si="122">MID(G1284,3,1)</f>
        <v>1</v>
      </c>
      <c r="D1284" s="12" t="str">
        <f t="shared" ref="D1284:D1347" si="123">MID(G1284,4,1)</f>
        <v>3</v>
      </c>
      <c r="E1284" s="12" t="str">
        <f t="shared" ref="E1284:E1347" si="124">MID(G1284,5,2)</f>
        <v>00</v>
      </c>
      <c r="F1284" s="12" t="str">
        <f t="shared" ref="F1284:F1347" si="125">MID(G1284,7,2)</f>
        <v>00</v>
      </c>
      <c r="G1284" s="55">
        <v>21130000</v>
      </c>
      <c r="H1284" s="12" t="s">
        <v>2624</v>
      </c>
      <c r="I1284" s="13" t="s">
        <v>2625</v>
      </c>
      <c r="J1284" s="12"/>
      <c r="K1284" s="12"/>
      <c r="L1284" s="12"/>
      <c r="M1284" s="13"/>
    </row>
    <row r="1285" spans="1:13" ht="25.5" x14ac:dyDescent="0.25">
      <c r="A1285" s="12" t="str">
        <f t="shared" si="120"/>
        <v>2</v>
      </c>
      <c r="B1285" s="12" t="str">
        <f t="shared" si="121"/>
        <v>1</v>
      </c>
      <c r="C1285" s="12" t="str">
        <f t="shared" si="122"/>
        <v>1</v>
      </c>
      <c r="D1285" s="12" t="str">
        <f t="shared" si="123"/>
        <v>4</v>
      </c>
      <c r="E1285" s="12" t="str">
        <f t="shared" si="124"/>
        <v>00</v>
      </c>
      <c r="F1285" s="12" t="str">
        <f t="shared" si="125"/>
        <v>00</v>
      </c>
      <c r="G1285" s="55">
        <v>21140000</v>
      </c>
      <c r="H1285" s="12" t="s">
        <v>2626</v>
      </c>
      <c r="I1285" s="13" t="s">
        <v>2627</v>
      </c>
      <c r="J1285" s="12"/>
      <c r="K1285" s="12"/>
      <c r="L1285" s="12"/>
      <c r="M1285" s="13"/>
    </row>
    <row r="1286" spans="1:13" ht="25.5" x14ac:dyDescent="0.25">
      <c r="A1286" s="14" t="str">
        <f t="shared" si="120"/>
        <v>2</v>
      </c>
      <c r="B1286" s="14" t="str">
        <f t="shared" si="121"/>
        <v>1</v>
      </c>
      <c r="C1286" s="14" t="str">
        <f t="shared" si="122"/>
        <v>1</v>
      </c>
      <c r="D1286" s="14" t="str">
        <f t="shared" si="123"/>
        <v>4</v>
      </c>
      <c r="E1286" s="14" t="str">
        <f t="shared" si="124"/>
        <v>01</v>
      </c>
      <c r="F1286" s="14" t="str">
        <f t="shared" si="125"/>
        <v>00</v>
      </c>
      <c r="G1286" s="56">
        <v>21140100</v>
      </c>
      <c r="H1286" s="14" t="s">
        <v>2628</v>
      </c>
      <c r="I1286" s="15" t="s">
        <v>2629</v>
      </c>
      <c r="J1286" s="14"/>
      <c r="K1286" s="14"/>
      <c r="L1286" s="14"/>
      <c r="M1286" s="14"/>
    </row>
    <row r="1287" spans="1:13" ht="25.5" x14ac:dyDescent="0.25">
      <c r="A1287" s="14" t="str">
        <f t="shared" si="120"/>
        <v>2</v>
      </c>
      <c r="B1287" s="14" t="str">
        <f t="shared" si="121"/>
        <v>1</v>
      </c>
      <c r="C1287" s="14" t="str">
        <f t="shared" si="122"/>
        <v>1</v>
      </c>
      <c r="D1287" s="14" t="str">
        <f t="shared" si="123"/>
        <v>4</v>
      </c>
      <c r="E1287" s="14" t="str">
        <f t="shared" si="124"/>
        <v>02</v>
      </c>
      <c r="F1287" s="14" t="str">
        <f t="shared" si="125"/>
        <v>00</v>
      </c>
      <c r="G1287" s="56">
        <v>21140200</v>
      </c>
      <c r="H1287" s="14" t="s">
        <v>2630</v>
      </c>
      <c r="I1287" s="15" t="s">
        <v>2631</v>
      </c>
      <c r="J1287" s="14"/>
      <c r="K1287" s="14"/>
      <c r="L1287" s="14"/>
      <c r="M1287" s="14"/>
    </row>
    <row r="1288" spans="1:13" ht="25.5" x14ac:dyDescent="0.25">
      <c r="A1288" s="14" t="str">
        <f t="shared" si="120"/>
        <v>2</v>
      </c>
      <c r="B1288" s="14" t="str">
        <f t="shared" si="121"/>
        <v>1</v>
      </c>
      <c r="C1288" s="14" t="str">
        <f t="shared" si="122"/>
        <v>1</v>
      </c>
      <c r="D1288" s="14" t="str">
        <f t="shared" si="123"/>
        <v>4</v>
      </c>
      <c r="E1288" s="14" t="str">
        <f t="shared" si="124"/>
        <v>03</v>
      </c>
      <c r="F1288" s="14" t="str">
        <f t="shared" si="125"/>
        <v>00</v>
      </c>
      <c r="G1288" s="56">
        <v>21140300</v>
      </c>
      <c r="H1288" s="14" t="s">
        <v>2632</v>
      </c>
      <c r="I1288" s="15" t="s">
        <v>2633</v>
      </c>
      <c r="J1288" s="14"/>
      <c r="K1288" s="14"/>
      <c r="L1288" s="14"/>
      <c r="M1288" s="14"/>
    </row>
    <row r="1289" spans="1:13" ht="25.5" x14ac:dyDescent="0.25">
      <c r="A1289" s="14" t="str">
        <f t="shared" si="120"/>
        <v>2</v>
      </c>
      <c r="B1289" s="14" t="str">
        <f t="shared" si="121"/>
        <v>1</v>
      </c>
      <c r="C1289" s="14" t="str">
        <f t="shared" si="122"/>
        <v>1</v>
      </c>
      <c r="D1289" s="14" t="str">
        <f t="shared" si="123"/>
        <v>4</v>
      </c>
      <c r="E1289" s="14" t="str">
        <f t="shared" si="124"/>
        <v>04</v>
      </c>
      <c r="F1289" s="14" t="str">
        <f t="shared" si="125"/>
        <v>00</v>
      </c>
      <c r="G1289" s="56">
        <v>21140400</v>
      </c>
      <c r="H1289" s="14" t="s">
        <v>2634</v>
      </c>
      <c r="I1289" s="15" t="s">
        <v>2635</v>
      </c>
      <c r="J1289" s="14"/>
      <c r="K1289" s="14"/>
      <c r="L1289" s="14"/>
      <c r="M1289" s="14"/>
    </row>
    <row r="1290" spans="1:13" ht="38.25" x14ac:dyDescent="0.25">
      <c r="A1290" s="14" t="str">
        <f t="shared" si="120"/>
        <v>2</v>
      </c>
      <c r="B1290" s="14" t="str">
        <f t="shared" si="121"/>
        <v>1</v>
      </c>
      <c r="C1290" s="14" t="str">
        <f t="shared" si="122"/>
        <v>1</v>
      </c>
      <c r="D1290" s="14" t="str">
        <f t="shared" si="123"/>
        <v>4</v>
      </c>
      <c r="E1290" s="14" t="str">
        <f t="shared" si="124"/>
        <v>05</v>
      </c>
      <c r="F1290" s="14" t="str">
        <f t="shared" si="125"/>
        <v>00</v>
      </c>
      <c r="G1290" s="56">
        <v>21140500</v>
      </c>
      <c r="H1290" s="14" t="s">
        <v>2636</v>
      </c>
      <c r="I1290" s="15" t="s">
        <v>2637</v>
      </c>
      <c r="J1290" s="14"/>
      <c r="K1290" s="14"/>
      <c r="L1290" s="14"/>
      <c r="M1290" s="14"/>
    </row>
    <row r="1291" spans="1:13" ht="25.5" x14ac:dyDescent="0.25">
      <c r="A1291" s="14" t="str">
        <f t="shared" si="120"/>
        <v>2</v>
      </c>
      <c r="B1291" s="14" t="str">
        <f t="shared" si="121"/>
        <v>1</v>
      </c>
      <c r="C1291" s="14" t="str">
        <f t="shared" si="122"/>
        <v>1</v>
      </c>
      <c r="D1291" s="14" t="str">
        <f t="shared" si="123"/>
        <v>4</v>
      </c>
      <c r="E1291" s="14" t="str">
        <f t="shared" si="124"/>
        <v>06</v>
      </c>
      <c r="F1291" s="14" t="str">
        <f t="shared" si="125"/>
        <v>00</v>
      </c>
      <c r="G1291" s="56">
        <v>21140600</v>
      </c>
      <c r="H1291" s="14" t="s">
        <v>2638</v>
      </c>
      <c r="I1291" s="15" t="s">
        <v>2639</v>
      </c>
      <c r="J1291" s="14"/>
      <c r="K1291" s="14"/>
      <c r="L1291" s="14"/>
      <c r="M1291" s="14"/>
    </row>
    <row r="1292" spans="1:13" ht="25.5" x14ac:dyDescent="0.25">
      <c r="A1292" s="14" t="str">
        <f t="shared" si="120"/>
        <v>2</v>
      </c>
      <c r="B1292" s="14" t="str">
        <f t="shared" si="121"/>
        <v>1</v>
      </c>
      <c r="C1292" s="14" t="str">
        <f t="shared" si="122"/>
        <v>1</v>
      </c>
      <c r="D1292" s="14" t="str">
        <f t="shared" si="123"/>
        <v>4</v>
      </c>
      <c r="E1292" s="14" t="str">
        <f t="shared" si="124"/>
        <v>07</v>
      </c>
      <c r="F1292" s="14" t="str">
        <f t="shared" si="125"/>
        <v>00</v>
      </c>
      <c r="G1292" s="56">
        <v>21140700</v>
      </c>
      <c r="H1292" s="14" t="s">
        <v>2640</v>
      </c>
      <c r="I1292" s="15" t="s">
        <v>2641</v>
      </c>
      <c r="J1292" s="14"/>
      <c r="K1292" s="14"/>
      <c r="L1292" s="14"/>
      <c r="M1292" s="14"/>
    </row>
    <row r="1293" spans="1:13" ht="25.5" x14ac:dyDescent="0.25">
      <c r="A1293" s="14" t="str">
        <f t="shared" si="120"/>
        <v>2</v>
      </c>
      <c r="B1293" s="14" t="str">
        <f t="shared" si="121"/>
        <v>1</v>
      </c>
      <c r="C1293" s="14" t="str">
        <f t="shared" si="122"/>
        <v>1</v>
      </c>
      <c r="D1293" s="14" t="str">
        <f t="shared" si="123"/>
        <v>4</v>
      </c>
      <c r="E1293" s="14" t="str">
        <f t="shared" si="124"/>
        <v>99</v>
      </c>
      <c r="F1293" s="14" t="str">
        <f t="shared" si="125"/>
        <v>00</v>
      </c>
      <c r="G1293" s="56">
        <v>21149900</v>
      </c>
      <c r="H1293" s="14" t="s">
        <v>2642</v>
      </c>
      <c r="I1293" s="15" t="s">
        <v>2643</v>
      </c>
      <c r="J1293" s="14"/>
      <c r="K1293" s="14"/>
      <c r="L1293" s="14"/>
      <c r="M1293" s="14"/>
    </row>
    <row r="1294" spans="1:13" ht="25.5" x14ac:dyDescent="0.25">
      <c r="A1294" s="12" t="str">
        <f t="shared" si="120"/>
        <v>2</v>
      </c>
      <c r="B1294" s="12" t="str">
        <f t="shared" si="121"/>
        <v>1</v>
      </c>
      <c r="C1294" s="12" t="str">
        <f t="shared" si="122"/>
        <v>1</v>
      </c>
      <c r="D1294" s="12" t="str">
        <f t="shared" si="123"/>
        <v>9</v>
      </c>
      <c r="E1294" s="12" t="str">
        <f t="shared" si="124"/>
        <v>00</v>
      </c>
      <c r="F1294" s="12" t="str">
        <f t="shared" si="125"/>
        <v>00</v>
      </c>
      <c r="G1294" s="55">
        <v>21190000</v>
      </c>
      <c r="H1294" s="12" t="s">
        <v>2644</v>
      </c>
      <c r="I1294" s="13" t="s">
        <v>2645</v>
      </c>
      <c r="J1294" s="12"/>
      <c r="K1294" s="12"/>
      <c r="L1294" s="12"/>
      <c r="M1294" s="13"/>
    </row>
    <row r="1295" spans="1:13" ht="25.5" x14ac:dyDescent="0.25">
      <c r="A1295" s="10" t="str">
        <f t="shared" si="120"/>
        <v>2</v>
      </c>
      <c r="B1295" s="10" t="str">
        <f t="shared" si="121"/>
        <v>1</v>
      </c>
      <c r="C1295" s="10" t="str">
        <f t="shared" si="122"/>
        <v>2</v>
      </c>
      <c r="D1295" s="10" t="str">
        <f t="shared" si="123"/>
        <v>0</v>
      </c>
      <c r="E1295" s="10" t="str">
        <f t="shared" si="124"/>
        <v>00</v>
      </c>
      <c r="F1295" s="10" t="str">
        <f t="shared" si="125"/>
        <v>00</v>
      </c>
      <c r="G1295" s="54">
        <v>21200000</v>
      </c>
      <c r="H1295" s="10" t="s">
        <v>2646</v>
      </c>
      <c r="I1295" s="11" t="s">
        <v>2647</v>
      </c>
      <c r="J1295" s="10"/>
      <c r="K1295" s="10"/>
      <c r="L1295" s="10"/>
      <c r="M1295" s="11"/>
    </row>
    <row r="1296" spans="1:13" x14ac:dyDescent="0.25">
      <c r="A1296" s="12" t="str">
        <f t="shared" si="120"/>
        <v>2</v>
      </c>
      <c r="B1296" s="12" t="str">
        <f t="shared" si="121"/>
        <v>1</v>
      </c>
      <c r="C1296" s="12" t="str">
        <f t="shared" si="122"/>
        <v>2</v>
      </c>
      <c r="D1296" s="12" t="str">
        <f t="shared" si="123"/>
        <v>2</v>
      </c>
      <c r="E1296" s="12" t="str">
        <f t="shared" si="124"/>
        <v>00</v>
      </c>
      <c r="F1296" s="12" t="str">
        <f t="shared" si="125"/>
        <v>00</v>
      </c>
      <c r="G1296" s="55">
        <v>21220000</v>
      </c>
      <c r="H1296" s="12" t="s">
        <v>2614</v>
      </c>
      <c r="I1296" s="13" t="s">
        <v>2648</v>
      </c>
      <c r="J1296" s="12"/>
      <c r="K1296" s="12"/>
      <c r="L1296" s="12"/>
      <c r="M1296" s="13"/>
    </row>
    <row r="1297" spans="1:13" ht="25.5" x14ac:dyDescent="0.25">
      <c r="A1297" s="14" t="str">
        <f t="shared" si="120"/>
        <v>2</v>
      </c>
      <c r="B1297" s="14" t="str">
        <f t="shared" si="121"/>
        <v>1</v>
      </c>
      <c r="C1297" s="14" t="str">
        <f t="shared" si="122"/>
        <v>2</v>
      </c>
      <c r="D1297" s="14" t="str">
        <f t="shared" si="123"/>
        <v>2</v>
      </c>
      <c r="E1297" s="14" t="str">
        <f t="shared" si="124"/>
        <v>01</v>
      </c>
      <c r="F1297" s="14" t="str">
        <f t="shared" si="125"/>
        <v>00</v>
      </c>
      <c r="G1297" s="56">
        <v>21220100</v>
      </c>
      <c r="H1297" s="14" t="s">
        <v>2616</v>
      </c>
      <c r="I1297" s="15" t="s">
        <v>2649</v>
      </c>
      <c r="J1297" s="14"/>
      <c r="K1297" s="14"/>
      <c r="L1297" s="14"/>
      <c r="M1297" s="14"/>
    </row>
    <row r="1298" spans="1:13" ht="25.5" x14ac:dyDescent="0.25">
      <c r="A1298" s="14" t="str">
        <f t="shared" si="120"/>
        <v>2</v>
      </c>
      <c r="B1298" s="14" t="str">
        <f t="shared" si="121"/>
        <v>1</v>
      </c>
      <c r="C1298" s="14" t="str">
        <f t="shared" si="122"/>
        <v>2</v>
      </c>
      <c r="D1298" s="14" t="str">
        <f t="shared" si="123"/>
        <v>2</v>
      </c>
      <c r="E1298" s="14" t="str">
        <f t="shared" si="124"/>
        <v>02</v>
      </c>
      <c r="F1298" s="14" t="str">
        <f t="shared" si="125"/>
        <v>00</v>
      </c>
      <c r="G1298" s="56">
        <v>21220200</v>
      </c>
      <c r="H1298" s="14" t="s">
        <v>2650</v>
      </c>
      <c r="I1298" s="15" t="s">
        <v>2651</v>
      </c>
      <c r="J1298" s="14"/>
      <c r="K1298" s="14"/>
      <c r="L1298" s="14"/>
      <c r="M1298" s="14"/>
    </row>
    <row r="1299" spans="1:13" ht="25.5" x14ac:dyDescent="0.25">
      <c r="A1299" s="12" t="str">
        <f t="shared" si="120"/>
        <v>2</v>
      </c>
      <c r="B1299" s="12" t="str">
        <f t="shared" si="121"/>
        <v>1</v>
      </c>
      <c r="C1299" s="12" t="str">
        <f t="shared" si="122"/>
        <v>2</v>
      </c>
      <c r="D1299" s="12" t="str">
        <f t="shared" si="123"/>
        <v>3</v>
      </c>
      <c r="E1299" s="12" t="str">
        <f t="shared" si="124"/>
        <v>00</v>
      </c>
      <c r="F1299" s="12" t="str">
        <f t="shared" si="125"/>
        <v>00</v>
      </c>
      <c r="G1299" s="55">
        <v>21230000</v>
      </c>
      <c r="H1299" s="12" t="s">
        <v>2652</v>
      </c>
      <c r="I1299" s="13" t="s">
        <v>2653</v>
      </c>
      <c r="J1299" s="12"/>
      <c r="K1299" s="12"/>
      <c r="L1299" s="12"/>
      <c r="M1299" s="13"/>
    </row>
    <row r="1300" spans="1:13" ht="25.5" x14ac:dyDescent="0.25">
      <c r="A1300" s="14" t="str">
        <f t="shared" si="120"/>
        <v>2</v>
      </c>
      <c r="B1300" s="14" t="str">
        <f t="shared" si="121"/>
        <v>1</v>
      </c>
      <c r="C1300" s="14" t="str">
        <f t="shared" si="122"/>
        <v>2</v>
      </c>
      <c r="D1300" s="14" t="str">
        <f t="shared" si="123"/>
        <v>3</v>
      </c>
      <c r="E1300" s="14" t="str">
        <f t="shared" si="124"/>
        <v>01</v>
      </c>
      <c r="F1300" s="14" t="str">
        <f t="shared" si="125"/>
        <v>00</v>
      </c>
      <c r="G1300" s="56">
        <v>21230100</v>
      </c>
      <c r="H1300" s="14" t="s">
        <v>2654</v>
      </c>
      <c r="I1300" s="15" t="s">
        <v>2655</v>
      </c>
      <c r="J1300" s="14"/>
      <c r="K1300" s="14"/>
      <c r="L1300" s="14"/>
      <c r="M1300" s="14"/>
    </row>
    <row r="1301" spans="1:13" ht="25.5" x14ac:dyDescent="0.25">
      <c r="A1301" s="14" t="str">
        <f t="shared" si="120"/>
        <v>2</v>
      </c>
      <c r="B1301" s="14" t="str">
        <f t="shared" si="121"/>
        <v>1</v>
      </c>
      <c r="C1301" s="14" t="str">
        <f t="shared" si="122"/>
        <v>2</v>
      </c>
      <c r="D1301" s="14" t="str">
        <f t="shared" si="123"/>
        <v>3</v>
      </c>
      <c r="E1301" s="14" t="str">
        <f t="shared" si="124"/>
        <v>02</v>
      </c>
      <c r="F1301" s="14" t="str">
        <f t="shared" si="125"/>
        <v>00</v>
      </c>
      <c r="G1301" s="56">
        <v>21230200</v>
      </c>
      <c r="H1301" s="14" t="s">
        <v>2656</v>
      </c>
      <c r="I1301" s="15" t="s">
        <v>2657</v>
      </c>
      <c r="J1301" s="14"/>
      <c r="K1301" s="14"/>
      <c r="L1301" s="14"/>
      <c r="M1301" s="14"/>
    </row>
    <row r="1302" spans="1:13" ht="25.5" x14ac:dyDescent="0.25">
      <c r="A1302" s="14" t="str">
        <f t="shared" si="120"/>
        <v>2</v>
      </c>
      <c r="B1302" s="14" t="str">
        <f t="shared" si="121"/>
        <v>1</v>
      </c>
      <c r="C1302" s="14" t="str">
        <f t="shared" si="122"/>
        <v>2</v>
      </c>
      <c r="D1302" s="14" t="str">
        <f t="shared" si="123"/>
        <v>3</v>
      </c>
      <c r="E1302" s="14" t="str">
        <f t="shared" si="124"/>
        <v>03</v>
      </c>
      <c r="F1302" s="14" t="str">
        <f t="shared" si="125"/>
        <v>00</v>
      </c>
      <c r="G1302" s="56">
        <v>21230300</v>
      </c>
      <c r="H1302" s="14" t="s">
        <v>2658</v>
      </c>
      <c r="I1302" s="15" t="s">
        <v>2659</v>
      </c>
      <c r="J1302" s="14"/>
      <c r="K1302" s="14"/>
      <c r="L1302" s="14"/>
      <c r="M1302" s="14"/>
    </row>
    <row r="1303" spans="1:13" ht="25.5" x14ac:dyDescent="0.25">
      <c r="A1303" s="14" t="str">
        <f t="shared" si="120"/>
        <v>2</v>
      </c>
      <c r="B1303" s="14" t="str">
        <f t="shared" si="121"/>
        <v>1</v>
      </c>
      <c r="C1303" s="14" t="str">
        <f t="shared" si="122"/>
        <v>2</v>
      </c>
      <c r="D1303" s="14" t="str">
        <f t="shared" si="123"/>
        <v>3</v>
      </c>
      <c r="E1303" s="14" t="str">
        <f t="shared" si="124"/>
        <v>04</v>
      </c>
      <c r="F1303" s="14" t="str">
        <f t="shared" si="125"/>
        <v>00</v>
      </c>
      <c r="G1303" s="56">
        <v>21230400</v>
      </c>
      <c r="H1303" s="14" t="s">
        <v>2660</v>
      </c>
      <c r="I1303" s="15" t="s">
        <v>2661</v>
      </c>
      <c r="J1303" s="14"/>
      <c r="K1303" s="14"/>
      <c r="L1303" s="14"/>
      <c r="M1303" s="14"/>
    </row>
    <row r="1304" spans="1:13" ht="38.25" x14ac:dyDescent="0.25">
      <c r="A1304" s="14" t="str">
        <f t="shared" si="120"/>
        <v>2</v>
      </c>
      <c r="B1304" s="14" t="str">
        <f t="shared" si="121"/>
        <v>1</v>
      </c>
      <c r="C1304" s="14" t="str">
        <f t="shared" si="122"/>
        <v>2</v>
      </c>
      <c r="D1304" s="14" t="str">
        <f t="shared" si="123"/>
        <v>3</v>
      </c>
      <c r="E1304" s="14" t="str">
        <f t="shared" si="124"/>
        <v>05</v>
      </c>
      <c r="F1304" s="14" t="str">
        <f t="shared" si="125"/>
        <v>00</v>
      </c>
      <c r="G1304" s="56">
        <v>21230500</v>
      </c>
      <c r="H1304" s="14" t="s">
        <v>2662</v>
      </c>
      <c r="I1304" s="15" t="s">
        <v>2663</v>
      </c>
      <c r="J1304" s="14"/>
      <c r="K1304" s="14"/>
      <c r="L1304" s="14"/>
      <c r="M1304" s="14"/>
    </row>
    <row r="1305" spans="1:13" ht="25.5" x14ac:dyDescent="0.25">
      <c r="A1305" s="14" t="str">
        <f t="shared" si="120"/>
        <v>2</v>
      </c>
      <c r="B1305" s="14" t="str">
        <f t="shared" si="121"/>
        <v>1</v>
      </c>
      <c r="C1305" s="14" t="str">
        <f t="shared" si="122"/>
        <v>2</v>
      </c>
      <c r="D1305" s="14" t="str">
        <f t="shared" si="123"/>
        <v>3</v>
      </c>
      <c r="E1305" s="14" t="str">
        <f t="shared" si="124"/>
        <v>07</v>
      </c>
      <c r="F1305" s="14" t="str">
        <f t="shared" si="125"/>
        <v>00</v>
      </c>
      <c r="G1305" s="56">
        <v>21230700</v>
      </c>
      <c r="H1305" s="14" t="s">
        <v>2664</v>
      </c>
      <c r="I1305" s="15" t="s">
        <v>2665</v>
      </c>
      <c r="J1305" s="14"/>
      <c r="K1305" s="14"/>
      <c r="L1305" s="14"/>
      <c r="M1305" s="14"/>
    </row>
    <row r="1306" spans="1:13" ht="25.5" x14ac:dyDescent="0.25">
      <c r="A1306" s="14" t="str">
        <f t="shared" si="120"/>
        <v>2</v>
      </c>
      <c r="B1306" s="14" t="str">
        <f t="shared" si="121"/>
        <v>1</v>
      </c>
      <c r="C1306" s="14" t="str">
        <f t="shared" si="122"/>
        <v>2</v>
      </c>
      <c r="D1306" s="14" t="str">
        <f t="shared" si="123"/>
        <v>3</v>
      </c>
      <c r="E1306" s="14" t="str">
        <f t="shared" si="124"/>
        <v>99</v>
      </c>
      <c r="F1306" s="14" t="str">
        <f t="shared" si="125"/>
        <v>00</v>
      </c>
      <c r="G1306" s="56">
        <v>21239900</v>
      </c>
      <c r="H1306" s="14" t="s">
        <v>2666</v>
      </c>
      <c r="I1306" s="15" t="s">
        <v>2667</v>
      </c>
      <c r="J1306" s="14"/>
      <c r="K1306" s="14"/>
      <c r="L1306" s="14"/>
      <c r="M1306" s="14"/>
    </row>
    <row r="1307" spans="1:13" x14ac:dyDescent="0.25">
      <c r="A1307" s="12" t="str">
        <f t="shared" si="120"/>
        <v>2</v>
      </c>
      <c r="B1307" s="12" t="str">
        <f t="shared" si="121"/>
        <v>1</v>
      </c>
      <c r="C1307" s="12" t="str">
        <f t="shared" si="122"/>
        <v>2</v>
      </c>
      <c r="D1307" s="12" t="str">
        <f t="shared" si="123"/>
        <v>9</v>
      </c>
      <c r="E1307" s="12" t="str">
        <f t="shared" si="124"/>
        <v>00</v>
      </c>
      <c r="F1307" s="12" t="str">
        <f t="shared" si="125"/>
        <v>00</v>
      </c>
      <c r="G1307" s="55">
        <v>21290000</v>
      </c>
      <c r="H1307" s="12" t="s">
        <v>2668</v>
      </c>
      <c r="I1307" s="13" t="s">
        <v>2669</v>
      </c>
      <c r="J1307" s="12"/>
      <c r="K1307" s="12"/>
      <c r="L1307" s="12"/>
      <c r="M1307" s="13"/>
    </row>
    <row r="1308" spans="1:13" x14ac:dyDescent="0.25">
      <c r="A1308" s="8" t="str">
        <f t="shared" si="120"/>
        <v>2</v>
      </c>
      <c r="B1308" s="8" t="str">
        <f t="shared" si="121"/>
        <v>2</v>
      </c>
      <c r="C1308" s="8" t="str">
        <f t="shared" si="122"/>
        <v>0</v>
      </c>
      <c r="D1308" s="8" t="str">
        <f t="shared" si="123"/>
        <v>0</v>
      </c>
      <c r="E1308" s="8" t="str">
        <f t="shared" si="124"/>
        <v>00</v>
      </c>
      <c r="F1308" s="8" t="str">
        <f t="shared" si="125"/>
        <v>00</v>
      </c>
      <c r="G1308" s="53">
        <v>22000000</v>
      </c>
      <c r="H1308" s="8" t="s">
        <v>2670</v>
      </c>
      <c r="I1308" s="9" t="s">
        <v>2671</v>
      </c>
      <c r="J1308" s="8"/>
      <c r="K1308" s="8"/>
      <c r="L1308" s="8"/>
      <c r="M1308" s="9"/>
    </row>
    <row r="1309" spans="1:13" x14ac:dyDescent="0.25">
      <c r="A1309" s="10" t="str">
        <f t="shared" si="120"/>
        <v>2</v>
      </c>
      <c r="B1309" s="10" t="str">
        <f t="shared" si="121"/>
        <v>2</v>
      </c>
      <c r="C1309" s="10" t="str">
        <f t="shared" si="122"/>
        <v>1</v>
      </c>
      <c r="D1309" s="10" t="str">
        <f t="shared" si="123"/>
        <v>0</v>
      </c>
      <c r="E1309" s="10" t="str">
        <f t="shared" si="124"/>
        <v>00</v>
      </c>
      <c r="F1309" s="10" t="str">
        <f t="shared" si="125"/>
        <v>00</v>
      </c>
      <c r="G1309" s="54">
        <v>22100000</v>
      </c>
      <c r="H1309" s="10" t="s">
        <v>2672</v>
      </c>
      <c r="I1309" s="11" t="s">
        <v>2673</v>
      </c>
      <c r="J1309" s="10"/>
      <c r="K1309" s="10"/>
      <c r="L1309" s="10"/>
      <c r="M1309" s="11"/>
    </row>
    <row r="1310" spans="1:13" x14ac:dyDescent="0.25">
      <c r="A1310" s="12" t="str">
        <f t="shared" si="120"/>
        <v>2</v>
      </c>
      <c r="B1310" s="12" t="str">
        <f t="shared" si="121"/>
        <v>2</v>
      </c>
      <c r="C1310" s="12" t="str">
        <f t="shared" si="122"/>
        <v>1</v>
      </c>
      <c r="D1310" s="12" t="str">
        <f t="shared" si="123"/>
        <v>1</v>
      </c>
      <c r="E1310" s="12" t="str">
        <f t="shared" si="124"/>
        <v>00</v>
      </c>
      <c r="F1310" s="12" t="str">
        <f t="shared" si="125"/>
        <v>00</v>
      </c>
      <c r="G1310" s="55">
        <v>22110000</v>
      </c>
      <c r="H1310" s="12" t="s">
        <v>2674</v>
      </c>
      <c r="I1310" s="13" t="s">
        <v>2675</v>
      </c>
      <c r="J1310" s="12"/>
      <c r="K1310" s="12"/>
      <c r="L1310" s="12"/>
      <c r="M1310" s="13"/>
    </row>
    <row r="1311" spans="1:13" x14ac:dyDescent="0.25">
      <c r="A1311" s="12" t="str">
        <f t="shared" si="120"/>
        <v>2</v>
      </c>
      <c r="B1311" s="12" t="str">
        <f t="shared" si="121"/>
        <v>2</v>
      </c>
      <c r="C1311" s="12" t="str">
        <f t="shared" si="122"/>
        <v>1</v>
      </c>
      <c r="D1311" s="12" t="str">
        <f t="shared" si="123"/>
        <v>2</v>
      </c>
      <c r="E1311" s="12" t="str">
        <f t="shared" si="124"/>
        <v>00</v>
      </c>
      <c r="F1311" s="12" t="str">
        <f t="shared" si="125"/>
        <v>00</v>
      </c>
      <c r="G1311" s="55">
        <v>22120000</v>
      </c>
      <c r="H1311" s="12" t="s">
        <v>2676</v>
      </c>
      <c r="I1311" s="13" t="s">
        <v>2677</v>
      </c>
      <c r="J1311" s="12"/>
      <c r="K1311" s="12"/>
      <c r="L1311" s="12"/>
      <c r="M1311" s="13"/>
    </row>
    <row r="1312" spans="1:13" ht="25.5" x14ac:dyDescent="0.25">
      <c r="A1312" s="14" t="str">
        <f t="shared" si="120"/>
        <v>2</v>
      </c>
      <c r="B1312" s="14" t="str">
        <f t="shared" si="121"/>
        <v>2</v>
      </c>
      <c r="C1312" s="14" t="str">
        <f t="shared" si="122"/>
        <v>1</v>
      </c>
      <c r="D1312" s="14" t="str">
        <f t="shared" si="123"/>
        <v>2</v>
      </c>
      <c r="E1312" s="14" t="str">
        <f t="shared" si="124"/>
        <v>01</v>
      </c>
      <c r="F1312" s="14" t="str">
        <f t="shared" si="125"/>
        <v>00</v>
      </c>
      <c r="G1312" s="56">
        <v>22120100</v>
      </c>
      <c r="H1312" s="14" t="s">
        <v>2678</v>
      </c>
      <c r="I1312" s="15" t="s">
        <v>2679</v>
      </c>
      <c r="J1312" s="14"/>
      <c r="K1312" s="14"/>
      <c r="L1312" s="14"/>
      <c r="M1312" s="14"/>
    </row>
    <row r="1313" spans="1:13" ht="25.5" x14ac:dyDescent="0.25">
      <c r="A1313" s="16" t="str">
        <f t="shared" si="120"/>
        <v>2</v>
      </c>
      <c r="B1313" s="16" t="str">
        <f t="shared" si="121"/>
        <v>2</v>
      </c>
      <c r="C1313" s="16" t="str">
        <f t="shared" si="122"/>
        <v>1</v>
      </c>
      <c r="D1313" s="16" t="str">
        <f t="shared" si="123"/>
        <v>2</v>
      </c>
      <c r="E1313" s="16" t="str">
        <f t="shared" si="124"/>
        <v>01</v>
      </c>
      <c r="F1313" s="16" t="str">
        <f t="shared" si="125"/>
        <v>01</v>
      </c>
      <c r="G1313" s="57">
        <v>22120101</v>
      </c>
      <c r="H1313" s="16" t="s">
        <v>2680</v>
      </c>
      <c r="I1313" s="17" t="s">
        <v>2681</v>
      </c>
      <c r="J1313" s="16"/>
      <c r="K1313" s="16"/>
      <c r="L1313" s="16"/>
      <c r="M1313" s="17"/>
    </row>
    <row r="1314" spans="1:13" ht="25.5" x14ac:dyDescent="0.25">
      <c r="A1314" s="16" t="str">
        <f t="shared" si="120"/>
        <v>2</v>
      </c>
      <c r="B1314" s="16" t="str">
        <f t="shared" si="121"/>
        <v>2</v>
      </c>
      <c r="C1314" s="16" t="str">
        <f t="shared" si="122"/>
        <v>1</v>
      </c>
      <c r="D1314" s="16" t="str">
        <f t="shared" si="123"/>
        <v>2</v>
      </c>
      <c r="E1314" s="16" t="str">
        <f t="shared" si="124"/>
        <v>01</v>
      </c>
      <c r="F1314" s="16" t="str">
        <f t="shared" si="125"/>
        <v>02</v>
      </c>
      <c r="G1314" s="57">
        <v>22120102</v>
      </c>
      <c r="H1314" s="16" t="s">
        <v>2682</v>
      </c>
      <c r="I1314" s="17" t="s">
        <v>2683</v>
      </c>
      <c r="J1314" s="16"/>
      <c r="K1314" s="16"/>
      <c r="L1314" s="16"/>
      <c r="M1314" s="17"/>
    </row>
    <row r="1315" spans="1:13" ht="25.5" x14ac:dyDescent="0.25">
      <c r="A1315" s="16" t="str">
        <f t="shared" si="120"/>
        <v>2</v>
      </c>
      <c r="B1315" s="16" t="str">
        <f t="shared" si="121"/>
        <v>2</v>
      </c>
      <c r="C1315" s="16" t="str">
        <f t="shared" si="122"/>
        <v>1</v>
      </c>
      <c r="D1315" s="16" t="str">
        <f t="shared" si="123"/>
        <v>2</v>
      </c>
      <c r="E1315" s="16" t="str">
        <f t="shared" si="124"/>
        <v>01</v>
      </c>
      <c r="F1315" s="16" t="str">
        <f t="shared" si="125"/>
        <v>03</v>
      </c>
      <c r="G1315" s="57">
        <v>22120103</v>
      </c>
      <c r="H1315" s="16" t="s">
        <v>2684</v>
      </c>
      <c r="I1315" s="17" t="s">
        <v>2685</v>
      </c>
      <c r="J1315" s="16"/>
      <c r="K1315" s="16"/>
      <c r="L1315" s="16"/>
      <c r="M1315" s="17"/>
    </row>
    <row r="1316" spans="1:13" ht="25.5" x14ac:dyDescent="0.25">
      <c r="A1316" s="14" t="str">
        <f t="shared" si="120"/>
        <v>2</v>
      </c>
      <c r="B1316" s="14" t="str">
        <f t="shared" si="121"/>
        <v>2</v>
      </c>
      <c r="C1316" s="14" t="str">
        <f t="shared" si="122"/>
        <v>1</v>
      </c>
      <c r="D1316" s="14" t="str">
        <f t="shared" si="123"/>
        <v>2</v>
      </c>
      <c r="E1316" s="14" t="str">
        <f t="shared" si="124"/>
        <v>03</v>
      </c>
      <c r="F1316" s="14" t="str">
        <f t="shared" si="125"/>
        <v>00</v>
      </c>
      <c r="G1316" s="56">
        <v>22120300</v>
      </c>
      <c r="H1316" s="14" t="s">
        <v>2686</v>
      </c>
      <c r="I1316" s="15" t="s">
        <v>2687</v>
      </c>
      <c r="J1316" s="14"/>
      <c r="K1316" s="14"/>
      <c r="L1316" s="14"/>
      <c r="M1316" s="14"/>
    </row>
    <row r="1317" spans="1:13" ht="38.25" x14ac:dyDescent="0.25">
      <c r="A1317" s="16" t="str">
        <f t="shared" si="120"/>
        <v>2</v>
      </c>
      <c r="B1317" s="16" t="str">
        <f t="shared" si="121"/>
        <v>2</v>
      </c>
      <c r="C1317" s="16" t="str">
        <f t="shared" si="122"/>
        <v>1</v>
      </c>
      <c r="D1317" s="16" t="str">
        <f t="shared" si="123"/>
        <v>2</v>
      </c>
      <c r="E1317" s="16" t="str">
        <f t="shared" si="124"/>
        <v>03</v>
      </c>
      <c r="F1317" s="16" t="str">
        <f t="shared" si="125"/>
        <v>01</v>
      </c>
      <c r="G1317" s="57">
        <v>22120301</v>
      </c>
      <c r="H1317" s="16" t="s">
        <v>2688</v>
      </c>
      <c r="I1317" s="17" t="s">
        <v>2689</v>
      </c>
      <c r="J1317" s="16"/>
      <c r="K1317" s="16"/>
      <c r="L1317" s="16"/>
      <c r="M1317" s="17"/>
    </row>
    <row r="1318" spans="1:13" ht="25.5" x14ac:dyDescent="0.25">
      <c r="A1318" s="16" t="str">
        <f t="shared" si="120"/>
        <v>2</v>
      </c>
      <c r="B1318" s="16" t="str">
        <f t="shared" si="121"/>
        <v>2</v>
      </c>
      <c r="C1318" s="16" t="str">
        <f t="shared" si="122"/>
        <v>1</v>
      </c>
      <c r="D1318" s="16" t="str">
        <f t="shared" si="123"/>
        <v>2</v>
      </c>
      <c r="E1318" s="16" t="str">
        <f t="shared" si="124"/>
        <v>03</v>
      </c>
      <c r="F1318" s="16" t="str">
        <f t="shared" si="125"/>
        <v>02</v>
      </c>
      <c r="G1318" s="57">
        <v>22120302</v>
      </c>
      <c r="H1318" s="16" t="s">
        <v>2690</v>
      </c>
      <c r="I1318" s="17" t="s">
        <v>2691</v>
      </c>
      <c r="J1318" s="16"/>
      <c r="K1318" s="16"/>
      <c r="L1318" s="16"/>
      <c r="M1318" s="17"/>
    </row>
    <row r="1319" spans="1:13" ht="25.5" x14ac:dyDescent="0.25">
      <c r="A1319" s="16" t="str">
        <f t="shared" si="120"/>
        <v>2</v>
      </c>
      <c r="B1319" s="16" t="str">
        <f t="shared" si="121"/>
        <v>2</v>
      </c>
      <c r="C1319" s="16" t="str">
        <f t="shared" si="122"/>
        <v>1</v>
      </c>
      <c r="D1319" s="16" t="str">
        <f t="shared" si="123"/>
        <v>2</v>
      </c>
      <c r="E1319" s="16" t="str">
        <f t="shared" si="124"/>
        <v>03</v>
      </c>
      <c r="F1319" s="16" t="str">
        <f t="shared" si="125"/>
        <v>03</v>
      </c>
      <c r="G1319" s="57">
        <v>22120303</v>
      </c>
      <c r="H1319" s="16" t="s">
        <v>2692</v>
      </c>
      <c r="I1319" s="17" t="s">
        <v>2693</v>
      </c>
      <c r="J1319" s="16"/>
      <c r="K1319" s="16"/>
      <c r="L1319" s="16"/>
      <c r="M1319" s="17"/>
    </row>
    <row r="1320" spans="1:13" ht="25.5" x14ac:dyDescent="0.25">
      <c r="A1320" s="14" t="str">
        <f t="shared" si="120"/>
        <v>2</v>
      </c>
      <c r="B1320" s="14" t="str">
        <f t="shared" si="121"/>
        <v>2</v>
      </c>
      <c r="C1320" s="14" t="str">
        <f t="shared" si="122"/>
        <v>1</v>
      </c>
      <c r="D1320" s="14" t="str">
        <f t="shared" si="123"/>
        <v>2</v>
      </c>
      <c r="E1320" s="14" t="str">
        <f t="shared" si="124"/>
        <v>07</v>
      </c>
      <c r="F1320" s="14" t="str">
        <f t="shared" si="125"/>
        <v>00</v>
      </c>
      <c r="G1320" s="56">
        <v>22120700</v>
      </c>
      <c r="H1320" s="14" t="s">
        <v>2694</v>
      </c>
      <c r="I1320" s="15" t="s">
        <v>2695</v>
      </c>
      <c r="J1320" s="14"/>
      <c r="K1320" s="14" t="s">
        <v>151</v>
      </c>
      <c r="L1320" s="14" t="s">
        <v>2133</v>
      </c>
      <c r="M1320" s="14"/>
    </row>
    <row r="1321" spans="1:13" ht="25.5" x14ac:dyDescent="0.25">
      <c r="A1321" s="16" t="str">
        <f t="shared" si="120"/>
        <v>2</v>
      </c>
      <c r="B1321" s="16" t="str">
        <f t="shared" si="121"/>
        <v>2</v>
      </c>
      <c r="C1321" s="16" t="str">
        <f t="shared" si="122"/>
        <v>1</v>
      </c>
      <c r="D1321" s="16" t="str">
        <f t="shared" si="123"/>
        <v>2</v>
      </c>
      <c r="E1321" s="16" t="str">
        <f t="shared" si="124"/>
        <v>07</v>
      </c>
      <c r="F1321" s="16" t="str">
        <f t="shared" si="125"/>
        <v>01</v>
      </c>
      <c r="G1321" s="57">
        <v>22120701</v>
      </c>
      <c r="H1321" s="16" t="s">
        <v>2696</v>
      </c>
      <c r="I1321" s="17" t="s">
        <v>2697</v>
      </c>
      <c r="J1321" s="16"/>
      <c r="K1321" s="16"/>
      <c r="L1321" s="16"/>
      <c r="M1321" s="17"/>
    </row>
    <row r="1322" spans="1:13" ht="25.5" x14ac:dyDescent="0.25">
      <c r="A1322" s="16" t="str">
        <f t="shared" si="120"/>
        <v>2</v>
      </c>
      <c r="B1322" s="16" t="str">
        <f t="shared" si="121"/>
        <v>2</v>
      </c>
      <c r="C1322" s="16" t="str">
        <f t="shared" si="122"/>
        <v>1</v>
      </c>
      <c r="D1322" s="16" t="str">
        <f t="shared" si="123"/>
        <v>2</v>
      </c>
      <c r="E1322" s="16" t="str">
        <f t="shared" si="124"/>
        <v>07</v>
      </c>
      <c r="F1322" s="16" t="str">
        <f t="shared" si="125"/>
        <v>02</v>
      </c>
      <c r="G1322" s="57">
        <v>22120702</v>
      </c>
      <c r="H1322" s="16" t="s">
        <v>2698</v>
      </c>
      <c r="I1322" s="17" t="s">
        <v>2699</v>
      </c>
      <c r="J1322" s="16"/>
      <c r="K1322" s="16"/>
      <c r="L1322" s="16"/>
      <c r="M1322" s="17"/>
    </row>
    <row r="1323" spans="1:13" x14ac:dyDescent="0.25">
      <c r="A1323" s="14" t="str">
        <f t="shared" si="120"/>
        <v>2</v>
      </c>
      <c r="B1323" s="14" t="str">
        <f t="shared" si="121"/>
        <v>2</v>
      </c>
      <c r="C1323" s="14" t="str">
        <f t="shared" si="122"/>
        <v>1</v>
      </c>
      <c r="D1323" s="14" t="str">
        <f t="shared" si="123"/>
        <v>2</v>
      </c>
      <c r="E1323" s="14" t="str">
        <f t="shared" si="124"/>
        <v>09</v>
      </c>
      <c r="F1323" s="14" t="str">
        <f t="shared" si="125"/>
        <v>00</v>
      </c>
      <c r="G1323" s="56">
        <v>22120900</v>
      </c>
      <c r="H1323" s="14" t="s">
        <v>2700</v>
      </c>
      <c r="I1323" s="15" t="s">
        <v>2701</v>
      </c>
      <c r="J1323" s="14"/>
      <c r="K1323" s="14"/>
      <c r="L1323" s="14"/>
      <c r="M1323" s="14"/>
    </row>
    <row r="1324" spans="1:13" ht="25.5" x14ac:dyDescent="0.25">
      <c r="A1324" s="16" t="str">
        <f t="shared" si="120"/>
        <v>2</v>
      </c>
      <c r="B1324" s="16" t="str">
        <f t="shared" si="121"/>
        <v>2</v>
      </c>
      <c r="C1324" s="16" t="str">
        <f t="shared" si="122"/>
        <v>1</v>
      </c>
      <c r="D1324" s="16" t="str">
        <f t="shared" si="123"/>
        <v>2</v>
      </c>
      <c r="E1324" s="16" t="str">
        <f t="shared" si="124"/>
        <v>09</v>
      </c>
      <c r="F1324" s="16" t="str">
        <f t="shared" si="125"/>
        <v>01</v>
      </c>
      <c r="G1324" s="57">
        <v>22120901</v>
      </c>
      <c r="H1324" s="16" t="s">
        <v>2702</v>
      </c>
      <c r="I1324" s="17" t="s">
        <v>2703</v>
      </c>
      <c r="J1324" s="16"/>
      <c r="K1324" s="16"/>
      <c r="L1324" s="16"/>
      <c r="M1324" s="17"/>
    </row>
    <row r="1325" spans="1:13" ht="25.5" x14ac:dyDescent="0.25">
      <c r="A1325" s="16" t="str">
        <f t="shared" si="120"/>
        <v>2</v>
      </c>
      <c r="B1325" s="16" t="str">
        <f t="shared" si="121"/>
        <v>2</v>
      </c>
      <c r="C1325" s="16" t="str">
        <f t="shared" si="122"/>
        <v>1</v>
      </c>
      <c r="D1325" s="16" t="str">
        <f t="shared" si="123"/>
        <v>2</v>
      </c>
      <c r="E1325" s="16" t="str">
        <f t="shared" si="124"/>
        <v>09</v>
      </c>
      <c r="F1325" s="16" t="str">
        <f t="shared" si="125"/>
        <v>02</v>
      </c>
      <c r="G1325" s="57">
        <v>22120902</v>
      </c>
      <c r="H1325" s="16" t="s">
        <v>2704</v>
      </c>
      <c r="I1325" s="17" t="s">
        <v>2705</v>
      </c>
      <c r="J1325" s="16"/>
      <c r="K1325" s="16"/>
      <c r="L1325" s="16"/>
      <c r="M1325" s="17"/>
    </row>
    <row r="1326" spans="1:13" x14ac:dyDescent="0.25">
      <c r="A1326" s="14" t="str">
        <f t="shared" si="120"/>
        <v>2</v>
      </c>
      <c r="B1326" s="14" t="str">
        <f t="shared" si="121"/>
        <v>2</v>
      </c>
      <c r="C1326" s="14" t="str">
        <f t="shared" si="122"/>
        <v>1</v>
      </c>
      <c r="D1326" s="14" t="str">
        <f t="shared" si="123"/>
        <v>2</v>
      </c>
      <c r="E1326" s="14" t="str">
        <f t="shared" si="124"/>
        <v>99</v>
      </c>
      <c r="F1326" s="14" t="str">
        <f t="shared" si="125"/>
        <v>00</v>
      </c>
      <c r="G1326" s="56">
        <v>22129900</v>
      </c>
      <c r="H1326" s="14" t="s">
        <v>2706</v>
      </c>
      <c r="I1326" s="15" t="s">
        <v>2707</v>
      </c>
      <c r="J1326" s="14"/>
      <c r="K1326" s="14"/>
      <c r="L1326" s="14"/>
      <c r="M1326" s="14"/>
    </row>
    <row r="1327" spans="1:13" ht="25.5" x14ac:dyDescent="0.25">
      <c r="A1327" s="12" t="str">
        <f t="shared" si="120"/>
        <v>2</v>
      </c>
      <c r="B1327" s="12" t="str">
        <f t="shared" si="121"/>
        <v>2</v>
      </c>
      <c r="C1327" s="12" t="str">
        <f t="shared" si="122"/>
        <v>1</v>
      </c>
      <c r="D1327" s="12" t="str">
        <f t="shared" si="123"/>
        <v>4</v>
      </c>
      <c r="E1327" s="12" t="str">
        <f t="shared" si="124"/>
        <v>00</v>
      </c>
      <c r="F1327" s="12" t="str">
        <f t="shared" si="125"/>
        <v>00</v>
      </c>
      <c r="G1327" s="55">
        <v>22140000</v>
      </c>
      <c r="H1327" s="12" t="s">
        <v>2708</v>
      </c>
      <c r="I1327" s="13" t="s">
        <v>2709</v>
      </c>
      <c r="J1327" s="12"/>
      <c r="K1327" s="12"/>
      <c r="L1327" s="12"/>
      <c r="M1327" s="13"/>
    </row>
    <row r="1328" spans="1:13" x14ac:dyDescent="0.25">
      <c r="A1328" s="12" t="str">
        <f t="shared" si="120"/>
        <v>2</v>
      </c>
      <c r="B1328" s="12" t="str">
        <f t="shared" si="121"/>
        <v>2</v>
      </c>
      <c r="C1328" s="12" t="str">
        <f t="shared" si="122"/>
        <v>1</v>
      </c>
      <c r="D1328" s="12" t="str">
        <f t="shared" si="123"/>
        <v>5</v>
      </c>
      <c r="E1328" s="12" t="str">
        <f t="shared" si="124"/>
        <v>00</v>
      </c>
      <c r="F1328" s="12" t="str">
        <f t="shared" si="125"/>
        <v>00</v>
      </c>
      <c r="G1328" s="55">
        <v>22150000</v>
      </c>
      <c r="H1328" s="12" t="s">
        <v>2710</v>
      </c>
      <c r="I1328" s="13" t="s">
        <v>2711</v>
      </c>
      <c r="J1328" s="12"/>
      <c r="K1328" s="12"/>
      <c r="L1328" s="12"/>
      <c r="M1328" s="13"/>
    </row>
    <row r="1329" spans="1:13" x14ac:dyDescent="0.25">
      <c r="A1329" s="12" t="str">
        <f t="shared" si="120"/>
        <v>2</v>
      </c>
      <c r="B1329" s="12" t="str">
        <f t="shared" si="121"/>
        <v>2</v>
      </c>
      <c r="C1329" s="12" t="str">
        <f t="shared" si="122"/>
        <v>1</v>
      </c>
      <c r="D1329" s="12" t="str">
        <f t="shared" si="123"/>
        <v>6</v>
      </c>
      <c r="E1329" s="12" t="str">
        <f t="shared" si="124"/>
        <v>00</v>
      </c>
      <c r="F1329" s="12" t="str">
        <f t="shared" si="125"/>
        <v>00</v>
      </c>
      <c r="G1329" s="55">
        <v>22160000</v>
      </c>
      <c r="H1329" s="12" t="s">
        <v>2712</v>
      </c>
      <c r="I1329" s="13" t="s">
        <v>2713</v>
      </c>
      <c r="J1329" s="12"/>
      <c r="K1329" s="12"/>
      <c r="L1329" s="12"/>
      <c r="M1329" s="13"/>
    </row>
    <row r="1330" spans="1:13" x14ac:dyDescent="0.25">
      <c r="A1330" s="12" t="str">
        <f t="shared" si="120"/>
        <v>2</v>
      </c>
      <c r="B1330" s="12" t="str">
        <f t="shared" si="121"/>
        <v>2</v>
      </c>
      <c r="C1330" s="12" t="str">
        <f t="shared" si="122"/>
        <v>1</v>
      </c>
      <c r="D1330" s="12" t="str">
        <f t="shared" si="123"/>
        <v>7</v>
      </c>
      <c r="E1330" s="12" t="str">
        <f t="shared" si="124"/>
        <v>00</v>
      </c>
      <c r="F1330" s="12" t="str">
        <f t="shared" si="125"/>
        <v>00</v>
      </c>
      <c r="G1330" s="55">
        <v>22170000</v>
      </c>
      <c r="H1330" s="12" t="s">
        <v>2714</v>
      </c>
      <c r="I1330" s="13" t="s">
        <v>2715</v>
      </c>
      <c r="J1330" s="12"/>
      <c r="K1330" s="12"/>
      <c r="L1330" s="12"/>
      <c r="M1330" s="13"/>
    </row>
    <row r="1331" spans="1:13" x14ac:dyDescent="0.25">
      <c r="A1331" s="12" t="str">
        <f t="shared" si="120"/>
        <v>2</v>
      </c>
      <c r="B1331" s="12" t="str">
        <f t="shared" si="121"/>
        <v>2</v>
      </c>
      <c r="C1331" s="12" t="str">
        <f t="shared" si="122"/>
        <v>1</v>
      </c>
      <c r="D1331" s="12" t="str">
        <f t="shared" si="123"/>
        <v>9</v>
      </c>
      <c r="E1331" s="12" t="str">
        <f t="shared" si="124"/>
        <v>00</v>
      </c>
      <c r="F1331" s="12" t="str">
        <f t="shared" si="125"/>
        <v>00</v>
      </c>
      <c r="G1331" s="55">
        <v>22190000</v>
      </c>
      <c r="H1331" s="12" t="s">
        <v>2716</v>
      </c>
      <c r="I1331" s="13" t="s">
        <v>2717</v>
      </c>
      <c r="J1331" s="12"/>
      <c r="K1331" s="12"/>
      <c r="L1331" s="12"/>
      <c r="M1331" s="13"/>
    </row>
    <row r="1332" spans="1:13" x14ac:dyDescent="0.25">
      <c r="A1332" s="10" t="str">
        <f t="shared" si="120"/>
        <v>2</v>
      </c>
      <c r="B1332" s="10" t="str">
        <f t="shared" si="121"/>
        <v>2</v>
      </c>
      <c r="C1332" s="10" t="str">
        <f t="shared" si="122"/>
        <v>2</v>
      </c>
      <c r="D1332" s="10" t="str">
        <f t="shared" si="123"/>
        <v>0</v>
      </c>
      <c r="E1332" s="10" t="str">
        <f t="shared" si="124"/>
        <v>00</v>
      </c>
      <c r="F1332" s="10" t="str">
        <f t="shared" si="125"/>
        <v>00</v>
      </c>
      <c r="G1332" s="54">
        <v>22200000</v>
      </c>
      <c r="H1332" s="10" t="s">
        <v>2718</v>
      </c>
      <c r="I1332" s="11" t="s">
        <v>2719</v>
      </c>
      <c r="J1332" s="10"/>
      <c r="K1332" s="10"/>
      <c r="L1332" s="10"/>
      <c r="M1332" s="11"/>
    </row>
    <row r="1333" spans="1:13" ht="25.5" x14ac:dyDescent="0.25">
      <c r="A1333" s="12" t="str">
        <f t="shared" si="120"/>
        <v>2</v>
      </c>
      <c r="B1333" s="12" t="str">
        <f t="shared" si="121"/>
        <v>2</v>
      </c>
      <c r="C1333" s="12" t="str">
        <f t="shared" si="122"/>
        <v>2</v>
      </c>
      <c r="D1333" s="12" t="str">
        <f t="shared" si="123"/>
        <v>1</v>
      </c>
      <c r="E1333" s="12" t="str">
        <f t="shared" si="124"/>
        <v>00</v>
      </c>
      <c r="F1333" s="12" t="str">
        <f t="shared" si="125"/>
        <v>00</v>
      </c>
      <c r="G1333" s="55">
        <v>22210000</v>
      </c>
      <c r="H1333" s="12" t="s">
        <v>2720</v>
      </c>
      <c r="I1333" s="13" t="s">
        <v>2721</v>
      </c>
      <c r="J1333" s="12"/>
      <c r="K1333" s="12"/>
      <c r="L1333" s="12"/>
      <c r="M1333" s="13"/>
    </row>
    <row r="1334" spans="1:13" ht="25.5" x14ac:dyDescent="0.25">
      <c r="A1334" s="12" t="str">
        <f t="shared" si="120"/>
        <v>2</v>
      </c>
      <c r="B1334" s="12" t="str">
        <f t="shared" si="121"/>
        <v>2</v>
      </c>
      <c r="C1334" s="12" t="str">
        <f t="shared" si="122"/>
        <v>2</v>
      </c>
      <c r="D1334" s="12" t="str">
        <f t="shared" si="123"/>
        <v>2</v>
      </c>
      <c r="E1334" s="12" t="str">
        <f t="shared" si="124"/>
        <v>00</v>
      </c>
      <c r="F1334" s="12" t="str">
        <f t="shared" si="125"/>
        <v>00</v>
      </c>
      <c r="G1334" s="55">
        <v>22220000</v>
      </c>
      <c r="H1334" s="12" t="s">
        <v>2722</v>
      </c>
      <c r="I1334" s="13" t="s">
        <v>2723</v>
      </c>
      <c r="J1334" s="12"/>
      <c r="K1334" s="12"/>
      <c r="L1334" s="12"/>
      <c r="M1334" s="13"/>
    </row>
    <row r="1335" spans="1:13" ht="25.5" x14ac:dyDescent="0.25">
      <c r="A1335" s="14" t="str">
        <f t="shared" si="120"/>
        <v>2</v>
      </c>
      <c r="B1335" s="14" t="str">
        <f t="shared" si="121"/>
        <v>2</v>
      </c>
      <c r="C1335" s="14" t="str">
        <f t="shared" si="122"/>
        <v>2</v>
      </c>
      <c r="D1335" s="14" t="str">
        <f t="shared" si="123"/>
        <v>2</v>
      </c>
      <c r="E1335" s="14" t="str">
        <f t="shared" si="124"/>
        <v>01</v>
      </c>
      <c r="F1335" s="14" t="str">
        <f t="shared" si="125"/>
        <v>00</v>
      </c>
      <c r="G1335" s="56">
        <v>22220100</v>
      </c>
      <c r="H1335" s="14" t="s">
        <v>2724</v>
      </c>
      <c r="I1335" s="15" t="s">
        <v>2725</v>
      </c>
      <c r="J1335" s="14"/>
      <c r="K1335" s="14"/>
      <c r="L1335" s="14"/>
      <c r="M1335" s="14"/>
    </row>
    <row r="1336" spans="1:13" ht="25.5" x14ac:dyDescent="0.25">
      <c r="A1336" s="14" t="str">
        <f t="shared" si="120"/>
        <v>2</v>
      </c>
      <c r="B1336" s="14" t="str">
        <f t="shared" si="121"/>
        <v>2</v>
      </c>
      <c r="C1336" s="14" t="str">
        <f t="shared" si="122"/>
        <v>2</v>
      </c>
      <c r="D1336" s="14" t="str">
        <f t="shared" si="123"/>
        <v>2</v>
      </c>
      <c r="E1336" s="14" t="str">
        <f t="shared" si="124"/>
        <v>02</v>
      </c>
      <c r="F1336" s="14" t="str">
        <f t="shared" si="125"/>
        <v>00</v>
      </c>
      <c r="G1336" s="56">
        <v>22220200</v>
      </c>
      <c r="H1336" s="14" t="s">
        <v>2726</v>
      </c>
      <c r="I1336" s="15" t="s">
        <v>2727</v>
      </c>
      <c r="J1336" s="14"/>
      <c r="K1336" s="14"/>
      <c r="L1336" s="14"/>
      <c r="M1336" s="14"/>
    </row>
    <row r="1337" spans="1:13" ht="25.5" x14ac:dyDescent="0.25">
      <c r="A1337" s="14" t="str">
        <f t="shared" si="120"/>
        <v>2</v>
      </c>
      <c r="B1337" s="14" t="str">
        <f t="shared" si="121"/>
        <v>2</v>
      </c>
      <c r="C1337" s="14" t="str">
        <f t="shared" si="122"/>
        <v>2</v>
      </c>
      <c r="D1337" s="14" t="str">
        <f t="shared" si="123"/>
        <v>2</v>
      </c>
      <c r="E1337" s="14" t="str">
        <f t="shared" si="124"/>
        <v>03</v>
      </c>
      <c r="F1337" s="14" t="str">
        <f t="shared" si="125"/>
        <v>00</v>
      </c>
      <c r="G1337" s="56">
        <v>22220300</v>
      </c>
      <c r="H1337" s="14" t="s">
        <v>2728</v>
      </c>
      <c r="I1337" s="15" t="s">
        <v>2729</v>
      </c>
      <c r="J1337" s="14"/>
      <c r="K1337" s="14"/>
      <c r="L1337" s="14"/>
      <c r="M1337" s="14"/>
    </row>
    <row r="1338" spans="1:13" ht="51" x14ac:dyDescent="0.25">
      <c r="A1338" s="14" t="str">
        <f t="shared" si="120"/>
        <v>2</v>
      </c>
      <c r="B1338" s="14" t="str">
        <f t="shared" si="121"/>
        <v>2</v>
      </c>
      <c r="C1338" s="14" t="str">
        <f t="shared" si="122"/>
        <v>2</v>
      </c>
      <c r="D1338" s="14" t="str">
        <f t="shared" si="123"/>
        <v>2</v>
      </c>
      <c r="E1338" s="14" t="str">
        <f t="shared" si="124"/>
        <v>04</v>
      </c>
      <c r="F1338" s="14" t="str">
        <f t="shared" si="125"/>
        <v>00</v>
      </c>
      <c r="G1338" s="56">
        <v>22220400</v>
      </c>
      <c r="H1338" s="14" t="s">
        <v>2730</v>
      </c>
      <c r="I1338" s="15" t="s">
        <v>2731</v>
      </c>
      <c r="J1338" s="14"/>
      <c r="K1338" s="14"/>
      <c r="L1338" s="14"/>
      <c r="M1338" s="14"/>
    </row>
    <row r="1339" spans="1:13" x14ac:dyDescent="0.25">
      <c r="A1339" s="12" t="str">
        <f t="shared" si="120"/>
        <v>2</v>
      </c>
      <c r="B1339" s="12" t="str">
        <f t="shared" si="121"/>
        <v>2</v>
      </c>
      <c r="C1339" s="12" t="str">
        <f t="shared" si="122"/>
        <v>2</v>
      </c>
      <c r="D1339" s="12" t="str">
        <f t="shared" si="123"/>
        <v>3</v>
      </c>
      <c r="E1339" s="12" t="str">
        <f t="shared" si="124"/>
        <v>00</v>
      </c>
      <c r="F1339" s="12" t="str">
        <f t="shared" si="125"/>
        <v>00</v>
      </c>
      <c r="G1339" s="55">
        <v>22230000</v>
      </c>
      <c r="H1339" s="12" t="s">
        <v>2732</v>
      </c>
      <c r="I1339" s="13" t="s">
        <v>2733</v>
      </c>
      <c r="J1339" s="12"/>
      <c r="K1339" s="12"/>
      <c r="L1339" s="12"/>
      <c r="M1339" s="13"/>
    </row>
    <row r="1340" spans="1:13" x14ac:dyDescent="0.25">
      <c r="A1340" s="12" t="str">
        <f t="shared" si="120"/>
        <v>2</v>
      </c>
      <c r="B1340" s="12" t="str">
        <f t="shared" si="121"/>
        <v>2</v>
      </c>
      <c r="C1340" s="12" t="str">
        <f t="shared" si="122"/>
        <v>2</v>
      </c>
      <c r="D1340" s="12" t="str">
        <f t="shared" si="123"/>
        <v>4</v>
      </c>
      <c r="E1340" s="12" t="str">
        <f t="shared" si="124"/>
        <v>00</v>
      </c>
      <c r="F1340" s="12" t="str">
        <f t="shared" si="125"/>
        <v>00</v>
      </c>
      <c r="G1340" s="55">
        <v>22240000</v>
      </c>
      <c r="H1340" s="12" t="s">
        <v>2734</v>
      </c>
      <c r="I1340" s="13" t="s">
        <v>2735</v>
      </c>
      <c r="J1340" s="12"/>
      <c r="K1340" s="12"/>
      <c r="L1340" s="12"/>
      <c r="M1340" s="13"/>
    </row>
    <row r="1341" spans="1:13" x14ac:dyDescent="0.25">
      <c r="A1341" s="12" t="str">
        <f t="shared" si="120"/>
        <v>2</v>
      </c>
      <c r="B1341" s="12" t="str">
        <f t="shared" si="121"/>
        <v>2</v>
      </c>
      <c r="C1341" s="12" t="str">
        <f t="shared" si="122"/>
        <v>2</v>
      </c>
      <c r="D1341" s="12" t="str">
        <f t="shared" si="123"/>
        <v>5</v>
      </c>
      <c r="E1341" s="12" t="str">
        <f t="shared" si="124"/>
        <v>00</v>
      </c>
      <c r="F1341" s="12" t="str">
        <f t="shared" si="125"/>
        <v>00</v>
      </c>
      <c r="G1341" s="55">
        <v>22250000</v>
      </c>
      <c r="H1341" s="12" t="s">
        <v>2736</v>
      </c>
      <c r="I1341" s="13" t="s">
        <v>2737</v>
      </c>
      <c r="J1341" s="12"/>
      <c r="K1341" s="12"/>
      <c r="L1341" s="12"/>
      <c r="M1341" s="13"/>
    </row>
    <row r="1342" spans="1:13" x14ac:dyDescent="0.25">
      <c r="A1342" s="12" t="str">
        <f t="shared" si="120"/>
        <v>2</v>
      </c>
      <c r="B1342" s="12" t="str">
        <f t="shared" si="121"/>
        <v>2</v>
      </c>
      <c r="C1342" s="12" t="str">
        <f t="shared" si="122"/>
        <v>2</v>
      </c>
      <c r="D1342" s="12" t="str">
        <f t="shared" si="123"/>
        <v>9</v>
      </c>
      <c r="E1342" s="12" t="str">
        <f t="shared" si="124"/>
        <v>00</v>
      </c>
      <c r="F1342" s="12" t="str">
        <f t="shared" si="125"/>
        <v>00</v>
      </c>
      <c r="G1342" s="55">
        <v>22290000</v>
      </c>
      <c r="H1342" s="12" t="s">
        <v>2738</v>
      </c>
      <c r="I1342" s="13" t="s">
        <v>2739</v>
      </c>
      <c r="J1342" s="12"/>
      <c r="K1342" s="12"/>
      <c r="L1342" s="12"/>
      <c r="M1342" s="13"/>
    </row>
    <row r="1343" spans="1:13" x14ac:dyDescent="0.25">
      <c r="A1343" s="8" t="str">
        <f t="shared" si="120"/>
        <v>2</v>
      </c>
      <c r="B1343" s="8" t="str">
        <f t="shared" si="121"/>
        <v>3</v>
      </c>
      <c r="C1343" s="8" t="str">
        <f t="shared" si="122"/>
        <v>0</v>
      </c>
      <c r="D1343" s="8" t="str">
        <f t="shared" si="123"/>
        <v>0</v>
      </c>
      <c r="E1343" s="8" t="str">
        <f t="shared" si="124"/>
        <v>00</v>
      </c>
      <c r="F1343" s="8" t="str">
        <f t="shared" si="125"/>
        <v>00</v>
      </c>
      <c r="G1343" s="53">
        <v>23000000</v>
      </c>
      <c r="H1343" s="8" t="s">
        <v>2740</v>
      </c>
      <c r="I1343" s="9" t="s">
        <v>2741</v>
      </c>
      <c r="J1343" s="8"/>
      <c r="K1343" s="8"/>
      <c r="L1343" s="8"/>
      <c r="M1343" s="9"/>
    </row>
    <row r="1344" spans="1:13" ht="38.25" x14ac:dyDescent="0.25">
      <c r="A1344" s="14" t="str">
        <f t="shared" si="120"/>
        <v>2</v>
      </c>
      <c r="B1344" s="14" t="str">
        <f t="shared" si="121"/>
        <v>3</v>
      </c>
      <c r="C1344" s="14" t="str">
        <f t="shared" si="122"/>
        <v>0</v>
      </c>
      <c r="D1344" s="14" t="str">
        <f t="shared" si="123"/>
        <v>0</v>
      </c>
      <c r="E1344" s="14" t="str">
        <f t="shared" si="124"/>
        <v>10</v>
      </c>
      <c r="F1344" s="14" t="str">
        <f t="shared" si="125"/>
        <v>00</v>
      </c>
      <c r="G1344" s="56">
        <v>23001000</v>
      </c>
      <c r="H1344" s="14" t="s">
        <v>2742</v>
      </c>
      <c r="I1344" s="15" t="s">
        <v>2743</v>
      </c>
      <c r="J1344" s="14"/>
      <c r="K1344" s="14"/>
      <c r="L1344" s="14"/>
      <c r="M1344" s="14"/>
    </row>
    <row r="1345" spans="1:13" ht="25.5" x14ac:dyDescent="0.25">
      <c r="A1345" s="14" t="str">
        <f t="shared" si="120"/>
        <v>2</v>
      </c>
      <c r="B1345" s="14" t="str">
        <f t="shared" si="121"/>
        <v>3</v>
      </c>
      <c r="C1345" s="14" t="str">
        <f t="shared" si="122"/>
        <v>0</v>
      </c>
      <c r="D1345" s="14" t="str">
        <f t="shared" si="123"/>
        <v>0</v>
      </c>
      <c r="E1345" s="14" t="str">
        <f t="shared" si="124"/>
        <v>20</v>
      </c>
      <c r="F1345" s="14" t="str">
        <f t="shared" si="125"/>
        <v>00</v>
      </c>
      <c r="G1345" s="56">
        <v>23002000</v>
      </c>
      <c r="H1345" s="14" t="s">
        <v>2744</v>
      </c>
      <c r="I1345" s="15" t="s">
        <v>2745</v>
      </c>
      <c r="J1345" s="14"/>
      <c r="K1345" s="14"/>
      <c r="L1345" s="14"/>
      <c r="M1345" s="14"/>
    </row>
    <row r="1346" spans="1:13" ht="25.5" x14ac:dyDescent="0.25">
      <c r="A1346" s="16" t="str">
        <f t="shared" si="120"/>
        <v>2</v>
      </c>
      <c r="B1346" s="16" t="str">
        <f t="shared" si="121"/>
        <v>3</v>
      </c>
      <c r="C1346" s="16" t="str">
        <f t="shared" si="122"/>
        <v>0</v>
      </c>
      <c r="D1346" s="16" t="str">
        <f t="shared" si="123"/>
        <v>0</v>
      </c>
      <c r="E1346" s="16" t="str">
        <f t="shared" si="124"/>
        <v>20</v>
      </c>
      <c r="F1346" s="16" t="str">
        <f t="shared" si="125"/>
        <v>01</v>
      </c>
      <c r="G1346" s="57">
        <v>23002001</v>
      </c>
      <c r="H1346" s="16" t="s">
        <v>2746</v>
      </c>
      <c r="I1346" s="17" t="s">
        <v>2747</v>
      </c>
      <c r="J1346" s="16"/>
      <c r="K1346" s="16"/>
      <c r="L1346" s="16"/>
      <c r="M1346" s="17"/>
    </row>
    <row r="1347" spans="1:13" ht="25.5" x14ac:dyDescent="0.25">
      <c r="A1347" s="16" t="str">
        <f t="shared" si="120"/>
        <v>2</v>
      </c>
      <c r="B1347" s="16" t="str">
        <f t="shared" si="121"/>
        <v>3</v>
      </c>
      <c r="C1347" s="16" t="str">
        <f t="shared" si="122"/>
        <v>0</v>
      </c>
      <c r="D1347" s="16" t="str">
        <f t="shared" si="123"/>
        <v>0</v>
      </c>
      <c r="E1347" s="16" t="str">
        <f t="shared" si="124"/>
        <v>20</v>
      </c>
      <c r="F1347" s="16" t="str">
        <f t="shared" si="125"/>
        <v>02</v>
      </c>
      <c r="G1347" s="57">
        <v>23002002</v>
      </c>
      <c r="H1347" s="16" t="s">
        <v>2748</v>
      </c>
      <c r="I1347" s="17" t="s">
        <v>2749</v>
      </c>
      <c r="J1347" s="16"/>
      <c r="K1347" s="16"/>
      <c r="L1347" s="16"/>
      <c r="M1347" s="17"/>
    </row>
    <row r="1348" spans="1:13" ht="25.5" x14ac:dyDescent="0.25">
      <c r="A1348" s="14" t="str">
        <f t="shared" ref="A1348:A1411" si="126">MID(G1348,1,1)</f>
        <v>2</v>
      </c>
      <c r="B1348" s="14" t="str">
        <f t="shared" ref="B1348:B1411" si="127">MID(G1348,2,1)</f>
        <v>3</v>
      </c>
      <c r="C1348" s="14" t="str">
        <f t="shared" ref="C1348:C1411" si="128">MID(G1348,3,1)</f>
        <v>0</v>
      </c>
      <c r="D1348" s="14" t="str">
        <f t="shared" ref="D1348:D1411" si="129">MID(G1348,4,1)</f>
        <v>0</v>
      </c>
      <c r="E1348" s="14" t="str">
        <f t="shared" ref="E1348:E1411" si="130">MID(G1348,5,2)</f>
        <v>30</v>
      </c>
      <c r="F1348" s="14" t="str">
        <f t="shared" ref="F1348:F1411" si="131">MID(G1348,7,2)</f>
        <v>00</v>
      </c>
      <c r="G1348" s="56">
        <v>23003000</v>
      </c>
      <c r="H1348" s="14" t="s">
        <v>2750</v>
      </c>
      <c r="I1348" s="15" t="s">
        <v>2751</v>
      </c>
      <c r="J1348" s="14"/>
      <c r="K1348" s="14"/>
      <c r="L1348" s="14"/>
      <c r="M1348" s="14"/>
    </row>
    <row r="1349" spans="1:13" ht="38.25" x14ac:dyDescent="0.25">
      <c r="A1349" s="14" t="str">
        <f t="shared" si="126"/>
        <v>2</v>
      </c>
      <c r="B1349" s="14" t="str">
        <f t="shared" si="127"/>
        <v>3</v>
      </c>
      <c r="C1349" s="14" t="str">
        <f t="shared" si="128"/>
        <v>0</v>
      </c>
      <c r="D1349" s="14" t="str">
        <f t="shared" si="129"/>
        <v>0</v>
      </c>
      <c r="E1349" s="14" t="str">
        <f t="shared" si="130"/>
        <v>40</v>
      </c>
      <c r="F1349" s="14" t="str">
        <f t="shared" si="131"/>
        <v>00</v>
      </c>
      <c r="G1349" s="56">
        <v>23004000</v>
      </c>
      <c r="H1349" s="14" t="s">
        <v>2752</v>
      </c>
      <c r="I1349" s="15" t="s">
        <v>2753</v>
      </c>
      <c r="J1349" s="14"/>
      <c r="K1349" s="14"/>
      <c r="L1349" s="14"/>
      <c r="M1349" s="14"/>
    </row>
    <row r="1350" spans="1:13" ht="89.25" x14ac:dyDescent="0.25">
      <c r="A1350" s="14" t="str">
        <f t="shared" si="126"/>
        <v>2</v>
      </c>
      <c r="B1350" s="14" t="str">
        <f t="shared" si="127"/>
        <v>3</v>
      </c>
      <c r="C1350" s="14" t="str">
        <f t="shared" si="128"/>
        <v>0</v>
      </c>
      <c r="D1350" s="14" t="str">
        <f t="shared" si="129"/>
        <v>0</v>
      </c>
      <c r="E1350" s="14" t="str">
        <f t="shared" si="130"/>
        <v>50</v>
      </c>
      <c r="F1350" s="14" t="str">
        <f t="shared" si="131"/>
        <v>00</v>
      </c>
      <c r="G1350" s="56">
        <v>23005000</v>
      </c>
      <c r="H1350" s="14" t="s">
        <v>2754</v>
      </c>
      <c r="I1350" s="15" t="s">
        <v>2755</v>
      </c>
      <c r="J1350" s="14"/>
      <c r="K1350" s="14"/>
      <c r="L1350" s="14"/>
      <c r="M1350" s="14"/>
    </row>
    <row r="1351" spans="1:13" ht="25.5" x14ac:dyDescent="0.25">
      <c r="A1351" s="14" t="str">
        <f t="shared" si="126"/>
        <v>2</v>
      </c>
      <c r="B1351" s="14" t="str">
        <f t="shared" si="127"/>
        <v>3</v>
      </c>
      <c r="C1351" s="14" t="str">
        <f t="shared" si="128"/>
        <v>0</v>
      </c>
      <c r="D1351" s="14" t="str">
        <f t="shared" si="129"/>
        <v>0</v>
      </c>
      <c r="E1351" s="14" t="str">
        <f t="shared" si="130"/>
        <v>70</v>
      </c>
      <c r="F1351" s="14" t="str">
        <f t="shared" si="131"/>
        <v>00</v>
      </c>
      <c r="G1351" s="56">
        <v>23007000</v>
      </c>
      <c r="H1351" s="14" t="s">
        <v>2756</v>
      </c>
      <c r="I1351" s="15" t="s">
        <v>2757</v>
      </c>
      <c r="J1351" s="14"/>
      <c r="K1351" s="14"/>
      <c r="L1351" s="14"/>
      <c r="M1351" s="14"/>
    </row>
    <row r="1352" spans="1:13" x14ac:dyDescent="0.25">
      <c r="A1352" s="16" t="str">
        <f t="shared" si="126"/>
        <v>2</v>
      </c>
      <c r="B1352" s="16" t="str">
        <f t="shared" si="127"/>
        <v>3</v>
      </c>
      <c r="C1352" s="16" t="str">
        <f t="shared" si="128"/>
        <v>0</v>
      </c>
      <c r="D1352" s="16" t="str">
        <f t="shared" si="129"/>
        <v>0</v>
      </c>
      <c r="E1352" s="16" t="str">
        <f t="shared" si="130"/>
        <v>70</v>
      </c>
      <c r="F1352" s="16" t="str">
        <f t="shared" si="131"/>
        <v>01</v>
      </c>
      <c r="G1352" s="57">
        <v>23007001</v>
      </c>
      <c r="H1352" s="16" t="s">
        <v>2758</v>
      </c>
      <c r="I1352" s="17" t="s">
        <v>2759</v>
      </c>
      <c r="J1352" s="16"/>
      <c r="K1352" s="16"/>
      <c r="L1352" s="16"/>
      <c r="M1352" s="17"/>
    </row>
    <row r="1353" spans="1:13" ht="38.25" x14ac:dyDescent="0.25">
      <c r="A1353" s="16" t="str">
        <f t="shared" si="126"/>
        <v>2</v>
      </c>
      <c r="B1353" s="16" t="str">
        <f t="shared" si="127"/>
        <v>3</v>
      </c>
      <c r="C1353" s="16" t="str">
        <f t="shared" si="128"/>
        <v>0</v>
      </c>
      <c r="D1353" s="16" t="str">
        <f t="shared" si="129"/>
        <v>0</v>
      </c>
      <c r="E1353" s="16" t="str">
        <f t="shared" si="130"/>
        <v>70</v>
      </c>
      <c r="F1353" s="16" t="str">
        <f t="shared" si="131"/>
        <v>02</v>
      </c>
      <c r="G1353" s="57">
        <v>23007002</v>
      </c>
      <c r="H1353" s="16" t="s">
        <v>2760</v>
      </c>
      <c r="I1353" s="17" t="s">
        <v>2761</v>
      </c>
      <c r="J1353" s="16"/>
      <c r="K1353" s="16"/>
      <c r="L1353" s="16"/>
      <c r="M1353" s="17"/>
    </row>
    <row r="1354" spans="1:13" ht="89.25" x14ac:dyDescent="0.25">
      <c r="A1354" s="14" t="str">
        <f t="shared" si="126"/>
        <v>2</v>
      </c>
      <c r="B1354" s="14" t="str">
        <f t="shared" si="127"/>
        <v>3</v>
      </c>
      <c r="C1354" s="14" t="str">
        <f t="shared" si="128"/>
        <v>0</v>
      </c>
      <c r="D1354" s="14" t="str">
        <f t="shared" si="129"/>
        <v>0</v>
      </c>
      <c r="E1354" s="14" t="str">
        <f t="shared" si="130"/>
        <v>80</v>
      </c>
      <c r="F1354" s="14" t="str">
        <f t="shared" si="131"/>
        <v>00</v>
      </c>
      <c r="G1354" s="56">
        <v>23008000</v>
      </c>
      <c r="H1354" s="14" t="s">
        <v>2762</v>
      </c>
      <c r="I1354" s="15" t="s">
        <v>2763</v>
      </c>
      <c r="J1354" s="14"/>
      <c r="K1354" s="14"/>
      <c r="L1354" s="14"/>
      <c r="M1354" s="14"/>
    </row>
    <row r="1355" spans="1:13" x14ac:dyDescent="0.25">
      <c r="A1355" s="16" t="str">
        <f t="shared" si="126"/>
        <v>2</v>
      </c>
      <c r="B1355" s="16" t="str">
        <f t="shared" si="127"/>
        <v>3</v>
      </c>
      <c r="C1355" s="16" t="str">
        <f t="shared" si="128"/>
        <v>0</v>
      </c>
      <c r="D1355" s="16" t="str">
        <f t="shared" si="129"/>
        <v>0</v>
      </c>
      <c r="E1355" s="16" t="str">
        <f t="shared" si="130"/>
        <v>80</v>
      </c>
      <c r="F1355" s="16" t="str">
        <f t="shared" si="131"/>
        <v>01</v>
      </c>
      <c r="G1355" s="57">
        <v>23008001</v>
      </c>
      <c r="H1355" s="16" t="s">
        <v>2764</v>
      </c>
      <c r="I1355" s="17" t="s">
        <v>2765</v>
      </c>
      <c r="J1355" s="16"/>
      <c r="K1355" s="16"/>
      <c r="L1355" s="16"/>
      <c r="M1355" s="17"/>
    </row>
    <row r="1356" spans="1:13" ht="25.5" x14ac:dyDescent="0.25">
      <c r="A1356" s="16" t="str">
        <f t="shared" si="126"/>
        <v>2</v>
      </c>
      <c r="B1356" s="16" t="str">
        <f t="shared" si="127"/>
        <v>3</v>
      </c>
      <c r="C1356" s="16" t="str">
        <f t="shared" si="128"/>
        <v>0</v>
      </c>
      <c r="D1356" s="16" t="str">
        <f t="shared" si="129"/>
        <v>0</v>
      </c>
      <c r="E1356" s="16" t="str">
        <f t="shared" si="130"/>
        <v>80</v>
      </c>
      <c r="F1356" s="16" t="str">
        <f t="shared" si="131"/>
        <v>02</v>
      </c>
      <c r="G1356" s="57">
        <v>23008002</v>
      </c>
      <c r="H1356" s="16" t="s">
        <v>2766</v>
      </c>
      <c r="I1356" s="17" t="s">
        <v>2767</v>
      </c>
      <c r="J1356" s="16"/>
      <c r="K1356" s="16"/>
      <c r="L1356" s="16"/>
      <c r="M1356" s="17"/>
    </row>
    <row r="1357" spans="1:13" ht="38.25" x14ac:dyDescent="0.25">
      <c r="A1357" s="16" t="str">
        <f t="shared" si="126"/>
        <v>2</v>
      </c>
      <c r="B1357" s="16" t="str">
        <f t="shared" si="127"/>
        <v>3</v>
      </c>
      <c r="C1357" s="16" t="str">
        <f t="shared" si="128"/>
        <v>0</v>
      </c>
      <c r="D1357" s="16" t="str">
        <f t="shared" si="129"/>
        <v>0</v>
      </c>
      <c r="E1357" s="16" t="str">
        <f t="shared" si="130"/>
        <v>80</v>
      </c>
      <c r="F1357" s="16" t="str">
        <f t="shared" si="131"/>
        <v>03</v>
      </c>
      <c r="G1357" s="57">
        <v>23008003</v>
      </c>
      <c r="H1357" s="16" t="s">
        <v>2768</v>
      </c>
      <c r="I1357" s="17" t="s">
        <v>2769</v>
      </c>
      <c r="J1357" s="16"/>
      <c r="K1357" s="16"/>
      <c r="L1357" s="16"/>
      <c r="M1357" s="17"/>
    </row>
    <row r="1358" spans="1:13" ht="25.5" x14ac:dyDescent="0.25">
      <c r="A1358" s="18" t="str">
        <f t="shared" si="126"/>
        <v>2</v>
      </c>
      <c r="B1358" s="18" t="str">
        <f t="shared" si="127"/>
        <v>3</v>
      </c>
      <c r="C1358" s="18" t="str">
        <f t="shared" si="128"/>
        <v>0</v>
      </c>
      <c r="D1358" s="18" t="str">
        <f t="shared" si="129"/>
        <v>0</v>
      </c>
      <c r="E1358" s="18" t="str">
        <f t="shared" si="130"/>
        <v>80</v>
      </c>
      <c r="F1358" s="18" t="str">
        <f t="shared" si="131"/>
        <v>04</v>
      </c>
      <c r="G1358" s="58">
        <v>23008004</v>
      </c>
      <c r="H1358" s="18" t="s">
        <v>2770</v>
      </c>
      <c r="I1358" s="19" t="s">
        <v>2771</v>
      </c>
      <c r="J1358" s="16"/>
      <c r="K1358" s="16" t="s">
        <v>494</v>
      </c>
      <c r="L1358" s="16" t="s">
        <v>1164</v>
      </c>
      <c r="M1358" s="17"/>
    </row>
    <row r="1359" spans="1:13" ht="25.5" x14ac:dyDescent="0.25">
      <c r="A1359" s="14" t="str">
        <f t="shared" si="126"/>
        <v>2</v>
      </c>
      <c r="B1359" s="14" t="str">
        <f t="shared" si="127"/>
        <v>3</v>
      </c>
      <c r="C1359" s="14" t="str">
        <f t="shared" si="128"/>
        <v>0</v>
      </c>
      <c r="D1359" s="14" t="str">
        <f t="shared" si="129"/>
        <v>0</v>
      </c>
      <c r="E1359" s="14" t="str">
        <f t="shared" si="130"/>
        <v>99</v>
      </c>
      <c r="F1359" s="14" t="str">
        <f t="shared" si="131"/>
        <v>00</v>
      </c>
      <c r="G1359" s="56">
        <v>23009900</v>
      </c>
      <c r="H1359" s="14" t="s">
        <v>2772</v>
      </c>
      <c r="I1359" s="15" t="s">
        <v>2757</v>
      </c>
      <c r="J1359" s="14"/>
      <c r="K1359" s="14"/>
      <c r="L1359" s="14"/>
      <c r="M1359" s="14"/>
    </row>
    <row r="1360" spans="1:13" ht="25.5" x14ac:dyDescent="0.25">
      <c r="A1360" s="8" t="str">
        <f t="shared" si="126"/>
        <v>2</v>
      </c>
      <c r="B1360" s="8" t="str">
        <f t="shared" si="127"/>
        <v>4</v>
      </c>
      <c r="C1360" s="8" t="str">
        <f t="shared" si="128"/>
        <v>0</v>
      </c>
      <c r="D1360" s="8" t="str">
        <f t="shared" si="129"/>
        <v>0</v>
      </c>
      <c r="E1360" s="8" t="str">
        <f t="shared" si="130"/>
        <v>00</v>
      </c>
      <c r="F1360" s="8" t="str">
        <f t="shared" si="131"/>
        <v>00</v>
      </c>
      <c r="G1360" s="53">
        <v>24000000</v>
      </c>
      <c r="H1360" s="8" t="s">
        <v>2773</v>
      </c>
      <c r="I1360" s="9" t="s">
        <v>2774</v>
      </c>
      <c r="J1360" s="8"/>
      <c r="K1360" s="8"/>
      <c r="L1360" s="8"/>
      <c r="M1360" s="9"/>
    </row>
    <row r="1361" spans="1:13" x14ac:dyDescent="0.25">
      <c r="A1361" s="10" t="str">
        <f t="shared" si="126"/>
        <v>2</v>
      </c>
      <c r="B1361" s="10" t="str">
        <f t="shared" si="127"/>
        <v>4</v>
      </c>
      <c r="C1361" s="10" t="str">
        <f t="shared" si="128"/>
        <v>2</v>
      </c>
      <c r="D1361" s="10" t="str">
        <f t="shared" si="129"/>
        <v>0</v>
      </c>
      <c r="E1361" s="10" t="str">
        <f t="shared" si="130"/>
        <v>00</v>
      </c>
      <c r="F1361" s="10" t="str">
        <f t="shared" si="131"/>
        <v>00</v>
      </c>
      <c r="G1361" s="54">
        <v>24200000</v>
      </c>
      <c r="H1361" s="10" t="s">
        <v>1215</v>
      </c>
      <c r="I1361" s="11" t="s">
        <v>1216</v>
      </c>
      <c r="J1361" s="10"/>
      <c r="K1361" s="10"/>
      <c r="L1361" s="10"/>
      <c r="M1361" s="11"/>
    </row>
    <row r="1362" spans="1:13" ht="25.5" x14ac:dyDescent="0.25">
      <c r="A1362" s="12" t="str">
        <f t="shared" si="126"/>
        <v>2</v>
      </c>
      <c r="B1362" s="12" t="str">
        <f t="shared" si="127"/>
        <v>4</v>
      </c>
      <c r="C1362" s="12" t="str">
        <f t="shared" si="128"/>
        <v>2</v>
      </c>
      <c r="D1362" s="12" t="str">
        <f t="shared" si="129"/>
        <v>1</v>
      </c>
      <c r="E1362" s="12" t="str">
        <f t="shared" si="130"/>
        <v>00</v>
      </c>
      <c r="F1362" s="12" t="str">
        <f t="shared" si="131"/>
        <v>00</v>
      </c>
      <c r="G1362" s="55">
        <v>24210000</v>
      </c>
      <c r="H1362" s="12" t="s">
        <v>1217</v>
      </c>
      <c r="I1362" s="13" t="s">
        <v>2775</v>
      </c>
      <c r="J1362" s="12"/>
      <c r="K1362" s="12"/>
      <c r="L1362" s="12"/>
      <c r="M1362" s="13"/>
    </row>
    <row r="1363" spans="1:13" ht="25.5" x14ac:dyDescent="0.25">
      <c r="A1363" s="14" t="str">
        <f t="shared" si="126"/>
        <v>2</v>
      </c>
      <c r="B1363" s="14" t="str">
        <f t="shared" si="127"/>
        <v>4</v>
      </c>
      <c r="C1363" s="14" t="str">
        <f t="shared" si="128"/>
        <v>2</v>
      </c>
      <c r="D1363" s="14" t="str">
        <f t="shared" si="129"/>
        <v>1</v>
      </c>
      <c r="E1363" s="14" t="str">
        <f t="shared" si="130"/>
        <v>01</v>
      </c>
      <c r="F1363" s="14" t="str">
        <f t="shared" si="131"/>
        <v>00</v>
      </c>
      <c r="G1363" s="56">
        <v>24210100</v>
      </c>
      <c r="H1363" s="14" t="s">
        <v>1311</v>
      </c>
      <c r="I1363" s="15" t="s">
        <v>2776</v>
      </c>
      <c r="J1363" s="14"/>
      <c r="K1363" s="14"/>
      <c r="L1363" s="14"/>
      <c r="M1363" s="14"/>
    </row>
    <row r="1364" spans="1:13" ht="25.5" x14ac:dyDescent="0.25">
      <c r="A1364" s="14" t="str">
        <f t="shared" si="126"/>
        <v>2</v>
      </c>
      <c r="B1364" s="14" t="str">
        <f t="shared" si="127"/>
        <v>4</v>
      </c>
      <c r="C1364" s="14" t="str">
        <f t="shared" si="128"/>
        <v>2</v>
      </c>
      <c r="D1364" s="14" t="str">
        <f t="shared" si="129"/>
        <v>1</v>
      </c>
      <c r="E1364" s="14" t="str">
        <f t="shared" si="130"/>
        <v>02</v>
      </c>
      <c r="F1364" s="14" t="str">
        <f t="shared" si="131"/>
        <v>00</v>
      </c>
      <c r="G1364" s="56">
        <v>24210200</v>
      </c>
      <c r="H1364" s="14" t="s">
        <v>2777</v>
      </c>
      <c r="I1364" s="15" t="s">
        <v>2778</v>
      </c>
      <c r="J1364" s="14"/>
      <c r="K1364" s="14"/>
      <c r="L1364" s="14"/>
      <c r="M1364" s="14"/>
    </row>
    <row r="1365" spans="1:13" x14ac:dyDescent="0.25">
      <c r="A1365" s="34" t="str">
        <f t="shared" si="126"/>
        <v>2</v>
      </c>
      <c r="B1365" s="34" t="str">
        <f t="shared" si="127"/>
        <v>4</v>
      </c>
      <c r="C1365" s="34" t="str">
        <f t="shared" si="128"/>
        <v>2</v>
      </c>
      <c r="D1365" s="34" t="str">
        <f t="shared" si="129"/>
        <v>1</v>
      </c>
      <c r="E1365" s="34" t="str">
        <f t="shared" si="130"/>
        <v>37</v>
      </c>
      <c r="F1365" s="34" t="str">
        <f t="shared" si="131"/>
        <v>00</v>
      </c>
      <c r="G1365" s="68">
        <v>24213700</v>
      </c>
      <c r="H1365" s="34" t="s">
        <v>1274</v>
      </c>
      <c r="I1365" s="44" t="s">
        <v>2779</v>
      </c>
      <c r="J1365" s="34"/>
      <c r="K1365" s="34"/>
      <c r="L1365" s="34"/>
      <c r="M1365" s="34"/>
    </row>
    <row r="1366" spans="1:13" ht="25.5" x14ac:dyDescent="0.25">
      <c r="A1366" s="14" t="str">
        <f t="shared" si="126"/>
        <v>2</v>
      </c>
      <c r="B1366" s="14" t="str">
        <f t="shared" si="127"/>
        <v>4</v>
      </c>
      <c r="C1366" s="14" t="str">
        <f t="shared" si="128"/>
        <v>2</v>
      </c>
      <c r="D1366" s="14" t="str">
        <f t="shared" si="129"/>
        <v>1</v>
      </c>
      <c r="E1366" s="14" t="str">
        <f t="shared" si="130"/>
        <v>37</v>
      </c>
      <c r="F1366" s="14" t="str">
        <f t="shared" si="131"/>
        <v>00</v>
      </c>
      <c r="G1366" s="56">
        <v>24213700</v>
      </c>
      <c r="H1366" s="14" t="s">
        <v>1276</v>
      </c>
      <c r="I1366" s="15" t="s">
        <v>2779</v>
      </c>
      <c r="J1366" s="14"/>
      <c r="K1366" s="14"/>
      <c r="L1366" s="14"/>
      <c r="M1366" s="14"/>
    </row>
    <row r="1367" spans="1:13" ht="38.25" x14ac:dyDescent="0.25">
      <c r="A1367" s="14" t="str">
        <f t="shared" si="126"/>
        <v>2</v>
      </c>
      <c r="B1367" s="14" t="str">
        <f t="shared" si="127"/>
        <v>4</v>
      </c>
      <c r="C1367" s="14" t="str">
        <f t="shared" si="128"/>
        <v>2</v>
      </c>
      <c r="D1367" s="14" t="str">
        <f t="shared" si="129"/>
        <v>1</v>
      </c>
      <c r="E1367" s="14" t="str">
        <f t="shared" si="130"/>
        <v>99</v>
      </c>
      <c r="F1367" s="14" t="str">
        <f t="shared" si="131"/>
        <v>00</v>
      </c>
      <c r="G1367" s="56">
        <v>24219900</v>
      </c>
      <c r="H1367" s="14" t="s">
        <v>1277</v>
      </c>
      <c r="I1367" s="15" t="s">
        <v>2780</v>
      </c>
      <c r="J1367" s="14"/>
      <c r="K1367" s="14"/>
      <c r="L1367" s="14"/>
      <c r="M1367" s="14"/>
    </row>
    <row r="1368" spans="1:13" ht="25.5" x14ac:dyDescent="0.25">
      <c r="A1368" s="12" t="str">
        <f t="shared" si="126"/>
        <v>2</v>
      </c>
      <c r="B1368" s="12" t="str">
        <f t="shared" si="127"/>
        <v>4</v>
      </c>
      <c r="C1368" s="12" t="str">
        <f t="shared" si="128"/>
        <v>2</v>
      </c>
      <c r="D1368" s="12" t="str">
        <f t="shared" si="129"/>
        <v>2</v>
      </c>
      <c r="E1368" s="12" t="str">
        <f t="shared" si="130"/>
        <v>00</v>
      </c>
      <c r="F1368" s="12" t="str">
        <f t="shared" si="131"/>
        <v>00</v>
      </c>
      <c r="G1368" s="55">
        <v>24220000</v>
      </c>
      <c r="H1368" s="12" t="s">
        <v>1279</v>
      </c>
      <c r="I1368" s="13" t="s">
        <v>2781</v>
      </c>
      <c r="J1368" s="12"/>
      <c r="K1368" s="12"/>
      <c r="L1368" s="12"/>
      <c r="M1368" s="13"/>
    </row>
    <row r="1369" spans="1:13" ht="25.5" x14ac:dyDescent="0.25">
      <c r="A1369" s="14" t="str">
        <f t="shared" si="126"/>
        <v>2</v>
      </c>
      <c r="B1369" s="14" t="str">
        <f t="shared" si="127"/>
        <v>4</v>
      </c>
      <c r="C1369" s="14" t="str">
        <f t="shared" si="128"/>
        <v>2</v>
      </c>
      <c r="D1369" s="14" t="str">
        <f t="shared" si="129"/>
        <v>2</v>
      </c>
      <c r="E1369" s="14" t="str">
        <f t="shared" si="130"/>
        <v>01</v>
      </c>
      <c r="F1369" s="14" t="str">
        <f t="shared" si="131"/>
        <v>00</v>
      </c>
      <c r="G1369" s="56">
        <v>24220100</v>
      </c>
      <c r="H1369" s="14" t="s">
        <v>1311</v>
      </c>
      <c r="I1369" s="15" t="s">
        <v>2782</v>
      </c>
      <c r="J1369" s="14"/>
      <c r="K1369" s="14"/>
      <c r="L1369" s="14"/>
      <c r="M1369" s="14"/>
    </row>
    <row r="1370" spans="1:13" ht="25.5" x14ac:dyDescent="0.25">
      <c r="A1370" s="14" t="str">
        <f t="shared" si="126"/>
        <v>2</v>
      </c>
      <c r="B1370" s="14" t="str">
        <f t="shared" si="127"/>
        <v>4</v>
      </c>
      <c r="C1370" s="14" t="str">
        <f t="shared" si="128"/>
        <v>2</v>
      </c>
      <c r="D1370" s="14" t="str">
        <f t="shared" si="129"/>
        <v>2</v>
      </c>
      <c r="E1370" s="14" t="str">
        <f t="shared" si="130"/>
        <v>02</v>
      </c>
      <c r="F1370" s="14" t="str">
        <f t="shared" si="131"/>
        <v>00</v>
      </c>
      <c r="G1370" s="56">
        <v>24220200</v>
      </c>
      <c r="H1370" s="14" t="s">
        <v>2777</v>
      </c>
      <c r="I1370" s="15" t="s">
        <v>2783</v>
      </c>
      <c r="J1370" s="14"/>
      <c r="K1370" s="14"/>
      <c r="L1370" s="14"/>
      <c r="M1370" s="14"/>
    </row>
    <row r="1371" spans="1:13" x14ac:dyDescent="0.25">
      <c r="A1371" s="34" t="str">
        <f t="shared" si="126"/>
        <v>2</v>
      </c>
      <c r="B1371" s="34" t="str">
        <f t="shared" si="127"/>
        <v>4</v>
      </c>
      <c r="C1371" s="34" t="str">
        <f t="shared" si="128"/>
        <v>2</v>
      </c>
      <c r="D1371" s="34" t="str">
        <f t="shared" si="129"/>
        <v>2</v>
      </c>
      <c r="E1371" s="34" t="str">
        <f t="shared" si="130"/>
        <v>37</v>
      </c>
      <c r="F1371" s="34" t="str">
        <f t="shared" si="131"/>
        <v>00</v>
      </c>
      <c r="G1371" s="68">
        <v>24223700</v>
      </c>
      <c r="H1371" s="34" t="s">
        <v>1274</v>
      </c>
      <c r="I1371" s="44" t="s">
        <v>2784</v>
      </c>
      <c r="J1371" s="34"/>
      <c r="K1371" s="34"/>
      <c r="L1371" s="34"/>
      <c r="M1371" s="34"/>
    </row>
    <row r="1372" spans="1:13" ht="25.5" x14ac:dyDescent="0.25">
      <c r="A1372" s="14" t="str">
        <f t="shared" si="126"/>
        <v>2</v>
      </c>
      <c r="B1372" s="14" t="str">
        <f t="shared" si="127"/>
        <v>4</v>
      </c>
      <c r="C1372" s="14" t="str">
        <f t="shared" si="128"/>
        <v>2</v>
      </c>
      <c r="D1372" s="14" t="str">
        <f t="shared" si="129"/>
        <v>2</v>
      </c>
      <c r="E1372" s="14" t="str">
        <f t="shared" si="130"/>
        <v>37</v>
      </c>
      <c r="F1372" s="14" t="str">
        <f t="shared" si="131"/>
        <v>00</v>
      </c>
      <c r="G1372" s="56">
        <v>24223700</v>
      </c>
      <c r="H1372" s="14" t="s">
        <v>1307</v>
      </c>
      <c r="I1372" s="15" t="s">
        <v>2784</v>
      </c>
      <c r="J1372" s="14"/>
      <c r="K1372" s="14"/>
      <c r="L1372" s="14"/>
      <c r="M1372" s="14"/>
    </row>
    <row r="1373" spans="1:13" ht="25.5" x14ac:dyDescent="0.25">
      <c r="A1373" s="14" t="str">
        <f t="shared" si="126"/>
        <v>2</v>
      </c>
      <c r="B1373" s="14" t="str">
        <f t="shared" si="127"/>
        <v>4</v>
      </c>
      <c r="C1373" s="14" t="str">
        <f t="shared" si="128"/>
        <v>2</v>
      </c>
      <c r="D1373" s="14" t="str">
        <f t="shared" si="129"/>
        <v>2</v>
      </c>
      <c r="E1373" s="14" t="str">
        <f t="shared" si="130"/>
        <v>99</v>
      </c>
      <c r="F1373" s="14" t="str">
        <f t="shared" si="131"/>
        <v>00</v>
      </c>
      <c r="G1373" s="56">
        <v>24229900</v>
      </c>
      <c r="H1373" s="14" t="s">
        <v>1294</v>
      </c>
      <c r="I1373" s="15" t="s">
        <v>2785</v>
      </c>
      <c r="J1373" s="14"/>
      <c r="K1373" s="14"/>
      <c r="L1373" s="14"/>
      <c r="M1373" s="14"/>
    </row>
    <row r="1374" spans="1:13" ht="25.5" x14ac:dyDescent="0.25">
      <c r="A1374" s="12" t="str">
        <f t="shared" si="126"/>
        <v>2</v>
      </c>
      <c r="B1374" s="12" t="str">
        <f t="shared" si="127"/>
        <v>4</v>
      </c>
      <c r="C1374" s="12" t="str">
        <f t="shared" si="128"/>
        <v>2</v>
      </c>
      <c r="D1374" s="12" t="str">
        <f t="shared" si="129"/>
        <v>3</v>
      </c>
      <c r="E1374" s="12" t="str">
        <f t="shared" si="130"/>
        <v>00</v>
      </c>
      <c r="F1374" s="12" t="str">
        <f t="shared" si="131"/>
        <v>00</v>
      </c>
      <c r="G1374" s="55">
        <v>24230000</v>
      </c>
      <c r="H1374" s="12" t="s">
        <v>1309</v>
      </c>
      <c r="I1374" s="13" t="s">
        <v>2786</v>
      </c>
      <c r="J1374" s="12"/>
      <c r="K1374" s="12"/>
      <c r="L1374" s="12"/>
      <c r="M1374" s="13"/>
    </row>
    <row r="1375" spans="1:13" ht="25.5" x14ac:dyDescent="0.25">
      <c r="A1375" s="14" t="str">
        <f t="shared" si="126"/>
        <v>2</v>
      </c>
      <c r="B1375" s="14" t="str">
        <f t="shared" si="127"/>
        <v>4</v>
      </c>
      <c r="C1375" s="14" t="str">
        <f t="shared" si="128"/>
        <v>2</v>
      </c>
      <c r="D1375" s="14" t="str">
        <f t="shared" si="129"/>
        <v>3</v>
      </c>
      <c r="E1375" s="14" t="str">
        <f t="shared" si="130"/>
        <v>01</v>
      </c>
      <c r="F1375" s="14" t="str">
        <f t="shared" si="131"/>
        <v>00</v>
      </c>
      <c r="G1375" s="56">
        <v>24230100</v>
      </c>
      <c r="H1375" s="14" t="s">
        <v>2787</v>
      </c>
      <c r="I1375" s="15" t="s">
        <v>2788</v>
      </c>
      <c r="J1375" s="14"/>
      <c r="K1375" s="14"/>
      <c r="L1375" s="14"/>
      <c r="M1375" s="14"/>
    </row>
    <row r="1376" spans="1:13" ht="25.5" x14ac:dyDescent="0.25">
      <c r="A1376" s="14" t="str">
        <f t="shared" si="126"/>
        <v>2</v>
      </c>
      <c r="B1376" s="14" t="str">
        <f t="shared" si="127"/>
        <v>4</v>
      </c>
      <c r="C1376" s="14" t="str">
        <f t="shared" si="128"/>
        <v>2</v>
      </c>
      <c r="D1376" s="14" t="str">
        <f t="shared" si="129"/>
        <v>3</v>
      </c>
      <c r="E1376" s="14" t="str">
        <f t="shared" si="130"/>
        <v>02</v>
      </c>
      <c r="F1376" s="14" t="str">
        <f t="shared" si="131"/>
        <v>00</v>
      </c>
      <c r="G1376" s="56">
        <v>24230200</v>
      </c>
      <c r="H1376" s="14" t="s">
        <v>2777</v>
      </c>
      <c r="I1376" s="15" t="s">
        <v>2789</v>
      </c>
      <c r="J1376" s="14"/>
      <c r="K1376" s="14"/>
      <c r="L1376" s="14"/>
      <c r="M1376" s="14"/>
    </row>
    <row r="1377" spans="1:13" x14ac:dyDescent="0.25">
      <c r="A1377" s="34" t="str">
        <f t="shared" si="126"/>
        <v>2</v>
      </c>
      <c r="B1377" s="34" t="str">
        <f t="shared" si="127"/>
        <v>4</v>
      </c>
      <c r="C1377" s="34" t="str">
        <f t="shared" si="128"/>
        <v>2</v>
      </c>
      <c r="D1377" s="34" t="str">
        <f t="shared" si="129"/>
        <v>3</v>
      </c>
      <c r="E1377" s="34" t="str">
        <f t="shared" si="130"/>
        <v>37</v>
      </c>
      <c r="F1377" s="34" t="str">
        <f t="shared" si="131"/>
        <v>00</v>
      </c>
      <c r="G1377" s="68">
        <v>24233700</v>
      </c>
      <c r="H1377" s="34" t="s">
        <v>1274</v>
      </c>
      <c r="I1377" s="44" t="s">
        <v>2790</v>
      </c>
      <c r="J1377" s="34"/>
      <c r="K1377" s="34"/>
      <c r="L1377" s="34"/>
      <c r="M1377" s="34"/>
    </row>
    <row r="1378" spans="1:13" ht="25.5" x14ac:dyDescent="0.25">
      <c r="A1378" s="14" t="str">
        <f t="shared" si="126"/>
        <v>2</v>
      </c>
      <c r="B1378" s="14" t="str">
        <f t="shared" si="127"/>
        <v>4</v>
      </c>
      <c r="C1378" s="14" t="str">
        <f t="shared" si="128"/>
        <v>2</v>
      </c>
      <c r="D1378" s="14" t="str">
        <f t="shared" si="129"/>
        <v>3</v>
      </c>
      <c r="E1378" s="14" t="str">
        <f t="shared" si="130"/>
        <v>37</v>
      </c>
      <c r="F1378" s="14" t="str">
        <f t="shared" si="131"/>
        <v>00</v>
      </c>
      <c r="G1378" s="56">
        <v>24233700</v>
      </c>
      <c r="H1378" s="14" t="s">
        <v>1314</v>
      </c>
      <c r="I1378" s="15" t="s">
        <v>2790</v>
      </c>
      <c r="J1378" s="14"/>
      <c r="K1378" s="14"/>
      <c r="L1378" s="14"/>
      <c r="M1378" s="14"/>
    </row>
    <row r="1379" spans="1:13" ht="25.5" x14ac:dyDescent="0.25">
      <c r="A1379" s="14" t="str">
        <f t="shared" si="126"/>
        <v>2</v>
      </c>
      <c r="B1379" s="14" t="str">
        <f t="shared" si="127"/>
        <v>4</v>
      </c>
      <c r="C1379" s="14" t="str">
        <f t="shared" si="128"/>
        <v>2</v>
      </c>
      <c r="D1379" s="14" t="str">
        <f t="shared" si="129"/>
        <v>3</v>
      </c>
      <c r="E1379" s="14" t="str">
        <f t="shared" si="130"/>
        <v>99</v>
      </c>
      <c r="F1379" s="14" t="str">
        <f t="shared" si="131"/>
        <v>00</v>
      </c>
      <c r="G1379" s="56">
        <v>24239900</v>
      </c>
      <c r="H1379" s="14" t="s">
        <v>1315</v>
      </c>
      <c r="I1379" s="15" t="s">
        <v>2791</v>
      </c>
      <c r="J1379" s="14"/>
      <c r="K1379" s="14"/>
      <c r="L1379" s="14"/>
      <c r="M1379" s="14"/>
    </row>
    <row r="1380" spans="1:13" ht="38.25" x14ac:dyDescent="0.25">
      <c r="A1380" s="10" t="str">
        <f t="shared" si="126"/>
        <v>2</v>
      </c>
      <c r="B1380" s="10" t="str">
        <f t="shared" si="127"/>
        <v>4</v>
      </c>
      <c r="C1380" s="10" t="str">
        <f t="shared" si="128"/>
        <v>3</v>
      </c>
      <c r="D1380" s="10" t="str">
        <f t="shared" si="129"/>
        <v>0</v>
      </c>
      <c r="E1380" s="10" t="str">
        <f t="shared" si="130"/>
        <v>00</v>
      </c>
      <c r="F1380" s="10" t="str">
        <f t="shared" si="131"/>
        <v>00</v>
      </c>
      <c r="G1380" s="54">
        <v>24300000</v>
      </c>
      <c r="H1380" s="10" t="s">
        <v>1326</v>
      </c>
      <c r="I1380" s="11" t="s">
        <v>2792</v>
      </c>
      <c r="J1380" s="10"/>
      <c r="K1380" s="10"/>
      <c r="L1380" s="10"/>
      <c r="M1380" s="11"/>
    </row>
    <row r="1381" spans="1:13" x14ac:dyDescent="0.25">
      <c r="A1381" s="10" t="str">
        <f t="shared" si="126"/>
        <v>2</v>
      </c>
      <c r="B1381" s="10" t="str">
        <f t="shared" si="127"/>
        <v>4</v>
      </c>
      <c r="C1381" s="10" t="str">
        <f t="shared" si="128"/>
        <v>4</v>
      </c>
      <c r="D1381" s="10" t="str">
        <f t="shared" si="129"/>
        <v>0</v>
      </c>
      <c r="E1381" s="10" t="str">
        <f t="shared" si="130"/>
        <v>00</v>
      </c>
      <c r="F1381" s="10" t="str">
        <f t="shared" si="131"/>
        <v>00</v>
      </c>
      <c r="G1381" s="54">
        <v>24400000</v>
      </c>
      <c r="H1381" s="10" t="s">
        <v>1328</v>
      </c>
      <c r="I1381" s="11" t="s">
        <v>2793</v>
      </c>
      <c r="J1381" s="10"/>
      <c r="K1381" s="10"/>
      <c r="L1381" s="10"/>
      <c r="M1381" s="11"/>
    </row>
    <row r="1382" spans="1:13" ht="25.5" x14ac:dyDescent="0.25">
      <c r="A1382" s="10" t="str">
        <f t="shared" si="126"/>
        <v>2</v>
      </c>
      <c r="B1382" s="10" t="str">
        <f t="shared" si="127"/>
        <v>4</v>
      </c>
      <c r="C1382" s="10" t="str">
        <f t="shared" si="128"/>
        <v>5</v>
      </c>
      <c r="D1382" s="10" t="str">
        <f t="shared" si="129"/>
        <v>0</v>
      </c>
      <c r="E1382" s="10" t="str">
        <f t="shared" si="130"/>
        <v>00</v>
      </c>
      <c r="F1382" s="10" t="str">
        <f t="shared" si="131"/>
        <v>00</v>
      </c>
      <c r="G1382" s="54">
        <v>24500000</v>
      </c>
      <c r="H1382" s="10" t="s">
        <v>1330</v>
      </c>
      <c r="I1382" s="11" t="s">
        <v>2794</v>
      </c>
      <c r="J1382" s="10"/>
      <c r="K1382" s="10"/>
      <c r="L1382" s="10"/>
      <c r="M1382" s="11"/>
    </row>
    <row r="1383" spans="1:13" ht="25.5" x14ac:dyDescent="0.25">
      <c r="A1383" s="10" t="str">
        <f t="shared" si="126"/>
        <v>2</v>
      </c>
      <c r="B1383" s="10" t="str">
        <f t="shared" si="127"/>
        <v>4</v>
      </c>
      <c r="C1383" s="10" t="str">
        <f t="shared" si="128"/>
        <v>6</v>
      </c>
      <c r="D1383" s="10" t="str">
        <f t="shared" si="129"/>
        <v>0</v>
      </c>
      <c r="E1383" s="10" t="str">
        <f t="shared" si="130"/>
        <v>00</v>
      </c>
      <c r="F1383" s="10" t="str">
        <f t="shared" si="131"/>
        <v>00</v>
      </c>
      <c r="G1383" s="54">
        <v>24600000</v>
      </c>
      <c r="H1383" s="10" t="s">
        <v>2795</v>
      </c>
      <c r="I1383" s="11" t="s">
        <v>2796</v>
      </c>
      <c r="J1383" s="10"/>
      <c r="K1383" s="10"/>
      <c r="L1383" s="10"/>
      <c r="M1383" s="11"/>
    </row>
    <row r="1384" spans="1:13" ht="25.5" x14ac:dyDescent="0.25">
      <c r="A1384" s="10" t="str">
        <f t="shared" si="126"/>
        <v>2</v>
      </c>
      <c r="B1384" s="10" t="str">
        <f t="shared" si="127"/>
        <v>4</v>
      </c>
      <c r="C1384" s="10" t="str">
        <f t="shared" si="128"/>
        <v>7</v>
      </c>
      <c r="D1384" s="10" t="str">
        <f t="shared" si="129"/>
        <v>0</v>
      </c>
      <c r="E1384" s="10" t="str">
        <f t="shared" si="130"/>
        <v>00</v>
      </c>
      <c r="F1384" s="10" t="str">
        <f t="shared" si="131"/>
        <v>00</v>
      </c>
      <c r="G1384" s="54">
        <v>24700000</v>
      </c>
      <c r="H1384" s="10" t="s">
        <v>1332</v>
      </c>
      <c r="I1384" s="11" t="s">
        <v>2797</v>
      </c>
      <c r="J1384" s="10"/>
      <c r="K1384" s="10"/>
      <c r="L1384" s="10"/>
      <c r="M1384" s="11"/>
    </row>
    <row r="1385" spans="1:13" ht="38.25" x14ac:dyDescent="0.25">
      <c r="A1385" s="12" t="str">
        <f t="shared" si="126"/>
        <v>2</v>
      </c>
      <c r="B1385" s="12" t="str">
        <f t="shared" si="127"/>
        <v>4</v>
      </c>
      <c r="C1385" s="12" t="str">
        <f t="shared" si="128"/>
        <v>7</v>
      </c>
      <c r="D1385" s="12" t="str">
        <f t="shared" si="129"/>
        <v>1</v>
      </c>
      <c r="E1385" s="12" t="str">
        <f t="shared" si="130"/>
        <v>00</v>
      </c>
      <c r="F1385" s="12" t="str">
        <f t="shared" si="131"/>
        <v>00</v>
      </c>
      <c r="G1385" s="55">
        <v>24710000</v>
      </c>
      <c r="H1385" s="12" t="s">
        <v>2798</v>
      </c>
      <c r="I1385" s="13" t="s">
        <v>2799</v>
      </c>
      <c r="J1385" s="12"/>
      <c r="K1385" s="12"/>
      <c r="L1385" s="12"/>
      <c r="M1385" s="13"/>
    </row>
    <row r="1386" spans="1:13" ht="25.5" x14ac:dyDescent="0.25">
      <c r="A1386" s="14" t="str">
        <f t="shared" si="126"/>
        <v>2</v>
      </c>
      <c r="B1386" s="14" t="str">
        <f t="shared" si="127"/>
        <v>4</v>
      </c>
      <c r="C1386" s="14" t="str">
        <f t="shared" si="128"/>
        <v>7</v>
      </c>
      <c r="D1386" s="14" t="str">
        <f t="shared" si="129"/>
        <v>1</v>
      </c>
      <c r="E1386" s="14" t="str">
        <f t="shared" si="130"/>
        <v>01</v>
      </c>
      <c r="F1386" s="14" t="str">
        <f t="shared" si="131"/>
        <v>00</v>
      </c>
      <c r="G1386" s="56">
        <v>24710100</v>
      </c>
      <c r="H1386" s="14" t="s">
        <v>2800</v>
      </c>
      <c r="I1386" s="15" t="s">
        <v>2801</v>
      </c>
      <c r="J1386" s="14"/>
      <c r="K1386" s="14"/>
      <c r="L1386" s="14"/>
      <c r="M1386" s="14"/>
    </row>
    <row r="1387" spans="1:13" ht="25.5" x14ac:dyDescent="0.25">
      <c r="A1387" s="14" t="str">
        <f t="shared" si="126"/>
        <v>2</v>
      </c>
      <c r="B1387" s="14" t="str">
        <f t="shared" si="127"/>
        <v>4</v>
      </c>
      <c r="C1387" s="14" t="str">
        <f t="shared" si="128"/>
        <v>7</v>
      </c>
      <c r="D1387" s="14" t="str">
        <f t="shared" si="129"/>
        <v>1</v>
      </c>
      <c r="E1387" s="14" t="str">
        <f t="shared" si="130"/>
        <v>02</v>
      </c>
      <c r="F1387" s="14" t="str">
        <f t="shared" si="131"/>
        <v>00</v>
      </c>
      <c r="G1387" s="56">
        <v>24710200</v>
      </c>
      <c r="H1387" s="14" t="s">
        <v>2802</v>
      </c>
      <c r="I1387" s="15" t="s">
        <v>2803</v>
      </c>
      <c r="J1387" s="14"/>
      <c r="K1387" s="14"/>
      <c r="L1387" s="14"/>
      <c r="M1387" s="14"/>
    </row>
    <row r="1388" spans="1:13" ht="38.25" x14ac:dyDescent="0.25">
      <c r="A1388" s="14" t="str">
        <f t="shared" si="126"/>
        <v>2</v>
      </c>
      <c r="B1388" s="14" t="str">
        <f t="shared" si="127"/>
        <v>4</v>
      </c>
      <c r="C1388" s="14" t="str">
        <f t="shared" si="128"/>
        <v>7</v>
      </c>
      <c r="D1388" s="14" t="str">
        <f t="shared" si="129"/>
        <v>1</v>
      </c>
      <c r="E1388" s="14" t="str">
        <f t="shared" si="130"/>
        <v>03</v>
      </c>
      <c r="F1388" s="14" t="str">
        <f t="shared" si="131"/>
        <v>00</v>
      </c>
      <c r="G1388" s="56">
        <v>24710300</v>
      </c>
      <c r="H1388" s="14" t="s">
        <v>2804</v>
      </c>
      <c r="I1388" s="15" t="s">
        <v>2805</v>
      </c>
      <c r="J1388" s="14"/>
      <c r="K1388" s="14"/>
      <c r="L1388" s="14"/>
      <c r="M1388" s="14"/>
    </row>
    <row r="1389" spans="1:13" ht="38.25" x14ac:dyDescent="0.25">
      <c r="A1389" s="14" t="str">
        <f t="shared" si="126"/>
        <v>2</v>
      </c>
      <c r="B1389" s="14" t="str">
        <f t="shared" si="127"/>
        <v>4</v>
      </c>
      <c r="C1389" s="14" t="str">
        <f t="shared" si="128"/>
        <v>7</v>
      </c>
      <c r="D1389" s="14" t="str">
        <f t="shared" si="129"/>
        <v>1</v>
      </c>
      <c r="E1389" s="14" t="str">
        <f t="shared" si="130"/>
        <v>04</v>
      </c>
      <c r="F1389" s="14" t="str">
        <f t="shared" si="131"/>
        <v>00</v>
      </c>
      <c r="G1389" s="56">
        <v>24710400</v>
      </c>
      <c r="H1389" s="14" t="s">
        <v>2806</v>
      </c>
      <c r="I1389" s="15" t="s">
        <v>2807</v>
      </c>
      <c r="J1389" s="14"/>
      <c r="K1389" s="14"/>
      <c r="L1389" s="14"/>
      <c r="M1389" s="14"/>
    </row>
    <row r="1390" spans="1:13" ht="38.25" x14ac:dyDescent="0.25">
      <c r="A1390" s="14" t="str">
        <f t="shared" si="126"/>
        <v>2</v>
      </c>
      <c r="B1390" s="14" t="str">
        <f t="shared" si="127"/>
        <v>4</v>
      </c>
      <c r="C1390" s="14" t="str">
        <f t="shared" si="128"/>
        <v>7</v>
      </c>
      <c r="D1390" s="14" t="str">
        <f t="shared" si="129"/>
        <v>1</v>
      </c>
      <c r="E1390" s="14" t="str">
        <f t="shared" si="130"/>
        <v>05</v>
      </c>
      <c r="F1390" s="14" t="str">
        <f t="shared" si="131"/>
        <v>00</v>
      </c>
      <c r="G1390" s="56">
        <v>24710500</v>
      </c>
      <c r="H1390" s="14" t="s">
        <v>2808</v>
      </c>
      <c r="I1390" s="15" t="s">
        <v>2809</v>
      </c>
      <c r="J1390" s="14"/>
      <c r="K1390" s="14"/>
      <c r="L1390" s="14"/>
      <c r="M1390" s="14"/>
    </row>
    <row r="1391" spans="1:13" ht="25.5" x14ac:dyDescent="0.25">
      <c r="A1391" s="14" t="str">
        <f t="shared" si="126"/>
        <v>2</v>
      </c>
      <c r="B1391" s="14" t="str">
        <f t="shared" si="127"/>
        <v>4</v>
      </c>
      <c r="C1391" s="14" t="str">
        <f t="shared" si="128"/>
        <v>7</v>
      </c>
      <c r="D1391" s="14" t="str">
        <f t="shared" si="129"/>
        <v>1</v>
      </c>
      <c r="E1391" s="14" t="str">
        <f t="shared" si="130"/>
        <v>99</v>
      </c>
      <c r="F1391" s="14" t="str">
        <f t="shared" si="131"/>
        <v>00</v>
      </c>
      <c r="G1391" s="56">
        <v>24719900</v>
      </c>
      <c r="H1391" s="14" t="s">
        <v>1346</v>
      </c>
      <c r="I1391" s="15" t="s">
        <v>2810</v>
      </c>
      <c r="J1391" s="14"/>
      <c r="K1391" s="14"/>
      <c r="L1391" s="14"/>
      <c r="M1391" s="14"/>
    </row>
    <row r="1392" spans="1:13" ht="25.5" x14ac:dyDescent="0.25">
      <c r="A1392" s="12" t="str">
        <f t="shared" si="126"/>
        <v>2</v>
      </c>
      <c r="B1392" s="12" t="str">
        <f t="shared" si="127"/>
        <v>4</v>
      </c>
      <c r="C1392" s="12" t="str">
        <f t="shared" si="128"/>
        <v>7</v>
      </c>
      <c r="D1392" s="12" t="str">
        <f t="shared" si="129"/>
        <v>2</v>
      </c>
      <c r="E1392" s="12" t="str">
        <f t="shared" si="130"/>
        <v>00</v>
      </c>
      <c r="F1392" s="12" t="str">
        <f t="shared" si="131"/>
        <v>00</v>
      </c>
      <c r="G1392" s="55">
        <v>24720000</v>
      </c>
      <c r="H1392" s="12" t="s">
        <v>2811</v>
      </c>
      <c r="I1392" s="13" t="s">
        <v>2812</v>
      </c>
      <c r="J1392" s="12"/>
      <c r="K1392" s="12"/>
      <c r="L1392" s="12"/>
      <c r="M1392" s="13"/>
    </row>
    <row r="1393" spans="1:13" ht="25.5" x14ac:dyDescent="0.25">
      <c r="A1393" s="14" t="str">
        <f t="shared" si="126"/>
        <v>2</v>
      </c>
      <c r="B1393" s="14" t="str">
        <f t="shared" si="127"/>
        <v>4</v>
      </c>
      <c r="C1393" s="14" t="str">
        <f t="shared" si="128"/>
        <v>7</v>
      </c>
      <c r="D1393" s="14" t="str">
        <f t="shared" si="129"/>
        <v>2</v>
      </c>
      <c r="E1393" s="14" t="str">
        <f t="shared" si="130"/>
        <v>01</v>
      </c>
      <c r="F1393" s="14" t="str">
        <f t="shared" si="131"/>
        <v>00</v>
      </c>
      <c r="G1393" s="56">
        <v>24720100</v>
      </c>
      <c r="H1393" s="14" t="s">
        <v>2813</v>
      </c>
      <c r="I1393" s="15" t="s">
        <v>2814</v>
      </c>
      <c r="J1393" s="14"/>
      <c r="K1393" s="14"/>
      <c r="L1393" s="14"/>
      <c r="M1393" s="14"/>
    </row>
    <row r="1394" spans="1:13" ht="25.5" x14ac:dyDescent="0.25">
      <c r="A1394" s="14" t="str">
        <f t="shared" si="126"/>
        <v>2</v>
      </c>
      <c r="B1394" s="14" t="str">
        <f t="shared" si="127"/>
        <v>4</v>
      </c>
      <c r="C1394" s="14" t="str">
        <f t="shared" si="128"/>
        <v>7</v>
      </c>
      <c r="D1394" s="14" t="str">
        <f t="shared" si="129"/>
        <v>2</v>
      </c>
      <c r="E1394" s="14" t="str">
        <f t="shared" si="130"/>
        <v>02</v>
      </c>
      <c r="F1394" s="14" t="str">
        <f t="shared" si="131"/>
        <v>00</v>
      </c>
      <c r="G1394" s="56">
        <v>24720200</v>
      </c>
      <c r="H1394" s="14" t="s">
        <v>2815</v>
      </c>
      <c r="I1394" s="15" t="s">
        <v>2816</v>
      </c>
      <c r="J1394" s="14"/>
      <c r="K1394" s="14"/>
      <c r="L1394" s="14"/>
      <c r="M1394" s="14"/>
    </row>
    <row r="1395" spans="1:13" ht="38.25" x14ac:dyDescent="0.25">
      <c r="A1395" s="14" t="str">
        <f t="shared" si="126"/>
        <v>2</v>
      </c>
      <c r="B1395" s="14" t="str">
        <f t="shared" si="127"/>
        <v>4</v>
      </c>
      <c r="C1395" s="14" t="str">
        <f t="shared" si="128"/>
        <v>7</v>
      </c>
      <c r="D1395" s="14" t="str">
        <f t="shared" si="129"/>
        <v>2</v>
      </c>
      <c r="E1395" s="14" t="str">
        <f t="shared" si="130"/>
        <v>03</v>
      </c>
      <c r="F1395" s="14" t="str">
        <f t="shared" si="131"/>
        <v>00</v>
      </c>
      <c r="G1395" s="56">
        <v>24720300</v>
      </c>
      <c r="H1395" s="14" t="s">
        <v>2817</v>
      </c>
      <c r="I1395" s="15" t="s">
        <v>2818</v>
      </c>
      <c r="J1395" s="14"/>
      <c r="K1395" s="14"/>
      <c r="L1395" s="14"/>
      <c r="M1395" s="14"/>
    </row>
    <row r="1396" spans="1:13" ht="38.25" x14ac:dyDescent="0.25">
      <c r="A1396" s="14" t="str">
        <f t="shared" si="126"/>
        <v>2</v>
      </c>
      <c r="B1396" s="14" t="str">
        <f t="shared" si="127"/>
        <v>4</v>
      </c>
      <c r="C1396" s="14" t="str">
        <f t="shared" si="128"/>
        <v>7</v>
      </c>
      <c r="D1396" s="14" t="str">
        <f t="shared" si="129"/>
        <v>2</v>
      </c>
      <c r="E1396" s="14" t="str">
        <f t="shared" si="130"/>
        <v>04</v>
      </c>
      <c r="F1396" s="14" t="str">
        <f t="shared" si="131"/>
        <v>00</v>
      </c>
      <c r="G1396" s="56">
        <v>24720400</v>
      </c>
      <c r="H1396" s="14" t="s">
        <v>2819</v>
      </c>
      <c r="I1396" s="15" t="s">
        <v>2820</v>
      </c>
      <c r="J1396" s="14"/>
      <c r="K1396" s="14"/>
      <c r="L1396" s="14"/>
      <c r="M1396" s="14"/>
    </row>
    <row r="1397" spans="1:13" ht="51" x14ac:dyDescent="0.25">
      <c r="A1397" s="14" t="str">
        <f t="shared" si="126"/>
        <v>2</v>
      </c>
      <c r="B1397" s="14" t="str">
        <f t="shared" si="127"/>
        <v>4</v>
      </c>
      <c r="C1397" s="14" t="str">
        <f t="shared" si="128"/>
        <v>7</v>
      </c>
      <c r="D1397" s="14" t="str">
        <f t="shared" si="129"/>
        <v>2</v>
      </c>
      <c r="E1397" s="14" t="str">
        <f t="shared" si="130"/>
        <v>05</v>
      </c>
      <c r="F1397" s="14" t="str">
        <f t="shared" si="131"/>
        <v>00</v>
      </c>
      <c r="G1397" s="56">
        <v>24720500</v>
      </c>
      <c r="H1397" s="14" t="s">
        <v>2821</v>
      </c>
      <c r="I1397" s="15" t="s">
        <v>2822</v>
      </c>
      <c r="J1397" s="14"/>
      <c r="K1397" s="14"/>
      <c r="L1397" s="14"/>
      <c r="M1397" s="14"/>
    </row>
    <row r="1398" spans="1:13" ht="25.5" x14ac:dyDescent="0.25">
      <c r="A1398" s="14" t="str">
        <f t="shared" si="126"/>
        <v>2</v>
      </c>
      <c r="B1398" s="14" t="str">
        <f t="shared" si="127"/>
        <v>4</v>
      </c>
      <c r="C1398" s="14" t="str">
        <f t="shared" si="128"/>
        <v>7</v>
      </c>
      <c r="D1398" s="14" t="str">
        <f t="shared" si="129"/>
        <v>2</v>
      </c>
      <c r="E1398" s="14" t="str">
        <f t="shared" si="130"/>
        <v>99</v>
      </c>
      <c r="F1398" s="14" t="str">
        <f t="shared" si="131"/>
        <v>00</v>
      </c>
      <c r="G1398" s="56">
        <v>24729900</v>
      </c>
      <c r="H1398" s="14" t="s">
        <v>1354</v>
      </c>
      <c r="I1398" s="15" t="s">
        <v>2823</v>
      </c>
      <c r="J1398" s="14"/>
      <c r="K1398" s="14"/>
      <c r="L1398" s="14"/>
      <c r="M1398" s="14"/>
    </row>
    <row r="1399" spans="1:13" ht="25.5" x14ac:dyDescent="0.25">
      <c r="A1399" s="12" t="str">
        <f t="shared" si="126"/>
        <v>2</v>
      </c>
      <c r="B1399" s="12" t="str">
        <f t="shared" si="127"/>
        <v>4</v>
      </c>
      <c r="C1399" s="12" t="str">
        <f t="shared" si="128"/>
        <v>7</v>
      </c>
      <c r="D1399" s="12" t="str">
        <f t="shared" si="129"/>
        <v>3</v>
      </c>
      <c r="E1399" s="12" t="str">
        <f t="shared" si="130"/>
        <v>00</v>
      </c>
      <c r="F1399" s="12" t="str">
        <f t="shared" si="131"/>
        <v>00</v>
      </c>
      <c r="G1399" s="55">
        <v>24730000</v>
      </c>
      <c r="H1399" s="12" t="s">
        <v>2824</v>
      </c>
      <c r="I1399" s="13" t="s">
        <v>2825</v>
      </c>
      <c r="J1399" s="12"/>
      <c r="K1399" s="12"/>
      <c r="L1399" s="12"/>
      <c r="M1399" s="13"/>
    </row>
    <row r="1400" spans="1:13" ht="38.25" x14ac:dyDescent="0.25">
      <c r="A1400" s="14" t="str">
        <f t="shared" si="126"/>
        <v>2</v>
      </c>
      <c r="B1400" s="14" t="str">
        <f t="shared" si="127"/>
        <v>4</v>
      </c>
      <c r="C1400" s="14" t="str">
        <f t="shared" si="128"/>
        <v>7</v>
      </c>
      <c r="D1400" s="14" t="str">
        <f t="shared" si="129"/>
        <v>3</v>
      </c>
      <c r="E1400" s="14" t="str">
        <f t="shared" si="130"/>
        <v>01</v>
      </c>
      <c r="F1400" s="14" t="str">
        <f t="shared" si="131"/>
        <v>00</v>
      </c>
      <c r="G1400" s="56">
        <v>24730100</v>
      </c>
      <c r="H1400" s="14" t="s">
        <v>2826</v>
      </c>
      <c r="I1400" s="15" t="s">
        <v>2827</v>
      </c>
      <c r="J1400" s="14"/>
      <c r="K1400" s="14"/>
      <c r="L1400" s="14"/>
      <c r="M1400" s="14"/>
    </row>
    <row r="1401" spans="1:13" ht="38.25" x14ac:dyDescent="0.25">
      <c r="A1401" s="14" t="str">
        <f t="shared" si="126"/>
        <v>2</v>
      </c>
      <c r="B1401" s="14" t="str">
        <f t="shared" si="127"/>
        <v>4</v>
      </c>
      <c r="C1401" s="14" t="str">
        <f t="shared" si="128"/>
        <v>7</v>
      </c>
      <c r="D1401" s="14" t="str">
        <f t="shared" si="129"/>
        <v>3</v>
      </c>
      <c r="E1401" s="14" t="str">
        <f t="shared" si="130"/>
        <v>02</v>
      </c>
      <c r="F1401" s="14" t="str">
        <f t="shared" si="131"/>
        <v>00</v>
      </c>
      <c r="G1401" s="56">
        <v>24730200</v>
      </c>
      <c r="H1401" s="14" t="s">
        <v>2828</v>
      </c>
      <c r="I1401" s="15" t="s">
        <v>2829</v>
      </c>
      <c r="J1401" s="14"/>
      <c r="K1401" s="14"/>
      <c r="L1401" s="14"/>
      <c r="M1401" s="14"/>
    </row>
    <row r="1402" spans="1:13" ht="25.5" x14ac:dyDescent="0.25">
      <c r="A1402" s="14" t="str">
        <f t="shared" si="126"/>
        <v>2</v>
      </c>
      <c r="B1402" s="14" t="str">
        <f t="shared" si="127"/>
        <v>4</v>
      </c>
      <c r="C1402" s="14" t="str">
        <f t="shared" si="128"/>
        <v>7</v>
      </c>
      <c r="D1402" s="14" t="str">
        <f t="shared" si="129"/>
        <v>3</v>
      </c>
      <c r="E1402" s="14" t="str">
        <f t="shared" si="130"/>
        <v>99</v>
      </c>
      <c r="F1402" s="14" t="str">
        <f t="shared" si="131"/>
        <v>00</v>
      </c>
      <c r="G1402" s="56">
        <v>24739900</v>
      </c>
      <c r="H1402" s="14" t="s">
        <v>1362</v>
      </c>
      <c r="I1402" s="15" t="s">
        <v>2830</v>
      </c>
      <c r="J1402" s="14"/>
      <c r="K1402" s="14"/>
      <c r="L1402" s="14"/>
      <c r="M1402" s="14"/>
    </row>
    <row r="1403" spans="1:13" ht="25.5" x14ac:dyDescent="0.25">
      <c r="A1403" s="12" t="str">
        <f t="shared" si="126"/>
        <v>2</v>
      </c>
      <c r="B1403" s="12" t="str">
        <f t="shared" si="127"/>
        <v>4</v>
      </c>
      <c r="C1403" s="12" t="str">
        <f t="shared" si="128"/>
        <v>7</v>
      </c>
      <c r="D1403" s="12" t="str">
        <f t="shared" si="129"/>
        <v>4</v>
      </c>
      <c r="E1403" s="12" t="str">
        <f t="shared" si="130"/>
        <v>00</v>
      </c>
      <c r="F1403" s="12" t="str">
        <f t="shared" si="131"/>
        <v>00</v>
      </c>
      <c r="G1403" s="55">
        <v>24740000</v>
      </c>
      <c r="H1403" s="12" t="s">
        <v>2831</v>
      </c>
      <c r="I1403" s="13" t="s">
        <v>2832</v>
      </c>
      <c r="J1403" s="12"/>
      <c r="K1403" s="12"/>
      <c r="L1403" s="12"/>
      <c r="M1403" s="13"/>
    </row>
    <row r="1404" spans="1:13" ht="25.5" x14ac:dyDescent="0.25">
      <c r="A1404" s="12" t="str">
        <f t="shared" si="126"/>
        <v>2</v>
      </c>
      <c r="B1404" s="12" t="str">
        <f t="shared" si="127"/>
        <v>4</v>
      </c>
      <c r="C1404" s="12" t="str">
        <f t="shared" si="128"/>
        <v>7</v>
      </c>
      <c r="D1404" s="12" t="str">
        <f t="shared" si="129"/>
        <v>5</v>
      </c>
      <c r="E1404" s="12" t="str">
        <f t="shared" si="130"/>
        <v>00</v>
      </c>
      <c r="F1404" s="12" t="str">
        <f t="shared" si="131"/>
        <v>00</v>
      </c>
      <c r="G1404" s="55">
        <v>24750000</v>
      </c>
      <c r="H1404" s="12" t="s">
        <v>2833</v>
      </c>
      <c r="I1404" s="13" t="s">
        <v>1367</v>
      </c>
      <c r="J1404" s="12"/>
      <c r="K1404" s="12"/>
      <c r="L1404" s="12"/>
      <c r="M1404" s="13"/>
    </row>
    <row r="1405" spans="1:13" x14ac:dyDescent="0.25">
      <c r="A1405" s="10" t="str">
        <f t="shared" si="126"/>
        <v>2</v>
      </c>
      <c r="B1405" s="10" t="str">
        <f t="shared" si="127"/>
        <v>4</v>
      </c>
      <c r="C1405" s="10" t="str">
        <f t="shared" si="128"/>
        <v>8</v>
      </c>
      <c r="D1405" s="10" t="str">
        <f t="shared" si="129"/>
        <v>0</v>
      </c>
      <c r="E1405" s="10" t="str">
        <f t="shared" si="130"/>
        <v>00</v>
      </c>
      <c r="F1405" s="10" t="str">
        <f t="shared" si="131"/>
        <v>00</v>
      </c>
      <c r="G1405" s="54">
        <v>24800000</v>
      </c>
      <c r="H1405" s="10" t="s">
        <v>1368</v>
      </c>
      <c r="I1405" s="11" t="s">
        <v>2834</v>
      </c>
      <c r="J1405" s="10"/>
      <c r="K1405" s="10"/>
      <c r="L1405" s="10"/>
      <c r="M1405" s="11"/>
    </row>
    <row r="1406" spans="1:13" x14ac:dyDescent="0.25">
      <c r="A1406" s="12" t="str">
        <f t="shared" si="126"/>
        <v>2</v>
      </c>
      <c r="B1406" s="12" t="str">
        <f t="shared" si="127"/>
        <v>4</v>
      </c>
      <c r="C1406" s="12" t="str">
        <f t="shared" si="128"/>
        <v>8</v>
      </c>
      <c r="D1406" s="12" t="str">
        <f t="shared" si="129"/>
        <v>1</v>
      </c>
      <c r="E1406" s="12" t="str">
        <f t="shared" si="130"/>
        <v>00</v>
      </c>
      <c r="F1406" s="12" t="str">
        <f t="shared" si="131"/>
        <v>00</v>
      </c>
      <c r="G1406" s="55">
        <v>24810000</v>
      </c>
      <c r="H1406" s="12" t="s">
        <v>1370</v>
      </c>
      <c r="I1406" s="13" t="s">
        <v>2835</v>
      </c>
      <c r="J1406" s="12"/>
      <c r="K1406" s="12"/>
      <c r="L1406" s="12"/>
      <c r="M1406" s="13"/>
    </row>
    <row r="1407" spans="1:13" x14ac:dyDescent="0.25">
      <c r="A1407" s="12" t="str">
        <f t="shared" si="126"/>
        <v>2</v>
      </c>
      <c r="B1407" s="12" t="str">
        <f t="shared" si="127"/>
        <v>4</v>
      </c>
      <c r="C1407" s="12" t="str">
        <f t="shared" si="128"/>
        <v>8</v>
      </c>
      <c r="D1407" s="12" t="str">
        <f t="shared" si="129"/>
        <v>2</v>
      </c>
      <c r="E1407" s="12" t="str">
        <f t="shared" si="130"/>
        <v>00</v>
      </c>
      <c r="F1407" s="12" t="str">
        <f t="shared" si="131"/>
        <v>00</v>
      </c>
      <c r="G1407" s="55">
        <v>24820000</v>
      </c>
      <c r="H1407" s="12" t="s">
        <v>1372</v>
      </c>
      <c r="I1407" s="13" t="s">
        <v>2836</v>
      </c>
      <c r="J1407" s="12"/>
      <c r="K1407" s="12"/>
      <c r="L1407" s="12"/>
      <c r="M1407" s="13"/>
    </row>
    <row r="1408" spans="1:13" x14ac:dyDescent="0.25">
      <c r="A1408" s="12" t="str">
        <f t="shared" si="126"/>
        <v>2</v>
      </c>
      <c r="B1408" s="12" t="str">
        <f t="shared" si="127"/>
        <v>4</v>
      </c>
      <c r="C1408" s="12" t="str">
        <f t="shared" si="128"/>
        <v>8</v>
      </c>
      <c r="D1408" s="12" t="str">
        <f t="shared" si="129"/>
        <v>3</v>
      </c>
      <c r="E1408" s="12" t="str">
        <f t="shared" si="130"/>
        <v>00</v>
      </c>
      <c r="F1408" s="12" t="str">
        <f t="shared" si="131"/>
        <v>00</v>
      </c>
      <c r="G1408" s="55">
        <v>24830000</v>
      </c>
      <c r="H1408" s="12" t="s">
        <v>1374</v>
      </c>
      <c r="I1408" s="13" t="s">
        <v>2837</v>
      </c>
      <c r="J1408" s="12"/>
      <c r="K1408" s="12"/>
      <c r="L1408" s="12"/>
      <c r="M1408" s="13"/>
    </row>
    <row r="1409" spans="1:13" ht="25.5" x14ac:dyDescent="0.25">
      <c r="A1409" s="12" t="str">
        <f t="shared" si="126"/>
        <v>2</v>
      </c>
      <c r="B1409" s="12" t="str">
        <f t="shared" si="127"/>
        <v>4</v>
      </c>
      <c r="C1409" s="12" t="str">
        <f t="shared" si="128"/>
        <v>8</v>
      </c>
      <c r="D1409" s="12" t="str">
        <f t="shared" si="129"/>
        <v>4</v>
      </c>
      <c r="E1409" s="12" t="str">
        <f t="shared" si="130"/>
        <v>00</v>
      </c>
      <c r="F1409" s="12" t="str">
        <f t="shared" si="131"/>
        <v>00</v>
      </c>
      <c r="G1409" s="55">
        <v>24840000</v>
      </c>
      <c r="H1409" s="12" t="s">
        <v>1376</v>
      </c>
      <c r="I1409" s="13" t="s">
        <v>2838</v>
      </c>
      <c r="J1409" s="12"/>
      <c r="K1409" s="12"/>
      <c r="L1409" s="12"/>
      <c r="M1409" s="13"/>
    </row>
    <row r="1410" spans="1:13" x14ac:dyDescent="0.25">
      <c r="A1410" s="8" t="str">
        <f t="shared" si="126"/>
        <v>2</v>
      </c>
      <c r="B1410" s="8" t="str">
        <f t="shared" si="127"/>
        <v>5</v>
      </c>
      <c r="C1410" s="8" t="str">
        <f t="shared" si="128"/>
        <v>0</v>
      </c>
      <c r="D1410" s="8" t="str">
        <f t="shared" si="129"/>
        <v>0</v>
      </c>
      <c r="E1410" s="8" t="str">
        <f t="shared" si="130"/>
        <v>00</v>
      </c>
      <c r="F1410" s="8" t="str">
        <f t="shared" si="131"/>
        <v>00</v>
      </c>
      <c r="G1410" s="53">
        <v>25000000</v>
      </c>
      <c r="H1410" s="8" t="s">
        <v>2839</v>
      </c>
      <c r="I1410" s="9" t="s">
        <v>2840</v>
      </c>
      <c r="J1410" s="8"/>
      <c r="K1410" s="8"/>
      <c r="L1410" s="8"/>
      <c r="M1410" s="9"/>
    </row>
    <row r="1411" spans="1:13" x14ac:dyDescent="0.25">
      <c r="A1411" s="10" t="str">
        <f t="shared" si="126"/>
        <v>2</v>
      </c>
      <c r="B1411" s="10" t="str">
        <f t="shared" si="127"/>
        <v>5</v>
      </c>
      <c r="C1411" s="10" t="str">
        <f t="shared" si="128"/>
        <v>2</v>
      </c>
      <c r="D1411" s="10" t="str">
        <f t="shared" si="129"/>
        <v>0</v>
      </c>
      <c r="E1411" s="10" t="str">
        <f t="shared" si="130"/>
        <v>00</v>
      </c>
      <c r="F1411" s="10" t="str">
        <f t="shared" si="131"/>
        <v>00</v>
      </c>
      <c r="G1411" s="54">
        <v>25200000</v>
      </c>
      <c r="H1411" s="10" t="s">
        <v>2841</v>
      </c>
      <c r="I1411" s="11" t="s">
        <v>2842</v>
      </c>
      <c r="J1411" s="10"/>
      <c r="K1411" s="10"/>
      <c r="L1411" s="10"/>
      <c r="M1411" s="11"/>
    </row>
    <row r="1412" spans="1:13" ht="25.5" x14ac:dyDescent="0.25">
      <c r="A1412" s="12" t="str">
        <f t="shared" ref="A1412:A1423" si="132">MID(G1412,1,1)</f>
        <v>2</v>
      </c>
      <c r="B1412" s="12" t="str">
        <f t="shared" ref="B1412:B1423" si="133">MID(G1412,2,1)</f>
        <v>5</v>
      </c>
      <c r="C1412" s="12" t="str">
        <f t="shared" ref="C1412:C1423" si="134">MID(G1412,3,1)</f>
        <v>2</v>
      </c>
      <c r="D1412" s="12" t="str">
        <f t="shared" ref="D1412:D1423" si="135">MID(G1412,4,1)</f>
        <v>1</v>
      </c>
      <c r="E1412" s="12" t="str">
        <f t="shared" ref="E1412:E1423" si="136">MID(G1412,5,2)</f>
        <v>00</v>
      </c>
      <c r="F1412" s="12" t="str">
        <f t="shared" ref="F1412:F1423" si="137">MID(G1412,7,2)</f>
        <v>00</v>
      </c>
      <c r="G1412" s="55">
        <v>25210000</v>
      </c>
      <c r="H1412" s="12" t="s">
        <v>2843</v>
      </c>
      <c r="I1412" s="13" t="s">
        <v>2844</v>
      </c>
      <c r="J1412" s="12"/>
      <c r="K1412" s="12"/>
      <c r="L1412" s="12"/>
      <c r="M1412" s="13"/>
    </row>
    <row r="1413" spans="1:13" ht="25.5" x14ac:dyDescent="0.25">
      <c r="A1413" s="12" t="str">
        <f t="shared" si="132"/>
        <v>2</v>
      </c>
      <c r="B1413" s="12" t="str">
        <f t="shared" si="133"/>
        <v>5</v>
      </c>
      <c r="C1413" s="12" t="str">
        <f t="shared" si="134"/>
        <v>2</v>
      </c>
      <c r="D1413" s="12" t="str">
        <f t="shared" si="135"/>
        <v>2</v>
      </c>
      <c r="E1413" s="12" t="str">
        <f t="shared" si="136"/>
        <v>00</v>
      </c>
      <c r="F1413" s="12" t="str">
        <f t="shared" si="137"/>
        <v>00</v>
      </c>
      <c r="G1413" s="55">
        <v>25220000</v>
      </c>
      <c r="H1413" s="12" t="s">
        <v>2845</v>
      </c>
      <c r="I1413" s="13" t="s">
        <v>2846</v>
      </c>
      <c r="J1413" s="12"/>
      <c r="K1413" s="12"/>
      <c r="L1413" s="12"/>
      <c r="M1413" s="13"/>
    </row>
    <row r="1414" spans="1:13" ht="25.5" x14ac:dyDescent="0.25">
      <c r="A1414" s="10" t="str">
        <f t="shared" si="132"/>
        <v>2</v>
      </c>
      <c r="B1414" s="10" t="str">
        <f t="shared" si="133"/>
        <v>5</v>
      </c>
      <c r="C1414" s="10" t="str">
        <f t="shared" si="134"/>
        <v>3</v>
      </c>
      <c r="D1414" s="10" t="str">
        <f t="shared" si="135"/>
        <v>0</v>
      </c>
      <c r="E1414" s="10" t="str">
        <f t="shared" si="136"/>
        <v>00</v>
      </c>
      <c r="F1414" s="10" t="str">
        <f t="shared" si="137"/>
        <v>00</v>
      </c>
      <c r="G1414" s="54">
        <v>25300000</v>
      </c>
      <c r="H1414" s="10" t="s">
        <v>2847</v>
      </c>
      <c r="I1414" s="11" t="s">
        <v>2848</v>
      </c>
      <c r="J1414" s="10"/>
      <c r="K1414" s="10"/>
      <c r="L1414" s="10"/>
      <c r="M1414" s="11"/>
    </row>
    <row r="1415" spans="1:13" ht="25.5" x14ac:dyDescent="0.25">
      <c r="A1415" s="14" t="str">
        <f t="shared" si="132"/>
        <v>2</v>
      </c>
      <c r="B1415" s="14" t="str">
        <f t="shared" si="133"/>
        <v>5</v>
      </c>
      <c r="C1415" s="14" t="str">
        <f t="shared" si="134"/>
        <v>3</v>
      </c>
      <c r="D1415" s="14" t="str">
        <f t="shared" si="135"/>
        <v>0</v>
      </c>
      <c r="E1415" s="14" t="str">
        <f t="shared" si="136"/>
        <v>10</v>
      </c>
      <c r="F1415" s="14" t="str">
        <f t="shared" si="137"/>
        <v>00</v>
      </c>
      <c r="G1415" s="56">
        <v>25301000</v>
      </c>
      <c r="H1415" s="14" t="s">
        <v>2849</v>
      </c>
      <c r="I1415" s="15" t="s">
        <v>2850</v>
      </c>
      <c r="J1415" s="14"/>
      <c r="K1415" s="14"/>
      <c r="L1415" s="14"/>
      <c r="M1415" s="14"/>
    </row>
    <row r="1416" spans="1:13" ht="25.5" x14ac:dyDescent="0.25">
      <c r="A1416" s="14" t="str">
        <f t="shared" si="132"/>
        <v>2</v>
      </c>
      <c r="B1416" s="14" t="str">
        <f t="shared" si="133"/>
        <v>5</v>
      </c>
      <c r="C1416" s="14" t="str">
        <f t="shared" si="134"/>
        <v>3</v>
      </c>
      <c r="D1416" s="14" t="str">
        <f t="shared" si="135"/>
        <v>0</v>
      </c>
      <c r="E1416" s="14" t="str">
        <f t="shared" si="136"/>
        <v>20</v>
      </c>
      <c r="F1416" s="14" t="str">
        <f t="shared" si="137"/>
        <v>00</v>
      </c>
      <c r="G1416" s="56">
        <v>25302000</v>
      </c>
      <c r="H1416" s="14" t="s">
        <v>2851</v>
      </c>
      <c r="I1416" s="15" t="s">
        <v>2852</v>
      </c>
      <c r="J1416" s="14"/>
      <c r="K1416" s="14"/>
      <c r="L1416" s="14"/>
      <c r="M1416" s="14"/>
    </row>
    <row r="1417" spans="1:13" ht="25.5" x14ac:dyDescent="0.25">
      <c r="A1417" s="10" t="str">
        <f t="shared" si="132"/>
        <v>2</v>
      </c>
      <c r="B1417" s="10" t="str">
        <f t="shared" si="133"/>
        <v>5</v>
      </c>
      <c r="C1417" s="10" t="str">
        <f t="shared" si="134"/>
        <v>4</v>
      </c>
      <c r="D1417" s="10" t="str">
        <f t="shared" si="135"/>
        <v>0</v>
      </c>
      <c r="E1417" s="10" t="str">
        <f t="shared" si="136"/>
        <v>00</v>
      </c>
      <c r="F1417" s="10" t="str">
        <f t="shared" si="137"/>
        <v>00</v>
      </c>
      <c r="G1417" s="54">
        <v>25400000</v>
      </c>
      <c r="H1417" s="10" t="s">
        <v>2853</v>
      </c>
      <c r="I1417" s="11" t="s">
        <v>2854</v>
      </c>
      <c r="J1417" s="10"/>
      <c r="K1417" s="10"/>
      <c r="L1417" s="10"/>
      <c r="M1417" s="11"/>
    </row>
    <row r="1418" spans="1:13" ht="38.25" x14ac:dyDescent="0.25">
      <c r="A1418" s="10" t="str">
        <f t="shared" si="132"/>
        <v>2</v>
      </c>
      <c r="B1418" s="10" t="str">
        <f t="shared" si="133"/>
        <v>5</v>
      </c>
      <c r="C1418" s="10" t="str">
        <f t="shared" si="134"/>
        <v>5</v>
      </c>
      <c r="D1418" s="10" t="str">
        <f t="shared" si="135"/>
        <v>0</v>
      </c>
      <c r="E1418" s="10" t="str">
        <f t="shared" si="136"/>
        <v>00</v>
      </c>
      <c r="F1418" s="10" t="str">
        <f t="shared" si="137"/>
        <v>00</v>
      </c>
      <c r="G1418" s="54">
        <v>25500000</v>
      </c>
      <c r="H1418" s="10" t="s">
        <v>2855</v>
      </c>
      <c r="I1418" s="11" t="s">
        <v>2856</v>
      </c>
      <c r="J1418" s="10"/>
      <c r="K1418" s="10"/>
      <c r="L1418" s="10"/>
      <c r="M1418" s="11"/>
    </row>
    <row r="1419" spans="1:13" ht="25.5" x14ac:dyDescent="0.25">
      <c r="A1419" s="10" t="str">
        <f t="shared" si="132"/>
        <v>2</v>
      </c>
      <c r="B1419" s="10" t="str">
        <f t="shared" si="133"/>
        <v>5</v>
      </c>
      <c r="C1419" s="10" t="str">
        <f t="shared" si="134"/>
        <v>6</v>
      </c>
      <c r="D1419" s="10" t="str">
        <f t="shared" si="135"/>
        <v>0</v>
      </c>
      <c r="E1419" s="10" t="str">
        <f t="shared" si="136"/>
        <v>00</v>
      </c>
      <c r="F1419" s="10" t="str">
        <f t="shared" si="137"/>
        <v>00</v>
      </c>
      <c r="G1419" s="54">
        <v>25600000</v>
      </c>
      <c r="H1419" s="10" t="s">
        <v>2857</v>
      </c>
      <c r="I1419" s="11" t="s">
        <v>2858</v>
      </c>
      <c r="J1419" s="10"/>
      <c r="K1419" s="10"/>
      <c r="L1419" s="10"/>
      <c r="M1419" s="11"/>
    </row>
    <row r="1420" spans="1:13" ht="25.5" x14ac:dyDescent="0.25">
      <c r="A1420" s="10" t="str">
        <f t="shared" si="132"/>
        <v>2</v>
      </c>
      <c r="B1420" s="10" t="str">
        <f t="shared" si="133"/>
        <v>5</v>
      </c>
      <c r="C1420" s="10" t="str">
        <f t="shared" si="134"/>
        <v>7</v>
      </c>
      <c r="D1420" s="10" t="str">
        <f t="shared" si="135"/>
        <v>0</v>
      </c>
      <c r="E1420" s="10" t="str">
        <f t="shared" si="136"/>
        <v>00</v>
      </c>
      <c r="F1420" s="10" t="str">
        <f t="shared" si="137"/>
        <v>00</v>
      </c>
      <c r="G1420" s="54">
        <v>25700000</v>
      </c>
      <c r="H1420" s="10" t="s">
        <v>2859</v>
      </c>
      <c r="I1420" s="11" t="s">
        <v>2860</v>
      </c>
      <c r="J1420" s="10"/>
      <c r="K1420" s="10"/>
      <c r="L1420" s="10"/>
      <c r="M1420" s="11"/>
    </row>
    <row r="1421" spans="1:13" ht="38.25" x14ac:dyDescent="0.25">
      <c r="A1421" s="10" t="str">
        <f t="shared" si="132"/>
        <v>2</v>
      </c>
      <c r="B1421" s="10" t="str">
        <f t="shared" si="133"/>
        <v>5</v>
      </c>
      <c r="C1421" s="10" t="str">
        <f t="shared" si="134"/>
        <v>8</v>
      </c>
      <c r="D1421" s="10" t="str">
        <f t="shared" si="135"/>
        <v>0</v>
      </c>
      <c r="E1421" s="10" t="str">
        <f t="shared" si="136"/>
        <v>00</v>
      </c>
      <c r="F1421" s="10" t="str">
        <f t="shared" si="137"/>
        <v>00</v>
      </c>
      <c r="G1421" s="54">
        <v>25800000</v>
      </c>
      <c r="H1421" s="10" t="s">
        <v>2861</v>
      </c>
      <c r="I1421" s="11" t="s">
        <v>2862</v>
      </c>
      <c r="J1421" s="10"/>
      <c r="K1421" s="10" t="s">
        <v>217</v>
      </c>
      <c r="L1421" s="10" t="s">
        <v>2863</v>
      </c>
      <c r="M1421" s="11"/>
    </row>
    <row r="1422" spans="1:13" ht="25.5" x14ac:dyDescent="0.25">
      <c r="A1422" s="10" t="str">
        <f t="shared" si="132"/>
        <v>2</v>
      </c>
      <c r="B1422" s="10" t="str">
        <f t="shared" si="133"/>
        <v>5</v>
      </c>
      <c r="C1422" s="10" t="str">
        <f t="shared" si="134"/>
        <v>9</v>
      </c>
      <c r="D1422" s="10" t="str">
        <f t="shared" si="135"/>
        <v>0</v>
      </c>
      <c r="E1422" s="10" t="str">
        <f t="shared" si="136"/>
        <v>00</v>
      </c>
      <c r="F1422" s="10" t="str">
        <f t="shared" si="137"/>
        <v>00</v>
      </c>
      <c r="G1422" s="54">
        <v>25900000</v>
      </c>
      <c r="H1422" s="10" t="s">
        <v>2601</v>
      </c>
      <c r="I1422" s="11" t="s">
        <v>2864</v>
      </c>
      <c r="J1422" s="10"/>
      <c r="K1422" s="10"/>
      <c r="L1422" s="10"/>
      <c r="M1422" s="11"/>
    </row>
    <row r="1423" spans="1:13" ht="25.5" x14ac:dyDescent="0.25">
      <c r="A1423" s="10" t="str">
        <f t="shared" si="132"/>
        <v>9</v>
      </c>
      <c r="B1423" s="10" t="str">
        <f t="shared" si="133"/>
        <v>9</v>
      </c>
      <c r="C1423" s="10" t="str">
        <f t="shared" si="134"/>
        <v>9</v>
      </c>
      <c r="D1423" s="10" t="str">
        <f t="shared" si="135"/>
        <v>0</v>
      </c>
      <c r="E1423" s="10" t="str">
        <f t="shared" si="136"/>
        <v>00</v>
      </c>
      <c r="F1423" s="10" t="str">
        <f t="shared" si="137"/>
        <v>00</v>
      </c>
      <c r="G1423" s="54">
        <v>99900000</v>
      </c>
      <c r="H1423" s="10" t="s">
        <v>2865</v>
      </c>
      <c r="I1423" s="11" t="s">
        <v>2866</v>
      </c>
      <c r="J1423" s="10"/>
      <c r="K1423" s="10" t="s">
        <v>217</v>
      </c>
      <c r="L1423" s="10" t="s">
        <v>2867</v>
      </c>
      <c r="M1423" s="11"/>
    </row>
  </sheetData>
  <autoFilter ref="A1:M1423" xr:uid="{00000000-0009-0000-0000-000003000000}"/>
  <pageMargins left="0.511811024" right="0.511811024" top="0.78740157499999996" bottom="0.78740157499999996" header="0.31496062000000002" footer="0.31496062000000002"/>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307"/>
  <sheetViews>
    <sheetView showGridLines="0" workbookViewId="0"/>
  </sheetViews>
  <sheetFormatPr defaultRowHeight="15" x14ac:dyDescent="0.25"/>
  <cols>
    <col min="1" max="1" width="2.140625" style="160" customWidth="1"/>
    <col min="2" max="2" width="18.7109375" style="160" customWidth="1"/>
    <col min="3" max="3" width="72.28515625" style="160" customWidth="1"/>
    <col min="4" max="16384" width="9.140625" style="160"/>
  </cols>
  <sheetData>
    <row r="1" spans="2:3" ht="6" customHeight="1" x14ac:dyDescent="0.25"/>
    <row r="2" spans="2:3" x14ac:dyDescent="0.25">
      <c r="B2" s="190" t="s">
        <v>5142</v>
      </c>
      <c r="C2" s="190" t="s">
        <v>5143</v>
      </c>
    </row>
    <row r="3" spans="2:3" x14ac:dyDescent="0.25">
      <c r="B3" s="174">
        <v>11180000</v>
      </c>
      <c r="C3" s="175" t="s">
        <v>5020</v>
      </c>
    </row>
    <row r="4" spans="2:3" x14ac:dyDescent="0.25">
      <c r="B4" s="174">
        <v>11180100</v>
      </c>
      <c r="C4" s="175" t="s">
        <v>4893</v>
      </c>
    </row>
    <row r="5" spans="2:3" x14ac:dyDescent="0.25">
      <c r="B5" s="174">
        <v>11180110</v>
      </c>
      <c r="C5" s="175" t="s">
        <v>53</v>
      </c>
    </row>
    <row r="6" spans="2:3" x14ac:dyDescent="0.25">
      <c r="B6" s="174">
        <v>11180120</v>
      </c>
      <c r="C6" s="175" t="s">
        <v>77</v>
      </c>
    </row>
    <row r="7" spans="2:3" x14ac:dyDescent="0.25">
      <c r="B7" s="174">
        <v>11180130</v>
      </c>
      <c r="C7" s="175" t="s">
        <v>79</v>
      </c>
    </row>
    <row r="8" spans="2:3" ht="30" x14ac:dyDescent="0.25">
      <c r="B8" s="174">
        <v>11180140</v>
      </c>
      <c r="C8" s="175" t="s">
        <v>81</v>
      </c>
    </row>
    <row r="9" spans="2:3" x14ac:dyDescent="0.25">
      <c r="B9" s="174">
        <v>11180200</v>
      </c>
      <c r="C9" s="175" t="s">
        <v>5047</v>
      </c>
    </row>
    <row r="10" spans="2:3" ht="45" x14ac:dyDescent="0.25">
      <c r="B10" s="174">
        <v>11180210</v>
      </c>
      <c r="C10" s="175" t="s">
        <v>101</v>
      </c>
    </row>
    <row r="11" spans="2:3" x14ac:dyDescent="0.25">
      <c r="B11" s="174">
        <v>11180220</v>
      </c>
      <c r="C11" s="175" t="s">
        <v>104</v>
      </c>
    </row>
    <row r="12" spans="2:3" x14ac:dyDescent="0.25">
      <c r="B12" s="174">
        <v>11180230</v>
      </c>
      <c r="C12" s="175" t="s">
        <v>116</v>
      </c>
    </row>
    <row r="13" spans="2:3" x14ac:dyDescent="0.25">
      <c r="B13" s="174">
        <v>11180240</v>
      </c>
      <c r="C13" s="175" t="s">
        <v>119</v>
      </c>
    </row>
    <row r="14" spans="2:3" x14ac:dyDescent="0.25">
      <c r="B14" s="174">
        <v>11180250</v>
      </c>
      <c r="C14" s="175" t="s">
        <v>5070</v>
      </c>
    </row>
    <row r="15" spans="2:3" x14ac:dyDescent="0.25">
      <c r="B15" s="176">
        <v>11280000</v>
      </c>
      <c r="C15" s="177" t="s">
        <v>5147</v>
      </c>
    </row>
    <row r="16" spans="2:3" x14ac:dyDescent="0.25">
      <c r="B16" s="176">
        <v>11280100</v>
      </c>
      <c r="C16" s="177" t="s">
        <v>3040</v>
      </c>
    </row>
    <row r="17" spans="2:3" x14ac:dyDescent="0.25">
      <c r="B17" s="176">
        <v>11280110</v>
      </c>
      <c r="C17" s="177" t="s">
        <v>159</v>
      </c>
    </row>
    <row r="18" spans="2:3" x14ac:dyDescent="0.25">
      <c r="B18" s="176">
        <v>11280120</v>
      </c>
      <c r="C18" s="177" t="s">
        <v>161</v>
      </c>
    </row>
    <row r="19" spans="2:3" x14ac:dyDescent="0.25">
      <c r="B19" s="176">
        <v>11280190</v>
      </c>
      <c r="C19" s="177" t="s">
        <v>5148</v>
      </c>
    </row>
    <row r="20" spans="2:3" x14ac:dyDescent="0.25">
      <c r="B20" s="174">
        <v>11380000</v>
      </c>
      <c r="C20" s="175" t="s">
        <v>5019</v>
      </c>
    </row>
    <row r="21" spans="2:3" ht="30" x14ac:dyDescent="0.25">
      <c r="B21" s="174">
        <v>11380100</v>
      </c>
      <c r="C21" s="175" t="s">
        <v>264</v>
      </c>
    </row>
    <row r="22" spans="2:3" ht="30" x14ac:dyDescent="0.25">
      <c r="B22" s="174">
        <v>11380110</v>
      </c>
      <c r="C22" s="175" t="s">
        <v>264</v>
      </c>
    </row>
    <row r="23" spans="2:3" ht="30" x14ac:dyDescent="0.25">
      <c r="B23" s="174">
        <v>11380200</v>
      </c>
      <c r="C23" s="175" t="s">
        <v>266</v>
      </c>
    </row>
    <row r="24" spans="2:3" ht="30" x14ac:dyDescent="0.25">
      <c r="B24" s="174">
        <v>11380210</v>
      </c>
      <c r="C24" s="175" t="s">
        <v>266</v>
      </c>
    </row>
    <row r="25" spans="2:3" x14ac:dyDescent="0.25">
      <c r="B25" s="174">
        <v>11380300</v>
      </c>
      <c r="C25" s="175" t="s">
        <v>268</v>
      </c>
    </row>
    <row r="26" spans="2:3" x14ac:dyDescent="0.25">
      <c r="B26" s="174">
        <v>11380310</v>
      </c>
      <c r="C26" s="175" t="s">
        <v>268</v>
      </c>
    </row>
    <row r="27" spans="2:3" x14ac:dyDescent="0.25">
      <c r="B27" s="174">
        <v>11380400</v>
      </c>
      <c r="C27" s="175" t="s">
        <v>270</v>
      </c>
    </row>
    <row r="28" spans="2:3" x14ac:dyDescent="0.25">
      <c r="B28" s="174">
        <v>11380410</v>
      </c>
      <c r="C28" s="175" t="s">
        <v>270</v>
      </c>
    </row>
    <row r="29" spans="2:3" x14ac:dyDescent="0.25">
      <c r="B29" s="174">
        <v>11389900</v>
      </c>
      <c r="C29" s="175" t="s">
        <v>272</v>
      </c>
    </row>
    <row r="30" spans="2:3" x14ac:dyDescent="0.25">
      <c r="B30" s="174">
        <v>11389910</v>
      </c>
      <c r="C30" s="175" t="s">
        <v>272</v>
      </c>
    </row>
    <row r="31" spans="2:3" x14ac:dyDescent="0.25">
      <c r="B31" s="176">
        <v>12180000</v>
      </c>
      <c r="C31" s="177" t="s">
        <v>5021</v>
      </c>
    </row>
    <row r="32" spans="2:3" ht="30" x14ac:dyDescent="0.25">
      <c r="B32" s="176">
        <v>12180100</v>
      </c>
      <c r="C32" s="177" t="s">
        <v>5335</v>
      </c>
    </row>
    <row r="33" spans="2:3" x14ac:dyDescent="0.25">
      <c r="B33" s="176">
        <v>12180110</v>
      </c>
      <c r="C33" s="177" t="s">
        <v>5278</v>
      </c>
    </row>
    <row r="34" spans="2:3" x14ac:dyDescent="0.25">
      <c r="B34" s="176">
        <v>12180120</v>
      </c>
      <c r="C34" s="177" t="s">
        <v>5279</v>
      </c>
    </row>
    <row r="35" spans="2:3" x14ac:dyDescent="0.25">
      <c r="B35" s="176">
        <v>12180130</v>
      </c>
      <c r="C35" s="177" t="s">
        <v>5336</v>
      </c>
    </row>
    <row r="36" spans="2:3" x14ac:dyDescent="0.25">
      <c r="B36" s="176">
        <v>12180140</v>
      </c>
      <c r="C36" s="177" t="s">
        <v>5284</v>
      </c>
    </row>
    <row r="37" spans="2:3" x14ac:dyDescent="0.25">
      <c r="B37" s="176">
        <v>12180150</v>
      </c>
      <c r="C37" s="177" t="s">
        <v>5285</v>
      </c>
    </row>
    <row r="38" spans="2:3" x14ac:dyDescent="0.25">
      <c r="B38" s="176">
        <v>12180160</v>
      </c>
      <c r="C38" s="177" t="s">
        <v>5286</v>
      </c>
    </row>
    <row r="39" spans="2:3" x14ac:dyDescent="0.25">
      <c r="B39" s="176">
        <v>12180200</v>
      </c>
      <c r="C39" s="177" t="s">
        <v>5358</v>
      </c>
    </row>
    <row r="40" spans="2:3" x14ac:dyDescent="0.25">
      <c r="B40" s="176">
        <v>12180210</v>
      </c>
      <c r="C40" s="177" t="s">
        <v>5346</v>
      </c>
    </row>
    <row r="41" spans="2:3" x14ac:dyDescent="0.25">
      <c r="B41" s="176">
        <v>12180220</v>
      </c>
      <c r="C41" s="177" t="s">
        <v>5347</v>
      </c>
    </row>
    <row r="42" spans="2:3" x14ac:dyDescent="0.25">
      <c r="B42" s="176">
        <v>12180230</v>
      </c>
      <c r="C42" s="177" t="s">
        <v>5348</v>
      </c>
    </row>
    <row r="43" spans="2:3" x14ac:dyDescent="0.25">
      <c r="B43" s="176">
        <v>12180240</v>
      </c>
      <c r="C43" s="177" t="s">
        <v>5349</v>
      </c>
    </row>
    <row r="44" spans="2:3" x14ac:dyDescent="0.25">
      <c r="B44" s="176">
        <v>12180250</v>
      </c>
      <c r="C44" s="177" t="s">
        <v>5350</v>
      </c>
    </row>
    <row r="45" spans="2:3" ht="30" x14ac:dyDescent="0.25">
      <c r="B45" s="176">
        <v>12180260</v>
      </c>
      <c r="C45" s="177" t="s">
        <v>5351</v>
      </c>
    </row>
    <row r="46" spans="2:3" x14ac:dyDescent="0.25">
      <c r="B46" s="176">
        <v>12180300</v>
      </c>
      <c r="C46" s="177" t="s">
        <v>5333</v>
      </c>
    </row>
    <row r="47" spans="2:3" x14ac:dyDescent="0.25">
      <c r="B47" s="176">
        <v>12180310</v>
      </c>
      <c r="C47" s="177" t="s">
        <v>5334</v>
      </c>
    </row>
    <row r="48" spans="2:3" x14ac:dyDescent="0.25">
      <c r="B48" s="176">
        <v>12180320</v>
      </c>
      <c r="C48" s="177" t="s">
        <v>5328</v>
      </c>
    </row>
    <row r="49" spans="2:3" x14ac:dyDescent="0.25">
      <c r="B49" s="176">
        <v>12180330</v>
      </c>
      <c r="C49" s="177" t="s">
        <v>5329</v>
      </c>
    </row>
    <row r="50" spans="2:3" x14ac:dyDescent="0.25">
      <c r="B50" s="176">
        <v>12180340</v>
      </c>
      <c r="C50" s="177" t="s">
        <v>5330</v>
      </c>
    </row>
    <row r="51" spans="2:3" ht="15.75" customHeight="1" x14ac:dyDescent="0.25">
      <c r="B51" s="176">
        <v>12180350</v>
      </c>
      <c r="C51" s="177" t="s">
        <v>5331</v>
      </c>
    </row>
    <row r="52" spans="2:3" x14ac:dyDescent="0.25">
      <c r="B52" s="176">
        <v>12180360</v>
      </c>
      <c r="C52" s="177" t="s">
        <v>5332</v>
      </c>
    </row>
    <row r="53" spans="2:3" x14ac:dyDescent="0.25">
      <c r="B53" s="176">
        <v>12180400</v>
      </c>
      <c r="C53" s="177" t="s">
        <v>5359</v>
      </c>
    </row>
    <row r="54" spans="2:3" x14ac:dyDescent="0.25">
      <c r="B54" s="176">
        <v>12180410</v>
      </c>
      <c r="C54" s="177" t="s">
        <v>5352</v>
      </c>
    </row>
    <row r="55" spans="2:3" x14ac:dyDescent="0.25">
      <c r="B55" s="176">
        <v>12180420</v>
      </c>
      <c r="C55" s="177" t="s">
        <v>5353</v>
      </c>
    </row>
    <row r="56" spans="2:3" x14ac:dyDescent="0.25">
      <c r="B56" s="176">
        <v>12180430</v>
      </c>
      <c r="C56" s="177" t="s">
        <v>5354</v>
      </c>
    </row>
    <row r="57" spans="2:3" ht="30" x14ac:dyDescent="0.25">
      <c r="B57" s="176">
        <v>12180440</v>
      </c>
      <c r="C57" s="177" t="s">
        <v>5355</v>
      </c>
    </row>
    <row r="58" spans="2:3" ht="30" x14ac:dyDescent="0.25">
      <c r="B58" s="176">
        <v>12180450</v>
      </c>
      <c r="C58" s="177" t="s">
        <v>5356</v>
      </c>
    </row>
    <row r="59" spans="2:3" ht="30" x14ac:dyDescent="0.25">
      <c r="B59" s="176">
        <v>12180460</v>
      </c>
      <c r="C59" s="177" t="s">
        <v>5357</v>
      </c>
    </row>
    <row r="60" spans="2:3" ht="30" x14ac:dyDescent="0.25">
      <c r="B60" s="176">
        <v>12180500</v>
      </c>
      <c r="C60" s="177" t="s">
        <v>5341</v>
      </c>
    </row>
    <row r="61" spans="2:3" x14ac:dyDescent="0.25">
      <c r="B61" s="176">
        <v>12180510</v>
      </c>
      <c r="C61" s="177" t="s">
        <v>4909</v>
      </c>
    </row>
    <row r="62" spans="2:3" x14ac:dyDescent="0.25">
      <c r="B62" s="176">
        <v>12180520</v>
      </c>
      <c r="C62" s="177" t="s">
        <v>4910</v>
      </c>
    </row>
    <row r="63" spans="2:3" x14ac:dyDescent="0.25">
      <c r="B63" s="176">
        <v>12180530</v>
      </c>
      <c r="C63" s="177" t="s">
        <v>4946</v>
      </c>
    </row>
    <row r="64" spans="2:3" ht="30" x14ac:dyDescent="0.25">
      <c r="B64" s="176">
        <v>12180600</v>
      </c>
      <c r="C64" s="177" t="s">
        <v>5360</v>
      </c>
    </row>
    <row r="65" spans="2:3" ht="30" x14ac:dyDescent="0.25">
      <c r="B65" s="176">
        <v>12180610</v>
      </c>
      <c r="C65" s="177" t="s">
        <v>5361</v>
      </c>
    </row>
    <row r="66" spans="2:3" ht="30" x14ac:dyDescent="0.25">
      <c r="B66" s="176">
        <v>12180620</v>
      </c>
      <c r="C66" s="177" t="s">
        <v>5362</v>
      </c>
    </row>
    <row r="67" spans="2:3" ht="30" x14ac:dyDescent="0.25">
      <c r="B67" s="176">
        <v>12180630</v>
      </c>
      <c r="C67" s="177" t="s">
        <v>5363</v>
      </c>
    </row>
    <row r="68" spans="2:3" x14ac:dyDescent="0.25">
      <c r="B68" s="176">
        <v>12180700</v>
      </c>
      <c r="C68" s="177" t="s">
        <v>5342</v>
      </c>
    </row>
    <row r="69" spans="2:3" x14ac:dyDescent="0.25">
      <c r="B69" s="176">
        <v>12180710</v>
      </c>
      <c r="C69" s="177" t="s">
        <v>5343</v>
      </c>
    </row>
    <row r="70" spans="2:3" x14ac:dyDescent="0.25">
      <c r="B70" s="176">
        <v>12180720</v>
      </c>
      <c r="C70" s="177" t="s">
        <v>5344</v>
      </c>
    </row>
    <row r="71" spans="2:3" x14ac:dyDescent="0.25">
      <c r="B71" s="176">
        <v>12180730</v>
      </c>
      <c r="C71" s="177" t="s">
        <v>5345</v>
      </c>
    </row>
    <row r="72" spans="2:3" ht="30" x14ac:dyDescent="0.25">
      <c r="B72" s="176">
        <v>12180800</v>
      </c>
      <c r="C72" s="177" t="s">
        <v>5401</v>
      </c>
    </row>
    <row r="73" spans="2:3" x14ac:dyDescent="0.25">
      <c r="B73" s="176">
        <v>12180810</v>
      </c>
      <c r="C73" s="177" t="s">
        <v>5364</v>
      </c>
    </row>
    <row r="74" spans="2:3" x14ac:dyDescent="0.25">
      <c r="B74" s="176">
        <v>12180820</v>
      </c>
      <c r="C74" s="177" t="s">
        <v>5365</v>
      </c>
    </row>
    <row r="75" spans="2:3" x14ac:dyDescent="0.25">
      <c r="B75" s="176">
        <v>12180830</v>
      </c>
      <c r="C75" s="177" t="s">
        <v>5366</v>
      </c>
    </row>
    <row r="76" spans="2:3" x14ac:dyDescent="0.25">
      <c r="B76" s="174">
        <v>12280000</v>
      </c>
      <c r="C76" s="175" t="s">
        <v>5095</v>
      </c>
    </row>
    <row r="77" spans="2:3" x14ac:dyDescent="0.25">
      <c r="B77" s="174">
        <v>12280100</v>
      </c>
      <c r="C77" s="175" t="s">
        <v>5097</v>
      </c>
    </row>
    <row r="78" spans="2:3" x14ac:dyDescent="0.25">
      <c r="B78" s="174">
        <v>12280110</v>
      </c>
      <c r="C78" s="175" t="s">
        <v>5099</v>
      </c>
    </row>
    <row r="79" spans="2:3" ht="30" x14ac:dyDescent="0.25">
      <c r="B79" s="176">
        <v>16380000</v>
      </c>
      <c r="C79" s="177" t="s">
        <v>5561</v>
      </c>
    </row>
    <row r="80" spans="2:3" x14ac:dyDescent="0.25">
      <c r="B80" s="176">
        <v>16380100</v>
      </c>
      <c r="C80" s="177" t="s">
        <v>5562</v>
      </c>
    </row>
    <row r="81" spans="2:3" x14ac:dyDescent="0.25">
      <c r="B81" s="176">
        <v>16380110</v>
      </c>
      <c r="C81" s="177" t="s">
        <v>1014</v>
      </c>
    </row>
    <row r="82" spans="2:3" x14ac:dyDescent="0.25">
      <c r="B82" s="176">
        <v>16380120</v>
      </c>
      <c r="C82" s="177" t="s">
        <v>5563</v>
      </c>
    </row>
    <row r="83" spans="2:3" x14ac:dyDescent="0.25">
      <c r="B83" s="176">
        <v>16380130</v>
      </c>
      <c r="C83" s="177" t="s">
        <v>1018</v>
      </c>
    </row>
    <row r="84" spans="2:3" x14ac:dyDescent="0.25">
      <c r="B84" s="176">
        <v>16380140</v>
      </c>
      <c r="C84" s="177" t="s">
        <v>1022</v>
      </c>
    </row>
    <row r="85" spans="2:3" x14ac:dyDescent="0.25">
      <c r="B85" s="176">
        <v>16380190</v>
      </c>
      <c r="C85" s="177" t="s">
        <v>1024</v>
      </c>
    </row>
    <row r="86" spans="2:3" x14ac:dyDescent="0.25">
      <c r="B86" s="174">
        <v>17180000</v>
      </c>
      <c r="C86" s="175" t="s">
        <v>5022</v>
      </c>
    </row>
    <row r="87" spans="2:3" x14ac:dyDescent="0.25">
      <c r="B87" s="174">
        <v>17180100</v>
      </c>
      <c r="C87" s="175" t="s">
        <v>1219</v>
      </c>
    </row>
    <row r="88" spans="2:3" x14ac:dyDescent="0.25">
      <c r="B88" s="174">
        <v>17180110</v>
      </c>
      <c r="C88" s="175" t="s">
        <v>1221</v>
      </c>
    </row>
    <row r="89" spans="2:3" x14ac:dyDescent="0.25">
      <c r="B89" s="174">
        <v>17180120</v>
      </c>
      <c r="C89" s="175" t="s">
        <v>1223</v>
      </c>
    </row>
    <row r="90" spans="2:3" ht="30" x14ac:dyDescent="0.25">
      <c r="B90" s="174">
        <v>17180130</v>
      </c>
      <c r="C90" s="175" t="s">
        <v>1226</v>
      </c>
    </row>
    <row r="91" spans="2:3" ht="30" x14ac:dyDescent="0.25">
      <c r="B91" s="174">
        <v>17180140</v>
      </c>
      <c r="C91" s="175" t="s">
        <v>1229</v>
      </c>
    </row>
    <row r="92" spans="2:3" x14ac:dyDescent="0.25">
      <c r="B92" s="174">
        <v>17180150</v>
      </c>
      <c r="C92" s="175" t="s">
        <v>1232</v>
      </c>
    </row>
    <row r="93" spans="2:3" ht="30" x14ac:dyDescent="0.25">
      <c r="B93" s="174">
        <v>17180160</v>
      </c>
      <c r="C93" s="175" t="s">
        <v>1234</v>
      </c>
    </row>
    <row r="94" spans="2:3" x14ac:dyDescent="0.25">
      <c r="B94" s="174">
        <v>17180170</v>
      </c>
      <c r="C94" s="175" t="s">
        <v>1236</v>
      </c>
    </row>
    <row r="95" spans="2:3" ht="30" x14ac:dyDescent="0.25">
      <c r="B95" s="174">
        <v>17180180</v>
      </c>
      <c r="C95" s="175" t="s">
        <v>1238</v>
      </c>
    </row>
    <row r="96" spans="2:3" ht="30" x14ac:dyDescent="0.25">
      <c r="B96" s="174">
        <v>17180200</v>
      </c>
      <c r="C96" s="175" t="s">
        <v>1240</v>
      </c>
    </row>
    <row r="97" spans="2:3" x14ac:dyDescent="0.25">
      <c r="B97" s="174">
        <v>17180210</v>
      </c>
      <c r="C97" s="175" t="s">
        <v>1242</v>
      </c>
    </row>
    <row r="98" spans="2:3" x14ac:dyDescent="0.25">
      <c r="B98" s="174">
        <v>17180220</v>
      </c>
      <c r="C98" s="175" t="s">
        <v>1244</v>
      </c>
    </row>
    <row r="99" spans="2:3" ht="30" x14ac:dyDescent="0.25">
      <c r="B99" s="174">
        <v>17180230</v>
      </c>
      <c r="C99" s="175" t="s">
        <v>1246</v>
      </c>
    </row>
    <row r="100" spans="2:3" ht="30" x14ac:dyDescent="0.25">
      <c r="B100" s="174">
        <v>17180240</v>
      </c>
      <c r="C100" s="175" t="s">
        <v>1248</v>
      </c>
    </row>
    <row r="101" spans="2:3" x14ac:dyDescent="0.25">
      <c r="B101" s="174">
        <v>17180250</v>
      </c>
      <c r="C101" s="175" t="s">
        <v>1250</v>
      </c>
    </row>
    <row r="102" spans="2:3" x14ac:dyDescent="0.25">
      <c r="B102" s="174">
        <v>17180260</v>
      </c>
      <c r="C102" s="175" t="s">
        <v>1252</v>
      </c>
    </row>
    <row r="103" spans="2:3" ht="30" x14ac:dyDescent="0.25">
      <c r="B103" s="174">
        <v>17180290</v>
      </c>
      <c r="C103" s="175" t="s">
        <v>1254</v>
      </c>
    </row>
    <row r="104" spans="2:3" ht="30" x14ac:dyDescent="0.25">
      <c r="B104" s="176">
        <v>17180300</v>
      </c>
      <c r="C104" s="177" t="s">
        <v>5601</v>
      </c>
    </row>
    <row r="105" spans="2:3" x14ac:dyDescent="0.25">
      <c r="B105" s="176">
        <v>17180310</v>
      </c>
      <c r="C105" s="177" t="s">
        <v>5155</v>
      </c>
    </row>
    <row r="106" spans="2:3" ht="30" x14ac:dyDescent="0.25">
      <c r="B106" s="176">
        <v>17180320</v>
      </c>
      <c r="C106" s="177" t="s">
        <v>5156</v>
      </c>
    </row>
    <row r="107" spans="2:3" x14ac:dyDescent="0.25">
      <c r="B107" s="176">
        <v>17180330</v>
      </c>
      <c r="C107" s="177" t="s">
        <v>5157</v>
      </c>
    </row>
    <row r="108" spans="2:3" x14ac:dyDescent="0.25">
      <c r="B108" s="176">
        <v>17180340</v>
      </c>
      <c r="C108" s="177" t="s">
        <v>5158</v>
      </c>
    </row>
    <row r="109" spans="2:3" x14ac:dyDescent="0.25">
      <c r="B109" s="176">
        <v>17180350</v>
      </c>
      <c r="C109" s="177" t="s">
        <v>5159</v>
      </c>
    </row>
    <row r="110" spans="2:3" ht="30" x14ac:dyDescent="0.25">
      <c r="B110" s="176">
        <v>17180390</v>
      </c>
      <c r="C110" s="177" t="s">
        <v>5154</v>
      </c>
    </row>
    <row r="111" spans="2:3" ht="30" x14ac:dyDescent="0.25">
      <c r="B111" s="176">
        <v>17180400</v>
      </c>
      <c r="C111" s="177" t="s">
        <v>5220</v>
      </c>
    </row>
    <row r="112" spans="2:3" ht="30" x14ac:dyDescent="0.25">
      <c r="B112" s="176">
        <v>17180410</v>
      </c>
      <c r="C112" s="177" t="s">
        <v>5213</v>
      </c>
    </row>
    <row r="113" spans="2:3" ht="30" x14ac:dyDescent="0.25">
      <c r="B113" s="176">
        <v>17180420</v>
      </c>
      <c r="C113" s="177" t="s">
        <v>5214</v>
      </c>
    </row>
    <row r="114" spans="2:3" ht="30" x14ac:dyDescent="0.25">
      <c r="B114" s="176">
        <v>17180430</v>
      </c>
      <c r="C114" s="177" t="s">
        <v>5215</v>
      </c>
    </row>
    <row r="115" spans="2:3" ht="30" x14ac:dyDescent="0.25">
      <c r="B115" s="176">
        <v>17180440</v>
      </c>
      <c r="C115" s="177" t="s">
        <v>5216</v>
      </c>
    </row>
    <row r="116" spans="2:3" ht="30" x14ac:dyDescent="0.25">
      <c r="B116" s="176">
        <v>17180450</v>
      </c>
      <c r="C116" s="177" t="s">
        <v>5217</v>
      </c>
    </row>
    <row r="117" spans="2:3" ht="15.75" customHeight="1" x14ac:dyDescent="0.25">
      <c r="B117" s="176">
        <v>17180460</v>
      </c>
      <c r="C117" s="177" t="s">
        <v>5212</v>
      </c>
    </row>
    <row r="118" spans="2:3" ht="30" x14ac:dyDescent="0.25">
      <c r="B118" s="174">
        <v>17180500</v>
      </c>
      <c r="C118" s="175" t="s">
        <v>1260</v>
      </c>
    </row>
    <row r="119" spans="2:3" x14ac:dyDescent="0.25">
      <c r="B119" s="174">
        <v>17180510</v>
      </c>
      <c r="C119" s="175" t="s">
        <v>1262</v>
      </c>
    </row>
    <row r="120" spans="2:3" ht="30" x14ac:dyDescent="0.25">
      <c r="B120" s="174">
        <v>17180520</v>
      </c>
      <c r="C120" s="175" t="s">
        <v>1264</v>
      </c>
    </row>
    <row r="121" spans="2:3" ht="30" x14ac:dyDescent="0.25">
      <c r="B121" s="174">
        <v>17180530</v>
      </c>
      <c r="C121" s="175" t="s">
        <v>1266</v>
      </c>
    </row>
    <row r="122" spans="2:3" ht="30" x14ac:dyDescent="0.25">
      <c r="B122" s="174">
        <v>17180540</v>
      </c>
      <c r="C122" s="175" t="s">
        <v>1268</v>
      </c>
    </row>
    <row r="123" spans="2:3" ht="30" x14ac:dyDescent="0.25">
      <c r="B123" s="174">
        <v>17180590</v>
      </c>
      <c r="C123" s="175" t="s">
        <v>1270</v>
      </c>
    </row>
    <row r="124" spans="2:3" x14ac:dyDescent="0.25">
      <c r="B124" s="174">
        <v>17180600</v>
      </c>
      <c r="C124" s="175" t="s">
        <v>1272</v>
      </c>
    </row>
    <row r="125" spans="2:3" x14ac:dyDescent="0.25">
      <c r="B125" s="174">
        <v>17180610</v>
      </c>
      <c r="C125" s="175" t="s">
        <v>1272</v>
      </c>
    </row>
    <row r="126" spans="2:3" x14ac:dyDescent="0.25">
      <c r="B126" s="174">
        <v>17180700</v>
      </c>
      <c r="C126" s="175" t="s">
        <v>1276</v>
      </c>
    </row>
    <row r="127" spans="2:3" x14ac:dyDescent="0.25">
      <c r="B127" s="174">
        <v>17180710</v>
      </c>
      <c r="C127" s="175" t="s">
        <v>1276</v>
      </c>
    </row>
    <row r="128" spans="2:3" x14ac:dyDescent="0.25">
      <c r="B128" s="174">
        <v>17180800</v>
      </c>
      <c r="C128" s="175" t="s">
        <v>5105</v>
      </c>
    </row>
    <row r="129" spans="2:3" x14ac:dyDescent="0.25">
      <c r="B129" s="174">
        <v>17180810</v>
      </c>
      <c r="C129" s="175" t="s">
        <v>5105</v>
      </c>
    </row>
    <row r="130" spans="2:3" ht="45" x14ac:dyDescent="0.25">
      <c r="B130" s="176">
        <v>17180900</v>
      </c>
      <c r="C130" s="177" t="s">
        <v>5184</v>
      </c>
    </row>
    <row r="131" spans="2:3" ht="45" x14ac:dyDescent="0.25">
      <c r="B131" s="176">
        <v>17180910</v>
      </c>
      <c r="C131" s="177" t="s">
        <v>1322</v>
      </c>
    </row>
    <row r="132" spans="2:3" x14ac:dyDescent="0.25">
      <c r="B132" s="174">
        <v>17181000</v>
      </c>
      <c r="C132" s="175" t="s">
        <v>1334</v>
      </c>
    </row>
    <row r="133" spans="2:3" x14ac:dyDescent="0.25">
      <c r="B133" s="174">
        <v>17181010</v>
      </c>
      <c r="C133" s="175" t="s">
        <v>1336</v>
      </c>
    </row>
    <row r="134" spans="2:3" x14ac:dyDescent="0.25">
      <c r="B134" s="174">
        <v>17181020</v>
      </c>
      <c r="C134" s="175" t="s">
        <v>1338</v>
      </c>
    </row>
    <row r="135" spans="2:3" ht="30" x14ac:dyDescent="0.25">
      <c r="B135" s="174">
        <v>17181030</v>
      </c>
      <c r="C135" s="175" t="s">
        <v>1340</v>
      </c>
    </row>
    <row r="136" spans="2:3" ht="30" x14ac:dyDescent="0.25">
      <c r="B136" s="174">
        <v>17181040</v>
      </c>
      <c r="C136" s="175" t="s">
        <v>1342</v>
      </c>
    </row>
    <row r="137" spans="2:3" ht="30" x14ac:dyDescent="0.25">
      <c r="B137" s="174">
        <v>17181050</v>
      </c>
      <c r="C137" s="175" t="s">
        <v>1344</v>
      </c>
    </row>
    <row r="138" spans="2:3" x14ac:dyDescent="0.25">
      <c r="B138" s="174">
        <v>17181090</v>
      </c>
      <c r="C138" s="175" t="s">
        <v>1346</v>
      </c>
    </row>
    <row r="139" spans="2:3" x14ac:dyDescent="0.25">
      <c r="B139" s="174">
        <v>17181100</v>
      </c>
      <c r="C139" s="175" t="s">
        <v>5108</v>
      </c>
    </row>
    <row r="140" spans="2:3" x14ac:dyDescent="0.25">
      <c r="B140" s="174">
        <v>17181110</v>
      </c>
      <c r="C140" s="175" t="s">
        <v>5110</v>
      </c>
    </row>
    <row r="141" spans="2:3" x14ac:dyDescent="0.25">
      <c r="B141" s="176">
        <v>17181200</v>
      </c>
      <c r="C141" s="177" t="s">
        <v>1258</v>
      </c>
    </row>
    <row r="142" spans="2:3" x14ac:dyDescent="0.25">
      <c r="B142" s="176">
        <v>17181210</v>
      </c>
      <c r="C142" s="177" t="s">
        <v>1258</v>
      </c>
    </row>
    <row r="143" spans="2:3" x14ac:dyDescent="0.25">
      <c r="B143" s="174">
        <v>17189900</v>
      </c>
      <c r="C143" s="175" t="s">
        <v>1277</v>
      </c>
    </row>
    <row r="144" spans="2:3" x14ac:dyDescent="0.25">
      <c r="B144" s="174">
        <v>17189910</v>
      </c>
      <c r="C144" s="175" t="s">
        <v>1277</v>
      </c>
    </row>
    <row r="145" spans="2:3" x14ac:dyDescent="0.25">
      <c r="B145" s="174">
        <v>17280000</v>
      </c>
      <c r="C145" s="175" t="s">
        <v>5023</v>
      </c>
    </row>
    <row r="146" spans="2:3" x14ac:dyDescent="0.25">
      <c r="B146" s="174">
        <v>17280100</v>
      </c>
      <c r="C146" s="175" t="s">
        <v>1281</v>
      </c>
    </row>
    <row r="147" spans="2:3" x14ac:dyDescent="0.25">
      <c r="B147" s="174">
        <v>17280110</v>
      </c>
      <c r="C147" s="175" t="s">
        <v>1283</v>
      </c>
    </row>
    <row r="148" spans="2:3" x14ac:dyDescent="0.25">
      <c r="B148" s="174">
        <v>17280120</v>
      </c>
      <c r="C148" s="175" t="s">
        <v>1285</v>
      </c>
    </row>
    <row r="149" spans="2:3" x14ac:dyDescent="0.25">
      <c r="B149" s="174">
        <v>17280130</v>
      </c>
      <c r="C149" s="175" t="s">
        <v>1289</v>
      </c>
    </row>
    <row r="150" spans="2:3" x14ac:dyDescent="0.25">
      <c r="B150" s="174">
        <v>17280140</v>
      </c>
      <c r="C150" s="175" t="s">
        <v>1236</v>
      </c>
    </row>
    <row r="151" spans="2:3" ht="15.75" customHeight="1" x14ac:dyDescent="0.25">
      <c r="B151" s="174">
        <v>17280150</v>
      </c>
      <c r="C151" s="175" t="s">
        <v>1292</v>
      </c>
    </row>
    <row r="152" spans="2:3" x14ac:dyDescent="0.25">
      <c r="B152" s="174">
        <v>17280190</v>
      </c>
      <c r="C152" s="175" t="s">
        <v>1294</v>
      </c>
    </row>
    <row r="153" spans="2:3" x14ac:dyDescent="0.25">
      <c r="B153" s="174">
        <v>17280200</v>
      </c>
      <c r="C153" s="175" t="s">
        <v>1296</v>
      </c>
    </row>
    <row r="154" spans="2:3" x14ac:dyDescent="0.25">
      <c r="B154" s="174">
        <v>17280210</v>
      </c>
      <c r="C154" s="175" t="s">
        <v>1242</v>
      </c>
    </row>
    <row r="155" spans="2:3" x14ac:dyDescent="0.25">
      <c r="B155" s="174">
        <v>17280220</v>
      </c>
      <c r="C155" s="175" t="s">
        <v>1244</v>
      </c>
    </row>
    <row r="156" spans="2:3" ht="30" x14ac:dyDescent="0.25">
      <c r="B156" s="174">
        <v>17280230</v>
      </c>
      <c r="C156" s="175" t="s">
        <v>1300</v>
      </c>
    </row>
    <row r="157" spans="2:3" x14ac:dyDescent="0.25">
      <c r="B157" s="174">
        <v>17280290</v>
      </c>
      <c r="C157" s="175" t="s">
        <v>1302</v>
      </c>
    </row>
    <row r="158" spans="2:3" ht="30" x14ac:dyDescent="0.25">
      <c r="B158" s="174">
        <v>17280300</v>
      </c>
      <c r="C158" s="175" t="s">
        <v>1304</v>
      </c>
    </row>
    <row r="159" spans="2:3" ht="30" x14ac:dyDescent="0.25">
      <c r="B159" s="174">
        <v>17280310</v>
      </c>
      <c r="C159" s="175" t="s">
        <v>1304</v>
      </c>
    </row>
    <row r="160" spans="2:3" x14ac:dyDescent="0.25">
      <c r="B160" s="174">
        <v>17280400</v>
      </c>
      <c r="C160" s="175" t="s">
        <v>1307</v>
      </c>
    </row>
    <row r="161" spans="2:3" x14ac:dyDescent="0.25">
      <c r="B161" s="174">
        <v>17280410</v>
      </c>
      <c r="C161" s="175" t="s">
        <v>1307</v>
      </c>
    </row>
    <row r="162" spans="2:3" x14ac:dyDescent="0.25">
      <c r="B162" s="174">
        <v>17280700</v>
      </c>
      <c r="C162" s="175" t="s">
        <v>5114</v>
      </c>
    </row>
    <row r="163" spans="2:3" x14ac:dyDescent="0.25">
      <c r="B163" s="174">
        <v>17280710</v>
      </c>
      <c r="C163" s="175" t="s">
        <v>5114</v>
      </c>
    </row>
    <row r="164" spans="2:3" ht="30" x14ac:dyDescent="0.25">
      <c r="B164" s="174">
        <v>17281000</v>
      </c>
      <c r="C164" s="175" t="s">
        <v>1348</v>
      </c>
    </row>
    <row r="165" spans="2:3" x14ac:dyDescent="0.25">
      <c r="B165" s="174">
        <v>17281010</v>
      </c>
      <c r="C165" s="175" t="s">
        <v>1350</v>
      </c>
    </row>
    <row r="166" spans="2:3" x14ac:dyDescent="0.25">
      <c r="B166" s="174">
        <v>17281020</v>
      </c>
      <c r="C166" s="175" t="s">
        <v>1352</v>
      </c>
    </row>
    <row r="167" spans="2:3" x14ac:dyDescent="0.25">
      <c r="B167" s="174">
        <v>17281090</v>
      </c>
      <c r="C167" s="175" t="s">
        <v>1354</v>
      </c>
    </row>
    <row r="168" spans="2:3" x14ac:dyDescent="0.25">
      <c r="B168" s="174">
        <v>17289900</v>
      </c>
      <c r="C168" s="175" t="s">
        <v>1294</v>
      </c>
    </row>
    <row r="169" spans="2:3" x14ac:dyDescent="0.25">
      <c r="B169" s="174">
        <v>17289910</v>
      </c>
      <c r="C169" s="175" t="s">
        <v>1294</v>
      </c>
    </row>
    <row r="170" spans="2:3" x14ac:dyDescent="0.25">
      <c r="B170" s="174">
        <v>17380000</v>
      </c>
      <c r="C170" s="175" t="s">
        <v>5024</v>
      </c>
    </row>
    <row r="171" spans="2:3" x14ac:dyDescent="0.25">
      <c r="B171" s="174">
        <v>17380100</v>
      </c>
      <c r="C171" s="175" t="s">
        <v>1311</v>
      </c>
    </row>
    <row r="172" spans="2:3" x14ac:dyDescent="0.25">
      <c r="B172" s="174">
        <v>17380110</v>
      </c>
      <c r="C172" s="175" t="s">
        <v>1311</v>
      </c>
    </row>
    <row r="173" spans="2:3" x14ac:dyDescent="0.25">
      <c r="B173" s="174">
        <v>17380200</v>
      </c>
      <c r="C173" s="175" t="s">
        <v>1314</v>
      </c>
    </row>
    <row r="174" spans="2:3" x14ac:dyDescent="0.25">
      <c r="B174" s="174">
        <v>17380210</v>
      </c>
      <c r="C174" s="175" t="s">
        <v>1314</v>
      </c>
    </row>
    <row r="175" spans="2:3" x14ac:dyDescent="0.25">
      <c r="B175" s="174">
        <v>17381000</v>
      </c>
      <c r="C175" s="175" t="s">
        <v>1356</v>
      </c>
    </row>
    <row r="176" spans="2:3" ht="30" x14ac:dyDescent="0.25">
      <c r="B176" s="174">
        <v>17381010</v>
      </c>
      <c r="C176" s="175" t="s">
        <v>1358</v>
      </c>
    </row>
    <row r="177" spans="2:3" ht="30" x14ac:dyDescent="0.25">
      <c r="B177" s="174">
        <v>17381020</v>
      </c>
      <c r="C177" s="175" t="s">
        <v>1360</v>
      </c>
    </row>
    <row r="178" spans="2:3" x14ac:dyDescent="0.25">
      <c r="B178" s="174">
        <v>17381090</v>
      </c>
      <c r="C178" s="175" t="s">
        <v>1362</v>
      </c>
    </row>
    <row r="179" spans="2:3" x14ac:dyDescent="0.25">
      <c r="B179" s="174">
        <v>17389900</v>
      </c>
      <c r="C179" s="175" t="s">
        <v>1315</v>
      </c>
    </row>
    <row r="180" spans="2:3" x14ac:dyDescent="0.25">
      <c r="B180" s="174">
        <v>17389910</v>
      </c>
      <c r="C180" s="175" t="s">
        <v>1315</v>
      </c>
    </row>
    <row r="181" spans="2:3" ht="15.75" customHeight="1" x14ac:dyDescent="0.25">
      <c r="B181" s="174">
        <v>17480000</v>
      </c>
      <c r="C181" s="175" t="s">
        <v>5025</v>
      </c>
    </row>
    <row r="182" spans="2:3" ht="15.75" customHeight="1" x14ac:dyDescent="0.25">
      <c r="B182" s="176">
        <v>17480100</v>
      </c>
      <c r="C182" s="177" t="s">
        <v>5180</v>
      </c>
    </row>
    <row r="183" spans="2:3" x14ac:dyDescent="0.25">
      <c r="B183" s="176">
        <v>17480110</v>
      </c>
      <c r="C183" s="177" t="s">
        <v>5181</v>
      </c>
    </row>
    <row r="184" spans="2:3" ht="30" x14ac:dyDescent="0.25">
      <c r="B184" s="176">
        <v>17481000</v>
      </c>
      <c r="C184" s="177" t="s">
        <v>5178</v>
      </c>
    </row>
    <row r="185" spans="2:3" ht="30" x14ac:dyDescent="0.25">
      <c r="B185" s="176">
        <v>17481010</v>
      </c>
      <c r="C185" s="177" t="s">
        <v>5178</v>
      </c>
    </row>
    <row r="186" spans="2:3" ht="30" x14ac:dyDescent="0.25">
      <c r="B186" s="174">
        <v>17580000</v>
      </c>
      <c r="C186" s="175" t="s">
        <v>5026</v>
      </c>
    </row>
    <row r="187" spans="2:3" ht="30" x14ac:dyDescent="0.25">
      <c r="B187" s="174">
        <v>17580100</v>
      </c>
      <c r="C187" s="175" t="s">
        <v>1320</v>
      </c>
    </row>
    <row r="188" spans="2:3" ht="30" x14ac:dyDescent="0.25">
      <c r="B188" s="174">
        <v>17580110</v>
      </c>
      <c r="C188" s="175" t="s">
        <v>1320</v>
      </c>
    </row>
    <row r="189" spans="2:3" ht="45" x14ac:dyDescent="0.25">
      <c r="B189" s="178">
        <v>17580120</v>
      </c>
      <c r="C189" s="179" t="s">
        <v>1322</v>
      </c>
    </row>
    <row r="190" spans="2:3" x14ac:dyDescent="0.25">
      <c r="B190" s="174">
        <v>17589900</v>
      </c>
      <c r="C190" s="175" t="s">
        <v>1324</v>
      </c>
    </row>
    <row r="191" spans="2:3" x14ac:dyDescent="0.25">
      <c r="B191" s="174">
        <v>17589910</v>
      </c>
      <c r="C191" s="175" t="s">
        <v>1324</v>
      </c>
    </row>
    <row r="192" spans="2:3" x14ac:dyDescent="0.25">
      <c r="B192" s="174">
        <v>17680000</v>
      </c>
      <c r="C192" s="175" t="s">
        <v>5027</v>
      </c>
    </row>
    <row r="193" spans="2:3" ht="15.75" customHeight="1" x14ac:dyDescent="0.25">
      <c r="B193" s="176">
        <v>17680100</v>
      </c>
      <c r="C193" s="177" t="s">
        <v>1366</v>
      </c>
    </row>
    <row r="194" spans="2:3" x14ac:dyDescent="0.25">
      <c r="B194" s="176">
        <v>17680110</v>
      </c>
      <c r="C194" s="177" t="s">
        <v>5191</v>
      </c>
    </row>
    <row r="195" spans="2:3" ht="30" x14ac:dyDescent="0.25">
      <c r="B195" s="176">
        <v>17681010</v>
      </c>
      <c r="C195" s="177" t="s">
        <v>5189</v>
      </c>
    </row>
    <row r="196" spans="2:3" x14ac:dyDescent="0.25">
      <c r="B196" s="176">
        <v>17780000</v>
      </c>
      <c r="C196" s="177" t="s">
        <v>5028</v>
      </c>
    </row>
    <row r="197" spans="2:3" x14ac:dyDescent="0.25">
      <c r="B197" s="176">
        <v>17780100</v>
      </c>
      <c r="C197" s="177" t="s">
        <v>5196</v>
      </c>
    </row>
    <row r="198" spans="2:3" ht="30" x14ac:dyDescent="0.25">
      <c r="B198" s="176">
        <v>17780110</v>
      </c>
      <c r="C198" s="177" t="s">
        <v>5195</v>
      </c>
    </row>
    <row r="199" spans="2:3" ht="30" x14ac:dyDescent="0.25">
      <c r="B199" s="176">
        <v>17781010</v>
      </c>
      <c r="C199" s="177" t="s">
        <v>5194</v>
      </c>
    </row>
    <row r="200" spans="2:3" ht="30" x14ac:dyDescent="0.25">
      <c r="B200" s="176">
        <v>19280000</v>
      </c>
      <c r="C200" s="177" t="s">
        <v>5199</v>
      </c>
    </row>
    <row r="201" spans="2:3" x14ac:dyDescent="0.25">
      <c r="B201" s="176">
        <v>19280100</v>
      </c>
      <c r="C201" s="177" t="s">
        <v>5201</v>
      </c>
    </row>
    <row r="202" spans="2:3" x14ac:dyDescent="0.25">
      <c r="B202" s="176">
        <v>19280200</v>
      </c>
      <c r="C202" s="177" t="s">
        <v>5203</v>
      </c>
    </row>
    <row r="203" spans="2:3" ht="30" x14ac:dyDescent="0.25">
      <c r="B203" s="176">
        <v>19280210</v>
      </c>
      <c r="C203" s="177" t="s">
        <v>5207</v>
      </c>
    </row>
    <row r="204" spans="2:3" ht="30" x14ac:dyDescent="0.25">
      <c r="B204" s="176">
        <v>19280290</v>
      </c>
      <c r="C204" s="177" t="s">
        <v>5206</v>
      </c>
    </row>
    <row r="205" spans="2:3" x14ac:dyDescent="0.25">
      <c r="B205" s="176">
        <v>19280300</v>
      </c>
      <c r="C205" s="177" t="s">
        <v>5204</v>
      </c>
    </row>
    <row r="206" spans="2:3" x14ac:dyDescent="0.25">
      <c r="B206" s="176">
        <v>19280310</v>
      </c>
      <c r="C206" s="177" t="s">
        <v>5205</v>
      </c>
    </row>
    <row r="207" spans="2:3" x14ac:dyDescent="0.25">
      <c r="B207" s="180">
        <v>21180000</v>
      </c>
      <c r="C207" s="181" t="s">
        <v>4896</v>
      </c>
    </row>
    <row r="208" spans="2:3" x14ac:dyDescent="0.25">
      <c r="B208" s="180">
        <v>21180100</v>
      </c>
      <c r="C208" s="181" t="s">
        <v>4894</v>
      </c>
    </row>
    <row r="209" spans="2:3" x14ac:dyDescent="0.25">
      <c r="B209" s="180">
        <v>21180110</v>
      </c>
      <c r="C209" s="181" t="s">
        <v>2628</v>
      </c>
    </row>
    <row r="210" spans="2:3" ht="15.75" customHeight="1" x14ac:dyDescent="0.25">
      <c r="B210" s="180">
        <v>21180120</v>
      </c>
      <c r="C210" s="181" t="s">
        <v>2630</v>
      </c>
    </row>
    <row r="211" spans="2:3" x14ac:dyDescent="0.25">
      <c r="B211" s="180">
        <v>21180130</v>
      </c>
      <c r="C211" s="181" t="s">
        <v>2632</v>
      </c>
    </row>
    <row r="212" spans="2:3" x14ac:dyDescent="0.25">
      <c r="B212" s="180">
        <v>21180140</v>
      </c>
      <c r="C212" s="181" t="s">
        <v>2634</v>
      </c>
    </row>
    <row r="213" spans="2:3" ht="30" x14ac:dyDescent="0.25">
      <c r="B213" s="180">
        <v>21180150</v>
      </c>
      <c r="C213" s="181" t="s">
        <v>2636</v>
      </c>
    </row>
    <row r="214" spans="2:3" x14ac:dyDescent="0.25">
      <c r="B214" s="180">
        <v>21180160</v>
      </c>
      <c r="C214" s="181" t="s">
        <v>2638</v>
      </c>
    </row>
    <row r="215" spans="2:3" x14ac:dyDescent="0.25">
      <c r="B215" s="180">
        <v>21180170</v>
      </c>
      <c r="C215" s="181" t="s">
        <v>2640</v>
      </c>
    </row>
    <row r="216" spans="2:3" x14ac:dyDescent="0.25">
      <c r="B216" s="180">
        <v>21280000</v>
      </c>
      <c r="C216" s="181" t="s">
        <v>4897</v>
      </c>
    </row>
    <row r="217" spans="2:3" x14ac:dyDescent="0.25">
      <c r="B217" s="180">
        <v>21280100</v>
      </c>
      <c r="C217" s="181" t="s">
        <v>4895</v>
      </c>
    </row>
    <row r="218" spans="2:3" x14ac:dyDescent="0.25">
      <c r="B218" s="180">
        <v>21280110</v>
      </c>
      <c r="C218" s="181" t="s">
        <v>2654</v>
      </c>
    </row>
    <row r="219" spans="2:3" x14ac:dyDescent="0.25">
      <c r="B219" s="180">
        <v>21280120</v>
      </c>
      <c r="C219" s="181" t="s">
        <v>2656</v>
      </c>
    </row>
    <row r="220" spans="2:3" x14ac:dyDescent="0.25">
      <c r="B220" s="180">
        <v>21280130</v>
      </c>
      <c r="C220" s="181" t="s">
        <v>2658</v>
      </c>
    </row>
    <row r="221" spans="2:3" x14ac:dyDescent="0.25">
      <c r="B221" s="180">
        <v>21280140</v>
      </c>
      <c r="C221" s="181" t="s">
        <v>2660</v>
      </c>
    </row>
    <row r="222" spans="2:3" ht="30" x14ac:dyDescent="0.25">
      <c r="B222" s="180">
        <v>21280150</v>
      </c>
      <c r="C222" s="181" t="s">
        <v>2662</v>
      </c>
    </row>
    <row r="223" spans="2:3" x14ac:dyDescent="0.25">
      <c r="B223" s="180">
        <v>21280160</v>
      </c>
      <c r="C223" s="181" t="s">
        <v>2664</v>
      </c>
    </row>
    <row r="224" spans="2:3" ht="30" x14ac:dyDescent="0.25">
      <c r="B224" s="180">
        <v>22180000</v>
      </c>
      <c r="C224" s="181" t="s">
        <v>5120</v>
      </c>
    </row>
    <row r="225" spans="2:3" x14ac:dyDescent="0.25">
      <c r="B225" s="180">
        <v>22180100</v>
      </c>
      <c r="C225" s="181" t="s">
        <v>2674</v>
      </c>
    </row>
    <row r="226" spans="2:3" x14ac:dyDescent="0.25">
      <c r="B226" s="180">
        <v>22180110</v>
      </c>
      <c r="C226" s="181" t="s">
        <v>5123</v>
      </c>
    </row>
    <row r="227" spans="2:3" x14ac:dyDescent="0.25">
      <c r="B227" s="180">
        <v>22180120</v>
      </c>
      <c r="C227" s="181" t="s">
        <v>5126</v>
      </c>
    </row>
    <row r="228" spans="2:3" x14ac:dyDescent="0.25">
      <c r="B228" s="180">
        <v>24180000</v>
      </c>
      <c r="C228" s="181" t="s">
        <v>5022</v>
      </c>
    </row>
    <row r="229" spans="2:3" x14ac:dyDescent="0.25">
      <c r="B229" s="180">
        <v>24180100</v>
      </c>
      <c r="C229" s="181" t="s">
        <v>1276</v>
      </c>
    </row>
    <row r="230" spans="2:3" x14ac:dyDescent="0.25">
      <c r="B230" s="180">
        <v>24180110</v>
      </c>
      <c r="C230" s="181" t="s">
        <v>1276</v>
      </c>
    </row>
    <row r="231" spans="2:3" ht="30" x14ac:dyDescent="0.25">
      <c r="B231" s="176">
        <v>24180300</v>
      </c>
      <c r="C231" s="177" t="s">
        <v>5617</v>
      </c>
    </row>
    <row r="232" spans="2:3" x14ac:dyDescent="0.25">
      <c r="B232" s="176">
        <v>24180310</v>
      </c>
      <c r="C232" s="177" t="s">
        <v>5155</v>
      </c>
    </row>
    <row r="233" spans="2:3" ht="30" x14ac:dyDescent="0.25">
      <c r="B233" s="176">
        <v>24180320</v>
      </c>
      <c r="C233" s="177" t="s">
        <v>5156</v>
      </c>
    </row>
    <row r="234" spans="2:3" x14ac:dyDescent="0.25">
      <c r="B234" s="176">
        <v>24180330</v>
      </c>
      <c r="C234" s="177" t="s">
        <v>5157</v>
      </c>
    </row>
    <row r="235" spans="2:3" x14ac:dyDescent="0.25">
      <c r="B235" s="176">
        <v>24180340</v>
      </c>
      <c r="C235" s="177" t="s">
        <v>5158</v>
      </c>
    </row>
    <row r="236" spans="2:3" x14ac:dyDescent="0.25">
      <c r="B236" s="176">
        <v>24180350</v>
      </c>
      <c r="C236" s="177" t="s">
        <v>5159</v>
      </c>
    </row>
    <row r="237" spans="2:3" ht="30" x14ac:dyDescent="0.25">
      <c r="B237" s="176">
        <v>24180390</v>
      </c>
      <c r="C237" s="177" t="s">
        <v>5154</v>
      </c>
    </row>
    <row r="238" spans="2:3" ht="30" x14ac:dyDescent="0.25">
      <c r="B238" s="176">
        <v>24180400</v>
      </c>
      <c r="C238" s="177" t="s">
        <v>5220</v>
      </c>
    </row>
    <row r="239" spans="2:3" ht="30" x14ac:dyDescent="0.25">
      <c r="B239" s="176">
        <v>24180410</v>
      </c>
      <c r="C239" s="177" t="s">
        <v>5213</v>
      </c>
    </row>
    <row r="240" spans="2:3" ht="30" x14ac:dyDescent="0.25">
      <c r="B240" s="176">
        <v>24180420</v>
      </c>
      <c r="C240" s="177" t="s">
        <v>5214</v>
      </c>
    </row>
    <row r="241" spans="2:3" ht="30" x14ac:dyDescent="0.25">
      <c r="B241" s="176">
        <v>24180430</v>
      </c>
      <c r="C241" s="177" t="s">
        <v>5215</v>
      </c>
    </row>
    <row r="242" spans="2:3" ht="30" x14ac:dyDescent="0.25">
      <c r="B242" s="176">
        <v>24180440</v>
      </c>
      <c r="C242" s="177" t="s">
        <v>5216</v>
      </c>
    </row>
    <row r="243" spans="2:3" ht="30" x14ac:dyDescent="0.25">
      <c r="B243" s="176">
        <v>24180450</v>
      </c>
      <c r="C243" s="177" t="s">
        <v>5217</v>
      </c>
    </row>
    <row r="244" spans="2:3" ht="30" x14ac:dyDescent="0.25">
      <c r="B244" s="176">
        <v>24180460</v>
      </c>
      <c r="C244" s="177" t="s">
        <v>5212</v>
      </c>
    </row>
    <row r="245" spans="2:3" x14ac:dyDescent="0.25">
      <c r="B245" s="180">
        <v>24180500</v>
      </c>
      <c r="C245" s="181" t="s">
        <v>2777</v>
      </c>
    </row>
    <row r="246" spans="2:3" x14ac:dyDescent="0.25">
      <c r="B246" s="180">
        <v>24180510</v>
      </c>
      <c r="C246" s="181" t="s">
        <v>2777</v>
      </c>
    </row>
    <row r="247" spans="2:3" x14ac:dyDescent="0.25">
      <c r="B247" s="180">
        <v>24180800</v>
      </c>
      <c r="C247" s="181" t="s">
        <v>5105</v>
      </c>
    </row>
    <row r="248" spans="2:3" x14ac:dyDescent="0.25">
      <c r="B248" s="180">
        <v>24180810</v>
      </c>
      <c r="C248" s="181" t="s">
        <v>5105</v>
      </c>
    </row>
    <row r="249" spans="2:3" x14ac:dyDescent="0.25">
      <c r="B249" s="180">
        <v>24181000</v>
      </c>
      <c r="C249" s="181" t="s">
        <v>2798</v>
      </c>
    </row>
    <row r="250" spans="2:3" x14ac:dyDescent="0.25">
      <c r="B250" s="180">
        <v>24181010</v>
      </c>
      <c r="C250" s="181" t="s">
        <v>2800</v>
      </c>
    </row>
    <row r="251" spans="2:3" x14ac:dyDescent="0.25">
      <c r="B251" s="180">
        <v>24181020</v>
      </c>
      <c r="C251" s="181" t="s">
        <v>2802</v>
      </c>
    </row>
    <row r="252" spans="2:3" ht="30" x14ac:dyDescent="0.25">
      <c r="B252" s="180">
        <v>24181050</v>
      </c>
      <c r="C252" s="181" t="s">
        <v>2804</v>
      </c>
    </row>
    <row r="253" spans="2:3" ht="30" x14ac:dyDescent="0.25">
      <c r="B253" s="180">
        <v>24181060</v>
      </c>
      <c r="C253" s="181" t="s">
        <v>2806</v>
      </c>
    </row>
    <row r="254" spans="2:3" ht="30" x14ac:dyDescent="0.25">
      <c r="B254" s="180">
        <v>24181070</v>
      </c>
      <c r="C254" s="181" t="s">
        <v>5137</v>
      </c>
    </row>
    <row r="255" spans="2:3" x14ac:dyDescent="0.25">
      <c r="B255" s="180">
        <v>24181090</v>
      </c>
      <c r="C255" s="181" t="s">
        <v>1346</v>
      </c>
    </row>
    <row r="256" spans="2:3" x14ac:dyDescent="0.25">
      <c r="B256" s="176">
        <v>27181200</v>
      </c>
      <c r="C256" s="177" t="s">
        <v>1258</v>
      </c>
    </row>
    <row r="257" spans="2:3" x14ac:dyDescent="0.25">
      <c r="B257" s="176">
        <v>27181210</v>
      </c>
      <c r="C257" s="177" t="s">
        <v>1258</v>
      </c>
    </row>
    <row r="258" spans="2:3" x14ac:dyDescent="0.25">
      <c r="B258" s="180">
        <v>24189900</v>
      </c>
      <c r="C258" s="181" t="s">
        <v>1277</v>
      </c>
    </row>
    <row r="259" spans="2:3" x14ac:dyDescent="0.25">
      <c r="B259" s="180">
        <v>24189910</v>
      </c>
      <c r="C259" s="181" t="s">
        <v>1277</v>
      </c>
    </row>
    <row r="260" spans="2:3" x14ac:dyDescent="0.25">
      <c r="B260" s="180">
        <v>24280000</v>
      </c>
      <c r="C260" s="181" t="s">
        <v>4965</v>
      </c>
    </row>
    <row r="261" spans="2:3" x14ac:dyDescent="0.25">
      <c r="B261" s="180">
        <v>24280100</v>
      </c>
      <c r="C261" s="181" t="s">
        <v>4966</v>
      </c>
    </row>
    <row r="262" spans="2:3" x14ac:dyDescent="0.25">
      <c r="B262" s="180">
        <v>24280110</v>
      </c>
      <c r="C262" s="181" t="s">
        <v>4966</v>
      </c>
    </row>
    <row r="263" spans="2:3" x14ac:dyDescent="0.25">
      <c r="B263" s="180">
        <v>24280300</v>
      </c>
      <c r="C263" s="181" t="s">
        <v>1311</v>
      </c>
    </row>
    <row r="264" spans="2:3" x14ac:dyDescent="0.25">
      <c r="B264" s="180">
        <v>24280310</v>
      </c>
      <c r="C264" s="181" t="s">
        <v>1311</v>
      </c>
    </row>
    <row r="265" spans="2:3" x14ac:dyDescent="0.25">
      <c r="B265" s="180">
        <v>24280500</v>
      </c>
      <c r="C265" s="181" t="s">
        <v>2777</v>
      </c>
    </row>
    <row r="266" spans="2:3" x14ac:dyDescent="0.25">
      <c r="B266" s="180">
        <v>24280510</v>
      </c>
      <c r="C266" s="181" t="s">
        <v>2777</v>
      </c>
    </row>
    <row r="267" spans="2:3" ht="30" x14ac:dyDescent="0.25">
      <c r="B267" s="180">
        <v>24281000</v>
      </c>
      <c r="C267" s="181" t="s">
        <v>2811</v>
      </c>
    </row>
    <row r="268" spans="2:3" x14ac:dyDescent="0.25">
      <c r="B268" s="180">
        <v>24281010</v>
      </c>
      <c r="C268" s="181" t="s">
        <v>2813</v>
      </c>
    </row>
    <row r="269" spans="2:3" x14ac:dyDescent="0.25">
      <c r="B269" s="180">
        <v>24281020</v>
      </c>
      <c r="C269" s="181" t="s">
        <v>2815</v>
      </c>
    </row>
    <row r="270" spans="2:3" ht="30" x14ac:dyDescent="0.25">
      <c r="B270" s="180">
        <v>24281050</v>
      </c>
      <c r="C270" s="181" t="s">
        <v>2817</v>
      </c>
    </row>
    <row r="271" spans="2:3" ht="30" x14ac:dyDescent="0.25">
      <c r="B271" s="180">
        <v>24281060</v>
      </c>
      <c r="C271" s="181" t="s">
        <v>2819</v>
      </c>
    </row>
    <row r="272" spans="2:3" ht="30" x14ac:dyDescent="0.25">
      <c r="B272" s="180">
        <v>24281070</v>
      </c>
      <c r="C272" s="181" t="s">
        <v>5140</v>
      </c>
    </row>
    <row r="273" spans="2:3" x14ac:dyDescent="0.25">
      <c r="B273" s="180">
        <v>24281090</v>
      </c>
      <c r="C273" s="181" t="s">
        <v>1354</v>
      </c>
    </row>
    <row r="274" spans="2:3" x14ac:dyDescent="0.25">
      <c r="B274" s="180">
        <v>24289900</v>
      </c>
      <c r="C274" s="181" t="s">
        <v>1294</v>
      </c>
    </row>
    <row r="275" spans="2:3" x14ac:dyDescent="0.25">
      <c r="B275" s="180">
        <v>24289910</v>
      </c>
      <c r="C275" s="181" t="s">
        <v>1294</v>
      </c>
    </row>
    <row r="276" spans="2:3" x14ac:dyDescent="0.25">
      <c r="B276" s="180">
        <v>24380000</v>
      </c>
      <c r="C276" s="181" t="s">
        <v>4200</v>
      </c>
    </row>
    <row r="277" spans="2:3" x14ac:dyDescent="0.25">
      <c r="B277" s="180">
        <v>24380100</v>
      </c>
      <c r="C277" s="181" t="s">
        <v>1314</v>
      </c>
    </row>
    <row r="278" spans="2:3" x14ac:dyDescent="0.25">
      <c r="B278" s="180">
        <v>24380110</v>
      </c>
      <c r="C278" s="181" t="s">
        <v>1314</v>
      </c>
    </row>
    <row r="279" spans="2:3" x14ac:dyDescent="0.25">
      <c r="B279" s="180">
        <v>24381000</v>
      </c>
      <c r="C279" s="181" t="s">
        <v>2824</v>
      </c>
    </row>
    <row r="280" spans="2:3" x14ac:dyDescent="0.25">
      <c r="B280" s="180">
        <v>24381010</v>
      </c>
      <c r="C280" s="181" t="s">
        <v>2826</v>
      </c>
    </row>
    <row r="281" spans="2:3" ht="30" x14ac:dyDescent="0.25">
      <c r="B281" s="180">
        <v>24381020</v>
      </c>
      <c r="C281" s="181" t="s">
        <v>2828</v>
      </c>
    </row>
    <row r="282" spans="2:3" ht="30" x14ac:dyDescent="0.25">
      <c r="B282" s="176">
        <v>24381030</v>
      </c>
      <c r="C282" s="177" t="s">
        <v>5218</v>
      </c>
    </row>
    <row r="283" spans="2:3" x14ac:dyDescent="0.25">
      <c r="B283" s="180">
        <v>24381090</v>
      </c>
      <c r="C283" s="181" t="s">
        <v>1362</v>
      </c>
    </row>
    <row r="284" spans="2:3" x14ac:dyDescent="0.25">
      <c r="B284" s="180">
        <v>24389900</v>
      </c>
      <c r="C284" s="181" t="s">
        <v>1315</v>
      </c>
    </row>
    <row r="285" spans="2:3" x14ac:dyDescent="0.25">
      <c r="B285" s="180">
        <v>24389910</v>
      </c>
      <c r="C285" s="181" t="s">
        <v>1315</v>
      </c>
    </row>
    <row r="286" spans="2:3" ht="30" x14ac:dyDescent="0.25">
      <c r="B286" s="180">
        <v>24480000</v>
      </c>
      <c r="C286" s="181" t="s">
        <v>5025</v>
      </c>
    </row>
    <row r="287" spans="2:3" x14ac:dyDescent="0.25">
      <c r="B287" s="176">
        <v>24480100</v>
      </c>
      <c r="C287" s="177" t="s">
        <v>2831</v>
      </c>
    </row>
    <row r="288" spans="2:3" ht="30" x14ac:dyDescent="0.25">
      <c r="B288" s="176">
        <v>24480110</v>
      </c>
      <c r="C288" s="177" t="s">
        <v>5221</v>
      </c>
    </row>
    <row r="289" spans="2:3" x14ac:dyDescent="0.25">
      <c r="B289" s="176">
        <v>24481000</v>
      </c>
      <c r="C289" s="177" t="s">
        <v>5222</v>
      </c>
    </row>
    <row r="290" spans="2:3" x14ac:dyDescent="0.25">
      <c r="B290" s="176">
        <v>24481010</v>
      </c>
      <c r="C290" s="177" t="s">
        <v>5222</v>
      </c>
    </row>
    <row r="291" spans="2:3" ht="30" x14ac:dyDescent="0.25">
      <c r="B291" s="180">
        <v>24580000</v>
      </c>
      <c r="C291" s="181" t="s">
        <v>5026</v>
      </c>
    </row>
    <row r="292" spans="2:3" x14ac:dyDescent="0.25">
      <c r="B292" s="180">
        <v>24580100</v>
      </c>
      <c r="C292" s="181" t="s">
        <v>4204</v>
      </c>
    </row>
    <row r="293" spans="2:3" x14ac:dyDescent="0.25">
      <c r="B293" s="180">
        <v>24580110</v>
      </c>
      <c r="C293" s="181" t="s">
        <v>4204</v>
      </c>
    </row>
    <row r="294" spans="2:3" x14ac:dyDescent="0.25">
      <c r="B294" s="180">
        <v>24680000</v>
      </c>
      <c r="C294" s="181" t="s">
        <v>5027</v>
      </c>
    </row>
    <row r="295" spans="2:3" x14ac:dyDescent="0.25">
      <c r="B295" s="180">
        <v>24680100</v>
      </c>
      <c r="C295" s="181" t="s">
        <v>1328</v>
      </c>
    </row>
    <row r="296" spans="2:3" x14ac:dyDescent="0.25">
      <c r="B296" s="176">
        <v>24680110</v>
      </c>
      <c r="C296" s="177" t="s">
        <v>5226</v>
      </c>
    </row>
    <row r="297" spans="2:3" x14ac:dyDescent="0.25">
      <c r="B297" s="176">
        <v>24681010</v>
      </c>
      <c r="C297" s="177" t="s">
        <v>5227</v>
      </c>
    </row>
    <row r="298" spans="2:3" x14ac:dyDescent="0.25">
      <c r="B298" s="180">
        <v>24780000</v>
      </c>
      <c r="C298" s="181" t="s">
        <v>5028</v>
      </c>
    </row>
    <row r="299" spans="2:3" x14ac:dyDescent="0.25">
      <c r="B299" s="180">
        <v>24780100</v>
      </c>
      <c r="C299" s="181" t="s">
        <v>4209</v>
      </c>
    </row>
    <row r="300" spans="2:3" x14ac:dyDescent="0.25">
      <c r="B300" s="176">
        <v>24780110</v>
      </c>
      <c r="C300" s="177" t="s">
        <v>5231</v>
      </c>
    </row>
    <row r="301" spans="2:3" x14ac:dyDescent="0.25">
      <c r="B301" s="176">
        <v>24780190</v>
      </c>
      <c r="C301" s="177" t="s">
        <v>5230</v>
      </c>
    </row>
    <row r="302" spans="2:3" ht="30" x14ac:dyDescent="0.25">
      <c r="B302" s="180">
        <v>24880000</v>
      </c>
      <c r="C302" s="181" t="s">
        <v>5029</v>
      </c>
    </row>
    <row r="303" spans="2:3" x14ac:dyDescent="0.25">
      <c r="B303" s="180">
        <v>24880100</v>
      </c>
      <c r="C303" s="181" t="s">
        <v>4981</v>
      </c>
    </row>
    <row r="304" spans="2:3" x14ac:dyDescent="0.25">
      <c r="B304" s="180">
        <v>24880110</v>
      </c>
      <c r="C304" s="181" t="s">
        <v>4981</v>
      </c>
    </row>
    <row r="305" spans="2:3" x14ac:dyDescent="0.25">
      <c r="B305" s="180">
        <v>29980000</v>
      </c>
      <c r="C305" s="181" t="s">
        <v>5030</v>
      </c>
    </row>
    <row r="306" spans="2:3" x14ac:dyDescent="0.25">
      <c r="B306" s="180">
        <v>29980100</v>
      </c>
      <c r="C306" s="181" t="s">
        <v>4988</v>
      </c>
    </row>
    <row r="307" spans="2:3" ht="30" x14ac:dyDescent="0.25">
      <c r="B307" s="180">
        <v>29980110</v>
      </c>
      <c r="C307" s="181" t="s">
        <v>2861</v>
      </c>
    </row>
  </sheetData>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NovoER-2019</vt:lpstr>
      <vt:lpstr>Nr 8_4º Díg</vt:lpstr>
      <vt:lpstr>Alter_Vrs2019</vt:lpstr>
      <vt:lpstr>NovoER_SET-2017_PortAte_12-2017</vt:lpstr>
      <vt:lpstr>De-Para_AntigoER-NovoER-SET-17</vt:lpstr>
      <vt:lpstr>EmentárioAntigo_Antesde2017</vt:lpstr>
      <vt:lpstr>PortariaSTNnr390-2018</vt:lpstr>
      <vt:lpstr>'De-Para_AntigoER-NovoER-SET-17'!Area_de_impressao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dc:creator>
  <cp:lastModifiedBy>STN</cp:lastModifiedBy>
  <cp:lastPrinted>2017-01-17T18:17:21Z</cp:lastPrinted>
  <dcterms:created xsi:type="dcterms:W3CDTF">2016-06-23T18:04:26Z</dcterms:created>
  <dcterms:modified xsi:type="dcterms:W3CDTF">2018-06-21T20:09:33Z</dcterms:modified>
</cp:coreProperties>
</file>